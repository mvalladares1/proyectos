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riofuturo1.sharepoint.com/sites/RioFuturoprocesos-Franciscadoctos/Documentos compartidos/Base de datos Calidad/Control Producto Terminad CPT/2026/"/>
    </mc:Choice>
  </mc:AlternateContent>
  <xr:revisionPtr revIDLastSave="0" documentId="8_{61FFD2F5-9A0A-426A-A233-4E0205811F00}" xr6:coauthVersionLast="47" xr6:coauthVersionMax="47" xr10:uidLastSave="{00000000-0000-0000-0000-000000000000}"/>
  <bookViews>
    <workbookView xWindow="-108" yWindow="-108" windowWidth="23256" windowHeight="12456" firstSheet="3" activeTab="3" xr2:uid="{60BF0CB7-3A32-4109-8837-4502A08FB59B}"/>
  </bookViews>
  <sheets>
    <sheet name="BD_Cod" sheetId="2" r:id="rId1"/>
    <sheet name="Base de Datos (R.F.)" sheetId="1" r:id="rId2"/>
    <sheet name="Tabla Dinamica (R.F.)" sheetId="3" r:id="rId3"/>
    <sheet name="B.D.(Frío Food)" sheetId="5" r:id="rId4"/>
  </sheets>
  <definedNames>
    <definedName name="DatosExternos_1" localSheetId="0" hidden="1">BD_Cod!$A$1:$N$598</definedName>
    <definedName name="NativeTimeline_Fecha">#N/A</definedName>
  </definedNames>
  <calcPr calcId="191028"/>
  <pivotCaches>
    <pivotCache cacheId="2269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325" i="5" l="1"/>
  <c r="BS325" i="5"/>
  <c r="BQ325" i="5"/>
  <c r="BP325" i="5"/>
  <c r="BK325" i="5"/>
  <c r="BA325" i="5"/>
  <c r="AY325" i="5"/>
  <c r="AW325" i="5"/>
  <c r="AU325" i="5"/>
  <c r="AS325" i="5"/>
  <c r="AQ325" i="5"/>
  <c r="AO325" i="5"/>
  <c r="AK325" i="5"/>
  <c r="AI325" i="5"/>
  <c r="AG325" i="5"/>
  <c r="AD325" i="5"/>
  <c r="AA325" i="5"/>
  <c r="Y325" i="5"/>
  <c r="W325" i="5"/>
  <c r="U325" i="5"/>
  <c r="S325" i="5"/>
  <c r="G325" i="5"/>
  <c r="F325" i="5"/>
  <c r="BR325" i="5" s="1"/>
  <c r="B325" i="5"/>
  <c r="BT324" i="5"/>
  <c r="BS324" i="5"/>
  <c r="BQ324" i="5"/>
  <c r="BP324" i="5"/>
  <c r="BK324" i="5"/>
  <c r="BA324" i="5"/>
  <c r="AY324" i="5"/>
  <c r="AW324" i="5"/>
  <c r="AU324" i="5"/>
  <c r="AS324" i="5"/>
  <c r="AQ324" i="5"/>
  <c r="AO324" i="5"/>
  <c r="AK324" i="5"/>
  <c r="AI324" i="5"/>
  <c r="AG324" i="5"/>
  <c r="AD324" i="5"/>
  <c r="AA324" i="5"/>
  <c r="Y324" i="5"/>
  <c r="W324" i="5"/>
  <c r="U324" i="5"/>
  <c r="S324" i="5"/>
  <c r="G324" i="5"/>
  <c r="F324" i="5"/>
  <c r="BR324" i="5" s="1"/>
  <c r="B324" i="5"/>
  <c r="BT323" i="5"/>
  <c r="BS323" i="5"/>
  <c r="BQ323" i="5"/>
  <c r="BP323" i="5"/>
  <c r="BK323" i="5"/>
  <c r="BA323" i="5"/>
  <c r="AY323" i="5"/>
  <c r="AW323" i="5"/>
  <c r="AU323" i="5"/>
  <c r="AS323" i="5"/>
  <c r="AQ323" i="5"/>
  <c r="AO323" i="5"/>
  <c r="AK323" i="5"/>
  <c r="AI323" i="5"/>
  <c r="AG323" i="5"/>
  <c r="AD323" i="5"/>
  <c r="AA323" i="5"/>
  <c r="Y323" i="5"/>
  <c r="W323" i="5"/>
  <c r="U323" i="5"/>
  <c r="S323" i="5"/>
  <c r="G323" i="5"/>
  <c r="F323" i="5"/>
  <c r="BR323" i="5" s="1"/>
  <c r="B323" i="5"/>
  <c r="BT322" i="5"/>
  <c r="BS322" i="5"/>
  <c r="BQ322" i="5"/>
  <c r="BP322" i="5"/>
  <c r="BK322" i="5"/>
  <c r="BA322" i="5"/>
  <c r="AY322" i="5"/>
  <c r="AW322" i="5"/>
  <c r="AU322" i="5"/>
  <c r="AS322" i="5"/>
  <c r="AQ322" i="5"/>
  <c r="AO322" i="5"/>
  <c r="AK322" i="5"/>
  <c r="AI322" i="5"/>
  <c r="AG322" i="5"/>
  <c r="AD322" i="5"/>
  <c r="AA322" i="5"/>
  <c r="Y322" i="5"/>
  <c r="W322" i="5"/>
  <c r="U322" i="5"/>
  <c r="S322" i="5"/>
  <c r="G322" i="5"/>
  <c r="F322" i="5"/>
  <c r="BR322" i="5" s="1"/>
  <c r="B322" i="5"/>
  <c r="BT321" i="5"/>
  <c r="BS321" i="5"/>
  <c r="BQ321" i="5"/>
  <c r="BP321" i="5"/>
  <c r="BK321" i="5"/>
  <c r="BA321" i="5"/>
  <c r="AY321" i="5"/>
  <c r="AW321" i="5"/>
  <c r="AU321" i="5"/>
  <c r="AS321" i="5"/>
  <c r="AQ321" i="5"/>
  <c r="AO321" i="5"/>
  <c r="AK321" i="5"/>
  <c r="AI321" i="5"/>
  <c r="AG321" i="5"/>
  <c r="AD321" i="5"/>
  <c r="AA321" i="5"/>
  <c r="Y321" i="5"/>
  <c r="W321" i="5"/>
  <c r="U321" i="5"/>
  <c r="S321" i="5"/>
  <c r="G321" i="5"/>
  <c r="F321" i="5"/>
  <c r="BR321" i="5" s="1"/>
  <c r="B321" i="5"/>
  <c r="BT320" i="5"/>
  <c r="BS320" i="5"/>
  <c r="BQ320" i="5"/>
  <c r="BP320" i="5"/>
  <c r="BK320" i="5"/>
  <c r="BA320" i="5"/>
  <c r="AY320" i="5"/>
  <c r="AW320" i="5"/>
  <c r="AU320" i="5"/>
  <c r="AS320" i="5"/>
  <c r="AQ320" i="5"/>
  <c r="AO320" i="5"/>
  <c r="AK320" i="5"/>
  <c r="AI320" i="5"/>
  <c r="AG320" i="5"/>
  <c r="AD320" i="5"/>
  <c r="AA320" i="5"/>
  <c r="Y320" i="5"/>
  <c r="W320" i="5"/>
  <c r="U320" i="5"/>
  <c r="S320" i="5"/>
  <c r="G320" i="5"/>
  <c r="F320" i="5"/>
  <c r="BR320" i="5" s="1"/>
  <c r="B320" i="5"/>
  <c r="BT319" i="5"/>
  <c r="BS319" i="5"/>
  <c r="BQ319" i="5"/>
  <c r="BP319" i="5"/>
  <c r="BK319" i="5"/>
  <c r="BA319" i="5"/>
  <c r="AY319" i="5"/>
  <c r="AW319" i="5"/>
  <c r="AU319" i="5"/>
  <c r="AS319" i="5"/>
  <c r="AQ319" i="5"/>
  <c r="AO319" i="5"/>
  <c r="AK319" i="5"/>
  <c r="AI319" i="5"/>
  <c r="AG319" i="5"/>
  <c r="AD319" i="5"/>
  <c r="AA319" i="5"/>
  <c r="Y319" i="5"/>
  <c r="W319" i="5"/>
  <c r="U319" i="5"/>
  <c r="S319" i="5"/>
  <c r="G319" i="5"/>
  <c r="F319" i="5"/>
  <c r="BR319" i="5" s="1"/>
  <c r="B319" i="5"/>
  <c r="BT318" i="5"/>
  <c r="BS318" i="5"/>
  <c r="BR318" i="5"/>
  <c r="BQ318" i="5"/>
  <c r="BP318" i="5"/>
  <c r="BK318" i="5"/>
  <c r="BA318" i="5"/>
  <c r="AY318" i="5"/>
  <c r="AW318" i="5"/>
  <c r="AU318" i="5"/>
  <c r="AS318" i="5"/>
  <c r="AQ318" i="5"/>
  <c r="AO318" i="5"/>
  <c r="AK318" i="5"/>
  <c r="AI318" i="5"/>
  <c r="AG318" i="5"/>
  <c r="AD318" i="5"/>
  <c r="AA318" i="5"/>
  <c r="Y318" i="5"/>
  <c r="W318" i="5"/>
  <c r="U318" i="5"/>
  <c r="BL318" i="5" s="1"/>
  <c r="BN318" i="5" s="1"/>
  <c r="S318" i="5"/>
  <c r="G318" i="5"/>
  <c r="F318" i="5"/>
  <c r="B318" i="5"/>
  <c r="BT317" i="5"/>
  <c r="BS317" i="5"/>
  <c r="BQ317" i="5"/>
  <c r="BP317" i="5"/>
  <c r="BK317" i="5"/>
  <c r="BA317" i="5"/>
  <c r="AY317" i="5"/>
  <c r="AW317" i="5"/>
  <c r="AU317" i="5"/>
  <c r="AS317" i="5"/>
  <c r="AQ317" i="5"/>
  <c r="AO317" i="5"/>
  <c r="AK317" i="5"/>
  <c r="AI317" i="5"/>
  <c r="AG317" i="5"/>
  <c r="AD317" i="5"/>
  <c r="AA317" i="5"/>
  <c r="Y317" i="5"/>
  <c r="W317" i="5"/>
  <c r="U317" i="5"/>
  <c r="BL317" i="5" s="1"/>
  <c r="S317" i="5"/>
  <c r="G317" i="5"/>
  <c r="F317" i="5"/>
  <c r="BR317" i="5" s="1"/>
  <c r="B317" i="5"/>
  <c r="BT316" i="5"/>
  <c r="BS316" i="5"/>
  <c r="BQ316" i="5"/>
  <c r="BP316" i="5"/>
  <c r="BK316" i="5"/>
  <c r="BA316" i="5"/>
  <c r="AY316" i="5"/>
  <c r="AW316" i="5"/>
  <c r="AU316" i="5"/>
  <c r="AS316" i="5"/>
  <c r="AQ316" i="5"/>
  <c r="AO316" i="5"/>
  <c r="AK316" i="5"/>
  <c r="AI316" i="5"/>
  <c r="AG316" i="5"/>
  <c r="AD316" i="5"/>
  <c r="AA316" i="5"/>
  <c r="Y316" i="5"/>
  <c r="W316" i="5"/>
  <c r="U316" i="5"/>
  <c r="S316" i="5"/>
  <c r="G316" i="5"/>
  <c r="F316" i="5"/>
  <c r="BR316" i="5" s="1"/>
  <c r="B316" i="5"/>
  <c r="BT315" i="5"/>
  <c r="BS315" i="5"/>
  <c r="BQ315" i="5"/>
  <c r="BP315" i="5"/>
  <c r="BK315" i="5"/>
  <c r="BA315" i="5"/>
  <c r="AY315" i="5"/>
  <c r="AW315" i="5"/>
  <c r="AU315" i="5"/>
  <c r="AS315" i="5"/>
  <c r="AQ315" i="5"/>
  <c r="AO315" i="5"/>
  <c r="AK315" i="5"/>
  <c r="AI315" i="5"/>
  <c r="AG315" i="5"/>
  <c r="AD315" i="5"/>
  <c r="AA315" i="5"/>
  <c r="Y315" i="5"/>
  <c r="W315" i="5"/>
  <c r="U315" i="5"/>
  <c r="S315" i="5"/>
  <c r="G315" i="5"/>
  <c r="F315" i="5"/>
  <c r="BR315" i="5" s="1"/>
  <c r="B315" i="5"/>
  <c r="BT314" i="5"/>
  <c r="BS314" i="5"/>
  <c r="BQ314" i="5"/>
  <c r="BP314" i="5"/>
  <c r="BK314" i="5"/>
  <c r="BA314" i="5"/>
  <c r="AY314" i="5"/>
  <c r="AW314" i="5"/>
  <c r="AU314" i="5"/>
  <c r="AS314" i="5"/>
  <c r="AQ314" i="5"/>
  <c r="AO314" i="5"/>
  <c r="AK314" i="5"/>
  <c r="AI314" i="5"/>
  <c r="AG314" i="5"/>
  <c r="AD314" i="5"/>
  <c r="AA314" i="5"/>
  <c r="Y314" i="5"/>
  <c r="W314" i="5"/>
  <c r="U314" i="5"/>
  <c r="BL314" i="5" s="1"/>
  <c r="BN314" i="5" s="1"/>
  <c r="S314" i="5"/>
  <c r="G314" i="5"/>
  <c r="F314" i="5"/>
  <c r="BR314" i="5" s="1"/>
  <c r="B314" i="5"/>
  <c r="BT313" i="5"/>
  <c r="BS313" i="5"/>
  <c r="BQ313" i="5"/>
  <c r="BP313" i="5"/>
  <c r="BK313" i="5"/>
  <c r="BA313" i="5"/>
  <c r="AY313" i="5"/>
  <c r="AW313" i="5"/>
  <c r="AU313" i="5"/>
  <c r="AS313" i="5"/>
  <c r="AQ313" i="5"/>
  <c r="AO313" i="5"/>
  <c r="AK313" i="5"/>
  <c r="AI313" i="5"/>
  <c r="AG313" i="5"/>
  <c r="AD313" i="5"/>
  <c r="AA313" i="5"/>
  <c r="Y313" i="5"/>
  <c r="W313" i="5"/>
  <c r="U313" i="5"/>
  <c r="BL313" i="5" s="1"/>
  <c r="S313" i="5"/>
  <c r="G313" i="5"/>
  <c r="F313" i="5"/>
  <c r="BR313" i="5" s="1"/>
  <c r="B313" i="5"/>
  <c r="BT312" i="5"/>
  <c r="BS312" i="5"/>
  <c r="BQ312" i="5"/>
  <c r="BP312" i="5"/>
  <c r="BK312" i="5"/>
  <c r="BA312" i="5"/>
  <c r="AY312" i="5"/>
  <c r="AW312" i="5"/>
  <c r="AU312" i="5"/>
  <c r="AS312" i="5"/>
  <c r="AQ312" i="5"/>
  <c r="AO312" i="5"/>
  <c r="AK312" i="5"/>
  <c r="AI312" i="5"/>
  <c r="AG312" i="5"/>
  <c r="AD312" i="5"/>
  <c r="AA312" i="5"/>
  <c r="Y312" i="5"/>
  <c r="W312" i="5"/>
  <c r="U312" i="5"/>
  <c r="S312" i="5"/>
  <c r="G312" i="5"/>
  <c r="F312" i="5"/>
  <c r="BR312" i="5" s="1"/>
  <c r="B312" i="5"/>
  <c r="BT311" i="5"/>
  <c r="BS311" i="5"/>
  <c r="BQ311" i="5"/>
  <c r="BP311" i="5"/>
  <c r="BK311" i="5"/>
  <c r="BA311" i="5"/>
  <c r="AY311" i="5"/>
  <c r="AW311" i="5"/>
  <c r="AU311" i="5"/>
  <c r="AS311" i="5"/>
  <c r="AQ311" i="5"/>
  <c r="AO311" i="5"/>
  <c r="AK311" i="5"/>
  <c r="AI311" i="5"/>
  <c r="AG311" i="5"/>
  <c r="AD311" i="5"/>
  <c r="AA311" i="5"/>
  <c r="Y311" i="5"/>
  <c r="W311" i="5"/>
  <c r="U311" i="5"/>
  <c r="BL311" i="5" s="1"/>
  <c r="S311" i="5"/>
  <c r="G311" i="5"/>
  <c r="F311" i="5"/>
  <c r="BR311" i="5" s="1"/>
  <c r="B311" i="5"/>
  <c r="BT310" i="5"/>
  <c r="BS310" i="5"/>
  <c r="BR310" i="5"/>
  <c r="BQ310" i="5"/>
  <c r="BP310" i="5"/>
  <c r="BK310" i="5"/>
  <c r="BA310" i="5"/>
  <c r="AY310" i="5"/>
  <c r="AW310" i="5"/>
  <c r="AU310" i="5"/>
  <c r="AS310" i="5"/>
  <c r="AQ310" i="5"/>
  <c r="AO310" i="5"/>
  <c r="AK310" i="5"/>
  <c r="AI310" i="5"/>
  <c r="AG310" i="5"/>
  <c r="AD310" i="5"/>
  <c r="AA310" i="5"/>
  <c r="Y310" i="5"/>
  <c r="W310" i="5"/>
  <c r="U310" i="5"/>
  <c r="BL310" i="5" s="1"/>
  <c r="BN310" i="5" s="1"/>
  <c r="S310" i="5"/>
  <c r="G310" i="5"/>
  <c r="F310" i="5"/>
  <c r="B310" i="5"/>
  <c r="BT309" i="5"/>
  <c r="BS309" i="5"/>
  <c r="BQ309" i="5"/>
  <c r="BP309" i="5"/>
  <c r="BK309" i="5"/>
  <c r="BA309" i="5"/>
  <c r="AY309" i="5"/>
  <c r="AW309" i="5"/>
  <c r="AU309" i="5"/>
  <c r="AS309" i="5"/>
  <c r="AQ309" i="5"/>
  <c r="AO309" i="5"/>
  <c r="AK309" i="5"/>
  <c r="AI309" i="5"/>
  <c r="AG309" i="5"/>
  <c r="AD309" i="5"/>
  <c r="AA309" i="5"/>
  <c r="Y309" i="5"/>
  <c r="W309" i="5"/>
  <c r="U309" i="5"/>
  <c r="BL309" i="5" s="1"/>
  <c r="S309" i="5"/>
  <c r="G309" i="5"/>
  <c r="F309" i="5"/>
  <c r="BR309" i="5" s="1"/>
  <c r="B309" i="5"/>
  <c r="BT308" i="5"/>
  <c r="BS308" i="5"/>
  <c r="BQ308" i="5"/>
  <c r="BP308" i="5"/>
  <c r="BK308" i="5"/>
  <c r="BA308" i="5"/>
  <c r="AY308" i="5"/>
  <c r="AW308" i="5"/>
  <c r="AU308" i="5"/>
  <c r="AS308" i="5"/>
  <c r="AQ308" i="5"/>
  <c r="AO308" i="5"/>
  <c r="AK308" i="5"/>
  <c r="AI308" i="5"/>
  <c r="AG308" i="5"/>
  <c r="AD308" i="5"/>
  <c r="AA308" i="5"/>
  <c r="Y308" i="5"/>
  <c r="W308" i="5"/>
  <c r="U308" i="5"/>
  <c r="S308" i="5"/>
  <c r="G308" i="5"/>
  <c r="F308" i="5"/>
  <c r="BR308" i="5" s="1"/>
  <c r="B308" i="5"/>
  <c r="BT307" i="5"/>
  <c r="BS307" i="5"/>
  <c r="BQ307" i="5"/>
  <c r="BP307" i="5"/>
  <c r="BK307" i="5"/>
  <c r="BA307" i="5"/>
  <c r="AY307" i="5"/>
  <c r="AW307" i="5"/>
  <c r="AU307" i="5"/>
  <c r="AS307" i="5"/>
  <c r="AQ307" i="5"/>
  <c r="AO307" i="5"/>
  <c r="AK307" i="5"/>
  <c r="AI307" i="5"/>
  <c r="AG307" i="5"/>
  <c r="AD307" i="5"/>
  <c r="AA307" i="5"/>
  <c r="Y307" i="5"/>
  <c r="W307" i="5"/>
  <c r="U307" i="5"/>
  <c r="BL307" i="5" s="1"/>
  <c r="S307" i="5"/>
  <c r="G307" i="5"/>
  <c r="F307" i="5"/>
  <c r="BR307" i="5" s="1"/>
  <c r="B307" i="5"/>
  <c r="BT306" i="5"/>
  <c r="BS306" i="5"/>
  <c r="BR306" i="5"/>
  <c r="BQ306" i="5"/>
  <c r="BP306" i="5"/>
  <c r="BK306" i="5"/>
  <c r="BA306" i="5"/>
  <c r="AY306" i="5"/>
  <c r="AW306" i="5"/>
  <c r="AU306" i="5"/>
  <c r="AS306" i="5"/>
  <c r="AQ306" i="5"/>
  <c r="AO306" i="5"/>
  <c r="AK306" i="5"/>
  <c r="AI306" i="5"/>
  <c r="AG306" i="5"/>
  <c r="AD306" i="5"/>
  <c r="AA306" i="5"/>
  <c r="Y306" i="5"/>
  <c r="W306" i="5"/>
  <c r="U306" i="5"/>
  <c r="S306" i="5"/>
  <c r="G306" i="5"/>
  <c r="F306" i="5"/>
  <c r="B306" i="5"/>
  <c r="BT305" i="5"/>
  <c r="BS305" i="5"/>
  <c r="BQ305" i="5"/>
  <c r="BP305" i="5"/>
  <c r="BK305" i="5"/>
  <c r="BA305" i="5"/>
  <c r="AY305" i="5"/>
  <c r="AW305" i="5"/>
  <c r="AU305" i="5"/>
  <c r="AS305" i="5"/>
  <c r="AQ305" i="5"/>
  <c r="AO305" i="5"/>
  <c r="AK305" i="5"/>
  <c r="AI305" i="5"/>
  <c r="AG305" i="5"/>
  <c r="AD305" i="5"/>
  <c r="AA305" i="5"/>
  <c r="Y305" i="5"/>
  <c r="W305" i="5"/>
  <c r="U305" i="5"/>
  <c r="S305" i="5"/>
  <c r="G305" i="5"/>
  <c r="F305" i="5"/>
  <c r="BR305" i="5" s="1"/>
  <c r="B305" i="5"/>
  <c r="BT304" i="5"/>
  <c r="BS304" i="5"/>
  <c r="BQ304" i="5"/>
  <c r="BP304" i="5"/>
  <c r="BK304" i="5"/>
  <c r="BA304" i="5"/>
  <c r="AY304" i="5"/>
  <c r="AW304" i="5"/>
  <c r="AU304" i="5"/>
  <c r="AS304" i="5"/>
  <c r="AQ304" i="5"/>
  <c r="AO304" i="5"/>
  <c r="AK304" i="5"/>
  <c r="AI304" i="5"/>
  <c r="AG304" i="5"/>
  <c r="AD304" i="5"/>
  <c r="AA304" i="5"/>
  <c r="Y304" i="5"/>
  <c r="W304" i="5"/>
  <c r="U304" i="5"/>
  <c r="S304" i="5"/>
  <c r="G304" i="5"/>
  <c r="F304" i="5"/>
  <c r="BR304" i="5" s="1"/>
  <c r="B304" i="5"/>
  <c r="BT303" i="5"/>
  <c r="BS303" i="5"/>
  <c r="BQ303" i="5"/>
  <c r="BP303" i="5"/>
  <c r="BK303" i="5"/>
  <c r="BA303" i="5"/>
  <c r="AY303" i="5"/>
  <c r="AW303" i="5"/>
  <c r="AU303" i="5"/>
  <c r="AS303" i="5"/>
  <c r="AQ303" i="5"/>
  <c r="AO303" i="5"/>
  <c r="AK303" i="5"/>
  <c r="AI303" i="5"/>
  <c r="AG303" i="5"/>
  <c r="AD303" i="5"/>
  <c r="AA303" i="5"/>
  <c r="Y303" i="5"/>
  <c r="W303" i="5"/>
  <c r="U303" i="5"/>
  <c r="S303" i="5"/>
  <c r="G303" i="5"/>
  <c r="F303" i="5"/>
  <c r="BR303" i="5" s="1"/>
  <c r="B303" i="5"/>
  <c r="BT302" i="5"/>
  <c r="BS302" i="5"/>
  <c r="BR302" i="5"/>
  <c r="BQ302" i="5"/>
  <c r="BP302" i="5"/>
  <c r="BK302" i="5"/>
  <c r="BA302" i="5"/>
  <c r="AY302" i="5"/>
  <c r="AW302" i="5"/>
  <c r="AU302" i="5"/>
  <c r="AS302" i="5"/>
  <c r="AQ302" i="5"/>
  <c r="AO302" i="5"/>
  <c r="AK302" i="5"/>
  <c r="AI302" i="5"/>
  <c r="AG302" i="5"/>
  <c r="AD302" i="5"/>
  <c r="AA302" i="5"/>
  <c r="Y302" i="5"/>
  <c r="W302" i="5"/>
  <c r="U302" i="5"/>
  <c r="S302" i="5"/>
  <c r="G302" i="5"/>
  <c r="F302" i="5"/>
  <c r="B302" i="5"/>
  <c r="BT301" i="5"/>
  <c r="BS301" i="5"/>
  <c r="BQ301" i="5"/>
  <c r="BP301" i="5"/>
  <c r="BK301" i="5"/>
  <c r="BA301" i="5"/>
  <c r="AY301" i="5"/>
  <c r="AW301" i="5"/>
  <c r="AU301" i="5"/>
  <c r="AS301" i="5"/>
  <c r="AQ301" i="5"/>
  <c r="AO301" i="5"/>
  <c r="AK301" i="5"/>
  <c r="AI301" i="5"/>
  <c r="AG301" i="5"/>
  <c r="AD301" i="5"/>
  <c r="AA301" i="5"/>
  <c r="Y301" i="5"/>
  <c r="W301" i="5"/>
  <c r="U301" i="5"/>
  <c r="S301" i="5"/>
  <c r="G301" i="5"/>
  <c r="F301" i="5"/>
  <c r="BR301" i="5" s="1"/>
  <c r="B301" i="5"/>
  <c r="BT300" i="5"/>
  <c r="BS300" i="5"/>
  <c r="BQ300" i="5"/>
  <c r="BP300" i="5"/>
  <c r="BK300" i="5"/>
  <c r="BA300" i="5"/>
  <c r="AY300" i="5"/>
  <c r="AW300" i="5"/>
  <c r="AU300" i="5"/>
  <c r="AS300" i="5"/>
  <c r="AQ300" i="5"/>
  <c r="AO300" i="5"/>
  <c r="AK300" i="5"/>
  <c r="AI300" i="5"/>
  <c r="AG300" i="5"/>
  <c r="AD300" i="5"/>
  <c r="AA300" i="5"/>
  <c r="Y300" i="5"/>
  <c r="W300" i="5"/>
  <c r="U300" i="5"/>
  <c r="S300" i="5"/>
  <c r="G300" i="5"/>
  <c r="F300" i="5"/>
  <c r="BR300" i="5" s="1"/>
  <c r="B300" i="5"/>
  <c r="BT299" i="5"/>
  <c r="BS299" i="5"/>
  <c r="BQ299" i="5"/>
  <c r="BP299" i="5"/>
  <c r="BK299" i="5"/>
  <c r="BA299" i="5"/>
  <c r="AY299" i="5"/>
  <c r="AW299" i="5"/>
  <c r="AU299" i="5"/>
  <c r="AS299" i="5"/>
  <c r="AQ299" i="5"/>
  <c r="AO299" i="5"/>
  <c r="AK299" i="5"/>
  <c r="AI299" i="5"/>
  <c r="AG299" i="5"/>
  <c r="AD299" i="5"/>
  <c r="AA299" i="5"/>
  <c r="Y299" i="5"/>
  <c r="W299" i="5"/>
  <c r="U299" i="5"/>
  <c r="S299" i="5"/>
  <c r="G299" i="5"/>
  <c r="F299" i="5"/>
  <c r="BR299" i="5" s="1"/>
  <c r="B299" i="5"/>
  <c r="BT298" i="5"/>
  <c r="BS298" i="5"/>
  <c r="BQ298" i="5"/>
  <c r="BP298" i="5"/>
  <c r="BK298" i="5"/>
  <c r="BA298" i="5"/>
  <c r="AY298" i="5"/>
  <c r="AW298" i="5"/>
  <c r="AU298" i="5"/>
  <c r="AS298" i="5"/>
  <c r="AQ298" i="5"/>
  <c r="AO298" i="5"/>
  <c r="AK298" i="5"/>
  <c r="AI298" i="5"/>
  <c r="AG298" i="5"/>
  <c r="AD298" i="5"/>
  <c r="AA298" i="5"/>
  <c r="Y298" i="5"/>
  <c r="W298" i="5"/>
  <c r="U298" i="5"/>
  <c r="S298" i="5"/>
  <c r="G298" i="5"/>
  <c r="F298" i="5"/>
  <c r="BR298" i="5" s="1"/>
  <c r="B298" i="5"/>
  <c r="BT297" i="5"/>
  <c r="BS297" i="5"/>
  <c r="BQ297" i="5"/>
  <c r="BP297" i="5"/>
  <c r="BK297" i="5"/>
  <c r="BA297" i="5"/>
  <c r="AY297" i="5"/>
  <c r="AW297" i="5"/>
  <c r="AU297" i="5"/>
  <c r="AS297" i="5"/>
  <c r="AQ297" i="5"/>
  <c r="AO297" i="5"/>
  <c r="AK297" i="5"/>
  <c r="AI297" i="5"/>
  <c r="AG297" i="5"/>
  <c r="AD297" i="5"/>
  <c r="AA297" i="5"/>
  <c r="Y297" i="5"/>
  <c r="W297" i="5"/>
  <c r="U297" i="5"/>
  <c r="S297" i="5"/>
  <c r="G297" i="5"/>
  <c r="F297" i="5"/>
  <c r="BR297" i="5" s="1"/>
  <c r="B297" i="5"/>
  <c r="BT296" i="5"/>
  <c r="BS296" i="5"/>
  <c r="BQ296" i="5"/>
  <c r="BP296" i="5"/>
  <c r="BK296" i="5"/>
  <c r="BA296" i="5"/>
  <c r="AY296" i="5"/>
  <c r="AW296" i="5"/>
  <c r="AU296" i="5"/>
  <c r="AS296" i="5"/>
  <c r="AQ296" i="5"/>
  <c r="AO296" i="5"/>
  <c r="AK296" i="5"/>
  <c r="AI296" i="5"/>
  <c r="AG296" i="5"/>
  <c r="AD296" i="5"/>
  <c r="AA296" i="5"/>
  <c r="Y296" i="5"/>
  <c r="W296" i="5"/>
  <c r="U296" i="5"/>
  <c r="S296" i="5"/>
  <c r="G296" i="5"/>
  <c r="F296" i="5"/>
  <c r="BR296" i="5" s="1"/>
  <c r="B296" i="5"/>
  <c r="BT295" i="5"/>
  <c r="BS295" i="5"/>
  <c r="BQ295" i="5"/>
  <c r="BP295" i="5"/>
  <c r="BK295" i="5"/>
  <c r="BA295" i="5"/>
  <c r="AY295" i="5"/>
  <c r="AW295" i="5"/>
  <c r="AU295" i="5"/>
  <c r="AS295" i="5"/>
  <c r="AQ295" i="5"/>
  <c r="AO295" i="5"/>
  <c r="AK295" i="5"/>
  <c r="AI295" i="5"/>
  <c r="AG295" i="5"/>
  <c r="AD295" i="5"/>
  <c r="AA295" i="5"/>
  <c r="Y295" i="5"/>
  <c r="W295" i="5"/>
  <c r="U295" i="5"/>
  <c r="S295" i="5"/>
  <c r="G295" i="5"/>
  <c r="F295" i="5"/>
  <c r="BR295" i="5" s="1"/>
  <c r="B295" i="5"/>
  <c r="BT294" i="5"/>
  <c r="BS294" i="5"/>
  <c r="BQ294" i="5"/>
  <c r="BP294" i="5"/>
  <c r="BK294" i="5"/>
  <c r="BA294" i="5"/>
  <c r="AY294" i="5"/>
  <c r="AW294" i="5"/>
  <c r="AU294" i="5"/>
  <c r="AS294" i="5"/>
  <c r="AQ294" i="5"/>
  <c r="AO294" i="5"/>
  <c r="AK294" i="5"/>
  <c r="AI294" i="5"/>
  <c r="AG294" i="5"/>
  <c r="AD294" i="5"/>
  <c r="AA294" i="5"/>
  <c r="Y294" i="5"/>
  <c r="W294" i="5"/>
  <c r="U294" i="5"/>
  <c r="S294" i="5"/>
  <c r="G294" i="5"/>
  <c r="F294" i="5"/>
  <c r="BR294" i="5" s="1"/>
  <c r="B294" i="5"/>
  <c r="BT293" i="5"/>
  <c r="BS293" i="5"/>
  <c r="BQ293" i="5"/>
  <c r="BP293" i="5"/>
  <c r="BK293" i="5"/>
  <c r="BA293" i="5"/>
  <c r="AY293" i="5"/>
  <c r="AW293" i="5"/>
  <c r="AU293" i="5"/>
  <c r="AS293" i="5"/>
  <c r="AQ293" i="5"/>
  <c r="AO293" i="5"/>
  <c r="AK293" i="5"/>
  <c r="AI293" i="5"/>
  <c r="AG293" i="5"/>
  <c r="AD293" i="5"/>
  <c r="AA293" i="5"/>
  <c r="Y293" i="5"/>
  <c r="W293" i="5"/>
  <c r="U293" i="5"/>
  <c r="S293" i="5"/>
  <c r="G293" i="5"/>
  <c r="F293" i="5"/>
  <c r="BR293" i="5" s="1"/>
  <c r="B293" i="5"/>
  <c r="BT292" i="5"/>
  <c r="BS292" i="5"/>
  <c r="BQ292" i="5"/>
  <c r="BP292" i="5"/>
  <c r="BK292" i="5"/>
  <c r="BA292" i="5"/>
  <c r="AY292" i="5"/>
  <c r="AW292" i="5"/>
  <c r="AU292" i="5"/>
  <c r="AS292" i="5"/>
  <c r="AQ292" i="5"/>
  <c r="AO292" i="5"/>
  <c r="AK292" i="5"/>
  <c r="AI292" i="5"/>
  <c r="AG292" i="5"/>
  <c r="AD292" i="5"/>
  <c r="AA292" i="5"/>
  <c r="Y292" i="5"/>
  <c r="W292" i="5"/>
  <c r="U292" i="5"/>
  <c r="S292" i="5"/>
  <c r="G292" i="5"/>
  <c r="F292" i="5"/>
  <c r="BR292" i="5" s="1"/>
  <c r="B292" i="5"/>
  <c r="BT291" i="5"/>
  <c r="BS291" i="5"/>
  <c r="BQ291" i="5"/>
  <c r="BP291" i="5"/>
  <c r="BK291" i="5"/>
  <c r="BA291" i="5"/>
  <c r="AY291" i="5"/>
  <c r="AW291" i="5"/>
  <c r="AU291" i="5"/>
  <c r="AS291" i="5"/>
  <c r="AQ291" i="5"/>
  <c r="AO291" i="5"/>
  <c r="AK291" i="5"/>
  <c r="AI291" i="5"/>
  <c r="AG291" i="5"/>
  <c r="AD291" i="5"/>
  <c r="AA291" i="5"/>
  <c r="Y291" i="5"/>
  <c r="W291" i="5"/>
  <c r="U291" i="5"/>
  <c r="S291" i="5"/>
  <c r="G291" i="5"/>
  <c r="F291" i="5"/>
  <c r="BR291" i="5" s="1"/>
  <c r="B291" i="5"/>
  <c r="BT290" i="5"/>
  <c r="BS290" i="5"/>
  <c r="BQ290" i="5"/>
  <c r="BP290" i="5"/>
  <c r="BK290" i="5"/>
  <c r="BA290" i="5"/>
  <c r="AY290" i="5"/>
  <c r="AW290" i="5"/>
  <c r="AU290" i="5"/>
  <c r="AS290" i="5"/>
  <c r="AQ290" i="5"/>
  <c r="AO290" i="5"/>
  <c r="AK290" i="5"/>
  <c r="AI290" i="5"/>
  <c r="AG290" i="5"/>
  <c r="AD290" i="5"/>
  <c r="AA290" i="5"/>
  <c r="Y290" i="5"/>
  <c r="W290" i="5"/>
  <c r="U290" i="5"/>
  <c r="S290" i="5"/>
  <c r="G290" i="5"/>
  <c r="F290" i="5"/>
  <c r="BR290" i="5" s="1"/>
  <c r="B290" i="5"/>
  <c r="BT289" i="5"/>
  <c r="BS289" i="5"/>
  <c r="BQ289" i="5"/>
  <c r="BP289" i="5"/>
  <c r="BK289" i="5"/>
  <c r="BA289" i="5"/>
  <c r="AY289" i="5"/>
  <c r="AW289" i="5"/>
  <c r="AU289" i="5"/>
  <c r="AS289" i="5"/>
  <c r="AQ289" i="5"/>
  <c r="AO289" i="5"/>
  <c r="AK289" i="5"/>
  <c r="AI289" i="5"/>
  <c r="AG289" i="5"/>
  <c r="AD289" i="5"/>
  <c r="AA289" i="5"/>
  <c r="Y289" i="5"/>
  <c r="W289" i="5"/>
  <c r="U289" i="5"/>
  <c r="S289" i="5"/>
  <c r="G289" i="5"/>
  <c r="F289" i="5"/>
  <c r="BR289" i="5" s="1"/>
  <c r="B289" i="5"/>
  <c r="BT288" i="5"/>
  <c r="BS288" i="5"/>
  <c r="BQ288" i="5"/>
  <c r="BP288" i="5"/>
  <c r="BK288" i="5"/>
  <c r="BA288" i="5"/>
  <c r="AY288" i="5"/>
  <c r="AW288" i="5"/>
  <c r="AU288" i="5"/>
  <c r="AS288" i="5"/>
  <c r="AQ288" i="5"/>
  <c r="AO288" i="5"/>
  <c r="AK288" i="5"/>
  <c r="AI288" i="5"/>
  <c r="AG288" i="5"/>
  <c r="AD288" i="5"/>
  <c r="AA288" i="5"/>
  <c r="Y288" i="5"/>
  <c r="W288" i="5"/>
  <c r="U288" i="5"/>
  <c r="S288" i="5"/>
  <c r="G288" i="5"/>
  <c r="F288" i="5"/>
  <c r="BR288" i="5" s="1"/>
  <c r="B288" i="5"/>
  <c r="BT287" i="5"/>
  <c r="BS287" i="5"/>
  <c r="BQ287" i="5"/>
  <c r="BP287" i="5"/>
  <c r="BK287" i="5"/>
  <c r="BA287" i="5"/>
  <c r="AY287" i="5"/>
  <c r="AW287" i="5"/>
  <c r="AU287" i="5"/>
  <c r="AS287" i="5"/>
  <c r="AQ287" i="5"/>
  <c r="AO287" i="5"/>
  <c r="AK287" i="5"/>
  <c r="AI287" i="5"/>
  <c r="AG287" i="5"/>
  <c r="AD287" i="5"/>
  <c r="AA287" i="5"/>
  <c r="Y287" i="5"/>
  <c r="W287" i="5"/>
  <c r="U287" i="5"/>
  <c r="S287" i="5"/>
  <c r="G287" i="5"/>
  <c r="F287" i="5"/>
  <c r="BR287" i="5" s="1"/>
  <c r="B287" i="5"/>
  <c r="BT286" i="5"/>
  <c r="BS286" i="5"/>
  <c r="BQ286" i="5"/>
  <c r="BP286" i="5"/>
  <c r="BK286" i="5"/>
  <c r="BA286" i="5"/>
  <c r="AY286" i="5"/>
  <c r="AW286" i="5"/>
  <c r="AU286" i="5"/>
  <c r="AS286" i="5"/>
  <c r="AQ286" i="5"/>
  <c r="AO286" i="5"/>
  <c r="AK286" i="5"/>
  <c r="AI286" i="5"/>
  <c r="AG286" i="5"/>
  <c r="AD286" i="5"/>
  <c r="AA286" i="5"/>
  <c r="Y286" i="5"/>
  <c r="W286" i="5"/>
  <c r="U286" i="5"/>
  <c r="S286" i="5"/>
  <c r="G286" i="5"/>
  <c r="F286" i="5"/>
  <c r="BR286" i="5" s="1"/>
  <c r="B286" i="5"/>
  <c r="BT285" i="5"/>
  <c r="BS285" i="5"/>
  <c r="BQ285" i="5"/>
  <c r="BP285" i="5"/>
  <c r="BK285" i="5"/>
  <c r="BA285" i="5"/>
  <c r="AY285" i="5"/>
  <c r="AW285" i="5"/>
  <c r="AU285" i="5"/>
  <c r="AS285" i="5"/>
  <c r="AQ285" i="5"/>
  <c r="AO285" i="5"/>
  <c r="AK285" i="5"/>
  <c r="AI285" i="5"/>
  <c r="AG285" i="5"/>
  <c r="AD285" i="5"/>
  <c r="AA285" i="5"/>
  <c r="Y285" i="5"/>
  <c r="W285" i="5"/>
  <c r="U285" i="5"/>
  <c r="S285" i="5"/>
  <c r="G285" i="5"/>
  <c r="F285" i="5"/>
  <c r="BR285" i="5" s="1"/>
  <c r="B285" i="5"/>
  <c r="BT284" i="5"/>
  <c r="BS284" i="5"/>
  <c r="BQ284" i="5"/>
  <c r="BP284" i="5"/>
  <c r="BK284" i="5"/>
  <c r="BA284" i="5"/>
  <c r="AY284" i="5"/>
  <c r="AW284" i="5"/>
  <c r="AU284" i="5"/>
  <c r="AS284" i="5"/>
  <c r="AQ284" i="5"/>
  <c r="AO284" i="5"/>
  <c r="AK284" i="5"/>
  <c r="AI284" i="5"/>
  <c r="AG284" i="5"/>
  <c r="AD284" i="5"/>
  <c r="AA284" i="5"/>
  <c r="Y284" i="5"/>
  <c r="W284" i="5"/>
  <c r="U284" i="5"/>
  <c r="S284" i="5"/>
  <c r="G284" i="5"/>
  <c r="F284" i="5"/>
  <c r="BR284" i="5" s="1"/>
  <c r="B284" i="5"/>
  <c r="BT283" i="5"/>
  <c r="BS283" i="5"/>
  <c r="BQ283" i="5"/>
  <c r="BP283" i="5"/>
  <c r="BK283" i="5"/>
  <c r="BA283" i="5"/>
  <c r="AY283" i="5"/>
  <c r="AW283" i="5"/>
  <c r="AU283" i="5"/>
  <c r="AS283" i="5"/>
  <c r="AQ283" i="5"/>
  <c r="AO283" i="5"/>
  <c r="AK283" i="5"/>
  <c r="AI283" i="5"/>
  <c r="AG283" i="5"/>
  <c r="AD283" i="5"/>
  <c r="AA283" i="5"/>
  <c r="Y283" i="5"/>
  <c r="W283" i="5"/>
  <c r="U283" i="5"/>
  <c r="S283" i="5"/>
  <c r="G283" i="5"/>
  <c r="F283" i="5"/>
  <c r="BR283" i="5" s="1"/>
  <c r="B283" i="5"/>
  <c r="BT282" i="5"/>
  <c r="BS282" i="5"/>
  <c r="BQ282" i="5"/>
  <c r="BP282" i="5"/>
  <c r="BK282" i="5"/>
  <c r="BA282" i="5"/>
  <c r="AY282" i="5"/>
  <c r="AW282" i="5"/>
  <c r="AU282" i="5"/>
  <c r="AS282" i="5"/>
  <c r="AQ282" i="5"/>
  <c r="AO282" i="5"/>
  <c r="AK282" i="5"/>
  <c r="AI282" i="5"/>
  <c r="AG282" i="5"/>
  <c r="AD282" i="5"/>
  <c r="AA282" i="5"/>
  <c r="Y282" i="5"/>
  <c r="W282" i="5"/>
  <c r="U282" i="5"/>
  <c r="S282" i="5"/>
  <c r="G282" i="5"/>
  <c r="F282" i="5"/>
  <c r="BR282" i="5" s="1"/>
  <c r="B282" i="5"/>
  <c r="BT281" i="5"/>
  <c r="BS281" i="5"/>
  <c r="BQ281" i="5"/>
  <c r="BP281" i="5"/>
  <c r="BK281" i="5"/>
  <c r="BA281" i="5"/>
  <c r="AY281" i="5"/>
  <c r="AW281" i="5"/>
  <c r="AU281" i="5"/>
  <c r="AS281" i="5"/>
  <c r="AQ281" i="5"/>
  <c r="AO281" i="5"/>
  <c r="AK281" i="5"/>
  <c r="AI281" i="5"/>
  <c r="AG281" i="5"/>
  <c r="AD281" i="5"/>
  <c r="AA281" i="5"/>
  <c r="Y281" i="5"/>
  <c r="W281" i="5"/>
  <c r="U281" i="5"/>
  <c r="S281" i="5"/>
  <c r="G281" i="5"/>
  <c r="F281" i="5"/>
  <c r="BR281" i="5" s="1"/>
  <c r="B281" i="5"/>
  <c r="BT280" i="5"/>
  <c r="BS280" i="5"/>
  <c r="BQ280" i="5"/>
  <c r="BP280" i="5"/>
  <c r="BK280" i="5"/>
  <c r="BA280" i="5"/>
  <c r="AY280" i="5"/>
  <c r="AW280" i="5"/>
  <c r="AU280" i="5"/>
  <c r="AS280" i="5"/>
  <c r="AQ280" i="5"/>
  <c r="AO280" i="5"/>
  <c r="AK280" i="5"/>
  <c r="AI280" i="5"/>
  <c r="AG280" i="5"/>
  <c r="AD280" i="5"/>
  <c r="AA280" i="5"/>
  <c r="Y280" i="5"/>
  <c r="W280" i="5"/>
  <c r="U280" i="5"/>
  <c r="S280" i="5"/>
  <c r="G280" i="5"/>
  <c r="F280" i="5"/>
  <c r="BR280" i="5" s="1"/>
  <c r="B280" i="5"/>
  <c r="BT279" i="5"/>
  <c r="BS279" i="5"/>
  <c r="BQ279" i="5"/>
  <c r="BP279" i="5"/>
  <c r="BK279" i="5"/>
  <c r="BA279" i="5"/>
  <c r="AY279" i="5"/>
  <c r="AW279" i="5"/>
  <c r="AU279" i="5"/>
  <c r="AS279" i="5"/>
  <c r="AQ279" i="5"/>
  <c r="AO279" i="5"/>
  <c r="AK279" i="5"/>
  <c r="AI279" i="5"/>
  <c r="AG279" i="5"/>
  <c r="AD279" i="5"/>
  <c r="AA279" i="5"/>
  <c r="Y279" i="5"/>
  <c r="W279" i="5"/>
  <c r="U279" i="5"/>
  <c r="S279" i="5"/>
  <c r="G279" i="5"/>
  <c r="F279" i="5"/>
  <c r="BR279" i="5" s="1"/>
  <c r="B279" i="5"/>
  <c r="BT278" i="5"/>
  <c r="BS278" i="5"/>
  <c r="BQ278" i="5"/>
  <c r="BP278" i="5"/>
  <c r="BK278" i="5"/>
  <c r="BA278" i="5"/>
  <c r="AY278" i="5"/>
  <c r="AW278" i="5"/>
  <c r="AU278" i="5"/>
  <c r="AS278" i="5"/>
  <c r="AQ278" i="5"/>
  <c r="AO278" i="5"/>
  <c r="AK278" i="5"/>
  <c r="AI278" i="5"/>
  <c r="AG278" i="5"/>
  <c r="AD278" i="5"/>
  <c r="AA278" i="5"/>
  <c r="Y278" i="5"/>
  <c r="W278" i="5"/>
  <c r="U278" i="5"/>
  <c r="S278" i="5"/>
  <c r="G278" i="5"/>
  <c r="F278" i="5"/>
  <c r="BR278" i="5" s="1"/>
  <c r="B278" i="5"/>
  <c r="BT277" i="5"/>
  <c r="BS277" i="5"/>
  <c r="BQ277" i="5"/>
  <c r="BP277" i="5"/>
  <c r="BK277" i="5"/>
  <c r="BA277" i="5"/>
  <c r="AY277" i="5"/>
  <c r="AW277" i="5"/>
  <c r="AU277" i="5"/>
  <c r="AS277" i="5"/>
  <c r="AQ277" i="5"/>
  <c r="AO277" i="5"/>
  <c r="AK277" i="5"/>
  <c r="AI277" i="5"/>
  <c r="AG277" i="5"/>
  <c r="AD277" i="5"/>
  <c r="AA277" i="5"/>
  <c r="Y277" i="5"/>
  <c r="W277" i="5"/>
  <c r="U277" i="5"/>
  <c r="S277" i="5"/>
  <c r="G277" i="5"/>
  <c r="F277" i="5"/>
  <c r="BR277" i="5" s="1"/>
  <c r="B277" i="5"/>
  <c r="BT276" i="5"/>
  <c r="BS276" i="5"/>
  <c r="BQ276" i="5"/>
  <c r="BP276" i="5"/>
  <c r="BK276" i="5"/>
  <c r="BA276" i="5"/>
  <c r="AY276" i="5"/>
  <c r="AW276" i="5"/>
  <c r="AU276" i="5"/>
  <c r="AS276" i="5"/>
  <c r="AQ276" i="5"/>
  <c r="AO276" i="5"/>
  <c r="AK276" i="5"/>
  <c r="AI276" i="5"/>
  <c r="AG276" i="5"/>
  <c r="AD276" i="5"/>
  <c r="AA276" i="5"/>
  <c r="Y276" i="5"/>
  <c r="W276" i="5"/>
  <c r="U276" i="5"/>
  <c r="S276" i="5"/>
  <c r="G276" i="5"/>
  <c r="F276" i="5"/>
  <c r="BR276" i="5" s="1"/>
  <c r="B276" i="5"/>
  <c r="BT275" i="5"/>
  <c r="BS275" i="5"/>
  <c r="BQ275" i="5"/>
  <c r="BP275" i="5"/>
  <c r="BK275" i="5"/>
  <c r="BA275" i="5"/>
  <c r="AY275" i="5"/>
  <c r="AW275" i="5"/>
  <c r="AU275" i="5"/>
  <c r="AS275" i="5"/>
  <c r="AQ275" i="5"/>
  <c r="AO275" i="5"/>
  <c r="AK275" i="5"/>
  <c r="AI275" i="5"/>
  <c r="AG275" i="5"/>
  <c r="AD275" i="5"/>
  <c r="AA275" i="5"/>
  <c r="Y275" i="5"/>
  <c r="W275" i="5"/>
  <c r="U275" i="5"/>
  <c r="S275" i="5"/>
  <c r="G275" i="5"/>
  <c r="F275" i="5"/>
  <c r="BR275" i="5" s="1"/>
  <c r="B275" i="5"/>
  <c r="BT274" i="5"/>
  <c r="BS274" i="5"/>
  <c r="BQ274" i="5"/>
  <c r="BP274" i="5"/>
  <c r="BK274" i="5"/>
  <c r="BA274" i="5"/>
  <c r="AY274" i="5"/>
  <c r="AW274" i="5"/>
  <c r="AU274" i="5"/>
  <c r="AS274" i="5"/>
  <c r="AQ274" i="5"/>
  <c r="AO274" i="5"/>
  <c r="AK274" i="5"/>
  <c r="AI274" i="5"/>
  <c r="AG274" i="5"/>
  <c r="AD274" i="5"/>
  <c r="AA274" i="5"/>
  <c r="Y274" i="5"/>
  <c r="W274" i="5"/>
  <c r="U274" i="5"/>
  <c r="S274" i="5"/>
  <c r="G274" i="5"/>
  <c r="F274" i="5"/>
  <c r="BR274" i="5" s="1"/>
  <c r="B274" i="5"/>
  <c r="BT273" i="5"/>
  <c r="BS273" i="5"/>
  <c r="BQ273" i="5"/>
  <c r="BP273" i="5"/>
  <c r="BK273" i="5"/>
  <c r="BA273" i="5"/>
  <c r="AY273" i="5"/>
  <c r="AW273" i="5"/>
  <c r="AU273" i="5"/>
  <c r="AS273" i="5"/>
  <c r="AQ273" i="5"/>
  <c r="AO273" i="5"/>
  <c r="AK273" i="5"/>
  <c r="AI273" i="5"/>
  <c r="AG273" i="5"/>
  <c r="AD273" i="5"/>
  <c r="AA273" i="5"/>
  <c r="Y273" i="5"/>
  <c r="W273" i="5"/>
  <c r="U273" i="5"/>
  <c r="S273" i="5"/>
  <c r="G273" i="5"/>
  <c r="F273" i="5"/>
  <c r="BR273" i="5" s="1"/>
  <c r="B273" i="5"/>
  <c r="BT272" i="5"/>
  <c r="BS272" i="5"/>
  <c r="BQ272" i="5"/>
  <c r="BP272" i="5"/>
  <c r="BK272" i="5"/>
  <c r="BA272" i="5"/>
  <c r="AY272" i="5"/>
  <c r="AW272" i="5"/>
  <c r="AU272" i="5"/>
  <c r="AS272" i="5"/>
  <c r="AQ272" i="5"/>
  <c r="AO272" i="5"/>
  <c r="AK272" i="5"/>
  <c r="AI272" i="5"/>
  <c r="AG272" i="5"/>
  <c r="AD272" i="5"/>
  <c r="AA272" i="5"/>
  <c r="Y272" i="5"/>
  <c r="W272" i="5"/>
  <c r="U272" i="5"/>
  <c r="S272" i="5"/>
  <c r="G272" i="5"/>
  <c r="F272" i="5"/>
  <c r="BR272" i="5" s="1"/>
  <c r="B272" i="5"/>
  <c r="BT271" i="5"/>
  <c r="BS271" i="5"/>
  <c r="BQ271" i="5"/>
  <c r="BP271" i="5"/>
  <c r="BK271" i="5"/>
  <c r="BA271" i="5"/>
  <c r="AY271" i="5"/>
  <c r="AW271" i="5"/>
  <c r="AU271" i="5"/>
  <c r="AS271" i="5"/>
  <c r="AQ271" i="5"/>
  <c r="AO271" i="5"/>
  <c r="AK271" i="5"/>
  <c r="AI271" i="5"/>
  <c r="AG271" i="5"/>
  <c r="AD271" i="5"/>
  <c r="AA271" i="5"/>
  <c r="Y271" i="5"/>
  <c r="W271" i="5"/>
  <c r="U271" i="5"/>
  <c r="S271" i="5"/>
  <c r="G271" i="5"/>
  <c r="F271" i="5"/>
  <c r="BR271" i="5" s="1"/>
  <c r="B271" i="5"/>
  <c r="BT270" i="5"/>
  <c r="BS270" i="5"/>
  <c r="BQ270" i="5"/>
  <c r="BP270" i="5"/>
  <c r="BK270" i="5"/>
  <c r="BA270" i="5"/>
  <c r="AY270" i="5"/>
  <c r="AW270" i="5"/>
  <c r="AU270" i="5"/>
  <c r="AS270" i="5"/>
  <c r="AQ270" i="5"/>
  <c r="AO270" i="5"/>
  <c r="AK270" i="5"/>
  <c r="AI270" i="5"/>
  <c r="AG270" i="5"/>
  <c r="AD270" i="5"/>
  <c r="AA270" i="5"/>
  <c r="Y270" i="5"/>
  <c r="W270" i="5"/>
  <c r="U270" i="5"/>
  <c r="S270" i="5"/>
  <c r="G270" i="5"/>
  <c r="F270" i="5"/>
  <c r="BR270" i="5" s="1"/>
  <c r="B270" i="5"/>
  <c r="BT269" i="5"/>
  <c r="BS269" i="5"/>
  <c r="BQ269" i="5"/>
  <c r="BP269" i="5"/>
  <c r="BK269" i="5"/>
  <c r="BA269" i="5"/>
  <c r="AY269" i="5"/>
  <c r="AW269" i="5"/>
  <c r="AU269" i="5"/>
  <c r="AS269" i="5"/>
  <c r="AQ269" i="5"/>
  <c r="AO269" i="5"/>
  <c r="AK269" i="5"/>
  <c r="AI269" i="5"/>
  <c r="AG269" i="5"/>
  <c r="AD269" i="5"/>
  <c r="AA269" i="5"/>
  <c r="Y269" i="5"/>
  <c r="W269" i="5"/>
  <c r="U269" i="5"/>
  <c r="S269" i="5"/>
  <c r="G269" i="5"/>
  <c r="F269" i="5"/>
  <c r="BR269" i="5" s="1"/>
  <c r="B269" i="5"/>
  <c r="BT268" i="5"/>
  <c r="BS268" i="5"/>
  <c r="BQ268" i="5"/>
  <c r="BP268" i="5"/>
  <c r="BK268" i="5"/>
  <c r="BA268" i="5"/>
  <c r="AY268" i="5"/>
  <c r="AW268" i="5"/>
  <c r="AU268" i="5"/>
  <c r="AS268" i="5"/>
  <c r="AQ268" i="5"/>
  <c r="AO268" i="5"/>
  <c r="AK268" i="5"/>
  <c r="AI268" i="5"/>
  <c r="AG268" i="5"/>
  <c r="AD268" i="5"/>
  <c r="AA268" i="5"/>
  <c r="Y268" i="5"/>
  <c r="W268" i="5"/>
  <c r="U268" i="5"/>
  <c r="S268" i="5"/>
  <c r="G268" i="5"/>
  <c r="F268" i="5"/>
  <c r="BR268" i="5" s="1"/>
  <c r="B268" i="5"/>
  <c r="BT267" i="5"/>
  <c r="BS267" i="5"/>
  <c r="BQ267" i="5"/>
  <c r="BP267" i="5"/>
  <c r="BK267" i="5"/>
  <c r="BA267" i="5"/>
  <c r="AY267" i="5"/>
  <c r="AW267" i="5"/>
  <c r="AU267" i="5"/>
  <c r="AS267" i="5"/>
  <c r="AQ267" i="5"/>
  <c r="AO267" i="5"/>
  <c r="AK267" i="5"/>
  <c r="AI267" i="5"/>
  <c r="AG267" i="5"/>
  <c r="AD267" i="5"/>
  <c r="AA267" i="5"/>
  <c r="Y267" i="5"/>
  <c r="W267" i="5"/>
  <c r="U267" i="5"/>
  <c r="S267" i="5"/>
  <c r="G267" i="5"/>
  <c r="F267" i="5"/>
  <c r="BR267" i="5" s="1"/>
  <c r="B267" i="5"/>
  <c r="BT266" i="5"/>
  <c r="BS266" i="5"/>
  <c r="BQ266" i="5"/>
  <c r="BP266" i="5"/>
  <c r="BK266" i="5"/>
  <c r="BA266" i="5"/>
  <c r="AY266" i="5"/>
  <c r="AW266" i="5"/>
  <c r="AU266" i="5"/>
  <c r="AS266" i="5"/>
  <c r="AQ266" i="5"/>
  <c r="AO266" i="5"/>
  <c r="AK266" i="5"/>
  <c r="AI266" i="5"/>
  <c r="AG266" i="5"/>
  <c r="AD266" i="5"/>
  <c r="AA266" i="5"/>
  <c r="Y266" i="5"/>
  <c r="W266" i="5"/>
  <c r="U266" i="5"/>
  <c r="S266" i="5"/>
  <c r="G266" i="5"/>
  <c r="F266" i="5"/>
  <c r="BR266" i="5" s="1"/>
  <c r="B266" i="5"/>
  <c r="BT265" i="5"/>
  <c r="BS265" i="5"/>
  <c r="BQ265" i="5"/>
  <c r="BP265" i="5"/>
  <c r="BK265" i="5"/>
  <c r="BA265" i="5"/>
  <c r="AY265" i="5"/>
  <c r="AW265" i="5"/>
  <c r="AU265" i="5"/>
  <c r="AS265" i="5"/>
  <c r="AQ265" i="5"/>
  <c r="AO265" i="5"/>
  <c r="AK265" i="5"/>
  <c r="AI265" i="5"/>
  <c r="AG265" i="5"/>
  <c r="AD265" i="5"/>
  <c r="AA265" i="5"/>
  <c r="Y265" i="5"/>
  <c r="W265" i="5"/>
  <c r="U265" i="5"/>
  <c r="S265" i="5"/>
  <c r="G265" i="5"/>
  <c r="F265" i="5"/>
  <c r="BR265" i="5" s="1"/>
  <c r="B265" i="5"/>
  <c r="BT264" i="5"/>
  <c r="BS264" i="5"/>
  <c r="BQ264" i="5"/>
  <c r="BP264" i="5"/>
  <c r="BK264" i="5"/>
  <c r="BA264" i="5"/>
  <c r="AY264" i="5"/>
  <c r="AW264" i="5"/>
  <c r="AU264" i="5"/>
  <c r="AS264" i="5"/>
  <c r="AQ264" i="5"/>
  <c r="AO264" i="5"/>
  <c r="AK264" i="5"/>
  <c r="AI264" i="5"/>
  <c r="AG264" i="5"/>
  <c r="AD264" i="5"/>
  <c r="AA264" i="5"/>
  <c r="Y264" i="5"/>
  <c r="W264" i="5"/>
  <c r="U264" i="5"/>
  <c r="S264" i="5"/>
  <c r="G264" i="5"/>
  <c r="F264" i="5"/>
  <c r="BR264" i="5" s="1"/>
  <c r="B264" i="5"/>
  <c r="BT263" i="5"/>
  <c r="BS263" i="5"/>
  <c r="BQ263" i="5"/>
  <c r="BP263" i="5"/>
  <c r="BK263" i="5"/>
  <c r="BA263" i="5"/>
  <c r="AY263" i="5"/>
  <c r="AW263" i="5"/>
  <c r="AU263" i="5"/>
  <c r="AS263" i="5"/>
  <c r="AQ263" i="5"/>
  <c r="AO263" i="5"/>
  <c r="AK263" i="5"/>
  <c r="AI263" i="5"/>
  <c r="AG263" i="5"/>
  <c r="AD263" i="5"/>
  <c r="AA263" i="5"/>
  <c r="Y263" i="5"/>
  <c r="W263" i="5"/>
  <c r="U263" i="5"/>
  <c r="S263" i="5"/>
  <c r="G263" i="5"/>
  <c r="F263" i="5"/>
  <c r="BR263" i="5" s="1"/>
  <c r="B263" i="5"/>
  <c r="BT262" i="5"/>
  <c r="BS262" i="5"/>
  <c r="BQ262" i="5"/>
  <c r="BP262" i="5"/>
  <c r="BK262" i="5"/>
  <c r="BA262" i="5"/>
  <c r="AY262" i="5"/>
  <c r="AW262" i="5"/>
  <c r="AU262" i="5"/>
  <c r="AS262" i="5"/>
  <c r="AQ262" i="5"/>
  <c r="AO262" i="5"/>
  <c r="AK262" i="5"/>
  <c r="AI262" i="5"/>
  <c r="AG262" i="5"/>
  <c r="AD262" i="5"/>
  <c r="AA262" i="5"/>
  <c r="Y262" i="5"/>
  <c r="W262" i="5"/>
  <c r="U262" i="5"/>
  <c r="S262" i="5"/>
  <c r="G262" i="5"/>
  <c r="F262" i="5"/>
  <c r="BR262" i="5" s="1"/>
  <c r="B262" i="5"/>
  <c r="BT261" i="5"/>
  <c r="BS261" i="5"/>
  <c r="BQ261" i="5"/>
  <c r="BP261" i="5"/>
  <c r="BK261" i="5"/>
  <c r="BA261" i="5"/>
  <c r="AY261" i="5"/>
  <c r="AW261" i="5"/>
  <c r="AU261" i="5"/>
  <c r="AS261" i="5"/>
  <c r="AQ261" i="5"/>
  <c r="AO261" i="5"/>
  <c r="AK261" i="5"/>
  <c r="AI261" i="5"/>
  <c r="AG261" i="5"/>
  <c r="AD261" i="5"/>
  <c r="AA261" i="5"/>
  <c r="Y261" i="5"/>
  <c r="W261" i="5"/>
  <c r="U261" i="5"/>
  <c r="S261" i="5"/>
  <c r="G261" i="5"/>
  <c r="F261" i="5"/>
  <c r="BR261" i="5" s="1"/>
  <c r="B261" i="5"/>
  <c r="BT260" i="5"/>
  <c r="BS260" i="5"/>
  <c r="BQ260" i="5"/>
  <c r="BP260" i="5"/>
  <c r="BK260" i="5"/>
  <c r="BA260" i="5"/>
  <c r="AY260" i="5"/>
  <c r="AW260" i="5"/>
  <c r="AU260" i="5"/>
  <c r="AS260" i="5"/>
  <c r="AQ260" i="5"/>
  <c r="AO260" i="5"/>
  <c r="AK260" i="5"/>
  <c r="AI260" i="5"/>
  <c r="AG260" i="5"/>
  <c r="AD260" i="5"/>
  <c r="AA260" i="5"/>
  <c r="Y260" i="5"/>
  <c r="W260" i="5"/>
  <c r="U260" i="5"/>
  <c r="S260" i="5"/>
  <c r="G260" i="5"/>
  <c r="F260" i="5"/>
  <c r="BR260" i="5" s="1"/>
  <c r="B260" i="5"/>
  <c r="BT259" i="5"/>
  <c r="BS259" i="5"/>
  <c r="BQ259" i="5"/>
  <c r="BP259" i="5"/>
  <c r="BK259" i="5"/>
  <c r="BA259" i="5"/>
  <c r="AY259" i="5"/>
  <c r="AW259" i="5"/>
  <c r="AU259" i="5"/>
  <c r="AS259" i="5"/>
  <c r="AQ259" i="5"/>
  <c r="AO259" i="5"/>
  <c r="AK259" i="5"/>
  <c r="AI259" i="5"/>
  <c r="AG259" i="5"/>
  <c r="AD259" i="5"/>
  <c r="AA259" i="5"/>
  <c r="Y259" i="5"/>
  <c r="W259" i="5"/>
  <c r="U259" i="5"/>
  <c r="S259" i="5"/>
  <c r="G259" i="5"/>
  <c r="F259" i="5"/>
  <c r="BR259" i="5" s="1"/>
  <c r="B259" i="5"/>
  <c r="BT258" i="5"/>
  <c r="BS258" i="5"/>
  <c r="BQ258" i="5"/>
  <c r="BP258" i="5"/>
  <c r="BK258" i="5"/>
  <c r="BA258" i="5"/>
  <c r="AY258" i="5"/>
  <c r="AW258" i="5"/>
  <c r="AU258" i="5"/>
  <c r="AS258" i="5"/>
  <c r="AQ258" i="5"/>
  <c r="AO258" i="5"/>
  <c r="AK258" i="5"/>
  <c r="AI258" i="5"/>
  <c r="AG258" i="5"/>
  <c r="AD258" i="5"/>
  <c r="AA258" i="5"/>
  <c r="Y258" i="5"/>
  <c r="W258" i="5"/>
  <c r="U258" i="5"/>
  <c r="S258" i="5"/>
  <c r="G258" i="5"/>
  <c r="F258" i="5"/>
  <c r="BR258" i="5" s="1"/>
  <c r="B258" i="5"/>
  <c r="BT257" i="5"/>
  <c r="BS257" i="5"/>
  <c r="BQ257" i="5"/>
  <c r="BP257" i="5"/>
  <c r="BK257" i="5"/>
  <c r="BA257" i="5"/>
  <c r="AY257" i="5"/>
  <c r="AW257" i="5"/>
  <c r="AU257" i="5"/>
  <c r="AS257" i="5"/>
  <c r="AQ257" i="5"/>
  <c r="AO257" i="5"/>
  <c r="AK257" i="5"/>
  <c r="AI257" i="5"/>
  <c r="AG257" i="5"/>
  <c r="AD257" i="5"/>
  <c r="AA257" i="5"/>
  <c r="Y257" i="5"/>
  <c r="W257" i="5"/>
  <c r="U257" i="5"/>
  <c r="S257" i="5"/>
  <c r="G257" i="5"/>
  <c r="F257" i="5"/>
  <c r="BR257" i="5" s="1"/>
  <c r="B257" i="5"/>
  <c r="BT256" i="5"/>
  <c r="BS256" i="5"/>
  <c r="BQ256" i="5"/>
  <c r="BP256" i="5"/>
  <c r="BK256" i="5"/>
  <c r="BA256" i="5"/>
  <c r="AY256" i="5"/>
  <c r="AW256" i="5"/>
  <c r="AU256" i="5"/>
  <c r="AS256" i="5"/>
  <c r="AQ256" i="5"/>
  <c r="AO256" i="5"/>
  <c r="AK256" i="5"/>
  <c r="AI256" i="5"/>
  <c r="AG256" i="5"/>
  <c r="AD256" i="5"/>
  <c r="AA256" i="5"/>
  <c r="Y256" i="5"/>
  <c r="W256" i="5"/>
  <c r="U256" i="5"/>
  <c r="S256" i="5"/>
  <c r="G256" i="5"/>
  <c r="F256" i="5"/>
  <c r="BR256" i="5" s="1"/>
  <c r="B256" i="5"/>
  <c r="BT255" i="5"/>
  <c r="BS255" i="5"/>
  <c r="BQ255" i="5"/>
  <c r="BP255" i="5"/>
  <c r="BK255" i="5"/>
  <c r="BA255" i="5"/>
  <c r="AY255" i="5"/>
  <c r="AW255" i="5"/>
  <c r="AU255" i="5"/>
  <c r="AS255" i="5"/>
  <c r="AQ255" i="5"/>
  <c r="AO255" i="5"/>
  <c r="AK255" i="5"/>
  <c r="AI255" i="5"/>
  <c r="AG255" i="5"/>
  <c r="AD255" i="5"/>
  <c r="AA255" i="5"/>
  <c r="Y255" i="5"/>
  <c r="W255" i="5"/>
  <c r="U255" i="5"/>
  <c r="S255" i="5"/>
  <c r="G255" i="5"/>
  <c r="F255" i="5"/>
  <c r="BR255" i="5" s="1"/>
  <c r="B255" i="5"/>
  <c r="BT254" i="5"/>
  <c r="BS254" i="5"/>
  <c r="BQ254" i="5"/>
  <c r="BP254" i="5"/>
  <c r="BK254" i="5"/>
  <c r="BA254" i="5"/>
  <c r="AY254" i="5"/>
  <c r="AW254" i="5"/>
  <c r="AU254" i="5"/>
  <c r="AS254" i="5"/>
  <c r="AQ254" i="5"/>
  <c r="AO254" i="5"/>
  <c r="AK254" i="5"/>
  <c r="AI254" i="5"/>
  <c r="AG254" i="5"/>
  <c r="AD254" i="5"/>
  <c r="AA254" i="5"/>
  <c r="Y254" i="5"/>
  <c r="W254" i="5"/>
  <c r="U254" i="5"/>
  <c r="S254" i="5"/>
  <c r="G254" i="5"/>
  <c r="F254" i="5"/>
  <c r="BR254" i="5" s="1"/>
  <c r="B254" i="5"/>
  <c r="BT253" i="5"/>
  <c r="BS253" i="5"/>
  <c r="BQ253" i="5"/>
  <c r="BP253" i="5"/>
  <c r="BK253" i="5"/>
  <c r="BA253" i="5"/>
  <c r="AY253" i="5"/>
  <c r="AW253" i="5"/>
  <c r="AU253" i="5"/>
  <c r="AS253" i="5"/>
  <c r="AQ253" i="5"/>
  <c r="AO253" i="5"/>
  <c r="AK253" i="5"/>
  <c r="AI253" i="5"/>
  <c r="AG253" i="5"/>
  <c r="AD253" i="5"/>
  <c r="AA253" i="5"/>
  <c r="Y253" i="5"/>
  <c r="W253" i="5"/>
  <c r="U253" i="5"/>
  <c r="S253" i="5"/>
  <c r="G253" i="5"/>
  <c r="F253" i="5"/>
  <c r="BR253" i="5" s="1"/>
  <c r="B253" i="5"/>
  <c r="BT252" i="5"/>
  <c r="BS252" i="5"/>
  <c r="BQ252" i="5"/>
  <c r="BP252" i="5"/>
  <c r="BK252" i="5"/>
  <c r="BA252" i="5"/>
  <c r="AY252" i="5"/>
  <c r="AW252" i="5"/>
  <c r="AU252" i="5"/>
  <c r="AS252" i="5"/>
  <c r="AQ252" i="5"/>
  <c r="AO252" i="5"/>
  <c r="AK252" i="5"/>
  <c r="AI252" i="5"/>
  <c r="AG252" i="5"/>
  <c r="AD252" i="5"/>
  <c r="AA252" i="5"/>
  <c r="Y252" i="5"/>
  <c r="W252" i="5"/>
  <c r="U252" i="5"/>
  <c r="S252" i="5"/>
  <c r="G252" i="5"/>
  <c r="F252" i="5"/>
  <c r="BR252" i="5" s="1"/>
  <c r="B252" i="5"/>
  <c r="BT251" i="5"/>
  <c r="BS251" i="5"/>
  <c r="BQ251" i="5"/>
  <c r="BP251" i="5"/>
  <c r="BK251" i="5"/>
  <c r="BA251" i="5"/>
  <c r="AY251" i="5"/>
  <c r="AW251" i="5"/>
  <c r="AU251" i="5"/>
  <c r="AS251" i="5"/>
  <c r="AQ251" i="5"/>
  <c r="AO251" i="5"/>
  <c r="AK251" i="5"/>
  <c r="AI251" i="5"/>
  <c r="AG251" i="5"/>
  <c r="AD251" i="5"/>
  <c r="AA251" i="5"/>
  <c r="Y251" i="5"/>
  <c r="W251" i="5"/>
  <c r="U251" i="5"/>
  <c r="S251" i="5"/>
  <c r="G251" i="5"/>
  <c r="F251" i="5"/>
  <c r="BR251" i="5" s="1"/>
  <c r="B251" i="5"/>
  <c r="BT250" i="5"/>
  <c r="BS250" i="5"/>
  <c r="BQ250" i="5"/>
  <c r="BP250" i="5"/>
  <c r="BK250" i="5"/>
  <c r="BA250" i="5"/>
  <c r="AY250" i="5"/>
  <c r="AW250" i="5"/>
  <c r="AU250" i="5"/>
  <c r="AS250" i="5"/>
  <c r="AQ250" i="5"/>
  <c r="AO250" i="5"/>
  <c r="AK250" i="5"/>
  <c r="AI250" i="5"/>
  <c r="AG250" i="5"/>
  <c r="AD250" i="5"/>
  <c r="AA250" i="5"/>
  <c r="Y250" i="5"/>
  <c r="W250" i="5"/>
  <c r="U250" i="5"/>
  <c r="S250" i="5"/>
  <c r="G250" i="5"/>
  <c r="F250" i="5"/>
  <c r="BR250" i="5" s="1"/>
  <c r="B250" i="5"/>
  <c r="BT249" i="5"/>
  <c r="BS249" i="5"/>
  <c r="BQ249" i="5"/>
  <c r="BP249" i="5"/>
  <c r="BK249" i="5"/>
  <c r="BA249" i="5"/>
  <c r="AY249" i="5"/>
  <c r="AW249" i="5"/>
  <c r="AU249" i="5"/>
  <c r="AS249" i="5"/>
  <c r="AQ249" i="5"/>
  <c r="AO249" i="5"/>
  <c r="AK249" i="5"/>
  <c r="AI249" i="5"/>
  <c r="AG249" i="5"/>
  <c r="AD249" i="5"/>
  <c r="AA249" i="5"/>
  <c r="Y249" i="5"/>
  <c r="W249" i="5"/>
  <c r="U249" i="5"/>
  <c r="S249" i="5"/>
  <c r="G249" i="5"/>
  <c r="F249" i="5"/>
  <c r="BR249" i="5" s="1"/>
  <c r="B249" i="5"/>
  <c r="BT248" i="5"/>
  <c r="BS248" i="5"/>
  <c r="BQ248" i="5"/>
  <c r="BP248" i="5"/>
  <c r="BK248" i="5"/>
  <c r="BA248" i="5"/>
  <c r="AY248" i="5"/>
  <c r="AW248" i="5"/>
  <c r="AU248" i="5"/>
  <c r="AS248" i="5"/>
  <c r="AQ248" i="5"/>
  <c r="AO248" i="5"/>
  <c r="AK248" i="5"/>
  <c r="AI248" i="5"/>
  <c r="AG248" i="5"/>
  <c r="AD248" i="5"/>
  <c r="AA248" i="5"/>
  <c r="Y248" i="5"/>
  <c r="W248" i="5"/>
  <c r="U248" i="5"/>
  <c r="S248" i="5"/>
  <c r="G248" i="5"/>
  <c r="F248" i="5"/>
  <c r="BR248" i="5" s="1"/>
  <c r="B248" i="5"/>
  <c r="BT247" i="5"/>
  <c r="BS247" i="5"/>
  <c r="BQ247" i="5"/>
  <c r="BP247" i="5"/>
  <c r="BK247" i="5"/>
  <c r="BA247" i="5"/>
  <c r="AY247" i="5"/>
  <c r="AW247" i="5"/>
  <c r="AU247" i="5"/>
  <c r="AS247" i="5"/>
  <c r="AQ247" i="5"/>
  <c r="AO247" i="5"/>
  <c r="AK247" i="5"/>
  <c r="AI247" i="5"/>
  <c r="AG247" i="5"/>
  <c r="AD247" i="5"/>
  <c r="AA247" i="5"/>
  <c r="Y247" i="5"/>
  <c r="W247" i="5"/>
  <c r="U247" i="5"/>
  <c r="S247" i="5"/>
  <c r="G247" i="5"/>
  <c r="F247" i="5"/>
  <c r="BR247" i="5" s="1"/>
  <c r="B247" i="5"/>
  <c r="BT246" i="5"/>
  <c r="BS246" i="5"/>
  <c r="BQ246" i="5"/>
  <c r="BP246" i="5"/>
  <c r="BK246" i="5"/>
  <c r="BA246" i="5"/>
  <c r="AY246" i="5"/>
  <c r="AW246" i="5"/>
  <c r="AU246" i="5"/>
  <c r="AS246" i="5"/>
  <c r="AQ246" i="5"/>
  <c r="AO246" i="5"/>
  <c r="AK246" i="5"/>
  <c r="AI246" i="5"/>
  <c r="AG246" i="5"/>
  <c r="AD246" i="5"/>
  <c r="AA246" i="5"/>
  <c r="Y246" i="5"/>
  <c r="W246" i="5"/>
  <c r="U246" i="5"/>
  <c r="S246" i="5"/>
  <c r="G246" i="5"/>
  <c r="F246" i="5"/>
  <c r="BR246" i="5" s="1"/>
  <c r="B246" i="5"/>
  <c r="BT245" i="5"/>
  <c r="BS245" i="5"/>
  <c r="BQ245" i="5"/>
  <c r="BP245" i="5"/>
  <c r="BK245" i="5"/>
  <c r="BA245" i="5"/>
  <c r="AY245" i="5"/>
  <c r="AW245" i="5"/>
  <c r="AU245" i="5"/>
  <c r="AS245" i="5"/>
  <c r="AQ245" i="5"/>
  <c r="AO245" i="5"/>
  <c r="AK245" i="5"/>
  <c r="AI245" i="5"/>
  <c r="AG245" i="5"/>
  <c r="AD245" i="5"/>
  <c r="AA245" i="5"/>
  <c r="Y245" i="5"/>
  <c r="W245" i="5"/>
  <c r="U245" i="5"/>
  <c r="S245" i="5"/>
  <c r="G245" i="5"/>
  <c r="F245" i="5"/>
  <c r="BR245" i="5" s="1"/>
  <c r="B245" i="5"/>
  <c r="BT244" i="5"/>
  <c r="BS244" i="5"/>
  <c r="BQ244" i="5"/>
  <c r="BP244" i="5"/>
  <c r="BK244" i="5"/>
  <c r="BA244" i="5"/>
  <c r="AY244" i="5"/>
  <c r="AW244" i="5"/>
  <c r="AU244" i="5"/>
  <c r="AS244" i="5"/>
  <c r="AQ244" i="5"/>
  <c r="AO244" i="5"/>
  <c r="AK244" i="5"/>
  <c r="AI244" i="5"/>
  <c r="AG244" i="5"/>
  <c r="AD244" i="5"/>
  <c r="AA244" i="5"/>
  <c r="Y244" i="5"/>
  <c r="W244" i="5"/>
  <c r="U244" i="5"/>
  <c r="S244" i="5"/>
  <c r="G244" i="5"/>
  <c r="F244" i="5"/>
  <c r="BR244" i="5" s="1"/>
  <c r="B244" i="5"/>
  <c r="BT243" i="5"/>
  <c r="BS243" i="5"/>
  <c r="BQ243" i="5"/>
  <c r="BP243" i="5"/>
  <c r="BK243" i="5"/>
  <c r="BA243" i="5"/>
  <c r="AY243" i="5"/>
  <c r="AW243" i="5"/>
  <c r="AU243" i="5"/>
  <c r="AS243" i="5"/>
  <c r="AQ243" i="5"/>
  <c r="AO243" i="5"/>
  <c r="AK243" i="5"/>
  <c r="AI243" i="5"/>
  <c r="AG243" i="5"/>
  <c r="AD243" i="5"/>
  <c r="AA243" i="5"/>
  <c r="Y243" i="5"/>
  <c r="W243" i="5"/>
  <c r="U243" i="5"/>
  <c r="S243" i="5"/>
  <c r="G243" i="5"/>
  <c r="F243" i="5"/>
  <c r="BR243" i="5" s="1"/>
  <c r="B243" i="5"/>
  <c r="BT242" i="5"/>
  <c r="BS242" i="5"/>
  <c r="BQ242" i="5"/>
  <c r="BP242" i="5"/>
  <c r="BK242" i="5"/>
  <c r="BA242" i="5"/>
  <c r="AY242" i="5"/>
  <c r="AW242" i="5"/>
  <c r="AU242" i="5"/>
  <c r="AS242" i="5"/>
  <c r="AQ242" i="5"/>
  <c r="AO242" i="5"/>
  <c r="AK242" i="5"/>
  <c r="AI242" i="5"/>
  <c r="AG242" i="5"/>
  <c r="AD242" i="5"/>
  <c r="AA242" i="5"/>
  <c r="Y242" i="5"/>
  <c r="W242" i="5"/>
  <c r="U242" i="5"/>
  <c r="S242" i="5"/>
  <c r="G242" i="5"/>
  <c r="F242" i="5"/>
  <c r="BR242" i="5" s="1"/>
  <c r="B242" i="5"/>
  <c r="BT241" i="5"/>
  <c r="BS241" i="5"/>
  <c r="BQ241" i="5"/>
  <c r="BP241" i="5"/>
  <c r="BK241" i="5"/>
  <c r="BA241" i="5"/>
  <c r="AY241" i="5"/>
  <c r="AW241" i="5"/>
  <c r="AU241" i="5"/>
  <c r="AS241" i="5"/>
  <c r="AQ241" i="5"/>
  <c r="AO241" i="5"/>
  <c r="AK241" i="5"/>
  <c r="AI241" i="5"/>
  <c r="AG241" i="5"/>
  <c r="AD241" i="5"/>
  <c r="AA241" i="5"/>
  <c r="Y241" i="5"/>
  <c r="W241" i="5"/>
  <c r="U241" i="5"/>
  <c r="S241" i="5"/>
  <c r="G241" i="5"/>
  <c r="F241" i="5"/>
  <c r="BR241" i="5" s="1"/>
  <c r="B241" i="5"/>
  <c r="BT240" i="5"/>
  <c r="BS240" i="5"/>
  <c r="BQ240" i="5"/>
  <c r="BP240" i="5"/>
  <c r="BK240" i="5"/>
  <c r="BA240" i="5"/>
  <c r="AY240" i="5"/>
  <c r="AW240" i="5"/>
  <c r="AU240" i="5"/>
  <c r="AS240" i="5"/>
  <c r="AQ240" i="5"/>
  <c r="AO240" i="5"/>
  <c r="AK240" i="5"/>
  <c r="AI240" i="5"/>
  <c r="AG240" i="5"/>
  <c r="AD240" i="5"/>
  <c r="AA240" i="5"/>
  <c r="Y240" i="5"/>
  <c r="W240" i="5"/>
  <c r="U240" i="5"/>
  <c r="S240" i="5"/>
  <c r="G240" i="5"/>
  <c r="F240" i="5"/>
  <c r="BR240" i="5" s="1"/>
  <c r="B240" i="5"/>
  <c r="BT239" i="5"/>
  <c r="BS239" i="5"/>
  <c r="BQ239" i="5"/>
  <c r="BP239" i="5"/>
  <c r="BK239" i="5"/>
  <c r="BA239" i="5"/>
  <c r="AY239" i="5"/>
  <c r="AW239" i="5"/>
  <c r="AU239" i="5"/>
  <c r="AS239" i="5"/>
  <c r="AQ239" i="5"/>
  <c r="AO239" i="5"/>
  <c r="AK239" i="5"/>
  <c r="AI239" i="5"/>
  <c r="AG239" i="5"/>
  <c r="AD239" i="5"/>
  <c r="AA239" i="5"/>
  <c r="Y239" i="5"/>
  <c r="W239" i="5"/>
  <c r="U239" i="5"/>
  <c r="S239" i="5"/>
  <c r="G239" i="5"/>
  <c r="F239" i="5"/>
  <c r="BR239" i="5" s="1"/>
  <c r="B239" i="5"/>
  <c r="BT238" i="5"/>
  <c r="BS238" i="5"/>
  <c r="BQ238" i="5"/>
  <c r="BP238" i="5"/>
  <c r="BK238" i="5"/>
  <c r="BA238" i="5"/>
  <c r="AY238" i="5"/>
  <c r="AW238" i="5"/>
  <c r="AU238" i="5"/>
  <c r="AS238" i="5"/>
  <c r="AQ238" i="5"/>
  <c r="AO238" i="5"/>
  <c r="AK238" i="5"/>
  <c r="AI238" i="5"/>
  <c r="AG238" i="5"/>
  <c r="AD238" i="5"/>
  <c r="AA238" i="5"/>
  <c r="Y238" i="5"/>
  <c r="W238" i="5"/>
  <c r="U238" i="5"/>
  <c r="S238" i="5"/>
  <c r="G238" i="5"/>
  <c r="F238" i="5"/>
  <c r="BR238" i="5" s="1"/>
  <c r="B238" i="5"/>
  <c r="BT237" i="5"/>
  <c r="BS237" i="5"/>
  <c r="BQ237" i="5"/>
  <c r="BP237" i="5"/>
  <c r="BK237" i="5"/>
  <c r="BA237" i="5"/>
  <c r="AY237" i="5"/>
  <c r="AW237" i="5"/>
  <c r="AU237" i="5"/>
  <c r="AS237" i="5"/>
  <c r="AQ237" i="5"/>
  <c r="AO237" i="5"/>
  <c r="AK237" i="5"/>
  <c r="AI237" i="5"/>
  <c r="AG237" i="5"/>
  <c r="AD237" i="5"/>
  <c r="AA237" i="5"/>
  <c r="Y237" i="5"/>
  <c r="W237" i="5"/>
  <c r="U237" i="5"/>
  <c r="S237" i="5"/>
  <c r="G237" i="5"/>
  <c r="F237" i="5"/>
  <c r="BR237" i="5" s="1"/>
  <c r="B237" i="5"/>
  <c r="BT236" i="5"/>
  <c r="BS236" i="5"/>
  <c r="BR236" i="5"/>
  <c r="BQ236" i="5"/>
  <c r="BP236" i="5"/>
  <c r="BK236" i="5"/>
  <c r="BA236" i="5"/>
  <c r="AY236" i="5"/>
  <c r="AW236" i="5"/>
  <c r="AU236" i="5"/>
  <c r="AS236" i="5"/>
  <c r="AQ236" i="5"/>
  <c r="AO236" i="5"/>
  <c r="AK236" i="5"/>
  <c r="AI236" i="5"/>
  <c r="AG236" i="5"/>
  <c r="AD236" i="5"/>
  <c r="AA236" i="5"/>
  <c r="Y236" i="5"/>
  <c r="W236" i="5"/>
  <c r="U236" i="5"/>
  <c r="S236" i="5"/>
  <c r="G236" i="5"/>
  <c r="F236" i="5"/>
  <c r="B236" i="5"/>
  <c r="BT235" i="5"/>
  <c r="BS235" i="5"/>
  <c r="BR235" i="5"/>
  <c r="BQ235" i="5"/>
  <c r="BP235" i="5"/>
  <c r="BK235" i="5"/>
  <c r="BA235" i="5"/>
  <c r="AY235" i="5"/>
  <c r="AW235" i="5"/>
  <c r="AU235" i="5"/>
  <c r="AS235" i="5"/>
  <c r="AQ235" i="5"/>
  <c r="AO235" i="5"/>
  <c r="AK235" i="5"/>
  <c r="AI235" i="5"/>
  <c r="AG235" i="5"/>
  <c r="AD235" i="5"/>
  <c r="AA235" i="5"/>
  <c r="Y235" i="5"/>
  <c r="W235" i="5"/>
  <c r="U235" i="5"/>
  <c r="S235" i="5"/>
  <c r="G235" i="5"/>
  <c r="F235" i="5"/>
  <c r="B235" i="5"/>
  <c r="BT234" i="5"/>
  <c r="BS234" i="5"/>
  <c r="BQ234" i="5"/>
  <c r="BP234" i="5"/>
  <c r="BK234" i="5"/>
  <c r="BA234" i="5"/>
  <c r="AY234" i="5"/>
  <c r="AW234" i="5"/>
  <c r="AU234" i="5"/>
  <c r="AS234" i="5"/>
  <c r="AQ234" i="5"/>
  <c r="AO234" i="5"/>
  <c r="AK234" i="5"/>
  <c r="AI234" i="5"/>
  <c r="AG234" i="5"/>
  <c r="AD234" i="5"/>
  <c r="AA234" i="5"/>
  <c r="Y234" i="5"/>
  <c r="W234" i="5"/>
  <c r="U234" i="5"/>
  <c r="S234" i="5"/>
  <c r="G234" i="5"/>
  <c r="F234" i="5"/>
  <c r="BR234" i="5" s="1"/>
  <c r="B234" i="5"/>
  <c r="BT233" i="5"/>
  <c r="BS233" i="5"/>
  <c r="BR233" i="5"/>
  <c r="BQ233" i="5"/>
  <c r="BP233" i="5"/>
  <c r="BK233" i="5"/>
  <c r="BA233" i="5"/>
  <c r="AY233" i="5"/>
  <c r="AW233" i="5"/>
  <c r="AU233" i="5"/>
  <c r="AS233" i="5"/>
  <c r="AQ233" i="5"/>
  <c r="AO233" i="5"/>
  <c r="AK233" i="5"/>
  <c r="AI233" i="5"/>
  <c r="AG233" i="5"/>
  <c r="AD233" i="5"/>
  <c r="AA233" i="5"/>
  <c r="Y233" i="5"/>
  <c r="W233" i="5"/>
  <c r="U233" i="5"/>
  <c r="BL233" i="5" s="1"/>
  <c r="S233" i="5"/>
  <c r="G233" i="5"/>
  <c r="F233" i="5"/>
  <c r="B233" i="5"/>
  <c r="BT232" i="5"/>
  <c r="BS232" i="5"/>
  <c r="BQ232" i="5"/>
  <c r="BP232" i="5"/>
  <c r="BK232" i="5"/>
  <c r="BA232" i="5"/>
  <c r="AY232" i="5"/>
  <c r="AW232" i="5"/>
  <c r="AU232" i="5"/>
  <c r="AS232" i="5"/>
  <c r="AQ232" i="5"/>
  <c r="AO232" i="5"/>
  <c r="AK232" i="5"/>
  <c r="AI232" i="5"/>
  <c r="AG232" i="5"/>
  <c r="AD232" i="5"/>
  <c r="AA232" i="5"/>
  <c r="Y232" i="5"/>
  <c r="W232" i="5"/>
  <c r="U232" i="5"/>
  <c r="BL232" i="5" s="1"/>
  <c r="Q232" i="5" s="1"/>
  <c r="S232" i="5"/>
  <c r="G232" i="5"/>
  <c r="F232" i="5"/>
  <c r="BR232" i="5" s="1"/>
  <c r="B232" i="5"/>
  <c r="BT231" i="5"/>
  <c r="BS231" i="5"/>
  <c r="BQ231" i="5"/>
  <c r="BP231" i="5"/>
  <c r="BK231" i="5"/>
  <c r="BA231" i="5"/>
  <c r="AY231" i="5"/>
  <c r="AW231" i="5"/>
  <c r="AU231" i="5"/>
  <c r="AS231" i="5"/>
  <c r="AQ231" i="5"/>
  <c r="AO231" i="5"/>
  <c r="AK231" i="5"/>
  <c r="AI231" i="5"/>
  <c r="AG231" i="5"/>
  <c r="AD231" i="5"/>
  <c r="AA231" i="5"/>
  <c r="Y231" i="5"/>
  <c r="W231" i="5"/>
  <c r="U231" i="5"/>
  <c r="S231" i="5"/>
  <c r="G231" i="5"/>
  <c r="F231" i="5"/>
  <c r="BR231" i="5" s="1"/>
  <c r="B231" i="5"/>
  <c r="BT230" i="5"/>
  <c r="BS230" i="5"/>
  <c r="BQ230" i="5"/>
  <c r="BP230" i="5"/>
  <c r="BK230" i="5"/>
  <c r="BA230" i="5"/>
  <c r="AY230" i="5"/>
  <c r="AW230" i="5"/>
  <c r="AU230" i="5"/>
  <c r="AS230" i="5"/>
  <c r="AQ230" i="5"/>
  <c r="AO230" i="5"/>
  <c r="AK230" i="5"/>
  <c r="AI230" i="5"/>
  <c r="AG230" i="5"/>
  <c r="AD230" i="5"/>
  <c r="AA230" i="5"/>
  <c r="Y230" i="5"/>
  <c r="W230" i="5"/>
  <c r="U230" i="5"/>
  <c r="BL230" i="5" s="1"/>
  <c r="S230" i="5"/>
  <c r="G230" i="5"/>
  <c r="F230" i="5"/>
  <c r="BR230" i="5" s="1"/>
  <c r="B230" i="5"/>
  <c r="BT229" i="5"/>
  <c r="BS229" i="5"/>
  <c r="BQ229" i="5"/>
  <c r="BP229" i="5"/>
  <c r="BK229" i="5"/>
  <c r="BA229" i="5"/>
  <c r="AY229" i="5"/>
  <c r="AW229" i="5"/>
  <c r="AU229" i="5"/>
  <c r="AS229" i="5"/>
  <c r="AQ229" i="5"/>
  <c r="AO229" i="5"/>
  <c r="AK229" i="5"/>
  <c r="AI229" i="5"/>
  <c r="AG229" i="5"/>
  <c r="AD229" i="5"/>
  <c r="AA229" i="5"/>
  <c r="Y229" i="5"/>
  <c r="W229" i="5"/>
  <c r="U229" i="5"/>
  <c r="BL229" i="5" s="1"/>
  <c r="S229" i="5"/>
  <c r="G229" i="5"/>
  <c r="F229" i="5"/>
  <c r="BR229" i="5" s="1"/>
  <c r="B229" i="5"/>
  <c r="BT228" i="5"/>
  <c r="BS228" i="5"/>
  <c r="BQ228" i="5"/>
  <c r="BP228" i="5"/>
  <c r="BK228" i="5"/>
  <c r="BA228" i="5"/>
  <c r="AY228" i="5"/>
  <c r="AW228" i="5"/>
  <c r="AU228" i="5"/>
  <c r="AS228" i="5"/>
  <c r="AQ228" i="5"/>
  <c r="AO228" i="5"/>
  <c r="AK228" i="5"/>
  <c r="AI228" i="5"/>
  <c r="AG228" i="5"/>
  <c r="AD228" i="5"/>
  <c r="AA228" i="5"/>
  <c r="Y228" i="5"/>
  <c r="W228" i="5"/>
  <c r="U228" i="5"/>
  <c r="BL228" i="5" s="1"/>
  <c r="S228" i="5"/>
  <c r="G228" i="5"/>
  <c r="F228" i="5"/>
  <c r="BR228" i="5" s="1"/>
  <c r="B228" i="5"/>
  <c r="BT227" i="5"/>
  <c r="BS227" i="5"/>
  <c r="BQ227" i="5"/>
  <c r="BP227" i="5"/>
  <c r="BK227" i="5"/>
  <c r="BA227" i="5"/>
  <c r="AY227" i="5"/>
  <c r="AW227" i="5"/>
  <c r="AU227" i="5"/>
  <c r="AS227" i="5"/>
  <c r="AQ227" i="5"/>
  <c r="AO227" i="5"/>
  <c r="AK227" i="5"/>
  <c r="AI227" i="5"/>
  <c r="AG227" i="5"/>
  <c r="AD227" i="5"/>
  <c r="AA227" i="5"/>
  <c r="Y227" i="5"/>
  <c r="W227" i="5"/>
  <c r="U227" i="5"/>
  <c r="S227" i="5"/>
  <c r="G227" i="5"/>
  <c r="F227" i="5"/>
  <c r="BR227" i="5" s="1"/>
  <c r="B227" i="5"/>
  <c r="BT226" i="5"/>
  <c r="BS226" i="5"/>
  <c r="BQ226" i="5"/>
  <c r="BP226" i="5"/>
  <c r="BK226" i="5"/>
  <c r="BA226" i="5"/>
  <c r="AY226" i="5"/>
  <c r="AW226" i="5"/>
  <c r="AU226" i="5"/>
  <c r="AS226" i="5"/>
  <c r="AQ226" i="5"/>
  <c r="AO226" i="5"/>
  <c r="AK226" i="5"/>
  <c r="AI226" i="5"/>
  <c r="AG226" i="5"/>
  <c r="AD226" i="5"/>
  <c r="AA226" i="5"/>
  <c r="Y226" i="5"/>
  <c r="W226" i="5"/>
  <c r="U226" i="5"/>
  <c r="S226" i="5"/>
  <c r="G226" i="5"/>
  <c r="F226" i="5"/>
  <c r="BR226" i="5" s="1"/>
  <c r="B226" i="5"/>
  <c r="BT225" i="5"/>
  <c r="BS225" i="5"/>
  <c r="BR225" i="5"/>
  <c r="BQ225" i="5"/>
  <c r="BP225" i="5"/>
  <c r="BK225" i="5"/>
  <c r="BA225" i="5"/>
  <c r="AY225" i="5"/>
  <c r="AW225" i="5"/>
  <c r="AU225" i="5"/>
  <c r="AS225" i="5"/>
  <c r="AQ225" i="5"/>
  <c r="AO225" i="5"/>
  <c r="AK225" i="5"/>
  <c r="AI225" i="5"/>
  <c r="AG225" i="5"/>
  <c r="AD225" i="5"/>
  <c r="AA225" i="5"/>
  <c r="Y225" i="5"/>
  <c r="W225" i="5"/>
  <c r="U225" i="5"/>
  <c r="S225" i="5"/>
  <c r="G225" i="5"/>
  <c r="F225" i="5"/>
  <c r="B225" i="5"/>
  <c r="BT224" i="5"/>
  <c r="BS224" i="5"/>
  <c r="BQ224" i="5"/>
  <c r="BP224" i="5"/>
  <c r="BK224" i="5"/>
  <c r="BA224" i="5"/>
  <c r="AY224" i="5"/>
  <c r="AW224" i="5"/>
  <c r="AU224" i="5"/>
  <c r="AS224" i="5"/>
  <c r="AQ224" i="5"/>
  <c r="AO224" i="5"/>
  <c r="AK224" i="5"/>
  <c r="AI224" i="5"/>
  <c r="AG224" i="5"/>
  <c r="AD224" i="5"/>
  <c r="AA224" i="5"/>
  <c r="Y224" i="5"/>
  <c r="W224" i="5"/>
  <c r="U224" i="5"/>
  <c r="S224" i="5"/>
  <c r="G224" i="5"/>
  <c r="F224" i="5"/>
  <c r="BR224" i="5" s="1"/>
  <c r="B224" i="5"/>
  <c r="BT223" i="5"/>
  <c r="BS223" i="5"/>
  <c r="BQ223" i="5"/>
  <c r="BP223" i="5"/>
  <c r="BK223" i="5"/>
  <c r="BA223" i="5"/>
  <c r="AY223" i="5"/>
  <c r="AW223" i="5"/>
  <c r="AU223" i="5"/>
  <c r="AS223" i="5"/>
  <c r="AQ223" i="5"/>
  <c r="AO223" i="5"/>
  <c r="AK223" i="5"/>
  <c r="AI223" i="5"/>
  <c r="AG223" i="5"/>
  <c r="AD223" i="5"/>
  <c r="AA223" i="5"/>
  <c r="Y223" i="5"/>
  <c r="W223" i="5"/>
  <c r="U223" i="5"/>
  <c r="S223" i="5"/>
  <c r="G223" i="5"/>
  <c r="F223" i="5"/>
  <c r="BR223" i="5" s="1"/>
  <c r="B223" i="5"/>
  <c r="BT222" i="5"/>
  <c r="BS222" i="5"/>
  <c r="BQ222" i="5"/>
  <c r="BP222" i="5"/>
  <c r="BK222" i="5"/>
  <c r="BA222" i="5"/>
  <c r="AY222" i="5"/>
  <c r="AW222" i="5"/>
  <c r="AU222" i="5"/>
  <c r="AS222" i="5"/>
  <c r="AQ222" i="5"/>
  <c r="AO222" i="5"/>
  <c r="AK222" i="5"/>
  <c r="AI222" i="5"/>
  <c r="AG222" i="5"/>
  <c r="AD222" i="5"/>
  <c r="AA222" i="5"/>
  <c r="Y222" i="5"/>
  <c r="W222" i="5"/>
  <c r="U222" i="5"/>
  <c r="S222" i="5"/>
  <c r="G222" i="5"/>
  <c r="F222" i="5"/>
  <c r="BR222" i="5" s="1"/>
  <c r="B222" i="5"/>
  <c r="BT221" i="5"/>
  <c r="BS221" i="5"/>
  <c r="BQ221" i="5"/>
  <c r="BP221" i="5"/>
  <c r="BK221" i="5"/>
  <c r="BA221" i="5"/>
  <c r="AY221" i="5"/>
  <c r="AW221" i="5"/>
  <c r="AU221" i="5"/>
  <c r="AS221" i="5"/>
  <c r="AQ221" i="5"/>
  <c r="AO221" i="5"/>
  <c r="AK221" i="5"/>
  <c r="AI221" i="5"/>
  <c r="AG221" i="5"/>
  <c r="AD221" i="5"/>
  <c r="AA221" i="5"/>
  <c r="Y221" i="5"/>
  <c r="W221" i="5"/>
  <c r="U221" i="5"/>
  <c r="S221" i="5"/>
  <c r="G221" i="5"/>
  <c r="F221" i="5"/>
  <c r="BR221" i="5" s="1"/>
  <c r="B221" i="5"/>
  <c r="BT220" i="5"/>
  <c r="BS220" i="5"/>
  <c r="BQ220" i="5"/>
  <c r="BP220" i="5"/>
  <c r="BK220" i="5"/>
  <c r="BA220" i="5"/>
  <c r="AY220" i="5"/>
  <c r="AW220" i="5"/>
  <c r="AU220" i="5"/>
  <c r="AS220" i="5"/>
  <c r="AQ220" i="5"/>
  <c r="AO220" i="5"/>
  <c r="AK220" i="5"/>
  <c r="AI220" i="5"/>
  <c r="AG220" i="5"/>
  <c r="AD220" i="5"/>
  <c r="AA220" i="5"/>
  <c r="Y220" i="5"/>
  <c r="W220" i="5"/>
  <c r="U220" i="5"/>
  <c r="S220" i="5"/>
  <c r="G220" i="5"/>
  <c r="F220" i="5"/>
  <c r="BR220" i="5" s="1"/>
  <c r="B220" i="5"/>
  <c r="BT219" i="5"/>
  <c r="BS219" i="5"/>
  <c r="BQ219" i="5"/>
  <c r="BP219" i="5"/>
  <c r="BK219" i="5"/>
  <c r="BA219" i="5"/>
  <c r="AY219" i="5"/>
  <c r="AW219" i="5"/>
  <c r="AU219" i="5"/>
  <c r="AS219" i="5"/>
  <c r="AQ219" i="5"/>
  <c r="AO219" i="5"/>
  <c r="AK219" i="5"/>
  <c r="AI219" i="5"/>
  <c r="AG219" i="5"/>
  <c r="AD219" i="5"/>
  <c r="AA219" i="5"/>
  <c r="Y219" i="5"/>
  <c r="W219" i="5"/>
  <c r="U219" i="5"/>
  <c r="S219" i="5"/>
  <c r="G219" i="5"/>
  <c r="F219" i="5"/>
  <c r="BR219" i="5" s="1"/>
  <c r="B219" i="5"/>
  <c r="BT218" i="5"/>
  <c r="BS218" i="5"/>
  <c r="BQ218" i="5"/>
  <c r="BP218" i="5"/>
  <c r="BK218" i="5"/>
  <c r="BA218" i="5"/>
  <c r="AY218" i="5"/>
  <c r="AW218" i="5"/>
  <c r="AU218" i="5"/>
  <c r="AS218" i="5"/>
  <c r="AQ218" i="5"/>
  <c r="AO218" i="5"/>
  <c r="AK218" i="5"/>
  <c r="AI218" i="5"/>
  <c r="AG218" i="5"/>
  <c r="AD218" i="5"/>
  <c r="AA218" i="5"/>
  <c r="Y218" i="5"/>
  <c r="W218" i="5"/>
  <c r="U218" i="5"/>
  <c r="S218" i="5"/>
  <c r="G218" i="5"/>
  <c r="F218" i="5"/>
  <c r="BR218" i="5" s="1"/>
  <c r="B218" i="5"/>
  <c r="BT217" i="5"/>
  <c r="BS217" i="5"/>
  <c r="BR217" i="5"/>
  <c r="BQ217" i="5"/>
  <c r="BP217" i="5"/>
  <c r="BK217" i="5"/>
  <c r="BA217" i="5"/>
  <c r="AY217" i="5"/>
  <c r="AW217" i="5"/>
  <c r="AU217" i="5"/>
  <c r="AS217" i="5"/>
  <c r="AQ217" i="5"/>
  <c r="AO217" i="5"/>
  <c r="AK217" i="5"/>
  <c r="AI217" i="5"/>
  <c r="AG217" i="5"/>
  <c r="AD217" i="5"/>
  <c r="AA217" i="5"/>
  <c r="Y217" i="5"/>
  <c r="W217" i="5"/>
  <c r="U217" i="5"/>
  <c r="BL217" i="5" s="1"/>
  <c r="S217" i="5"/>
  <c r="G217" i="5"/>
  <c r="F217" i="5"/>
  <c r="B217" i="5"/>
  <c r="BT216" i="5"/>
  <c r="BS216" i="5"/>
  <c r="BQ216" i="5"/>
  <c r="BP216" i="5"/>
  <c r="BK216" i="5"/>
  <c r="BA216" i="5"/>
  <c r="AY216" i="5"/>
  <c r="AW216" i="5"/>
  <c r="AU216" i="5"/>
  <c r="AS216" i="5"/>
  <c r="AQ216" i="5"/>
  <c r="AO216" i="5"/>
  <c r="AK216" i="5"/>
  <c r="AI216" i="5"/>
  <c r="AG216" i="5"/>
  <c r="AD216" i="5"/>
  <c r="AA216" i="5"/>
  <c r="Y216" i="5"/>
  <c r="W216" i="5"/>
  <c r="U216" i="5"/>
  <c r="BL216" i="5" s="1"/>
  <c r="Q216" i="5" s="1"/>
  <c r="S216" i="5"/>
  <c r="G216" i="5"/>
  <c r="F216" i="5"/>
  <c r="BR216" i="5" s="1"/>
  <c r="B216" i="5"/>
  <c r="BT215" i="5"/>
  <c r="BS215" i="5"/>
  <c r="BQ215" i="5"/>
  <c r="BP215" i="5"/>
  <c r="BK215" i="5"/>
  <c r="BA215" i="5"/>
  <c r="AY215" i="5"/>
  <c r="AW215" i="5"/>
  <c r="AU215" i="5"/>
  <c r="AS215" i="5"/>
  <c r="AQ215" i="5"/>
  <c r="AO215" i="5"/>
  <c r="AK215" i="5"/>
  <c r="AI215" i="5"/>
  <c r="AG215" i="5"/>
  <c r="AD215" i="5"/>
  <c r="AA215" i="5"/>
  <c r="Y215" i="5"/>
  <c r="W215" i="5"/>
  <c r="U215" i="5"/>
  <c r="S215" i="5"/>
  <c r="G215" i="5"/>
  <c r="F215" i="5"/>
  <c r="BR215" i="5" s="1"/>
  <c r="B215" i="5"/>
  <c r="BT214" i="5"/>
  <c r="BS214" i="5"/>
  <c r="BQ214" i="5"/>
  <c r="BP214" i="5"/>
  <c r="BK214" i="5"/>
  <c r="BA214" i="5"/>
  <c r="AY214" i="5"/>
  <c r="AW214" i="5"/>
  <c r="AU214" i="5"/>
  <c r="AS214" i="5"/>
  <c r="AQ214" i="5"/>
  <c r="AO214" i="5"/>
  <c r="AK214" i="5"/>
  <c r="AI214" i="5"/>
  <c r="AG214" i="5"/>
  <c r="AD214" i="5"/>
  <c r="AA214" i="5"/>
  <c r="Y214" i="5"/>
  <c r="W214" i="5"/>
  <c r="U214" i="5"/>
  <c r="S214" i="5"/>
  <c r="G214" i="5"/>
  <c r="F214" i="5"/>
  <c r="BR214" i="5" s="1"/>
  <c r="B214" i="5"/>
  <c r="BT213" i="5"/>
  <c r="BS213" i="5"/>
  <c r="BR213" i="5"/>
  <c r="BQ213" i="5"/>
  <c r="BP213" i="5"/>
  <c r="BK213" i="5"/>
  <c r="BA213" i="5"/>
  <c r="AY213" i="5"/>
  <c r="AW213" i="5"/>
  <c r="AU213" i="5"/>
  <c r="AS213" i="5"/>
  <c r="AQ213" i="5"/>
  <c r="AO213" i="5"/>
  <c r="AK213" i="5"/>
  <c r="AI213" i="5"/>
  <c r="AG213" i="5"/>
  <c r="AD213" i="5"/>
  <c r="AA213" i="5"/>
  <c r="Y213" i="5"/>
  <c r="W213" i="5"/>
  <c r="U213" i="5"/>
  <c r="S213" i="5"/>
  <c r="G213" i="5"/>
  <c r="F213" i="5"/>
  <c r="B213" i="5"/>
  <c r="BT212" i="5"/>
  <c r="BS212" i="5"/>
  <c r="BQ212" i="5"/>
  <c r="BP212" i="5"/>
  <c r="BK212" i="5"/>
  <c r="BA212" i="5"/>
  <c r="AY212" i="5"/>
  <c r="AW212" i="5"/>
  <c r="AU212" i="5"/>
  <c r="AS212" i="5"/>
  <c r="AQ212" i="5"/>
  <c r="AO212" i="5"/>
  <c r="AK212" i="5"/>
  <c r="AI212" i="5"/>
  <c r="AG212" i="5"/>
  <c r="AD212" i="5"/>
  <c r="AA212" i="5"/>
  <c r="Y212" i="5"/>
  <c r="W212" i="5"/>
  <c r="U212" i="5"/>
  <c r="S212" i="5"/>
  <c r="G212" i="5"/>
  <c r="F212" i="5"/>
  <c r="BR212" i="5" s="1"/>
  <c r="B212" i="5"/>
  <c r="BT211" i="5"/>
  <c r="BS211" i="5"/>
  <c r="BR211" i="5"/>
  <c r="BQ211" i="5"/>
  <c r="BP211" i="5"/>
  <c r="BK211" i="5"/>
  <c r="BA211" i="5"/>
  <c r="AY211" i="5"/>
  <c r="AW211" i="5"/>
  <c r="AU211" i="5"/>
  <c r="AS211" i="5"/>
  <c r="AQ211" i="5"/>
  <c r="AO211" i="5"/>
  <c r="AK211" i="5"/>
  <c r="AI211" i="5"/>
  <c r="AG211" i="5"/>
  <c r="AD211" i="5"/>
  <c r="AA211" i="5"/>
  <c r="Y211" i="5"/>
  <c r="W211" i="5"/>
  <c r="U211" i="5"/>
  <c r="S211" i="5"/>
  <c r="G211" i="5"/>
  <c r="F211" i="5"/>
  <c r="B211" i="5"/>
  <c r="BT210" i="5"/>
  <c r="BS210" i="5"/>
  <c r="BQ210" i="5"/>
  <c r="BP210" i="5"/>
  <c r="BK210" i="5"/>
  <c r="BA210" i="5"/>
  <c r="AY210" i="5"/>
  <c r="AW210" i="5"/>
  <c r="AU210" i="5"/>
  <c r="AS210" i="5"/>
  <c r="AQ210" i="5"/>
  <c r="AO210" i="5"/>
  <c r="AK210" i="5"/>
  <c r="AI210" i="5"/>
  <c r="AG210" i="5"/>
  <c r="AD210" i="5"/>
  <c r="AA210" i="5"/>
  <c r="Y210" i="5"/>
  <c r="W210" i="5"/>
  <c r="U210" i="5"/>
  <c r="S210" i="5"/>
  <c r="G210" i="5"/>
  <c r="F210" i="5"/>
  <c r="BR210" i="5" s="1"/>
  <c r="B210" i="5"/>
  <c r="BT209" i="5"/>
  <c r="BS209" i="5"/>
  <c r="BQ209" i="5"/>
  <c r="BP209" i="5"/>
  <c r="BK209" i="5"/>
  <c r="BA209" i="5"/>
  <c r="AY209" i="5"/>
  <c r="AW209" i="5"/>
  <c r="AU209" i="5"/>
  <c r="AS209" i="5"/>
  <c r="AQ209" i="5"/>
  <c r="AO209" i="5"/>
  <c r="AK209" i="5"/>
  <c r="AI209" i="5"/>
  <c r="AG209" i="5"/>
  <c r="AD209" i="5"/>
  <c r="AA209" i="5"/>
  <c r="Y209" i="5"/>
  <c r="W209" i="5"/>
  <c r="U209" i="5"/>
  <c r="S209" i="5"/>
  <c r="G209" i="5"/>
  <c r="F209" i="5"/>
  <c r="BR209" i="5" s="1"/>
  <c r="B209" i="5"/>
  <c r="BT208" i="5"/>
  <c r="BS208" i="5"/>
  <c r="BQ208" i="5"/>
  <c r="BP208" i="5"/>
  <c r="BK208" i="5"/>
  <c r="BA208" i="5"/>
  <c r="AY208" i="5"/>
  <c r="AW208" i="5"/>
  <c r="AU208" i="5"/>
  <c r="AS208" i="5"/>
  <c r="AQ208" i="5"/>
  <c r="AO208" i="5"/>
  <c r="AK208" i="5"/>
  <c r="AI208" i="5"/>
  <c r="AG208" i="5"/>
  <c r="AD208" i="5"/>
  <c r="AA208" i="5"/>
  <c r="Y208" i="5"/>
  <c r="W208" i="5"/>
  <c r="U208" i="5"/>
  <c r="S208" i="5"/>
  <c r="G208" i="5"/>
  <c r="F208" i="5"/>
  <c r="BR208" i="5" s="1"/>
  <c r="B208" i="5"/>
  <c r="BT207" i="5"/>
  <c r="BS207" i="5"/>
  <c r="BQ207" i="5"/>
  <c r="BP207" i="5"/>
  <c r="BK207" i="5"/>
  <c r="BA207" i="5"/>
  <c r="AY207" i="5"/>
  <c r="AW207" i="5"/>
  <c r="AU207" i="5"/>
  <c r="AS207" i="5"/>
  <c r="AQ207" i="5"/>
  <c r="AO207" i="5"/>
  <c r="AK207" i="5"/>
  <c r="AI207" i="5"/>
  <c r="AG207" i="5"/>
  <c r="AD207" i="5"/>
  <c r="AA207" i="5"/>
  <c r="Y207" i="5"/>
  <c r="W207" i="5"/>
  <c r="U207" i="5"/>
  <c r="S207" i="5"/>
  <c r="G207" i="5"/>
  <c r="F207" i="5"/>
  <c r="BR207" i="5" s="1"/>
  <c r="B207" i="5"/>
  <c r="BT206" i="5"/>
  <c r="BS206" i="5"/>
  <c r="BR206" i="5"/>
  <c r="BQ206" i="5"/>
  <c r="BP206" i="5"/>
  <c r="BK206" i="5"/>
  <c r="BA206" i="5"/>
  <c r="AY206" i="5"/>
  <c r="AW206" i="5"/>
  <c r="AU206" i="5"/>
  <c r="AS206" i="5"/>
  <c r="AQ206" i="5"/>
  <c r="AO206" i="5"/>
  <c r="AK206" i="5"/>
  <c r="AI206" i="5"/>
  <c r="AG206" i="5"/>
  <c r="AD206" i="5"/>
  <c r="AA206" i="5"/>
  <c r="Y206" i="5"/>
  <c r="W206" i="5"/>
  <c r="U206" i="5"/>
  <c r="S206" i="5"/>
  <c r="G206" i="5"/>
  <c r="F206" i="5"/>
  <c r="B206" i="5"/>
  <c r="BT205" i="5"/>
  <c r="BS205" i="5"/>
  <c r="BQ205" i="5"/>
  <c r="BP205" i="5"/>
  <c r="BK205" i="5"/>
  <c r="BA205" i="5"/>
  <c r="AY205" i="5"/>
  <c r="AW205" i="5"/>
  <c r="AU205" i="5"/>
  <c r="AS205" i="5"/>
  <c r="AQ205" i="5"/>
  <c r="AO205" i="5"/>
  <c r="AK205" i="5"/>
  <c r="AI205" i="5"/>
  <c r="AG205" i="5"/>
  <c r="AD205" i="5"/>
  <c r="AA205" i="5"/>
  <c r="Y205" i="5"/>
  <c r="W205" i="5"/>
  <c r="U205" i="5"/>
  <c r="S205" i="5"/>
  <c r="G205" i="5"/>
  <c r="F205" i="5"/>
  <c r="BR205" i="5" s="1"/>
  <c r="B205" i="5"/>
  <c r="BT204" i="5"/>
  <c r="BS204" i="5"/>
  <c r="BQ204" i="5"/>
  <c r="BP204" i="5"/>
  <c r="BK204" i="5"/>
  <c r="BA204" i="5"/>
  <c r="AY204" i="5"/>
  <c r="AW204" i="5"/>
  <c r="AU204" i="5"/>
  <c r="AS204" i="5"/>
  <c r="AQ204" i="5"/>
  <c r="AO204" i="5"/>
  <c r="AK204" i="5"/>
  <c r="AI204" i="5"/>
  <c r="AG204" i="5"/>
  <c r="AD204" i="5"/>
  <c r="AA204" i="5"/>
  <c r="Y204" i="5"/>
  <c r="W204" i="5"/>
  <c r="U204" i="5"/>
  <c r="S204" i="5"/>
  <c r="G204" i="5"/>
  <c r="F204" i="5"/>
  <c r="BR204" i="5" s="1"/>
  <c r="B204" i="5"/>
  <c r="BT203" i="5"/>
  <c r="BS203" i="5"/>
  <c r="BQ203" i="5"/>
  <c r="BP203" i="5"/>
  <c r="BK203" i="5"/>
  <c r="BA203" i="5"/>
  <c r="AY203" i="5"/>
  <c r="AW203" i="5"/>
  <c r="AU203" i="5"/>
  <c r="AS203" i="5"/>
  <c r="AQ203" i="5"/>
  <c r="AO203" i="5"/>
  <c r="AK203" i="5"/>
  <c r="AI203" i="5"/>
  <c r="AG203" i="5"/>
  <c r="AD203" i="5"/>
  <c r="AA203" i="5"/>
  <c r="Y203" i="5"/>
  <c r="W203" i="5"/>
  <c r="U203" i="5"/>
  <c r="S203" i="5"/>
  <c r="G203" i="5"/>
  <c r="F203" i="5"/>
  <c r="BR203" i="5" s="1"/>
  <c r="B203" i="5"/>
  <c r="BT202" i="5"/>
  <c r="BS202" i="5"/>
  <c r="BQ202" i="5"/>
  <c r="BP202" i="5"/>
  <c r="BK202" i="5"/>
  <c r="BA202" i="5"/>
  <c r="AY202" i="5"/>
  <c r="AW202" i="5"/>
  <c r="AU202" i="5"/>
  <c r="AS202" i="5"/>
  <c r="AQ202" i="5"/>
  <c r="AO202" i="5"/>
  <c r="AK202" i="5"/>
  <c r="AI202" i="5"/>
  <c r="AG202" i="5"/>
  <c r="AD202" i="5"/>
  <c r="AA202" i="5"/>
  <c r="Y202" i="5"/>
  <c r="W202" i="5"/>
  <c r="U202" i="5"/>
  <c r="S202" i="5"/>
  <c r="G202" i="5"/>
  <c r="F202" i="5"/>
  <c r="BR202" i="5" s="1"/>
  <c r="B202" i="5"/>
  <c r="BT201" i="5"/>
  <c r="BS201" i="5"/>
  <c r="BQ201" i="5"/>
  <c r="BP201" i="5"/>
  <c r="BK201" i="5"/>
  <c r="BA201" i="5"/>
  <c r="AY201" i="5"/>
  <c r="AW201" i="5"/>
  <c r="AU201" i="5"/>
  <c r="AS201" i="5"/>
  <c r="AQ201" i="5"/>
  <c r="AO201" i="5"/>
  <c r="AK201" i="5"/>
  <c r="AI201" i="5"/>
  <c r="AG201" i="5"/>
  <c r="AD201" i="5"/>
  <c r="AA201" i="5"/>
  <c r="Y201" i="5"/>
  <c r="W201" i="5"/>
  <c r="U201" i="5"/>
  <c r="BL201" i="5" s="1"/>
  <c r="S201" i="5"/>
  <c r="G201" i="5"/>
  <c r="F201" i="5"/>
  <c r="BR201" i="5" s="1"/>
  <c r="B201" i="5"/>
  <c r="BT200" i="5"/>
  <c r="BS200" i="5"/>
  <c r="BQ200" i="5"/>
  <c r="BP200" i="5"/>
  <c r="BK200" i="5"/>
  <c r="BA200" i="5"/>
  <c r="AY200" i="5"/>
  <c r="AW200" i="5"/>
  <c r="AU200" i="5"/>
  <c r="AS200" i="5"/>
  <c r="AQ200" i="5"/>
  <c r="AO200" i="5"/>
  <c r="AK200" i="5"/>
  <c r="AI200" i="5"/>
  <c r="AG200" i="5"/>
  <c r="AD200" i="5"/>
  <c r="AA200" i="5"/>
  <c r="Y200" i="5"/>
  <c r="W200" i="5"/>
  <c r="U200" i="5"/>
  <c r="BL200" i="5" s="1"/>
  <c r="Q200" i="5" s="1"/>
  <c r="S200" i="5"/>
  <c r="G200" i="5"/>
  <c r="F200" i="5"/>
  <c r="BR200" i="5" s="1"/>
  <c r="B200" i="5"/>
  <c r="BT199" i="5"/>
  <c r="BS199" i="5"/>
  <c r="BQ199" i="5"/>
  <c r="BP199" i="5"/>
  <c r="BK199" i="5"/>
  <c r="BA199" i="5"/>
  <c r="AY199" i="5"/>
  <c r="AW199" i="5"/>
  <c r="AU199" i="5"/>
  <c r="AS199" i="5"/>
  <c r="AQ199" i="5"/>
  <c r="AO199" i="5"/>
  <c r="AK199" i="5"/>
  <c r="AI199" i="5"/>
  <c r="AG199" i="5"/>
  <c r="AD199" i="5"/>
  <c r="AA199" i="5"/>
  <c r="Y199" i="5"/>
  <c r="W199" i="5"/>
  <c r="U199" i="5"/>
  <c r="S199" i="5"/>
  <c r="G199" i="5"/>
  <c r="F199" i="5"/>
  <c r="BR199" i="5" s="1"/>
  <c r="B199" i="5"/>
  <c r="BT198" i="5"/>
  <c r="BS198" i="5"/>
  <c r="BQ198" i="5"/>
  <c r="BP198" i="5"/>
  <c r="BK198" i="5"/>
  <c r="BA198" i="5"/>
  <c r="AY198" i="5"/>
  <c r="AW198" i="5"/>
  <c r="AU198" i="5"/>
  <c r="AS198" i="5"/>
  <c r="AQ198" i="5"/>
  <c r="AO198" i="5"/>
  <c r="AK198" i="5"/>
  <c r="AI198" i="5"/>
  <c r="AG198" i="5"/>
  <c r="AD198" i="5"/>
  <c r="AA198" i="5"/>
  <c r="Y198" i="5"/>
  <c r="W198" i="5"/>
  <c r="U198" i="5"/>
  <c r="BL198" i="5" s="1"/>
  <c r="S198" i="5"/>
  <c r="G198" i="5"/>
  <c r="F198" i="5"/>
  <c r="BR198" i="5" s="1"/>
  <c r="B198" i="5"/>
  <c r="BT197" i="5"/>
  <c r="BS197" i="5"/>
  <c r="BQ197" i="5"/>
  <c r="BP197" i="5"/>
  <c r="BK197" i="5"/>
  <c r="BA197" i="5"/>
  <c r="AY197" i="5"/>
  <c r="AW197" i="5"/>
  <c r="AU197" i="5"/>
  <c r="AS197" i="5"/>
  <c r="AQ197" i="5"/>
  <c r="AO197" i="5"/>
  <c r="AK197" i="5"/>
  <c r="AI197" i="5"/>
  <c r="AG197" i="5"/>
  <c r="AD197" i="5"/>
  <c r="AA197" i="5"/>
  <c r="Y197" i="5"/>
  <c r="W197" i="5"/>
  <c r="U197" i="5"/>
  <c r="BL197" i="5" s="1"/>
  <c r="S197" i="5"/>
  <c r="G197" i="5"/>
  <c r="F197" i="5"/>
  <c r="BR197" i="5" s="1"/>
  <c r="B197" i="5"/>
  <c r="BT196" i="5"/>
  <c r="BS196" i="5"/>
  <c r="BR196" i="5"/>
  <c r="BQ196" i="5"/>
  <c r="BP196" i="5"/>
  <c r="BK196" i="5"/>
  <c r="BA196" i="5"/>
  <c r="AY196" i="5"/>
  <c r="AW196" i="5"/>
  <c r="AU196" i="5"/>
  <c r="AS196" i="5"/>
  <c r="AQ196" i="5"/>
  <c r="AO196" i="5"/>
  <c r="AK196" i="5"/>
  <c r="AI196" i="5"/>
  <c r="AG196" i="5"/>
  <c r="AD196" i="5"/>
  <c r="AA196" i="5"/>
  <c r="Y196" i="5"/>
  <c r="W196" i="5"/>
  <c r="U196" i="5"/>
  <c r="S196" i="5"/>
  <c r="G196" i="5"/>
  <c r="F196" i="5"/>
  <c r="B196" i="5"/>
  <c r="BT195" i="5"/>
  <c r="BS195" i="5"/>
  <c r="BQ195" i="5"/>
  <c r="BP195" i="5"/>
  <c r="BK195" i="5"/>
  <c r="BA195" i="5"/>
  <c r="AY195" i="5"/>
  <c r="AW195" i="5"/>
  <c r="AU195" i="5"/>
  <c r="AS195" i="5"/>
  <c r="AQ195" i="5"/>
  <c r="AO195" i="5"/>
  <c r="AK195" i="5"/>
  <c r="AI195" i="5"/>
  <c r="AG195" i="5"/>
  <c r="AD195" i="5"/>
  <c r="AA195" i="5"/>
  <c r="Y195" i="5"/>
  <c r="W195" i="5"/>
  <c r="U195" i="5"/>
  <c r="S195" i="5"/>
  <c r="G195" i="5"/>
  <c r="F195" i="5"/>
  <c r="BR195" i="5" s="1"/>
  <c r="B195" i="5"/>
  <c r="BT194" i="5"/>
  <c r="BS194" i="5"/>
  <c r="BQ194" i="5"/>
  <c r="BP194" i="5"/>
  <c r="BK194" i="5"/>
  <c r="BA194" i="5"/>
  <c r="AY194" i="5"/>
  <c r="AW194" i="5"/>
  <c r="AU194" i="5"/>
  <c r="AS194" i="5"/>
  <c r="AQ194" i="5"/>
  <c r="AO194" i="5"/>
  <c r="AK194" i="5"/>
  <c r="AI194" i="5"/>
  <c r="AG194" i="5"/>
  <c r="AD194" i="5"/>
  <c r="AA194" i="5"/>
  <c r="Y194" i="5"/>
  <c r="W194" i="5"/>
  <c r="U194" i="5"/>
  <c r="S194" i="5"/>
  <c r="G194" i="5"/>
  <c r="F194" i="5"/>
  <c r="BR194" i="5" s="1"/>
  <c r="B194" i="5"/>
  <c r="BT193" i="5"/>
  <c r="BS193" i="5"/>
  <c r="BR193" i="5"/>
  <c r="BQ193" i="5"/>
  <c r="BP193" i="5"/>
  <c r="BK193" i="5"/>
  <c r="BA193" i="5"/>
  <c r="AY193" i="5"/>
  <c r="AW193" i="5"/>
  <c r="AU193" i="5"/>
  <c r="AS193" i="5"/>
  <c r="AQ193" i="5"/>
  <c r="AO193" i="5"/>
  <c r="AK193" i="5"/>
  <c r="AI193" i="5"/>
  <c r="AG193" i="5"/>
  <c r="AD193" i="5"/>
  <c r="AA193" i="5"/>
  <c r="Y193" i="5"/>
  <c r="W193" i="5"/>
  <c r="U193" i="5"/>
  <c r="S193" i="5"/>
  <c r="G193" i="5"/>
  <c r="F193" i="5"/>
  <c r="B193" i="5"/>
  <c r="BT192" i="5"/>
  <c r="BS192" i="5"/>
  <c r="BQ192" i="5"/>
  <c r="BP192" i="5"/>
  <c r="BK192" i="5"/>
  <c r="BA192" i="5"/>
  <c r="AY192" i="5"/>
  <c r="AW192" i="5"/>
  <c r="AU192" i="5"/>
  <c r="AS192" i="5"/>
  <c r="AQ192" i="5"/>
  <c r="AO192" i="5"/>
  <c r="AK192" i="5"/>
  <c r="AI192" i="5"/>
  <c r="AG192" i="5"/>
  <c r="AD192" i="5"/>
  <c r="AA192" i="5"/>
  <c r="Y192" i="5"/>
  <c r="W192" i="5"/>
  <c r="U192" i="5"/>
  <c r="S192" i="5"/>
  <c r="G192" i="5"/>
  <c r="F192" i="5"/>
  <c r="BR192" i="5" s="1"/>
  <c r="B192" i="5"/>
  <c r="BT191" i="5"/>
  <c r="BS191" i="5"/>
  <c r="BQ191" i="5"/>
  <c r="BP191" i="5"/>
  <c r="BK191" i="5"/>
  <c r="BA191" i="5"/>
  <c r="AY191" i="5"/>
  <c r="AW191" i="5"/>
  <c r="AU191" i="5"/>
  <c r="AS191" i="5"/>
  <c r="AQ191" i="5"/>
  <c r="AO191" i="5"/>
  <c r="AK191" i="5"/>
  <c r="AI191" i="5"/>
  <c r="AG191" i="5"/>
  <c r="AD191" i="5"/>
  <c r="AA191" i="5"/>
  <c r="Y191" i="5"/>
  <c r="W191" i="5"/>
  <c r="U191" i="5"/>
  <c r="S191" i="5"/>
  <c r="G191" i="5"/>
  <c r="F191" i="5"/>
  <c r="BR191" i="5" s="1"/>
  <c r="B191" i="5"/>
  <c r="BT190" i="5"/>
  <c r="BS190" i="5"/>
  <c r="BQ190" i="5"/>
  <c r="BP190" i="5"/>
  <c r="BK190" i="5"/>
  <c r="BA190" i="5"/>
  <c r="AY190" i="5"/>
  <c r="AW190" i="5"/>
  <c r="AU190" i="5"/>
  <c r="AS190" i="5"/>
  <c r="AQ190" i="5"/>
  <c r="AO190" i="5"/>
  <c r="AK190" i="5"/>
  <c r="AI190" i="5"/>
  <c r="AG190" i="5"/>
  <c r="AD190" i="5"/>
  <c r="AA190" i="5"/>
  <c r="Y190" i="5"/>
  <c r="W190" i="5"/>
  <c r="U190" i="5"/>
  <c r="S190" i="5"/>
  <c r="G190" i="5"/>
  <c r="F190" i="5"/>
  <c r="BR190" i="5" s="1"/>
  <c r="B190" i="5"/>
  <c r="BT189" i="5"/>
  <c r="BS189" i="5"/>
  <c r="BQ189" i="5"/>
  <c r="BP189" i="5"/>
  <c r="BK189" i="5"/>
  <c r="BA189" i="5"/>
  <c r="AY189" i="5"/>
  <c r="AW189" i="5"/>
  <c r="AU189" i="5"/>
  <c r="AS189" i="5"/>
  <c r="AQ189" i="5"/>
  <c r="AO189" i="5"/>
  <c r="AK189" i="5"/>
  <c r="AI189" i="5"/>
  <c r="AG189" i="5"/>
  <c r="AD189" i="5"/>
  <c r="AA189" i="5"/>
  <c r="Y189" i="5"/>
  <c r="W189" i="5"/>
  <c r="U189" i="5"/>
  <c r="S189" i="5"/>
  <c r="G189" i="5"/>
  <c r="F189" i="5"/>
  <c r="BR189" i="5" s="1"/>
  <c r="B189" i="5"/>
  <c r="BT188" i="5"/>
  <c r="BS188" i="5"/>
  <c r="BQ188" i="5"/>
  <c r="BP188" i="5"/>
  <c r="BK188" i="5"/>
  <c r="BA188" i="5"/>
  <c r="AY188" i="5"/>
  <c r="AW188" i="5"/>
  <c r="AU188" i="5"/>
  <c r="AS188" i="5"/>
  <c r="AQ188" i="5"/>
  <c r="AO188" i="5"/>
  <c r="AK188" i="5"/>
  <c r="AI188" i="5"/>
  <c r="AG188" i="5"/>
  <c r="AD188" i="5"/>
  <c r="AA188" i="5"/>
  <c r="Y188" i="5"/>
  <c r="W188" i="5"/>
  <c r="U188" i="5"/>
  <c r="S188" i="5"/>
  <c r="G188" i="5"/>
  <c r="F188" i="5"/>
  <c r="BR188" i="5" s="1"/>
  <c r="B188" i="5"/>
  <c r="BT187" i="5"/>
  <c r="BS187" i="5"/>
  <c r="BR187" i="5"/>
  <c r="BQ187" i="5"/>
  <c r="BP187" i="5"/>
  <c r="BK187" i="5"/>
  <c r="BA187" i="5"/>
  <c r="AY187" i="5"/>
  <c r="AW187" i="5"/>
  <c r="AU187" i="5"/>
  <c r="AS187" i="5"/>
  <c r="AQ187" i="5"/>
  <c r="AO187" i="5"/>
  <c r="AK187" i="5"/>
  <c r="AI187" i="5"/>
  <c r="AG187" i="5"/>
  <c r="AD187" i="5"/>
  <c r="AA187" i="5"/>
  <c r="Y187" i="5"/>
  <c r="W187" i="5"/>
  <c r="U187" i="5"/>
  <c r="S187" i="5"/>
  <c r="G187" i="5"/>
  <c r="F187" i="5"/>
  <c r="B187" i="5"/>
  <c r="BT186" i="5"/>
  <c r="BS186" i="5"/>
  <c r="BQ186" i="5"/>
  <c r="BP186" i="5"/>
  <c r="BK186" i="5"/>
  <c r="BA186" i="5"/>
  <c r="AY186" i="5"/>
  <c r="AW186" i="5"/>
  <c r="AU186" i="5"/>
  <c r="AS186" i="5"/>
  <c r="AQ186" i="5"/>
  <c r="AO186" i="5"/>
  <c r="AK186" i="5"/>
  <c r="AI186" i="5"/>
  <c r="AG186" i="5"/>
  <c r="AD186" i="5"/>
  <c r="AA186" i="5"/>
  <c r="Y186" i="5"/>
  <c r="W186" i="5"/>
  <c r="U186" i="5"/>
  <c r="S186" i="5"/>
  <c r="G186" i="5"/>
  <c r="F186" i="5"/>
  <c r="BR186" i="5" s="1"/>
  <c r="B186" i="5"/>
  <c r="BT185" i="5"/>
  <c r="BS185" i="5"/>
  <c r="BQ185" i="5"/>
  <c r="BP185" i="5"/>
  <c r="BK185" i="5"/>
  <c r="BA185" i="5"/>
  <c r="AY185" i="5"/>
  <c r="AW185" i="5"/>
  <c r="AU185" i="5"/>
  <c r="AS185" i="5"/>
  <c r="AQ185" i="5"/>
  <c r="AO185" i="5"/>
  <c r="AK185" i="5"/>
  <c r="AI185" i="5"/>
  <c r="AG185" i="5"/>
  <c r="AD185" i="5"/>
  <c r="AA185" i="5"/>
  <c r="Y185" i="5"/>
  <c r="W185" i="5"/>
  <c r="U185" i="5"/>
  <c r="S185" i="5"/>
  <c r="G185" i="5"/>
  <c r="F185" i="5"/>
  <c r="BR185" i="5" s="1"/>
  <c r="B185" i="5"/>
  <c r="BT184" i="5"/>
  <c r="BS184" i="5"/>
  <c r="BQ184" i="5"/>
  <c r="BP184" i="5"/>
  <c r="BK184" i="5"/>
  <c r="BA184" i="5"/>
  <c r="AY184" i="5"/>
  <c r="AW184" i="5"/>
  <c r="AU184" i="5"/>
  <c r="AS184" i="5"/>
  <c r="AQ184" i="5"/>
  <c r="AO184" i="5"/>
  <c r="AK184" i="5"/>
  <c r="AI184" i="5"/>
  <c r="AG184" i="5"/>
  <c r="AD184" i="5"/>
  <c r="AA184" i="5"/>
  <c r="Y184" i="5"/>
  <c r="W184" i="5"/>
  <c r="U184" i="5"/>
  <c r="S184" i="5"/>
  <c r="G184" i="5"/>
  <c r="F184" i="5"/>
  <c r="BR184" i="5" s="1"/>
  <c r="B184" i="5"/>
  <c r="BT183" i="5"/>
  <c r="BS183" i="5"/>
  <c r="BQ183" i="5"/>
  <c r="BP183" i="5"/>
  <c r="BK183" i="5"/>
  <c r="BA183" i="5"/>
  <c r="AY183" i="5"/>
  <c r="AW183" i="5"/>
  <c r="AU183" i="5"/>
  <c r="AS183" i="5"/>
  <c r="AQ183" i="5"/>
  <c r="AO183" i="5"/>
  <c r="AK183" i="5"/>
  <c r="AI183" i="5"/>
  <c r="AG183" i="5"/>
  <c r="AD183" i="5"/>
  <c r="AA183" i="5"/>
  <c r="Y183" i="5"/>
  <c r="W183" i="5"/>
  <c r="U183" i="5"/>
  <c r="S183" i="5"/>
  <c r="G183" i="5"/>
  <c r="F183" i="5"/>
  <c r="BR183" i="5" s="1"/>
  <c r="B183" i="5"/>
  <c r="BT182" i="5"/>
  <c r="BS182" i="5"/>
  <c r="BQ182" i="5"/>
  <c r="BP182" i="5"/>
  <c r="BK182" i="5"/>
  <c r="BA182" i="5"/>
  <c r="AY182" i="5"/>
  <c r="AW182" i="5"/>
  <c r="AU182" i="5"/>
  <c r="AS182" i="5"/>
  <c r="AQ182" i="5"/>
  <c r="AO182" i="5"/>
  <c r="AK182" i="5"/>
  <c r="AI182" i="5"/>
  <c r="AG182" i="5"/>
  <c r="AD182" i="5"/>
  <c r="AA182" i="5"/>
  <c r="Y182" i="5"/>
  <c r="W182" i="5"/>
  <c r="U182" i="5"/>
  <c r="S182" i="5"/>
  <c r="G182" i="5"/>
  <c r="F182" i="5"/>
  <c r="BR182" i="5" s="1"/>
  <c r="B182" i="5"/>
  <c r="BT181" i="5"/>
  <c r="BS181" i="5"/>
  <c r="BQ181" i="5"/>
  <c r="BP181" i="5"/>
  <c r="BK181" i="5"/>
  <c r="BA181" i="5"/>
  <c r="AY181" i="5"/>
  <c r="AW181" i="5"/>
  <c r="AU181" i="5"/>
  <c r="AS181" i="5"/>
  <c r="AQ181" i="5"/>
  <c r="AO181" i="5"/>
  <c r="AK181" i="5"/>
  <c r="AI181" i="5"/>
  <c r="AG181" i="5"/>
  <c r="AD181" i="5"/>
  <c r="AA181" i="5"/>
  <c r="Y181" i="5"/>
  <c r="W181" i="5"/>
  <c r="U181" i="5"/>
  <c r="S181" i="5"/>
  <c r="G181" i="5"/>
  <c r="F181" i="5"/>
  <c r="BR181" i="5" s="1"/>
  <c r="B181" i="5"/>
  <c r="BT180" i="5"/>
  <c r="BS180" i="5"/>
  <c r="BQ180" i="5"/>
  <c r="BP180" i="5"/>
  <c r="BK180" i="5"/>
  <c r="BA180" i="5"/>
  <c r="AY180" i="5"/>
  <c r="AW180" i="5"/>
  <c r="AU180" i="5"/>
  <c r="AS180" i="5"/>
  <c r="AQ180" i="5"/>
  <c r="AO180" i="5"/>
  <c r="AK180" i="5"/>
  <c r="AI180" i="5"/>
  <c r="AG180" i="5"/>
  <c r="AD180" i="5"/>
  <c r="AA180" i="5"/>
  <c r="Y180" i="5"/>
  <c r="W180" i="5"/>
  <c r="U180" i="5"/>
  <c r="S180" i="5"/>
  <c r="G180" i="5"/>
  <c r="F180" i="5"/>
  <c r="BR180" i="5" s="1"/>
  <c r="B180" i="5"/>
  <c r="BT179" i="5"/>
  <c r="BS179" i="5"/>
  <c r="BQ179" i="5"/>
  <c r="BP179" i="5"/>
  <c r="BK179" i="5"/>
  <c r="BA179" i="5"/>
  <c r="AY179" i="5"/>
  <c r="AW179" i="5"/>
  <c r="AU179" i="5"/>
  <c r="AS179" i="5"/>
  <c r="AQ179" i="5"/>
  <c r="AO179" i="5"/>
  <c r="AK179" i="5"/>
  <c r="AI179" i="5"/>
  <c r="AG179" i="5"/>
  <c r="AD179" i="5"/>
  <c r="AA179" i="5"/>
  <c r="Y179" i="5"/>
  <c r="W179" i="5"/>
  <c r="U179" i="5"/>
  <c r="S179" i="5"/>
  <c r="G179" i="5"/>
  <c r="F179" i="5"/>
  <c r="BR179" i="5" s="1"/>
  <c r="B179" i="5"/>
  <c r="BT178" i="5"/>
  <c r="BS178" i="5"/>
  <c r="BQ178" i="5"/>
  <c r="BP178" i="5"/>
  <c r="BK178" i="5"/>
  <c r="BA178" i="5"/>
  <c r="AY178" i="5"/>
  <c r="AW178" i="5"/>
  <c r="AU178" i="5"/>
  <c r="AS178" i="5"/>
  <c r="AQ178" i="5"/>
  <c r="AO178" i="5"/>
  <c r="AK178" i="5"/>
  <c r="AI178" i="5"/>
  <c r="AG178" i="5"/>
  <c r="AD178" i="5"/>
  <c r="AA178" i="5"/>
  <c r="Y178" i="5"/>
  <c r="W178" i="5"/>
  <c r="U178" i="5"/>
  <c r="S178" i="5"/>
  <c r="G178" i="5"/>
  <c r="F178" i="5"/>
  <c r="BR178" i="5" s="1"/>
  <c r="B178" i="5"/>
  <c r="BT177" i="5"/>
  <c r="BS177" i="5"/>
  <c r="BQ177" i="5"/>
  <c r="BP177" i="5"/>
  <c r="BK177" i="5"/>
  <c r="BA177" i="5"/>
  <c r="AY177" i="5"/>
  <c r="AW177" i="5"/>
  <c r="AU177" i="5"/>
  <c r="AS177" i="5"/>
  <c r="AQ177" i="5"/>
  <c r="AO177" i="5"/>
  <c r="AK177" i="5"/>
  <c r="AI177" i="5"/>
  <c r="AG177" i="5"/>
  <c r="AD177" i="5"/>
  <c r="AA177" i="5"/>
  <c r="Y177" i="5"/>
  <c r="W177" i="5"/>
  <c r="U177" i="5"/>
  <c r="S177" i="5"/>
  <c r="G177" i="5"/>
  <c r="F177" i="5"/>
  <c r="BR177" i="5" s="1"/>
  <c r="B177" i="5"/>
  <c r="BT176" i="5"/>
  <c r="BS176" i="5"/>
  <c r="BQ176" i="5"/>
  <c r="BP176" i="5"/>
  <c r="BK176" i="5"/>
  <c r="BA176" i="5"/>
  <c r="AY176" i="5"/>
  <c r="AW176" i="5"/>
  <c r="AU176" i="5"/>
  <c r="AS176" i="5"/>
  <c r="AQ176" i="5"/>
  <c r="AO176" i="5"/>
  <c r="AK176" i="5"/>
  <c r="AI176" i="5"/>
  <c r="AG176" i="5"/>
  <c r="AD176" i="5"/>
  <c r="AA176" i="5"/>
  <c r="Y176" i="5"/>
  <c r="W176" i="5"/>
  <c r="U176" i="5"/>
  <c r="S176" i="5"/>
  <c r="G176" i="5"/>
  <c r="F176" i="5"/>
  <c r="BR176" i="5" s="1"/>
  <c r="B176" i="5"/>
  <c r="BT175" i="5"/>
  <c r="BS175" i="5"/>
  <c r="BQ175" i="5"/>
  <c r="BP175" i="5"/>
  <c r="BK175" i="5"/>
  <c r="BA175" i="5"/>
  <c r="AY175" i="5"/>
  <c r="AW175" i="5"/>
  <c r="AU175" i="5"/>
  <c r="AS175" i="5"/>
  <c r="AQ175" i="5"/>
  <c r="AO175" i="5"/>
  <c r="AK175" i="5"/>
  <c r="AI175" i="5"/>
  <c r="AG175" i="5"/>
  <c r="AD175" i="5"/>
  <c r="AA175" i="5"/>
  <c r="Y175" i="5"/>
  <c r="W175" i="5"/>
  <c r="U175" i="5"/>
  <c r="S175" i="5"/>
  <c r="G175" i="5"/>
  <c r="F175" i="5"/>
  <c r="BR175" i="5" s="1"/>
  <c r="B175" i="5"/>
  <c r="BT174" i="5"/>
  <c r="BS174" i="5"/>
  <c r="BQ174" i="5"/>
  <c r="BP174" i="5"/>
  <c r="BK174" i="5"/>
  <c r="BA174" i="5"/>
  <c r="AY174" i="5"/>
  <c r="AW174" i="5"/>
  <c r="AU174" i="5"/>
  <c r="AS174" i="5"/>
  <c r="AQ174" i="5"/>
  <c r="AO174" i="5"/>
  <c r="AK174" i="5"/>
  <c r="AI174" i="5"/>
  <c r="AG174" i="5"/>
  <c r="AD174" i="5"/>
  <c r="AA174" i="5"/>
  <c r="Y174" i="5"/>
  <c r="W174" i="5"/>
  <c r="U174" i="5"/>
  <c r="S174" i="5"/>
  <c r="G174" i="5"/>
  <c r="F174" i="5"/>
  <c r="BR174" i="5" s="1"/>
  <c r="B174" i="5"/>
  <c r="BT173" i="5"/>
  <c r="BS173" i="5"/>
  <c r="BQ173" i="5"/>
  <c r="BP173" i="5"/>
  <c r="BK173" i="5"/>
  <c r="BA173" i="5"/>
  <c r="AY173" i="5"/>
  <c r="AW173" i="5"/>
  <c r="AU173" i="5"/>
  <c r="AS173" i="5"/>
  <c r="AQ173" i="5"/>
  <c r="AO173" i="5"/>
  <c r="AK173" i="5"/>
  <c r="AI173" i="5"/>
  <c r="AG173" i="5"/>
  <c r="AD173" i="5"/>
  <c r="AA173" i="5"/>
  <c r="Y173" i="5"/>
  <c r="W173" i="5"/>
  <c r="U173" i="5"/>
  <c r="S173" i="5"/>
  <c r="G173" i="5"/>
  <c r="F173" i="5"/>
  <c r="BR173" i="5" s="1"/>
  <c r="B173" i="5"/>
  <c r="BT172" i="5"/>
  <c r="BS172" i="5"/>
  <c r="BQ172" i="5"/>
  <c r="BP172" i="5"/>
  <c r="BK172" i="5"/>
  <c r="BA172" i="5"/>
  <c r="AY172" i="5"/>
  <c r="AW172" i="5"/>
  <c r="AU172" i="5"/>
  <c r="AS172" i="5"/>
  <c r="AQ172" i="5"/>
  <c r="AO172" i="5"/>
  <c r="AK172" i="5"/>
  <c r="AI172" i="5"/>
  <c r="AG172" i="5"/>
  <c r="AD172" i="5"/>
  <c r="AA172" i="5"/>
  <c r="Y172" i="5"/>
  <c r="W172" i="5"/>
  <c r="U172" i="5"/>
  <c r="S172" i="5"/>
  <c r="G172" i="5"/>
  <c r="F172" i="5"/>
  <c r="BR172" i="5" s="1"/>
  <c r="B172" i="5"/>
  <c r="BT171" i="5"/>
  <c r="BS171" i="5"/>
  <c r="BQ171" i="5"/>
  <c r="BP171" i="5"/>
  <c r="BK171" i="5"/>
  <c r="BA171" i="5"/>
  <c r="AY171" i="5"/>
  <c r="AW171" i="5"/>
  <c r="AU171" i="5"/>
  <c r="AS171" i="5"/>
  <c r="AQ171" i="5"/>
  <c r="AO171" i="5"/>
  <c r="AK171" i="5"/>
  <c r="AI171" i="5"/>
  <c r="AG171" i="5"/>
  <c r="AD171" i="5"/>
  <c r="AA171" i="5"/>
  <c r="Y171" i="5"/>
  <c r="W171" i="5"/>
  <c r="U171" i="5"/>
  <c r="S171" i="5"/>
  <c r="G171" i="5"/>
  <c r="F171" i="5"/>
  <c r="BR171" i="5" s="1"/>
  <c r="B171" i="5"/>
  <c r="BT170" i="5"/>
  <c r="BS170" i="5"/>
  <c r="BQ170" i="5"/>
  <c r="BP170" i="5"/>
  <c r="BK170" i="5"/>
  <c r="BA170" i="5"/>
  <c r="AY170" i="5"/>
  <c r="AW170" i="5"/>
  <c r="AU170" i="5"/>
  <c r="AS170" i="5"/>
  <c r="AQ170" i="5"/>
  <c r="AO170" i="5"/>
  <c r="AK170" i="5"/>
  <c r="AI170" i="5"/>
  <c r="AG170" i="5"/>
  <c r="AD170" i="5"/>
  <c r="AA170" i="5"/>
  <c r="Y170" i="5"/>
  <c r="W170" i="5"/>
  <c r="U170" i="5"/>
  <c r="S170" i="5"/>
  <c r="G170" i="5"/>
  <c r="F170" i="5"/>
  <c r="BR170" i="5" s="1"/>
  <c r="B170" i="5"/>
  <c r="BT169" i="5"/>
  <c r="BS169" i="5"/>
  <c r="BR169" i="5"/>
  <c r="BQ169" i="5"/>
  <c r="BP169" i="5"/>
  <c r="BK169" i="5"/>
  <c r="BA169" i="5"/>
  <c r="AY169" i="5"/>
  <c r="AW169" i="5"/>
  <c r="AU169" i="5"/>
  <c r="AS169" i="5"/>
  <c r="AQ169" i="5"/>
  <c r="AO169" i="5"/>
  <c r="AK169" i="5"/>
  <c r="AI169" i="5"/>
  <c r="AG169" i="5"/>
  <c r="AD169" i="5"/>
  <c r="AA169" i="5"/>
  <c r="Y169" i="5"/>
  <c r="W169" i="5"/>
  <c r="U169" i="5"/>
  <c r="S169" i="5"/>
  <c r="G169" i="5"/>
  <c r="F169" i="5"/>
  <c r="B169" i="5"/>
  <c r="BT168" i="5"/>
  <c r="BS168" i="5"/>
  <c r="BQ168" i="5"/>
  <c r="BP168" i="5"/>
  <c r="BK168" i="5"/>
  <c r="BA168" i="5"/>
  <c r="AY168" i="5"/>
  <c r="AW168" i="5"/>
  <c r="AU168" i="5"/>
  <c r="AS168" i="5"/>
  <c r="AQ168" i="5"/>
  <c r="AO168" i="5"/>
  <c r="AK168" i="5"/>
  <c r="AI168" i="5"/>
  <c r="AG168" i="5"/>
  <c r="AD168" i="5"/>
  <c r="AA168" i="5"/>
  <c r="Y168" i="5"/>
  <c r="W168" i="5"/>
  <c r="U168" i="5"/>
  <c r="S168" i="5"/>
  <c r="G168" i="5"/>
  <c r="F168" i="5"/>
  <c r="BR168" i="5" s="1"/>
  <c r="B168" i="5"/>
  <c r="BT167" i="5"/>
  <c r="BS167" i="5"/>
  <c r="BQ167" i="5"/>
  <c r="BP167" i="5"/>
  <c r="BK167" i="5"/>
  <c r="BA167" i="5"/>
  <c r="AY167" i="5"/>
  <c r="AW167" i="5"/>
  <c r="AU167" i="5"/>
  <c r="AS167" i="5"/>
  <c r="AQ167" i="5"/>
  <c r="AO167" i="5"/>
  <c r="AK167" i="5"/>
  <c r="AI167" i="5"/>
  <c r="AG167" i="5"/>
  <c r="AD167" i="5"/>
  <c r="AA167" i="5"/>
  <c r="Y167" i="5"/>
  <c r="W167" i="5"/>
  <c r="U167" i="5"/>
  <c r="S167" i="5"/>
  <c r="G167" i="5"/>
  <c r="F167" i="5"/>
  <c r="BR167" i="5" s="1"/>
  <c r="B167" i="5"/>
  <c r="BT166" i="5"/>
  <c r="BS166" i="5"/>
  <c r="BQ166" i="5"/>
  <c r="BP166" i="5"/>
  <c r="BK166" i="5"/>
  <c r="BA166" i="5"/>
  <c r="AY166" i="5"/>
  <c r="AW166" i="5"/>
  <c r="AU166" i="5"/>
  <c r="AS166" i="5"/>
  <c r="AQ166" i="5"/>
  <c r="AO166" i="5"/>
  <c r="AK166" i="5"/>
  <c r="AI166" i="5"/>
  <c r="AG166" i="5"/>
  <c r="AD166" i="5"/>
  <c r="AA166" i="5"/>
  <c r="Y166" i="5"/>
  <c r="W166" i="5"/>
  <c r="U166" i="5"/>
  <c r="S166" i="5"/>
  <c r="G166" i="5"/>
  <c r="F166" i="5"/>
  <c r="BR166" i="5" s="1"/>
  <c r="B166" i="5"/>
  <c r="BT165" i="5"/>
  <c r="BS165" i="5"/>
  <c r="BQ165" i="5"/>
  <c r="BP165" i="5"/>
  <c r="BK165" i="5"/>
  <c r="BA165" i="5"/>
  <c r="AY165" i="5"/>
  <c r="AW165" i="5"/>
  <c r="AU165" i="5"/>
  <c r="AS165" i="5"/>
  <c r="AQ165" i="5"/>
  <c r="AO165" i="5"/>
  <c r="AK165" i="5"/>
  <c r="AI165" i="5"/>
  <c r="AG165" i="5"/>
  <c r="AD165" i="5"/>
  <c r="AA165" i="5"/>
  <c r="Y165" i="5"/>
  <c r="W165" i="5"/>
  <c r="U165" i="5"/>
  <c r="S165" i="5"/>
  <c r="G165" i="5"/>
  <c r="F165" i="5"/>
  <c r="BR165" i="5" s="1"/>
  <c r="B165" i="5"/>
  <c r="BT164" i="5"/>
  <c r="BS164" i="5"/>
  <c r="BQ164" i="5"/>
  <c r="BP164" i="5"/>
  <c r="BK164" i="5"/>
  <c r="BA164" i="5"/>
  <c r="AY164" i="5"/>
  <c r="AW164" i="5"/>
  <c r="AU164" i="5"/>
  <c r="AS164" i="5"/>
  <c r="AQ164" i="5"/>
  <c r="AO164" i="5"/>
  <c r="AK164" i="5"/>
  <c r="AI164" i="5"/>
  <c r="AG164" i="5"/>
  <c r="AD164" i="5"/>
  <c r="AA164" i="5"/>
  <c r="Y164" i="5"/>
  <c r="W164" i="5"/>
  <c r="U164" i="5"/>
  <c r="S164" i="5"/>
  <c r="G164" i="5"/>
  <c r="F164" i="5"/>
  <c r="BR164" i="5" s="1"/>
  <c r="B164" i="5"/>
  <c r="BT163" i="5"/>
  <c r="BS163" i="5"/>
  <c r="BR163" i="5"/>
  <c r="BQ163" i="5"/>
  <c r="BP163" i="5"/>
  <c r="BK163" i="5"/>
  <c r="BA163" i="5"/>
  <c r="AY163" i="5"/>
  <c r="AW163" i="5"/>
  <c r="AU163" i="5"/>
  <c r="AS163" i="5"/>
  <c r="AQ163" i="5"/>
  <c r="AO163" i="5"/>
  <c r="AK163" i="5"/>
  <c r="AI163" i="5"/>
  <c r="AG163" i="5"/>
  <c r="AD163" i="5"/>
  <c r="AA163" i="5"/>
  <c r="Y163" i="5"/>
  <c r="W163" i="5"/>
  <c r="U163" i="5"/>
  <c r="S163" i="5"/>
  <c r="G163" i="5"/>
  <c r="F163" i="5"/>
  <c r="B163" i="5"/>
  <c r="BT162" i="5"/>
  <c r="BS162" i="5"/>
  <c r="BQ162" i="5"/>
  <c r="BP162" i="5"/>
  <c r="BK162" i="5"/>
  <c r="BA162" i="5"/>
  <c r="AY162" i="5"/>
  <c r="AW162" i="5"/>
  <c r="AU162" i="5"/>
  <c r="AS162" i="5"/>
  <c r="AQ162" i="5"/>
  <c r="AO162" i="5"/>
  <c r="AK162" i="5"/>
  <c r="AI162" i="5"/>
  <c r="AG162" i="5"/>
  <c r="AD162" i="5"/>
  <c r="AA162" i="5"/>
  <c r="Y162" i="5"/>
  <c r="W162" i="5"/>
  <c r="U162" i="5"/>
  <c r="S162" i="5"/>
  <c r="G162" i="5"/>
  <c r="F162" i="5"/>
  <c r="BR162" i="5" s="1"/>
  <c r="B162" i="5"/>
  <c r="BT161" i="5"/>
  <c r="BS161" i="5"/>
  <c r="BR161" i="5"/>
  <c r="BQ161" i="5"/>
  <c r="BP161" i="5"/>
  <c r="BK161" i="5"/>
  <c r="BA161" i="5"/>
  <c r="AY161" i="5"/>
  <c r="AW161" i="5"/>
  <c r="AU161" i="5"/>
  <c r="AS161" i="5"/>
  <c r="AQ161" i="5"/>
  <c r="AO161" i="5"/>
  <c r="AK161" i="5"/>
  <c r="AI161" i="5"/>
  <c r="AG161" i="5"/>
  <c r="AD161" i="5"/>
  <c r="AA161" i="5"/>
  <c r="Y161" i="5"/>
  <c r="W161" i="5"/>
  <c r="U161" i="5"/>
  <c r="BL161" i="5" s="1"/>
  <c r="S161" i="5"/>
  <c r="G161" i="5"/>
  <c r="F161" i="5"/>
  <c r="B161" i="5"/>
  <c r="BT160" i="5"/>
  <c r="BS160" i="5"/>
  <c r="BQ160" i="5"/>
  <c r="BP160" i="5"/>
  <c r="BK160" i="5"/>
  <c r="BA160" i="5"/>
  <c r="AY160" i="5"/>
  <c r="AW160" i="5"/>
  <c r="AU160" i="5"/>
  <c r="AS160" i="5"/>
  <c r="AQ160" i="5"/>
  <c r="AO160" i="5"/>
  <c r="AK160" i="5"/>
  <c r="AI160" i="5"/>
  <c r="AG160" i="5"/>
  <c r="AD160" i="5"/>
  <c r="AA160" i="5"/>
  <c r="Y160" i="5"/>
  <c r="W160" i="5"/>
  <c r="U160" i="5"/>
  <c r="BL160" i="5" s="1"/>
  <c r="S160" i="5"/>
  <c r="G160" i="5"/>
  <c r="F160" i="5"/>
  <c r="BR160" i="5" s="1"/>
  <c r="B160" i="5"/>
  <c r="BT159" i="5"/>
  <c r="BS159" i="5"/>
  <c r="BQ159" i="5"/>
  <c r="BP159" i="5"/>
  <c r="BK159" i="5"/>
  <c r="BA159" i="5"/>
  <c r="AY159" i="5"/>
  <c r="AW159" i="5"/>
  <c r="AU159" i="5"/>
  <c r="AS159" i="5"/>
  <c r="AQ159" i="5"/>
  <c r="AO159" i="5"/>
  <c r="AK159" i="5"/>
  <c r="AI159" i="5"/>
  <c r="AG159" i="5"/>
  <c r="AD159" i="5"/>
  <c r="AA159" i="5"/>
  <c r="Y159" i="5"/>
  <c r="W159" i="5"/>
  <c r="U159" i="5"/>
  <c r="S159" i="5"/>
  <c r="G159" i="5"/>
  <c r="F159" i="5"/>
  <c r="BR159" i="5" s="1"/>
  <c r="B159" i="5"/>
  <c r="BT158" i="5"/>
  <c r="BS158" i="5"/>
  <c r="BQ158" i="5"/>
  <c r="BP158" i="5"/>
  <c r="BK158" i="5"/>
  <c r="BA158" i="5"/>
  <c r="AY158" i="5"/>
  <c r="AW158" i="5"/>
  <c r="AU158" i="5"/>
  <c r="AS158" i="5"/>
  <c r="AQ158" i="5"/>
  <c r="AO158" i="5"/>
  <c r="AK158" i="5"/>
  <c r="AI158" i="5"/>
  <c r="AG158" i="5"/>
  <c r="AD158" i="5"/>
  <c r="AA158" i="5"/>
  <c r="Y158" i="5"/>
  <c r="W158" i="5"/>
  <c r="U158" i="5"/>
  <c r="S158" i="5"/>
  <c r="G158" i="5"/>
  <c r="F158" i="5"/>
  <c r="BR158" i="5" s="1"/>
  <c r="B158" i="5"/>
  <c r="BT157" i="5"/>
  <c r="BS157" i="5"/>
  <c r="BQ157" i="5"/>
  <c r="BP157" i="5"/>
  <c r="BK157" i="5"/>
  <c r="BA157" i="5"/>
  <c r="AY157" i="5"/>
  <c r="AW157" i="5"/>
  <c r="AU157" i="5"/>
  <c r="AS157" i="5"/>
  <c r="AQ157" i="5"/>
  <c r="AO157" i="5"/>
  <c r="AK157" i="5"/>
  <c r="AI157" i="5"/>
  <c r="AG157" i="5"/>
  <c r="AD157" i="5"/>
  <c r="AA157" i="5"/>
  <c r="Y157" i="5"/>
  <c r="W157" i="5"/>
  <c r="U157" i="5"/>
  <c r="S157" i="5"/>
  <c r="G157" i="5"/>
  <c r="F157" i="5"/>
  <c r="BR157" i="5" s="1"/>
  <c r="B157" i="5"/>
  <c r="BT156" i="5"/>
  <c r="BS156" i="5"/>
  <c r="BQ156" i="5"/>
  <c r="BP156" i="5"/>
  <c r="BK156" i="5"/>
  <c r="BA156" i="5"/>
  <c r="AY156" i="5"/>
  <c r="AW156" i="5"/>
  <c r="AU156" i="5"/>
  <c r="AS156" i="5"/>
  <c r="AQ156" i="5"/>
  <c r="AO156" i="5"/>
  <c r="AK156" i="5"/>
  <c r="AI156" i="5"/>
  <c r="AG156" i="5"/>
  <c r="AD156" i="5"/>
  <c r="AA156" i="5"/>
  <c r="Y156" i="5"/>
  <c r="W156" i="5"/>
  <c r="U156" i="5"/>
  <c r="S156" i="5"/>
  <c r="G156" i="5"/>
  <c r="F156" i="5"/>
  <c r="BR156" i="5" s="1"/>
  <c r="B156" i="5"/>
  <c r="BT155" i="5"/>
  <c r="BS155" i="5"/>
  <c r="BQ155" i="5"/>
  <c r="BP155" i="5"/>
  <c r="BK155" i="5"/>
  <c r="BA155" i="5"/>
  <c r="AY155" i="5"/>
  <c r="AW155" i="5"/>
  <c r="AU155" i="5"/>
  <c r="AS155" i="5"/>
  <c r="AQ155" i="5"/>
  <c r="AO155" i="5"/>
  <c r="AK155" i="5"/>
  <c r="AI155" i="5"/>
  <c r="AG155" i="5"/>
  <c r="AD155" i="5"/>
  <c r="AA155" i="5"/>
  <c r="Y155" i="5"/>
  <c r="W155" i="5"/>
  <c r="U155" i="5"/>
  <c r="S155" i="5"/>
  <c r="G155" i="5"/>
  <c r="F155" i="5"/>
  <c r="BR155" i="5" s="1"/>
  <c r="B155" i="5"/>
  <c r="BT154" i="5"/>
  <c r="BS154" i="5"/>
  <c r="BQ154" i="5"/>
  <c r="BP154" i="5"/>
  <c r="BK154" i="5"/>
  <c r="BA154" i="5"/>
  <c r="AY154" i="5"/>
  <c r="AW154" i="5"/>
  <c r="AU154" i="5"/>
  <c r="AS154" i="5"/>
  <c r="AQ154" i="5"/>
  <c r="AO154" i="5"/>
  <c r="AK154" i="5"/>
  <c r="AI154" i="5"/>
  <c r="AG154" i="5"/>
  <c r="AD154" i="5"/>
  <c r="AA154" i="5"/>
  <c r="Y154" i="5"/>
  <c r="W154" i="5"/>
  <c r="U154" i="5"/>
  <c r="S154" i="5"/>
  <c r="G154" i="5"/>
  <c r="F154" i="5"/>
  <c r="BR154" i="5" s="1"/>
  <c r="B154" i="5"/>
  <c r="BT153" i="5"/>
  <c r="BS153" i="5"/>
  <c r="BQ153" i="5"/>
  <c r="BP153" i="5"/>
  <c r="BK153" i="5"/>
  <c r="BA153" i="5"/>
  <c r="AY153" i="5"/>
  <c r="AW153" i="5"/>
  <c r="AU153" i="5"/>
  <c r="AS153" i="5"/>
  <c r="AQ153" i="5"/>
  <c r="AO153" i="5"/>
  <c r="AK153" i="5"/>
  <c r="AI153" i="5"/>
  <c r="AG153" i="5"/>
  <c r="AD153" i="5"/>
  <c r="AA153" i="5"/>
  <c r="Y153" i="5"/>
  <c r="W153" i="5"/>
  <c r="U153" i="5"/>
  <c r="S153" i="5"/>
  <c r="G153" i="5"/>
  <c r="F153" i="5"/>
  <c r="BR153" i="5" s="1"/>
  <c r="B153" i="5"/>
  <c r="BT152" i="5"/>
  <c r="BS152" i="5"/>
  <c r="BQ152" i="5"/>
  <c r="BP152" i="5"/>
  <c r="BK152" i="5"/>
  <c r="BA152" i="5"/>
  <c r="AY152" i="5"/>
  <c r="AW152" i="5"/>
  <c r="AU152" i="5"/>
  <c r="AS152" i="5"/>
  <c r="AQ152" i="5"/>
  <c r="AO152" i="5"/>
  <c r="AK152" i="5"/>
  <c r="AI152" i="5"/>
  <c r="AG152" i="5"/>
  <c r="AD152" i="5"/>
  <c r="AA152" i="5"/>
  <c r="Y152" i="5"/>
  <c r="W152" i="5"/>
  <c r="U152" i="5"/>
  <c r="S152" i="5"/>
  <c r="G152" i="5"/>
  <c r="F152" i="5"/>
  <c r="BR152" i="5" s="1"/>
  <c r="B152" i="5"/>
  <c r="BT151" i="5"/>
  <c r="BS151" i="5"/>
  <c r="BQ151" i="5"/>
  <c r="BP151" i="5"/>
  <c r="BK151" i="5"/>
  <c r="BA151" i="5"/>
  <c r="AY151" i="5"/>
  <c r="AW151" i="5"/>
  <c r="AU151" i="5"/>
  <c r="AS151" i="5"/>
  <c r="AQ151" i="5"/>
  <c r="AO151" i="5"/>
  <c r="AK151" i="5"/>
  <c r="AI151" i="5"/>
  <c r="AG151" i="5"/>
  <c r="AD151" i="5"/>
  <c r="AA151" i="5"/>
  <c r="Y151" i="5"/>
  <c r="W151" i="5"/>
  <c r="U151" i="5"/>
  <c r="S151" i="5"/>
  <c r="G151" i="5"/>
  <c r="F151" i="5"/>
  <c r="BR151" i="5" s="1"/>
  <c r="B151" i="5"/>
  <c r="BT150" i="5"/>
  <c r="BS150" i="5"/>
  <c r="BQ150" i="5"/>
  <c r="BP150" i="5"/>
  <c r="BK150" i="5"/>
  <c r="BA150" i="5"/>
  <c r="AY150" i="5"/>
  <c r="AW150" i="5"/>
  <c r="AU150" i="5"/>
  <c r="AS150" i="5"/>
  <c r="AQ150" i="5"/>
  <c r="AO150" i="5"/>
  <c r="AK150" i="5"/>
  <c r="AI150" i="5"/>
  <c r="AG150" i="5"/>
  <c r="AD150" i="5"/>
  <c r="AA150" i="5"/>
  <c r="Y150" i="5"/>
  <c r="W150" i="5"/>
  <c r="U150" i="5"/>
  <c r="S150" i="5"/>
  <c r="G150" i="5"/>
  <c r="F150" i="5"/>
  <c r="BR150" i="5" s="1"/>
  <c r="B150" i="5"/>
  <c r="BT149" i="5"/>
  <c r="BS149" i="5"/>
  <c r="BQ149" i="5"/>
  <c r="BP149" i="5"/>
  <c r="BK149" i="5"/>
  <c r="BA149" i="5"/>
  <c r="AY149" i="5"/>
  <c r="AW149" i="5"/>
  <c r="AU149" i="5"/>
  <c r="AS149" i="5"/>
  <c r="AQ149" i="5"/>
  <c r="AO149" i="5"/>
  <c r="AK149" i="5"/>
  <c r="AI149" i="5"/>
  <c r="AG149" i="5"/>
  <c r="AD149" i="5"/>
  <c r="AA149" i="5"/>
  <c r="Y149" i="5"/>
  <c r="W149" i="5"/>
  <c r="U149" i="5"/>
  <c r="S149" i="5"/>
  <c r="G149" i="5"/>
  <c r="F149" i="5"/>
  <c r="BR149" i="5" s="1"/>
  <c r="B149" i="5"/>
  <c r="BT148" i="5"/>
  <c r="BS148" i="5"/>
  <c r="BQ148" i="5"/>
  <c r="BP148" i="5"/>
  <c r="BK148" i="5"/>
  <c r="BA148" i="5"/>
  <c r="AY148" i="5"/>
  <c r="AW148" i="5"/>
  <c r="AU148" i="5"/>
  <c r="AS148" i="5"/>
  <c r="AQ148" i="5"/>
  <c r="AO148" i="5"/>
  <c r="AK148" i="5"/>
  <c r="AI148" i="5"/>
  <c r="AG148" i="5"/>
  <c r="AD148" i="5"/>
  <c r="AA148" i="5"/>
  <c r="Y148" i="5"/>
  <c r="W148" i="5"/>
  <c r="U148" i="5"/>
  <c r="S148" i="5"/>
  <c r="G148" i="5"/>
  <c r="F148" i="5"/>
  <c r="BR148" i="5" s="1"/>
  <c r="B148" i="5"/>
  <c r="BT147" i="5"/>
  <c r="BS147" i="5"/>
  <c r="BQ147" i="5"/>
  <c r="BP147" i="5"/>
  <c r="BK147" i="5"/>
  <c r="BA147" i="5"/>
  <c r="AY147" i="5"/>
  <c r="AW147" i="5"/>
  <c r="AU147" i="5"/>
  <c r="AS147" i="5"/>
  <c r="AQ147" i="5"/>
  <c r="AO147" i="5"/>
  <c r="AK147" i="5"/>
  <c r="AI147" i="5"/>
  <c r="AG147" i="5"/>
  <c r="AD147" i="5"/>
  <c r="AA147" i="5"/>
  <c r="Y147" i="5"/>
  <c r="W147" i="5"/>
  <c r="U147" i="5"/>
  <c r="S147" i="5"/>
  <c r="G147" i="5"/>
  <c r="F147" i="5"/>
  <c r="BR147" i="5" s="1"/>
  <c r="B147" i="5"/>
  <c r="BT146" i="5"/>
  <c r="BS146" i="5"/>
  <c r="BQ146" i="5"/>
  <c r="BP146" i="5"/>
  <c r="BK146" i="5"/>
  <c r="BA146" i="5"/>
  <c r="AY146" i="5"/>
  <c r="AW146" i="5"/>
  <c r="AU146" i="5"/>
  <c r="AS146" i="5"/>
  <c r="AQ146" i="5"/>
  <c r="AO146" i="5"/>
  <c r="AK146" i="5"/>
  <c r="AI146" i="5"/>
  <c r="AG146" i="5"/>
  <c r="AD146" i="5"/>
  <c r="AA146" i="5"/>
  <c r="Y146" i="5"/>
  <c r="W146" i="5"/>
  <c r="U146" i="5"/>
  <c r="S146" i="5"/>
  <c r="G146" i="5"/>
  <c r="F146" i="5"/>
  <c r="BR146" i="5" s="1"/>
  <c r="B146" i="5"/>
  <c r="BT145" i="5"/>
  <c r="BS145" i="5"/>
  <c r="BQ145" i="5"/>
  <c r="BP145" i="5"/>
  <c r="BK145" i="5"/>
  <c r="BA145" i="5"/>
  <c r="AY145" i="5"/>
  <c r="AW145" i="5"/>
  <c r="AU145" i="5"/>
  <c r="AS145" i="5"/>
  <c r="AQ145" i="5"/>
  <c r="AO145" i="5"/>
  <c r="AK145" i="5"/>
  <c r="AI145" i="5"/>
  <c r="AG145" i="5"/>
  <c r="AD145" i="5"/>
  <c r="AA145" i="5"/>
  <c r="Y145" i="5"/>
  <c r="W145" i="5"/>
  <c r="U145" i="5"/>
  <c r="S145" i="5"/>
  <c r="G145" i="5"/>
  <c r="F145" i="5"/>
  <c r="BR145" i="5" s="1"/>
  <c r="B145" i="5"/>
  <c r="BT144" i="5"/>
  <c r="BS144" i="5"/>
  <c r="BQ144" i="5"/>
  <c r="BP144" i="5"/>
  <c r="BK144" i="5"/>
  <c r="BA144" i="5"/>
  <c r="AY144" i="5"/>
  <c r="AW144" i="5"/>
  <c r="AU144" i="5"/>
  <c r="AS144" i="5"/>
  <c r="AQ144" i="5"/>
  <c r="AO144" i="5"/>
  <c r="AK144" i="5"/>
  <c r="AI144" i="5"/>
  <c r="AG144" i="5"/>
  <c r="AD144" i="5"/>
  <c r="AA144" i="5"/>
  <c r="Y144" i="5"/>
  <c r="W144" i="5"/>
  <c r="U144" i="5"/>
  <c r="S144" i="5"/>
  <c r="G144" i="5"/>
  <c r="F144" i="5"/>
  <c r="BR144" i="5" s="1"/>
  <c r="B144" i="5"/>
  <c r="BT143" i="5"/>
  <c r="BS143" i="5"/>
  <c r="BQ143" i="5"/>
  <c r="BP143" i="5"/>
  <c r="BK143" i="5"/>
  <c r="BA143" i="5"/>
  <c r="AY143" i="5"/>
  <c r="AW143" i="5"/>
  <c r="AU143" i="5"/>
  <c r="AS143" i="5"/>
  <c r="AQ143" i="5"/>
  <c r="AO143" i="5"/>
  <c r="AK143" i="5"/>
  <c r="AI143" i="5"/>
  <c r="AG143" i="5"/>
  <c r="AD143" i="5"/>
  <c r="AA143" i="5"/>
  <c r="Y143" i="5"/>
  <c r="W143" i="5"/>
  <c r="U143" i="5"/>
  <c r="S143" i="5"/>
  <c r="G143" i="5"/>
  <c r="F143" i="5"/>
  <c r="BR143" i="5" s="1"/>
  <c r="B143" i="5"/>
  <c r="BT142" i="5"/>
  <c r="BS142" i="5"/>
  <c r="BQ142" i="5"/>
  <c r="BP142" i="5"/>
  <c r="BK142" i="5"/>
  <c r="BA142" i="5"/>
  <c r="AY142" i="5"/>
  <c r="AW142" i="5"/>
  <c r="AU142" i="5"/>
  <c r="AS142" i="5"/>
  <c r="AQ142" i="5"/>
  <c r="AO142" i="5"/>
  <c r="AK142" i="5"/>
  <c r="AI142" i="5"/>
  <c r="AG142" i="5"/>
  <c r="AD142" i="5"/>
  <c r="AA142" i="5"/>
  <c r="Y142" i="5"/>
  <c r="W142" i="5"/>
  <c r="U142" i="5"/>
  <c r="S142" i="5"/>
  <c r="G142" i="5"/>
  <c r="F142" i="5"/>
  <c r="BR142" i="5" s="1"/>
  <c r="B142" i="5"/>
  <c r="BT141" i="5"/>
  <c r="BS141" i="5"/>
  <c r="BQ141" i="5"/>
  <c r="BP141" i="5"/>
  <c r="BK141" i="5"/>
  <c r="BA141" i="5"/>
  <c r="AY141" i="5"/>
  <c r="AW141" i="5"/>
  <c r="AU141" i="5"/>
  <c r="AS141" i="5"/>
  <c r="AQ141" i="5"/>
  <c r="AO141" i="5"/>
  <c r="AK141" i="5"/>
  <c r="AI141" i="5"/>
  <c r="AG141" i="5"/>
  <c r="AD141" i="5"/>
  <c r="AA141" i="5"/>
  <c r="Y141" i="5"/>
  <c r="W141" i="5"/>
  <c r="U141" i="5"/>
  <c r="S141" i="5"/>
  <c r="G141" i="5"/>
  <c r="F141" i="5"/>
  <c r="BR141" i="5" s="1"/>
  <c r="B141" i="5"/>
  <c r="BT140" i="5"/>
  <c r="BS140" i="5"/>
  <c r="BQ140" i="5"/>
  <c r="BP140" i="5"/>
  <c r="BK140" i="5"/>
  <c r="BA140" i="5"/>
  <c r="AY140" i="5"/>
  <c r="AW140" i="5"/>
  <c r="AU140" i="5"/>
  <c r="AS140" i="5"/>
  <c r="AQ140" i="5"/>
  <c r="AO140" i="5"/>
  <c r="AK140" i="5"/>
  <c r="AI140" i="5"/>
  <c r="AG140" i="5"/>
  <c r="AD140" i="5"/>
  <c r="AA140" i="5"/>
  <c r="Y140" i="5"/>
  <c r="W140" i="5"/>
  <c r="U140" i="5"/>
  <c r="S140" i="5"/>
  <c r="G140" i="5"/>
  <c r="F140" i="5"/>
  <c r="BR140" i="5" s="1"/>
  <c r="B140" i="5"/>
  <c r="BT139" i="5"/>
  <c r="BS139" i="5"/>
  <c r="BQ139" i="5"/>
  <c r="BP139" i="5"/>
  <c r="BK139" i="5"/>
  <c r="BA139" i="5"/>
  <c r="AY139" i="5"/>
  <c r="AW139" i="5"/>
  <c r="AU139" i="5"/>
  <c r="AS139" i="5"/>
  <c r="AQ139" i="5"/>
  <c r="AO139" i="5"/>
  <c r="AK139" i="5"/>
  <c r="AI139" i="5"/>
  <c r="AG139" i="5"/>
  <c r="AD139" i="5"/>
  <c r="AA139" i="5"/>
  <c r="Y139" i="5"/>
  <c r="W139" i="5"/>
  <c r="U139" i="5"/>
  <c r="S139" i="5"/>
  <c r="G139" i="5"/>
  <c r="F139" i="5"/>
  <c r="BR139" i="5" s="1"/>
  <c r="B139" i="5"/>
  <c r="BT138" i="5"/>
  <c r="BS138" i="5"/>
  <c r="BQ138" i="5"/>
  <c r="BP138" i="5"/>
  <c r="BK138" i="5"/>
  <c r="BA138" i="5"/>
  <c r="AY138" i="5"/>
  <c r="AW138" i="5"/>
  <c r="AU138" i="5"/>
  <c r="AS138" i="5"/>
  <c r="AQ138" i="5"/>
  <c r="AO138" i="5"/>
  <c r="AK138" i="5"/>
  <c r="AI138" i="5"/>
  <c r="AG138" i="5"/>
  <c r="AD138" i="5"/>
  <c r="AA138" i="5"/>
  <c r="Y138" i="5"/>
  <c r="W138" i="5"/>
  <c r="U138" i="5"/>
  <c r="S138" i="5"/>
  <c r="G138" i="5"/>
  <c r="F138" i="5"/>
  <c r="BR138" i="5" s="1"/>
  <c r="B138" i="5"/>
  <c r="BT137" i="5"/>
  <c r="BS137" i="5"/>
  <c r="BQ137" i="5"/>
  <c r="BP137" i="5"/>
  <c r="BK137" i="5"/>
  <c r="BA137" i="5"/>
  <c r="AY137" i="5"/>
  <c r="AW137" i="5"/>
  <c r="AU137" i="5"/>
  <c r="AS137" i="5"/>
  <c r="AQ137" i="5"/>
  <c r="AO137" i="5"/>
  <c r="AK137" i="5"/>
  <c r="AI137" i="5"/>
  <c r="AG137" i="5"/>
  <c r="AD137" i="5"/>
  <c r="AA137" i="5"/>
  <c r="Y137" i="5"/>
  <c r="W137" i="5"/>
  <c r="U137" i="5"/>
  <c r="S137" i="5"/>
  <c r="G137" i="5"/>
  <c r="F137" i="5"/>
  <c r="BR137" i="5" s="1"/>
  <c r="B137" i="5"/>
  <c r="BT136" i="5"/>
  <c r="BS136" i="5"/>
  <c r="BQ136" i="5"/>
  <c r="BP136" i="5"/>
  <c r="BK136" i="5"/>
  <c r="BA136" i="5"/>
  <c r="AY136" i="5"/>
  <c r="AW136" i="5"/>
  <c r="AU136" i="5"/>
  <c r="AS136" i="5"/>
  <c r="AQ136" i="5"/>
  <c r="AO136" i="5"/>
  <c r="AK136" i="5"/>
  <c r="AI136" i="5"/>
  <c r="AG136" i="5"/>
  <c r="AD136" i="5"/>
  <c r="AA136" i="5"/>
  <c r="Y136" i="5"/>
  <c r="W136" i="5"/>
  <c r="U136" i="5"/>
  <c r="BL136" i="5" s="1"/>
  <c r="S136" i="5"/>
  <c r="G136" i="5"/>
  <c r="F136" i="5"/>
  <c r="BR136" i="5" s="1"/>
  <c r="B136" i="5"/>
  <c r="BT135" i="5"/>
  <c r="BS135" i="5"/>
  <c r="BQ135" i="5"/>
  <c r="BP135" i="5"/>
  <c r="BK135" i="5"/>
  <c r="BA135" i="5"/>
  <c r="AY135" i="5"/>
  <c r="AW135" i="5"/>
  <c r="AU135" i="5"/>
  <c r="AS135" i="5"/>
  <c r="AQ135" i="5"/>
  <c r="AO135" i="5"/>
  <c r="AK135" i="5"/>
  <c r="AI135" i="5"/>
  <c r="AG135" i="5"/>
  <c r="AD135" i="5"/>
  <c r="AA135" i="5"/>
  <c r="Y135" i="5"/>
  <c r="W135" i="5"/>
  <c r="U135" i="5"/>
  <c r="BL135" i="5" s="1"/>
  <c r="S135" i="5"/>
  <c r="G135" i="5"/>
  <c r="F135" i="5"/>
  <c r="BR135" i="5" s="1"/>
  <c r="B135" i="5"/>
  <c r="BT134" i="5"/>
  <c r="BS134" i="5"/>
  <c r="BQ134" i="5"/>
  <c r="BP134" i="5"/>
  <c r="BK134" i="5"/>
  <c r="BA134" i="5"/>
  <c r="AY134" i="5"/>
  <c r="AW134" i="5"/>
  <c r="AU134" i="5"/>
  <c r="AS134" i="5"/>
  <c r="AQ134" i="5"/>
  <c r="AO134" i="5"/>
  <c r="AK134" i="5"/>
  <c r="AI134" i="5"/>
  <c r="AG134" i="5"/>
  <c r="AD134" i="5"/>
  <c r="AA134" i="5"/>
  <c r="Y134" i="5"/>
  <c r="W134" i="5"/>
  <c r="U134" i="5"/>
  <c r="S134" i="5"/>
  <c r="G134" i="5"/>
  <c r="F134" i="5"/>
  <c r="BR134" i="5" s="1"/>
  <c r="B134" i="5"/>
  <c r="BT133" i="5"/>
  <c r="BS133" i="5"/>
  <c r="BQ133" i="5"/>
  <c r="BP133" i="5"/>
  <c r="BK133" i="5"/>
  <c r="BA133" i="5"/>
  <c r="AY133" i="5"/>
  <c r="AW133" i="5"/>
  <c r="AU133" i="5"/>
  <c r="AS133" i="5"/>
  <c r="AQ133" i="5"/>
  <c r="AO133" i="5"/>
  <c r="AK133" i="5"/>
  <c r="AI133" i="5"/>
  <c r="AG133" i="5"/>
  <c r="AD133" i="5"/>
  <c r="AA133" i="5"/>
  <c r="Y133" i="5"/>
  <c r="W133" i="5"/>
  <c r="U133" i="5"/>
  <c r="BL133" i="5" s="1"/>
  <c r="S133" i="5"/>
  <c r="G133" i="5"/>
  <c r="F133" i="5"/>
  <c r="BR133" i="5" s="1"/>
  <c r="B133" i="5"/>
  <c r="BT132" i="5"/>
  <c r="BS132" i="5"/>
  <c r="BQ132" i="5"/>
  <c r="BP132" i="5"/>
  <c r="BK132" i="5"/>
  <c r="BA132" i="5"/>
  <c r="AY132" i="5"/>
  <c r="AW132" i="5"/>
  <c r="AU132" i="5"/>
  <c r="AS132" i="5"/>
  <c r="AQ132" i="5"/>
  <c r="AO132" i="5"/>
  <c r="AK132" i="5"/>
  <c r="AI132" i="5"/>
  <c r="AG132" i="5"/>
  <c r="AD132" i="5"/>
  <c r="AA132" i="5"/>
  <c r="Y132" i="5"/>
  <c r="W132" i="5"/>
  <c r="U132" i="5"/>
  <c r="BL132" i="5" s="1"/>
  <c r="Q132" i="5" s="1"/>
  <c r="S132" i="5"/>
  <c r="G132" i="5"/>
  <c r="F132" i="5"/>
  <c r="BR132" i="5" s="1"/>
  <c r="B132" i="5"/>
  <c r="BT131" i="5"/>
  <c r="BS131" i="5"/>
  <c r="BQ131" i="5"/>
  <c r="BP131" i="5"/>
  <c r="BK131" i="5"/>
  <c r="BA131" i="5"/>
  <c r="AY131" i="5"/>
  <c r="AW131" i="5"/>
  <c r="AU131" i="5"/>
  <c r="AS131" i="5"/>
  <c r="AQ131" i="5"/>
  <c r="AO131" i="5"/>
  <c r="AK131" i="5"/>
  <c r="AI131" i="5"/>
  <c r="AG131" i="5"/>
  <c r="AD131" i="5"/>
  <c r="AA131" i="5"/>
  <c r="Y131" i="5"/>
  <c r="W131" i="5"/>
  <c r="U131" i="5"/>
  <c r="S131" i="5"/>
  <c r="G131" i="5"/>
  <c r="F131" i="5"/>
  <c r="BR131" i="5" s="1"/>
  <c r="B131" i="5"/>
  <c r="BT130" i="5"/>
  <c r="BS130" i="5"/>
  <c r="BQ130" i="5"/>
  <c r="BP130" i="5"/>
  <c r="BK130" i="5"/>
  <c r="BA130" i="5"/>
  <c r="AY130" i="5"/>
  <c r="AW130" i="5"/>
  <c r="AU130" i="5"/>
  <c r="AS130" i="5"/>
  <c r="AQ130" i="5"/>
  <c r="AO130" i="5"/>
  <c r="AK130" i="5"/>
  <c r="AI130" i="5"/>
  <c r="AG130" i="5"/>
  <c r="AD130" i="5"/>
  <c r="AA130" i="5"/>
  <c r="Y130" i="5"/>
  <c r="W130" i="5"/>
  <c r="U130" i="5"/>
  <c r="S130" i="5"/>
  <c r="G130" i="5"/>
  <c r="F130" i="5"/>
  <c r="BR130" i="5" s="1"/>
  <c r="B130" i="5"/>
  <c r="BT129" i="5"/>
  <c r="BS129" i="5"/>
  <c r="BQ129" i="5"/>
  <c r="BP129" i="5"/>
  <c r="BK129" i="5"/>
  <c r="BA129" i="5"/>
  <c r="AY129" i="5"/>
  <c r="AW129" i="5"/>
  <c r="AU129" i="5"/>
  <c r="AS129" i="5"/>
  <c r="AQ129" i="5"/>
  <c r="AO129" i="5"/>
  <c r="AK129" i="5"/>
  <c r="AI129" i="5"/>
  <c r="AG129" i="5"/>
  <c r="AD129" i="5"/>
  <c r="AA129" i="5"/>
  <c r="Y129" i="5"/>
  <c r="W129" i="5"/>
  <c r="U129" i="5"/>
  <c r="BL129" i="5" s="1"/>
  <c r="S129" i="5"/>
  <c r="G129" i="5"/>
  <c r="F129" i="5"/>
  <c r="BR129" i="5" s="1"/>
  <c r="B129" i="5"/>
  <c r="BT128" i="5"/>
  <c r="BS128" i="5"/>
  <c r="BR128" i="5"/>
  <c r="BQ128" i="5"/>
  <c r="BP128" i="5"/>
  <c r="BK128" i="5"/>
  <c r="BA128" i="5"/>
  <c r="AY128" i="5"/>
  <c r="AW128" i="5"/>
  <c r="AU128" i="5"/>
  <c r="AS128" i="5"/>
  <c r="AQ128" i="5"/>
  <c r="AO128" i="5"/>
  <c r="AK128" i="5"/>
  <c r="AI128" i="5"/>
  <c r="AG128" i="5"/>
  <c r="AD128" i="5"/>
  <c r="AA128" i="5"/>
  <c r="Y128" i="5"/>
  <c r="W128" i="5"/>
  <c r="U128" i="5"/>
  <c r="S128" i="5"/>
  <c r="G128" i="5"/>
  <c r="F128" i="5"/>
  <c r="B128" i="5"/>
  <c r="BT127" i="5"/>
  <c r="BS127" i="5"/>
  <c r="BQ127" i="5"/>
  <c r="BP127" i="5"/>
  <c r="BK127" i="5"/>
  <c r="BA127" i="5"/>
  <c r="AY127" i="5"/>
  <c r="AW127" i="5"/>
  <c r="AU127" i="5"/>
  <c r="AS127" i="5"/>
  <c r="AQ127" i="5"/>
  <c r="AO127" i="5"/>
  <c r="AK127" i="5"/>
  <c r="AI127" i="5"/>
  <c r="AG127" i="5"/>
  <c r="AD127" i="5"/>
  <c r="AA127" i="5"/>
  <c r="Y127" i="5"/>
  <c r="W127" i="5"/>
  <c r="U127" i="5"/>
  <c r="S127" i="5"/>
  <c r="G127" i="5"/>
  <c r="F127" i="5"/>
  <c r="BR127" i="5" s="1"/>
  <c r="B127" i="5"/>
  <c r="BT126" i="5"/>
  <c r="BS126" i="5"/>
  <c r="BR126" i="5"/>
  <c r="BQ126" i="5"/>
  <c r="BP126" i="5"/>
  <c r="BK126" i="5"/>
  <c r="BA126" i="5"/>
  <c r="AY126" i="5"/>
  <c r="AW126" i="5"/>
  <c r="AU126" i="5"/>
  <c r="AS126" i="5"/>
  <c r="AQ126" i="5"/>
  <c r="AO126" i="5"/>
  <c r="AK126" i="5"/>
  <c r="AI126" i="5"/>
  <c r="AG126" i="5"/>
  <c r="AD126" i="5"/>
  <c r="AA126" i="5"/>
  <c r="BL126" i="5" s="1"/>
  <c r="Q126" i="5" s="1"/>
  <c r="Y126" i="5"/>
  <c r="W126" i="5"/>
  <c r="U126" i="5"/>
  <c r="S126" i="5"/>
  <c r="G126" i="5"/>
  <c r="F126" i="5"/>
  <c r="B126" i="5"/>
  <c r="BT125" i="5"/>
  <c r="BS125" i="5"/>
  <c r="BQ125" i="5"/>
  <c r="BP125" i="5"/>
  <c r="BK125" i="5"/>
  <c r="BA125" i="5"/>
  <c r="AY125" i="5"/>
  <c r="AW125" i="5"/>
  <c r="AU125" i="5"/>
  <c r="AS125" i="5"/>
  <c r="AQ125" i="5"/>
  <c r="AO125" i="5"/>
  <c r="AK125" i="5"/>
  <c r="AI125" i="5"/>
  <c r="AG125" i="5"/>
  <c r="AD125" i="5"/>
  <c r="AA125" i="5"/>
  <c r="Y125" i="5"/>
  <c r="W125" i="5"/>
  <c r="U125" i="5"/>
  <c r="S125" i="5"/>
  <c r="G125" i="5"/>
  <c r="F125" i="5"/>
  <c r="BR125" i="5" s="1"/>
  <c r="B125" i="5"/>
  <c r="BT124" i="5"/>
  <c r="BS124" i="5"/>
  <c r="BQ124" i="5"/>
  <c r="BP124" i="5"/>
  <c r="BK124" i="5"/>
  <c r="BA124" i="5"/>
  <c r="AY124" i="5"/>
  <c r="AW124" i="5"/>
  <c r="AU124" i="5"/>
  <c r="AS124" i="5"/>
  <c r="AQ124" i="5"/>
  <c r="AO124" i="5"/>
  <c r="AK124" i="5"/>
  <c r="AI124" i="5"/>
  <c r="AG124" i="5"/>
  <c r="AD124" i="5"/>
  <c r="AA124" i="5"/>
  <c r="Y124" i="5"/>
  <c r="W124" i="5"/>
  <c r="U124" i="5"/>
  <c r="S124" i="5"/>
  <c r="G124" i="5"/>
  <c r="F124" i="5"/>
  <c r="BR124" i="5" s="1"/>
  <c r="B124" i="5"/>
  <c r="BT123" i="5"/>
  <c r="BS123" i="5"/>
  <c r="BQ123" i="5"/>
  <c r="BP123" i="5"/>
  <c r="BK123" i="5"/>
  <c r="BA123" i="5"/>
  <c r="AY123" i="5"/>
  <c r="AW123" i="5"/>
  <c r="AU123" i="5"/>
  <c r="AS123" i="5"/>
  <c r="AQ123" i="5"/>
  <c r="AO123" i="5"/>
  <c r="AK123" i="5"/>
  <c r="AI123" i="5"/>
  <c r="AG123" i="5"/>
  <c r="AD123" i="5"/>
  <c r="AA123" i="5"/>
  <c r="Y123" i="5"/>
  <c r="W123" i="5"/>
  <c r="U123" i="5"/>
  <c r="S123" i="5"/>
  <c r="G123" i="5"/>
  <c r="F123" i="5"/>
  <c r="BR123" i="5" s="1"/>
  <c r="B123" i="5"/>
  <c r="BT122" i="5"/>
  <c r="BS122" i="5"/>
  <c r="BQ122" i="5"/>
  <c r="BP122" i="5"/>
  <c r="BK122" i="5"/>
  <c r="BA122" i="5"/>
  <c r="AY122" i="5"/>
  <c r="AW122" i="5"/>
  <c r="AU122" i="5"/>
  <c r="AS122" i="5"/>
  <c r="AQ122" i="5"/>
  <c r="AO122" i="5"/>
  <c r="AK122" i="5"/>
  <c r="AI122" i="5"/>
  <c r="AG122" i="5"/>
  <c r="AD122" i="5"/>
  <c r="AA122" i="5"/>
  <c r="Y122" i="5"/>
  <c r="W122" i="5"/>
  <c r="U122" i="5"/>
  <c r="S122" i="5"/>
  <c r="G122" i="5"/>
  <c r="F122" i="5"/>
  <c r="BR122" i="5" s="1"/>
  <c r="B122" i="5"/>
  <c r="BT121" i="5"/>
  <c r="BS121" i="5"/>
  <c r="BQ121" i="5"/>
  <c r="BP121" i="5"/>
  <c r="BK121" i="5"/>
  <c r="BA121" i="5"/>
  <c r="AY121" i="5"/>
  <c r="AW121" i="5"/>
  <c r="AU121" i="5"/>
  <c r="AS121" i="5"/>
  <c r="AQ121" i="5"/>
  <c r="AO121" i="5"/>
  <c r="AK121" i="5"/>
  <c r="AI121" i="5"/>
  <c r="AG121" i="5"/>
  <c r="AD121" i="5"/>
  <c r="AA121" i="5"/>
  <c r="Y121" i="5"/>
  <c r="W121" i="5"/>
  <c r="U121" i="5"/>
  <c r="S121" i="5"/>
  <c r="G121" i="5"/>
  <c r="F121" i="5"/>
  <c r="BR121" i="5" s="1"/>
  <c r="B121" i="5"/>
  <c r="BT120" i="5"/>
  <c r="BS120" i="5"/>
  <c r="BQ120" i="5"/>
  <c r="BP120" i="5"/>
  <c r="BK120" i="5"/>
  <c r="BA120" i="5"/>
  <c r="AY120" i="5"/>
  <c r="AW120" i="5"/>
  <c r="AU120" i="5"/>
  <c r="AS120" i="5"/>
  <c r="AQ120" i="5"/>
  <c r="AO120" i="5"/>
  <c r="AK120" i="5"/>
  <c r="AI120" i="5"/>
  <c r="AG120" i="5"/>
  <c r="AD120" i="5"/>
  <c r="AA120" i="5"/>
  <c r="Y120" i="5"/>
  <c r="W120" i="5"/>
  <c r="U120" i="5"/>
  <c r="S120" i="5"/>
  <c r="G120" i="5"/>
  <c r="F120" i="5"/>
  <c r="BR120" i="5" s="1"/>
  <c r="B120" i="5"/>
  <c r="BT119" i="5"/>
  <c r="BS119" i="5"/>
  <c r="BQ119" i="5"/>
  <c r="BP119" i="5"/>
  <c r="BK119" i="5"/>
  <c r="BA119" i="5"/>
  <c r="AY119" i="5"/>
  <c r="AW119" i="5"/>
  <c r="AU119" i="5"/>
  <c r="AS119" i="5"/>
  <c r="AQ119" i="5"/>
  <c r="AO119" i="5"/>
  <c r="AK119" i="5"/>
  <c r="AI119" i="5"/>
  <c r="AG119" i="5"/>
  <c r="AD119" i="5"/>
  <c r="AA119" i="5"/>
  <c r="Y119" i="5"/>
  <c r="W119" i="5"/>
  <c r="U119" i="5"/>
  <c r="S119" i="5"/>
  <c r="G119" i="5"/>
  <c r="F119" i="5"/>
  <c r="BR119" i="5" s="1"/>
  <c r="B119" i="5"/>
  <c r="BT118" i="5"/>
  <c r="BS118" i="5"/>
  <c r="BQ118" i="5"/>
  <c r="BP118" i="5"/>
  <c r="BK118" i="5"/>
  <c r="BA118" i="5"/>
  <c r="AY118" i="5"/>
  <c r="AW118" i="5"/>
  <c r="AU118" i="5"/>
  <c r="AS118" i="5"/>
  <c r="AQ118" i="5"/>
  <c r="AO118" i="5"/>
  <c r="AK118" i="5"/>
  <c r="AI118" i="5"/>
  <c r="AG118" i="5"/>
  <c r="AD118" i="5"/>
  <c r="AA118" i="5"/>
  <c r="Y118" i="5"/>
  <c r="W118" i="5"/>
  <c r="U118" i="5"/>
  <c r="S118" i="5"/>
  <c r="G118" i="5"/>
  <c r="F118" i="5"/>
  <c r="BR118" i="5" s="1"/>
  <c r="B118" i="5"/>
  <c r="BT117" i="5"/>
  <c r="BS117" i="5"/>
  <c r="BQ117" i="5"/>
  <c r="BP117" i="5"/>
  <c r="BK117" i="5"/>
  <c r="BA117" i="5"/>
  <c r="AY117" i="5"/>
  <c r="AW117" i="5"/>
  <c r="AU117" i="5"/>
  <c r="AS117" i="5"/>
  <c r="AQ117" i="5"/>
  <c r="AO117" i="5"/>
  <c r="AK117" i="5"/>
  <c r="AI117" i="5"/>
  <c r="AG117" i="5"/>
  <c r="AD117" i="5"/>
  <c r="AA117" i="5"/>
  <c r="Y117" i="5"/>
  <c r="W117" i="5"/>
  <c r="U117" i="5"/>
  <c r="S117" i="5"/>
  <c r="G117" i="5"/>
  <c r="F117" i="5"/>
  <c r="BR117" i="5" s="1"/>
  <c r="B117" i="5"/>
  <c r="BT116" i="5"/>
  <c r="BS116" i="5"/>
  <c r="BR116" i="5"/>
  <c r="BQ116" i="5"/>
  <c r="BP116" i="5"/>
  <c r="BK116" i="5"/>
  <c r="BA116" i="5"/>
  <c r="AY116" i="5"/>
  <c r="AW116" i="5"/>
  <c r="AU116" i="5"/>
  <c r="AS116" i="5"/>
  <c r="AQ116" i="5"/>
  <c r="AO116" i="5"/>
  <c r="AK116" i="5"/>
  <c r="AI116" i="5"/>
  <c r="AG116" i="5"/>
  <c r="AD116" i="5"/>
  <c r="AA116" i="5"/>
  <c r="Y116" i="5"/>
  <c r="W116" i="5"/>
  <c r="U116" i="5"/>
  <c r="S116" i="5"/>
  <c r="G116" i="5"/>
  <c r="F116" i="5"/>
  <c r="B116" i="5"/>
  <c r="BT115" i="5"/>
  <c r="BS115" i="5"/>
  <c r="BQ115" i="5"/>
  <c r="BP115" i="5"/>
  <c r="BK115" i="5"/>
  <c r="BA115" i="5"/>
  <c r="AY115" i="5"/>
  <c r="AW115" i="5"/>
  <c r="AU115" i="5"/>
  <c r="AS115" i="5"/>
  <c r="AQ115" i="5"/>
  <c r="AO115" i="5"/>
  <c r="AK115" i="5"/>
  <c r="AI115" i="5"/>
  <c r="AG115" i="5"/>
  <c r="AD115" i="5"/>
  <c r="AA115" i="5"/>
  <c r="Y115" i="5"/>
  <c r="W115" i="5"/>
  <c r="U115" i="5"/>
  <c r="S115" i="5"/>
  <c r="G115" i="5"/>
  <c r="F115" i="5"/>
  <c r="BR115" i="5" s="1"/>
  <c r="B115" i="5"/>
  <c r="BT114" i="5"/>
  <c r="BS114" i="5"/>
  <c r="BQ114" i="5"/>
  <c r="BP114" i="5"/>
  <c r="BK114" i="5"/>
  <c r="BA114" i="5"/>
  <c r="AY114" i="5"/>
  <c r="AW114" i="5"/>
  <c r="AU114" i="5"/>
  <c r="AS114" i="5"/>
  <c r="AQ114" i="5"/>
  <c r="AO114" i="5"/>
  <c r="AK114" i="5"/>
  <c r="AI114" i="5"/>
  <c r="AG114" i="5"/>
  <c r="AD114" i="5"/>
  <c r="AA114" i="5"/>
  <c r="Y114" i="5"/>
  <c r="W114" i="5"/>
  <c r="U114" i="5"/>
  <c r="S114" i="5"/>
  <c r="G114" i="5"/>
  <c r="F114" i="5"/>
  <c r="BR114" i="5" s="1"/>
  <c r="B114" i="5"/>
  <c r="BT113" i="5"/>
  <c r="BS113" i="5"/>
  <c r="BQ113" i="5"/>
  <c r="BP113" i="5"/>
  <c r="BK113" i="5"/>
  <c r="BA113" i="5"/>
  <c r="AY113" i="5"/>
  <c r="AW113" i="5"/>
  <c r="AU113" i="5"/>
  <c r="AS113" i="5"/>
  <c r="AQ113" i="5"/>
  <c r="AO113" i="5"/>
  <c r="AK113" i="5"/>
  <c r="AI113" i="5"/>
  <c r="AG113" i="5"/>
  <c r="AD113" i="5"/>
  <c r="AA113" i="5"/>
  <c r="Y113" i="5"/>
  <c r="W113" i="5"/>
  <c r="U113" i="5"/>
  <c r="S113" i="5"/>
  <c r="G113" i="5"/>
  <c r="F113" i="5"/>
  <c r="BR113" i="5" s="1"/>
  <c r="B113" i="5"/>
  <c r="BT112" i="5"/>
  <c r="BS112" i="5"/>
  <c r="BR112" i="5"/>
  <c r="BQ112" i="5"/>
  <c r="BP112" i="5"/>
  <c r="BK112" i="5"/>
  <c r="BA112" i="5"/>
  <c r="AY112" i="5"/>
  <c r="AW112" i="5"/>
  <c r="AU112" i="5"/>
  <c r="AS112" i="5"/>
  <c r="AQ112" i="5"/>
  <c r="AO112" i="5"/>
  <c r="AK112" i="5"/>
  <c r="AI112" i="5"/>
  <c r="AG112" i="5"/>
  <c r="AD112" i="5"/>
  <c r="AA112" i="5"/>
  <c r="Y112" i="5"/>
  <c r="W112" i="5"/>
  <c r="U112" i="5"/>
  <c r="S112" i="5"/>
  <c r="G112" i="5"/>
  <c r="F112" i="5"/>
  <c r="B112" i="5"/>
  <c r="BT111" i="5"/>
  <c r="BS111" i="5"/>
  <c r="BQ111" i="5"/>
  <c r="BP111" i="5"/>
  <c r="BK111" i="5"/>
  <c r="BA111" i="5"/>
  <c r="AY111" i="5"/>
  <c r="AW111" i="5"/>
  <c r="AU111" i="5"/>
  <c r="AS111" i="5"/>
  <c r="AQ111" i="5"/>
  <c r="AO111" i="5"/>
  <c r="AK111" i="5"/>
  <c r="AI111" i="5"/>
  <c r="AG111" i="5"/>
  <c r="AD111" i="5"/>
  <c r="AA111" i="5"/>
  <c r="Y111" i="5"/>
  <c r="W111" i="5"/>
  <c r="U111" i="5"/>
  <c r="S111" i="5"/>
  <c r="G111" i="5"/>
  <c r="F111" i="5"/>
  <c r="BR111" i="5" s="1"/>
  <c r="B111" i="5"/>
  <c r="BT110" i="5"/>
  <c r="BS110" i="5"/>
  <c r="BR110" i="5"/>
  <c r="BQ110" i="5"/>
  <c r="BP110" i="5"/>
  <c r="BK110" i="5"/>
  <c r="BA110" i="5"/>
  <c r="AY110" i="5"/>
  <c r="AW110" i="5"/>
  <c r="AU110" i="5"/>
  <c r="AS110" i="5"/>
  <c r="AQ110" i="5"/>
  <c r="AO110" i="5"/>
  <c r="AK110" i="5"/>
  <c r="AI110" i="5"/>
  <c r="AG110" i="5"/>
  <c r="AD110" i="5"/>
  <c r="AA110" i="5"/>
  <c r="Y110" i="5"/>
  <c r="W110" i="5"/>
  <c r="U110" i="5"/>
  <c r="BL110" i="5" s="1"/>
  <c r="S110" i="5"/>
  <c r="G110" i="5"/>
  <c r="F110" i="5"/>
  <c r="B110" i="5"/>
  <c r="BT109" i="5"/>
  <c r="BS109" i="5"/>
  <c r="BQ109" i="5"/>
  <c r="BP109" i="5"/>
  <c r="BK109" i="5"/>
  <c r="BA109" i="5"/>
  <c r="AY109" i="5"/>
  <c r="AW109" i="5"/>
  <c r="AU109" i="5"/>
  <c r="AS109" i="5"/>
  <c r="AQ109" i="5"/>
  <c r="AO109" i="5"/>
  <c r="AK109" i="5"/>
  <c r="AI109" i="5"/>
  <c r="AG109" i="5"/>
  <c r="AD109" i="5"/>
  <c r="AA109" i="5"/>
  <c r="Y109" i="5"/>
  <c r="W109" i="5"/>
  <c r="U109" i="5"/>
  <c r="S109" i="5"/>
  <c r="G109" i="5"/>
  <c r="F109" i="5"/>
  <c r="BR109" i="5" s="1"/>
  <c r="B109" i="5"/>
  <c r="BT108" i="5"/>
  <c r="BS108" i="5"/>
  <c r="BQ108" i="5"/>
  <c r="BP108" i="5"/>
  <c r="BK108" i="5"/>
  <c r="BA108" i="5"/>
  <c r="AY108" i="5"/>
  <c r="AW108" i="5"/>
  <c r="AU108" i="5"/>
  <c r="AS108" i="5"/>
  <c r="AQ108" i="5"/>
  <c r="AO108" i="5"/>
  <c r="AK108" i="5"/>
  <c r="AI108" i="5"/>
  <c r="AG108" i="5"/>
  <c r="AD108" i="5"/>
  <c r="AA108" i="5"/>
  <c r="Y108" i="5"/>
  <c r="W108" i="5"/>
  <c r="U108" i="5"/>
  <c r="S108" i="5"/>
  <c r="G108" i="5"/>
  <c r="F108" i="5"/>
  <c r="BR108" i="5" s="1"/>
  <c r="B108" i="5"/>
  <c r="BT107" i="5"/>
  <c r="BS107" i="5"/>
  <c r="BQ107" i="5"/>
  <c r="BP107" i="5"/>
  <c r="BK107" i="5"/>
  <c r="BA107" i="5"/>
  <c r="AY107" i="5"/>
  <c r="AW107" i="5"/>
  <c r="AU107" i="5"/>
  <c r="AS107" i="5"/>
  <c r="AQ107" i="5"/>
  <c r="AO107" i="5"/>
  <c r="AK107" i="5"/>
  <c r="AI107" i="5"/>
  <c r="AG107" i="5"/>
  <c r="AD107" i="5"/>
  <c r="AA107" i="5"/>
  <c r="Y107" i="5"/>
  <c r="W107" i="5"/>
  <c r="U107" i="5"/>
  <c r="S107" i="5"/>
  <c r="G107" i="5"/>
  <c r="F107" i="5"/>
  <c r="BR107" i="5" s="1"/>
  <c r="B107" i="5"/>
  <c r="BT106" i="5"/>
  <c r="BS106" i="5"/>
  <c r="BQ106" i="5"/>
  <c r="BP106" i="5"/>
  <c r="BK106" i="5"/>
  <c r="BA106" i="5"/>
  <c r="AY106" i="5"/>
  <c r="AW106" i="5"/>
  <c r="AU106" i="5"/>
  <c r="AS106" i="5"/>
  <c r="AQ106" i="5"/>
  <c r="AO106" i="5"/>
  <c r="AK106" i="5"/>
  <c r="AI106" i="5"/>
  <c r="AG106" i="5"/>
  <c r="AD106" i="5"/>
  <c r="AA106" i="5"/>
  <c r="Y106" i="5"/>
  <c r="W106" i="5"/>
  <c r="U106" i="5"/>
  <c r="S106" i="5"/>
  <c r="G106" i="5"/>
  <c r="F106" i="5"/>
  <c r="BR106" i="5" s="1"/>
  <c r="B106" i="5"/>
  <c r="BT105" i="5"/>
  <c r="BS105" i="5"/>
  <c r="BQ105" i="5"/>
  <c r="BP105" i="5"/>
  <c r="BK105" i="5"/>
  <c r="BA105" i="5"/>
  <c r="AY105" i="5"/>
  <c r="AW105" i="5"/>
  <c r="AU105" i="5"/>
  <c r="AS105" i="5"/>
  <c r="AQ105" i="5"/>
  <c r="AO105" i="5"/>
  <c r="AK105" i="5"/>
  <c r="AI105" i="5"/>
  <c r="AG105" i="5"/>
  <c r="AD105" i="5"/>
  <c r="AA105" i="5"/>
  <c r="Y105" i="5"/>
  <c r="W105" i="5"/>
  <c r="U105" i="5"/>
  <c r="S105" i="5"/>
  <c r="G105" i="5"/>
  <c r="F105" i="5"/>
  <c r="BR105" i="5" s="1"/>
  <c r="B105" i="5"/>
  <c r="BT104" i="5"/>
  <c r="BS104" i="5"/>
  <c r="BQ104" i="5"/>
  <c r="BP104" i="5"/>
  <c r="BK104" i="5"/>
  <c r="BA104" i="5"/>
  <c r="AY104" i="5"/>
  <c r="AW104" i="5"/>
  <c r="AU104" i="5"/>
  <c r="AS104" i="5"/>
  <c r="AQ104" i="5"/>
  <c r="AO104" i="5"/>
  <c r="AK104" i="5"/>
  <c r="AI104" i="5"/>
  <c r="AG104" i="5"/>
  <c r="AD104" i="5"/>
  <c r="AA104" i="5"/>
  <c r="Y104" i="5"/>
  <c r="W104" i="5"/>
  <c r="U104" i="5"/>
  <c r="BL104" i="5" s="1"/>
  <c r="S104" i="5"/>
  <c r="G104" i="5"/>
  <c r="F104" i="5"/>
  <c r="BR104" i="5" s="1"/>
  <c r="B104" i="5"/>
  <c r="BT103" i="5"/>
  <c r="BS103" i="5"/>
  <c r="BQ103" i="5"/>
  <c r="BP103" i="5"/>
  <c r="BK103" i="5"/>
  <c r="BA103" i="5"/>
  <c r="AY103" i="5"/>
  <c r="AW103" i="5"/>
  <c r="AU103" i="5"/>
  <c r="AS103" i="5"/>
  <c r="AQ103" i="5"/>
  <c r="AO103" i="5"/>
  <c r="AK103" i="5"/>
  <c r="AI103" i="5"/>
  <c r="AG103" i="5"/>
  <c r="AD103" i="5"/>
  <c r="AA103" i="5"/>
  <c r="Y103" i="5"/>
  <c r="W103" i="5"/>
  <c r="U103" i="5"/>
  <c r="BL103" i="5" s="1"/>
  <c r="S103" i="5"/>
  <c r="G103" i="5"/>
  <c r="F103" i="5"/>
  <c r="BR103" i="5" s="1"/>
  <c r="B103" i="5"/>
  <c r="BT102" i="5"/>
  <c r="BS102" i="5"/>
  <c r="BQ102" i="5"/>
  <c r="BP102" i="5"/>
  <c r="BK102" i="5"/>
  <c r="BA102" i="5"/>
  <c r="AY102" i="5"/>
  <c r="AW102" i="5"/>
  <c r="AU102" i="5"/>
  <c r="AS102" i="5"/>
  <c r="AQ102" i="5"/>
  <c r="AO102" i="5"/>
  <c r="AK102" i="5"/>
  <c r="AI102" i="5"/>
  <c r="AG102" i="5"/>
  <c r="AD102" i="5"/>
  <c r="AA102" i="5"/>
  <c r="Y102" i="5"/>
  <c r="W102" i="5"/>
  <c r="U102" i="5"/>
  <c r="BL102" i="5" s="1"/>
  <c r="S102" i="5"/>
  <c r="G102" i="5"/>
  <c r="F102" i="5"/>
  <c r="BR102" i="5" s="1"/>
  <c r="B102" i="5"/>
  <c r="BT101" i="5"/>
  <c r="BS101" i="5"/>
  <c r="BR101" i="5"/>
  <c r="BQ101" i="5"/>
  <c r="BP101" i="5"/>
  <c r="BK101" i="5"/>
  <c r="BA101" i="5"/>
  <c r="AY101" i="5"/>
  <c r="AW101" i="5"/>
  <c r="AU101" i="5"/>
  <c r="AS101" i="5"/>
  <c r="AQ101" i="5"/>
  <c r="AO101" i="5"/>
  <c r="AK101" i="5"/>
  <c r="AI101" i="5"/>
  <c r="AG101" i="5"/>
  <c r="AD101" i="5"/>
  <c r="AA101" i="5"/>
  <c r="Y101" i="5"/>
  <c r="W101" i="5"/>
  <c r="U101" i="5"/>
  <c r="S101" i="5"/>
  <c r="G101" i="5"/>
  <c r="F101" i="5"/>
  <c r="B101" i="5"/>
  <c r="BT100" i="5"/>
  <c r="BS100" i="5"/>
  <c r="BR100" i="5"/>
  <c r="BQ100" i="5"/>
  <c r="BP100" i="5"/>
  <c r="BK100" i="5"/>
  <c r="BA100" i="5"/>
  <c r="AY100" i="5"/>
  <c r="AW100" i="5"/>
  <c r="AU100" i="5"/>
  <c r="AS100" i="5"/>
  <c r="AQ100" i="5"/>
  <c r="AO100" i="5"/>
  <c r="AK100" i="5"/>
  <c r="AI100" i="5"/>
  <c r="AG100" i="5"/>
  <c r="AD100" i="5"/>
  <c r="AA100" i="5"/>
  <c r="Y100" i="5"/>
  <c r="W100" i="5"/>
  <c r="U100" i="5"/>
  <c r="S100" i="5"/>
  <c r="G100" i="5"/>
  <c r="F100" i="5"/>
  <c r="B100" i="5"/>
  <c r="BT99" i="5"/>
  <c r="BS99" i="5"/>
  <c r="BQ99" i="5"/>
  <c r="BP99" i="5"/>
  <c r="BK99" i="5"/>
  <c r="BA99" i="5"/>
  <c r="AY99" i="5"/>
  <c r="AW99" i="5"/>
  <c r="AU99" i="5"/>
  <c r="AS99" i="5"/>
  <c r="AQ99" i="5"/>
  <c r="AO99" i="5"/>
  <c r="AK99" i="5"/>
  <c r="AI99" i="5"/>
  <c r="AG99" i="5"/>
  <c r="AD99" i="5"/>
  <c r="AA99" i="5"/>
  <c r="Y99" i="5"/>
  <c r="W99" i="5"/>
  <c r="U99" i="5"/>
  <c r="S99" i="5"/>
  <c r="G99" i="5"/>
  <c r="F99" i="5"/>
  <c r="BR99" i="5" s="1"/>
  <c r="B99" i="5"/>
  <c r="BT98" i="5"/>
  <c r="BS98" i="5"/>
  <c r="BQ98" i="5"/>
  <c r="BP98" i="5"/>
  <c r="BK98" i="5"/>
  <c r="BA98" i="5"/>
  <c r="AY98" i="5"/>
  <c r="AW98" i="5"/>
  <c r="AU98" i="5"/>
  <c r="AS98" i="5"/>
  <c r="AQ98" i="5"/>
  <c r="AO98" i="5"/>
  <c r="AK98" i="5"/>
  <c r="AI98" i="5"/>
  <c r="AG98" i="5"/>
  <c r="AD98" i="5"/>
  <c r="AA98" i="5"/>
  <c r="Y98" i="5"/>
  <c r="W98" i="5"/>
  <c r="U98" i="5"/>
  <c r="S98" i="5"/>
  <c r="G98" i="5"/>
  <c r="F98" i="5"/>
  <c r="BR98" i="5" s="1"/>
  <c r="B98" i="5"/>
  <c r="BT97" i="5"/>
  <c r="BS97" i="5"/>
  <c r="BQ97" i="5"/>
  <c r="BP97" i="5"/>
  <c r="BK97" i="5"/>
  <c r="BA97" i="5"/>
  <c r="AY97" i="5"/>
  <c r="AW97" i="5"/>
  <c r="AU97" i="5"/>
  <c r="AS97" i="5"/>
  <c r="AQ97" i="5"/>
  <c r="AO97" i="5"/>
  <c r="AK97" i="5"/>
  <c r="AI97" i="5"/>
  <c r="AG97" i="5"/>
  <c r="AD97" i="5"/>
  <c r="AA97" i="5"/>
  <c r="Y97" i="5"/>
  <c r="W97" i="5"/>
  <c r="U97" i="5"/>
  <c r="S97" i="5"/>
  <c r="G97" i="5"/>
  <c r="F97" i="5"/>
  <c r="BR97" i="5" s="1"/>
  <c r="B97" i="5"/>
  <c r="BT96" i="5"/>
  <c r="BS96" i="5"/>
  <c r="BR96" i="5"/>
  <c r="BQ96" i="5"/>
  <c r="BP96" i="5"/>
  <c r="BK96" i="5"/>
  <c r="BA96" i="5"/>
  <c r="AY96" i="5"/>
  <c r="AW96" i="5"/>
  <c r="AU96" i="5"/>
  <c r="AS96" i="5"/>
  <c r="AQ96" i="5"/>
  <c r="AO96" i="5"/>
  <c r="AK96" i="5"/>
  <c r="AI96" i="5"/>
  <c r="AG96" i="5"/>
  <c r="AD96" i="5"/>
  <c r="AA96" i="5"/>
  <c r="Y96" i="5"/>
  <c r="W96" i="5"/>
  <c r="U96" i="5"/>
  <c r="S96" i="5"/>
  <c r="G96" i="5"/>
  <c r="F96" i="5"/>
  <c r="B96" i="5"/>
  <c r="BT95" i="5"/>
  <c r="BS95" i="5"/>
  <c r="BQ95" i="5"/>
  <c r="BP95" i="5"/>
  <c r="BK95" i="5"/>
  <c r="BA95" i="5"/>
  <c r="AY95" i="5"/>
  <c r="AW95" i="5"/>
  <c r="AU95" i="5"/>
  <c r="AS95" i="5"/>
  <c r="AQ95" i="5"/>
  <c r="AO95" i="5"/>
  <c r="AK95" i="5"/>
  <c r="AI95" i="5"/>
  <c r="AG95" i="5"/>
  <c r="AD95" i="5"/>
  <c r="AA95" i="5"/>
  <c r="Y95" i="5"/>
  <c r="W95" i="5"/>
  <c r="U95" i="5"/>
  <c r="S95" i="5"/>
  <c r="G95" i="5"/>
  <c r="F95" i="5"/>
  <c r="BR95" i="5" s="1"/>
  <c r="B95" i="5"/>
  <c r="BT94" i="5"/>
  <c r="BS94" i="5"/>
  <c r="BQ94" i="5"/>
  <c r="BP94" i="5"/>
  <c r="BK94" i="5"/>
  <c r="BA94" i="5"/>
  <c r="AY94" i="5"/>
  <c r="AW94" i="5"/>
  <c r="AU94" i="5"/>
  <c r="AS94" i="5"/>
  <c r="AQ94" i="5"/>
  <c r="AO94" i="5"/>
  <c r="AK94" i="5"/>
  <c r="AI94" i="5"/>
  <c r="AG94" i="5"/>
  <c r="AD94" i="5"/>
  <c r="AA94" i="5"/>
  <c r="Y94" i="5"/>
  <c r="W94" i="5"/>
  <c r="U94" i="5"/>
  <c r="S94" i="5"/>
  <c r="G94" i="5"/>
  <c r="F94" i="5"/>
  <c r="BR94" i="5" s="1"/>
  <c r="B94" i="5"/>
  <c r="BT93" i="5"/>
  <c r="BS93" i="5"/>
  <c r="BQ93" i="5"/>
  <c r="BP93" i="5"/>
  <c r="BK93" i="5"/>
  <c r="BA93" i="5"/>
  <c r="AY93" i="5"/>
  <c r="AW93" i="5"/>
  <c r="AU93" i="5"/>
  <c r="AS93" i="5"/>
  <c r="AQ93" i="5"/>
  <c r="AO93" i="5"/>
  <c r="AK93" i="5"/>
  <c r="AI93" i="5"/>
  <c r="AG93" i="5"/>
  <c r="AD93" i="5"/>
  <c r="AA93" i="5"/>
  <c r="Y93" i="5"/>
  <c r="W93" i="5"/>
  <c r="U93" i="5"/>
  <c r="S93" i="5"/>
  <c r="G93" i="5"/>
  <c r="F93" i="5"/>
  <c r="BR93" i="5" s="1"/>
  <c r="B93" i="5"/>
  <c r="BT92" i="5"/>
  <c r="BS92" i="5"/>
  <c r="BQ92" i="5"/>
  <c r="BP92" i="5"/>
  <c r="BK92" i="5"/>
  <c r="BA92" i="5"/>
  <c r="AY92" i="5"/>
  <c r="AW92" i="5"/>
  <c r="AU92" i="5"/>
  <c r="AS92" i="5"/>
  <c r="AQ92" i="5"/>
  <c r="AO92" i="5"/>
  <c r="AK92" i="5"/>
  <c r="AI92" i="5"/>
  <c r="AG92" i="5"/>
  <c r="AD92" i="5"/>
  <c r="AA92" i="5"/>
  <c r="Y92" i="5"/>
  <c r="W92" i="5"/>
  <c r="U92" i="5"/>
  <c r="S92" i="5"/>
  <c r="G92" i="5"/>
  <c r="F92" i="5"/>
  <c r="BR92" i="5" s="1"/>
  <c r="B92" i="5"/>
  <c r="BT91" i="5"/>
  <c r="BS91" i="5"/>
  <c r="BQ91" i="5"/>
  <c r="BP91" i="5"/>
  <c r="BK91" i="5"/>
  <c r="BA91" i="5"/>
  <c r="AY91" i="5"/>
  <c r="AW91" i="5"/>
  <c r="AU91" i="5"/>
  <c r="AS91" i="5"/>
  <c r="AQ91" i="5"/>
  <c r="AO91" i="5"/>
  <c r="AK91" i="5"/>
  <c r="AI91" i="5"/>
  <c r="AG91" i="5"/>
  <c r="AD91" i="5"/>
  <c r="AA91" i="5"/>
  <c r="Y91" i="5"/>
  <c r="W91" i="5"/>
  <c r="U91" i="5"/>
  <c r="S91" i="5"/>
  <c r="G91" i="5"/>
  <c r="F91" i="5"/>
  <c r="BR91" i="5" s="1"/>
  <c r="B91" i="5"/>
  <c r="BT90" i="5"/>
  <c r="BS90" i="5"/>
  <c r="BQ90" i="5"/>
  <c r="BP90" i="5"/>
  <c r="BK90" i="5"/>
  <c r="BA90" i="5"/>
  <c r="AY90" i="5"/>
  <c r="AW90" i="5"/>
  <c r="AU90" i="5"/>
  <c r="AS90" i="5"/>
  <c r="AQ90" i="5"/>
  <c r="AO90" i="5"/>
  <c r="AK90" i="5"/>
  <c r="AI90" i="5"/>
  <c r="AG90" i="5"/>
  <c r="AD90" i="5"/>
  <c r="AA90" i="5"/>
  <c r="Y90" i="5"/>
  <c r="W90" i="5"/>
  <c r="U90" i="5"/>
  <c r="S90" i="5"/>
  <c r="G90" i="5"/>
  <c r="F90" i="5"/>
  <c r="BR90" i="5" s="1"/>
  <c r="B90" i="5"/>
  <c r="BT89" i="5"/>
  <c r="BS89" i="5"/>
  <c r="BQ89" i="5"/>
  <c r="BP89" i="5"/>
  <c r="BK89" i="5"/>
  <c r="BA89" i="5"/>
  <c r="AY89" i="5"/>
  <c r="AW89" i="5"/>
  <c r="AU89" i="5"/>
  <c r="AS89" i="5"/>
  <c r="AQ89" i="5"/>
  <c r="AO89" i="5"/>
  <c r="AK89" i="5"/>
  <c r="AI89" i="5"/>
  <c r="AG89" i="5"/>
  <c r="AD89" i="5"/>
  <c r="AA89" i="5"/>
  <c r="Y89" i="5"/>
  <c r="W89" i="5"/>
  <c r="U89" i="5"/>
  <c r="S89" i="5"/>
  <c r="G89" i="5"/>
  <c r="F89" i="5"/>
  <c r="BR89" i="5" s="1"/>
  <c r="B89" i="5"/>
  <c r="BT88" i="5"/>
  <c r="BS88" i="5"/>
  <c r="BQ88" i="5"/>
  <c r="BP88" i="5"/>
  <c r="BK88" i="5"/>
  <c r="BA88" i="5"/>
  <c r="AY88" i="5"/>
  <c r="AW88" i="5"/>
  <c r="AU88" i="5"/>
  <c r="AS88" i="5"/>
  <c r="AQ88" i="5"/>
  <c r="AO88" i="5"/>
  <c r="AK88" i="5"/>
  <c r="AI88" i="5"/>
  <c r="AG88" i="5"/>
  <c r="AD88" i="5"/>
  <c r="AA88" i="5"/>
  <c r="Y88" i="5"/>
  <c r="W88" i="5"/>
  <c r="U88" i="5"/>
  <c r="S88" i="5"/>
  <c r="G88" i="5"/>
  <c r="F88" i="5"/>
  <c r="BR88" i="5" s="1"/>
  <c r="B88" i="5"/>
  <c r="BT87" i="5"/>
  <c r="BS87" i="5"/>
  <c r="BQ87" i="5"/>
  <c r="BP87" i="5"/>
  <c r="BK87" i="5"/>
  <c r="BA87" i="5"/>
  <c r="AY87" i="5"/>
  <c r="AW87" i="5"/>
  <c r="AU87" i="5"/>
  <c r="AS87" i="5"/>
  <c r="AQ87" i="5"/>
  <c r="AO87" i="5"/>
  <c r="AK87" i="5"/>
  <c r="AI87" i="5"/>
  <c r="AG87" i="5"/>
  <c r="AD87" i="5"/>
  <c r="AA87" i="5"/>
  <c r="Y87" i="5"/>
  <c r="W87" i="5"/>
  <c r="U87" i="5"/>
  <c r="S87" i="5"/>
  <c r="G87" i="5"/>
  <c r="F87" i="5"/>
  <c r="BR87" i="5" s="1"/>
  <c r="B87" i="5"/>
  <c r="BT86" i="5"/>
  <c r="BS86" i="5"/>
  <c r="BQ86" i="5"/>
  <c r="BP86" i="5"/>
  <c r="BK86" i="5"/>
  <c r="BA86" i="5"/>
  <c r="AY86" i="5"/>
  <c r="AW86" i="5"/>
  <c r="AU86" i="5"/>
  <c r="AS86" i="5"/>
  <c r="AQ86" i="5"/>
  <c r="AO86" i="5"/>
  <c r="AK86" i="5"/>
  <c r="AI86" i="5"/>
  <c r="AG86" i="5"/>
  <c r="AD86" i="5"/>
  <c r="AA86" i="5"/>
  <c r="Y86" i="5"/>
  <c r="W86" i="5"/>
  <c r="U86" i="5"/>
  <c r="S86" i="5"/>
  <c r="G86" i="5"/>
  <c r="F86" i="5"/>
  <c r="BR86" i="5" s="1"/>
  <c r="B86" i="5"/>
  <c r="BT85" i="5"/>
  <c r="BS85" i="5"/>
  <c r="BR85" i="5"/>
  <c r="BQ85" i="5"/>
  <c r="BP85" i="5"/>
  <c r="BK85" i="5"/>
  <c r="BA85" i="5"/>
  <c r="AY85" i="5"/>
  <c r="AW85" i="5"/>
  <c r="AU85" i="5"/>
  <c r="AS85" i="5"/>
  <c r="AQ85" i="5"/>
  <c r="AO85" i="5"/>
  <c r="AK85" i="5"/>
  <c r="AI85" i="5"/>
  <c r="AG85" i="5"/>
  <c r="AD85" i="5"/>
  <c r="AA85" i="5"/>
  <c r="Y85" i="5"/>
  <c r="W85" i="5"/>
  <c r="U85" i="5"/>
  <c r="S85" i="5"/>
  <c r="G85" i="5"/>
  <c r="F85" i="5"/>
  <c r="B85" i="5"/>
  <c r="BT84" i="5"/>
  <c r="BS84" i="5"/>
  <c r="BR84" i="5"/>
  <c r="BQ84" i="5"/>
  <c r="BP84" i="5"/>
  <c r="BK84" i="5"/>
  <c r="BA84" i="5"/>
  <c r="AY84" i="5"/>
  <c r="AW84" i="5"/>
  <c r="AU84" i="5"/>
  <c r="AS84" i="5"/>
  <c r="AQ84" i="5"/>
  <c r="AO84" i="5"/>
  <c r="AK84" i="5"/>
  <c r="AI84" i="5"/>
  <c r="AG84" i="5"/>
  <c r="AD84" i="5"/>
  <c r="AA84" i="5"/>
  <c r="Y84" i="5"/>
  <c r="W84" i="5"/>
  <c r="U84" i="5"/>
  <c r="S84" i="5"/>
  <c r="G84" i="5"/>
  <c r="F84" i="5"/>
  <c r="B84" i="5"/>
  <c r="BT83" i="5"/>
  <c r="BS83" i="5"/>
  <c r="BQ83" i="5"/>
  <c r="BP83" i="5"/>
  <c r="BK83" i="5"/>
  <c r="BA83" i="5"/>
  <c r="AY83" i="5"/>
  <c r="AW83" i="5"/>
  <c r="AU83" i="5"/>
  <c r="AS83" i="5"/>
  <c r="AQ83" i="5"/>
  <c r="AO83" i="5"/>
  <c r="AK83" i="5"/>
  <c r="AI83" i="5"/>
  <c r="AG83" i="5"/>
  <c r="AD83" i="5"/>
  <c r="AA83" i="5"/>
  <c r="Y83" i="5"/>
  <c r="W83" i="5"/>
  <c r="U83" i="5"/>
  <c r="S83" i="5"/>
  <c r="G83" i="5"/>
  <c r="F83" i="5"/>
  <c r="BR83" i="5" s="1"/>
  <c r="B83" i="5"/>
  <c r="BT82" i="5"/>
  <c r="BS82" i="5"/>
  <c r="BR82" i="5"/>
  <c r="BQ82" i="5"/>
  <c r="BP82" i="5"/>
  <c r="BK82" i="5"/>
  <c r="BA82" i="5"/>
  <c r="AY82" i="5"/>
  <c r="AW82" i="5"/>
  <c r="AU82" i="5"/>
  <c r="AS82" i="5"/>
  <c r="AQ82" i="5"/>
  <c r="AO82" i="5"/>
  <c r="AK82" i="5"/>
  <c r="AI82" i="5"/>
  <c r="AG82" i="5"/>
  <c r="AD82" i="5"/>
  <c r="AA82" i="5"/>
  <c r="Y82" i="5"/>
  <c r="W82" i="5"/>
  <c r="U82" i="5"/>
  <c r="BL82" i="5" s="1"/>
  <c r="S82" i="5"/>
  <c r="G82" i="5"/>
  <c r="F82" i="5"/>
  <c r="B82" i="5"/>
  <c r="BT81" i="5"/>
  <c r="BS81" i="5"/>
  <c r="BQ81" i="5"/>
  <c r="BP81" i="5"/>
  <c r="BK81" i="5"/>
  <c r="BA81" i="5"/>
  <c r="AY81" i="5"/>
  <c r="AW81" i="5"/>
  <c r="AU81" i="5"/>
  <c r="AS81" i="5"/>
  <c r="AQ81" i="5"/>
  <c r="AO81" i="5"/>
  <c r="AK81" i="5"/>
  <c r="AI81" i="5"/>
  <c r="AG81" i="5"/>
  <c r="AD81" i="5"/>
  <c r="AA81" i="5"/>
  <c r="Y81" i="5"/>
  <c r="W81" i="5"/>
  <c r="U81" i="5"/>
  <c r="BL81" i="5" s="1"/>
  <c r="S81" i="5"/>
  <c r="G81" i="5"/>
  <c r="F81" i="5"/>
  <c r="BR81" i="5" s="1"/>
  <c r="B81" i="5"/>
  <c r="BT80" i="5"/>
  <c r="BS80" i="5"/>
  <c r="BQ80" i="5"/>
  <c r="BP80" i="5"/>
  <c r="BK80" i="5"/>
  <c r="BA80" i="5"/>
  <c r="AY80" i="5"/>
  <c r="AW80" i="5"/>
  <c r="AU80" i="5"/>
  <c r="AS80" i="5"/>
  <c r="AQ80" i="5"/>
  <c r="AO80" i="5"/>
  <c r="AK80" i="5"/>
  <c r="AI80" i="5"/>
  <c r="AG80" i="5"/>
  <c r="AD80" i="5"/>
  <c r="AA80" i="5"/>
  <c r="Y80" i="5"/>
  <c r="W80" i="5"/>
  <c r="U80" i="5"/>
  <c r="S80" i="5"/>
  <c r="G80" i="5"/>
  <c r="F80" i="5"/>
  <c r="BR80" i="5" s="1"/>
  <c r="B80" i="5"/>
  <c r="BT79" i="5"/>
  <c r="BS79" i="5"/>
  <c r="BQ79" i="5"/>
  <c r="BP79" i="5"/>
  <c r="BK79" i="5"/>
  <c r="BA79" i="5"/>
  <c r="AY79" i="5"/>
  <c r="AW79" i="5"/>
  <c r="AU79" i="5"/>
  <c r="AS79" i="5"/>
  <c r="AQ79" i="5"/>
  <c r="AO79" i="5"/>
  <c r="AK79" i="5"/>
  <c r="AI79" i="5"/>
  <c r="AG79" i="5"/>
  <c r="AD79" i="5"/>
  <c r="AA79" i="5"/>
  <c r="Y79" i="5"/>
  <c r="W79" i="5"/>
  <c r="U79" i="5"/>
  <c r="S79" i="5"/>
  <c r="G79" i="5"/>
  <c r="F79" i="5"/>
  <c r="BR79" i="5" s="1"/>
  <c r="B79" i="5"/>
  <c r="BT78" i="5"/>
  <c r="BS78" i="5"/>
  <c r="BQ78" i="5"/>
  <c r="BP78" i="5"/>
  <c r="BK78" i="5"/>
  <c r="BA78" i="5"/>
  <c r="AY78" i="5"/>
  <c r="AW78" i="5"/>
  <c r="AU78" i="5"/>
  <c r="AS78" i="5"/>
  <c r="AQ78" i="5"/>
  <c r="AO78" i="5"/>
  <c r="AK78" i="5"/>
  <c r="AI78" i="5"/>
  <c r="AG78" i="5"/>
  <c r="AD78" i="5"/>
  <c r="AA78" i="5"/>
  <c r="Y78" i="5"/>
  <c r="W78" i="5"/>
  <c r="U78" i="5"/>
  <c r="S78" i="5"/>
  <c r="G78" i="5"/>
  <c r="F78" i="5"/>
  <c r="BR78" i="5" s="1"/>
  <c r="B78" i="5"/>
  <c r="BT77" i="5"/>
  <c r="BS77" i="5"/>
  <c r="BQ77" i="5"/>
  <c r="BP77" i="5"/>
  <c r="BK77" i="5"/>
  <c r="BA77" i="5"/>
  <c r="AY77" i="5"/>
  <c r="AW77" i="5"/>
  <c r="AU77" i="5"/>
  <c r="AS77" i="5"/>
  <c r="AQ77" i="5"/>
  <c r="AO77" i="5"/>
  <c r="AK77" i="5"/>
  <c r="AI77" i="5"/>
  <c r="AG77" i="5"/>
  <c r="AD77" i="5"/>
  <c r="AA77" i="5"/>
  <c r="Y77" i="5"/>
  <c r="W77" i="5"/>
  <c r="U77" i="5"/>
  <c r="S77" i="5"/>
  <c r="G77" i="5"/>
  <c r="F77" i="5"/>
  <c r="BR77" i="5" s="1"/>
  <c r="B77" i="5"/>
  <c r="BT76" i="5"/>
  <c r="BS76" i="5"/>
  <c r="BQ76" i="5"/>
  <c r="BP76" i="5"/>
  <c r="BK76" i="5"/>
  <c r="BA76" i="5"/>
  <c r="AY76" i="5"/>
  <c r="AW76" i="5"/>
  <c r="AU76" i="5"/>
  <c r="AS76" i="5"/>
  <c r="AQ76" i="5"/>
  <c r="AO76" i="5"/>
  <c r="AK76" i="5"/>
  <c r="AI76" i="5"/>
  <c r="AG76" i="5"/>
  <c r="AD76" i="5"/>
  <c r="AA76" i="5"/>
  <c r="Y76" i="5"/>
  <c r="W76" i="5"/>
  <c r="U76" i="5"/>
  <c r="S76" i="5"/>
  <c r="G76" i="5"/>
  <c r="F76" i="5"/>
  <c r="BR76" i="5" s="1"/>
  <c r="B76" i="5"/>
  <c r="BT75" i="5"/>
  <c r="BS75" i="5"/>
  <c r="BQ75" i="5"/>
  <c r="BP75" i="5"/>
  <c r="BK75" i="5"/>
  <c r="BA75" i="5"/>
  <c r="AY75" i="5"/>
  <c r="AW75" i="5"/>
  <c r="AU75" i="5"/>
  <c r="AS75" i="5"/>
  <c r="AQ75" i="5"/>
  <c r="AO75" i="5"/>
  <c r="AK75" i="5"/>
  <c r="AI75" i="5"/>
  <c r="AG75" i="5"/>
  <c r="AD75" i="5"/>
  <c r="AA75" i="5"/>
  <c r="Y75" i="5"/>
  <c r="W75" i="5"/>
  <c r="U75" i="5"/>
  <c r="S75" i="5"/>
  <c r="G75" i="5"/>
  <c r="F75" i="5"/>
  <c r="BR75" i="5" s="1"/>
  <c r="B75" i="5"/>
  <c r="BT74" i="5"/>
  <c r="BS74" i="5"/>
  <c r="BQ74" i="5"/>
  <c r="BP74" i="5"/>
  <c r="BK74" i="5"/>
  <c r="BA74" i="5"/>
  <c r="AY74" i="5"/>
  <c r="AW74" i="5"/>
  <c r="AU74" i="5"/>
  <c r="AS74" i="5"/>
  <c r="AQ74" i="5"/>
  <c r="AO74" i="5"/>
  <c r="AK74" i="5"/>
  <c r="AI74" i="5"/>
  <c r="AG74" i="5"/>
  <c r="AD74" i="5"/>
  <c r="AA74" i="5"/>
  <c r="Y74" i="5"/>
  <c r="W74" i="5"/>
  <c r="U74" i="5"/>
  <c r="BL74" i="5" s="1"/>
  <c r="S74" i="5"/>
  <c r="G74" i="5"/>
  <c r="F74" i="5"/>
  <c r="BR74" i="5" s="1"/>
  <c r="B74" i="5"/>
  <c r="BT73" i="5"/>
  <c r="BS73" i="5"/>
  <c r="BQ73" i="5"/>
  <c r="BP73" i="5"/>
  <c r="BK73" i="5"/>
  <c r="BA73" i="5"/>
  <c r="AY73" i="5"/>
  <c r="AW73" i="5"/>
  <c r="AU73" i="5"/>
  <c r="AS73" i="5"/>
  <c r="AQ73" i="5"/>
  <c r="AO73" i="5"/>
  <c r="AK73" i="5"/>
  <c r="AI73" i="5"/>
  <c r="AG73" i="5"/>
  <c r="AD73" i="5"/>
  <c r="AA73" i="5"/>
  <c r="Y73" i="5"/>
  <c r="W73" i="5"/>
  <c r="U73" i="5"/>
  <c r="BL73" i="5" s="1"/>
  <c r="S73" i="5"/>
  <c r="G73" i="5"/>
  <c r="F73" i="5"/>
  <c r="BR73" i="5" s="1"/>
  <c r="B73" i="5"/>
  <c r="BT72" i="5"/>
  <c r="BS72" i="5"/>
  <c r="BQ72" i="5"/>
  <c r="BP72" i="5"/>
  <c r="BK72" i="5"/>
  <c r="BA72" i="5"/>
  <c r="AY72" i="5"/>
  <c r="AW72" i="5"/>
  <c r="AU72" i="5"/>
  <c r="AS72" i="5"/>
  <c r="AQ72" i="5"/>
  <c r="AO72" i="5"/>
  <c r="AK72" i="5"/>
  <c r="AI72" i="5"/>
  <c r="AG72" i="5"/>
  <c r="AD72" i="5"/>
  <c r="AA72" i="5"/>
  <c r="Y72" i="5"/>
  <c r="W72" i="5"/>
  <c r="U72" i="5"/>
  <c r="BL72" i="5" s="1"/>
  <c r="S72" i="5"/>
  <c r="G72" i="5"/>
  <c r="F72" i="5"/>
  <c r="BR72" i="5" s="1"/>
  <c r="B72" i="5"/>
  <c r="BT71" i="5"/>
  <c r="BS71" i="5"/>
  <c r="BQ71" i="5"/>
  <c r="BP71" i="5"/>
  <c r="BK71" i="5"/>
  <c r="BA71" i="5"/>
  <c r="AY71" i="5"/>
  <c r="AW71" i="5"/>
  <c r="AU71" i="5"/>
  <c r="AS71" i="5"/>
  <c r="AQ71" i="5"/>
  <c r="AO71" i="5"/>
  <c r="AK71" i="5"/>
  <c r="AI71" i="5"/>
  <c r="AG71" i="5"/>
  <c r="AD71" i="5"/>
  <c r="AA71" i="5"/>
  <c r="Y71" i="5"/>
  <c r="W71" i="5"/>
  <c r="U71" i="5"/>
  <c r="S71" i="5"/>
  <c r="G71" i="5"/>
  <c r="F71" i="5"/>
  <c r="BR71" i="5" s="1"/>
  <c r="B71" i="5"/>
  <c r="BT70" i="5"/>
  <c r="BS70" i="5"/>
  <c r="BQ70" i="5"/>
  <c r="BP70" i="5"/>
  <c r="BK70" i="5"/>
  <c r="BA70" i="5"/>
  <c r="AY70" i="5"/>
  <c r="AW70" i="5"/>
  <c r="AU70" i="5"/>
  <c r="AS70" i="5"/>
  <c r="AQ70" i="5"/>
  <c r="AO70" i="5"/>
  <c r="AK70" i="5"/>
  <c r="AI70" i="5"/>
  <c r="AG70" i="5"/>
  <c r="AD70" i="5"/>
  <c r="AA70" i="5"/>
  <c r="Y70" i="5"/>
  <c r="W70" i="5"/>
  <c r="U70" i="5"/>
  <c r="BL70" i="5" s="1"/>
  <c r="S70" i="5"/>
  <c r="G70" i="5"/>
  <c r="F70" i="5"/>
  <c r="BR70" i="5" s="1"/>
  <c r="B70" i="5"/>
  <c r="BT69" i="5"/>
  <c r="BS69" i="5"/>
  <c r="BR69" i="5"/>
  <c r="BQ69" i="5"/>
  <c r="BP69" i="5"/>
  <c r="BK69" i="5"/>
  <c r="BA69" i="5"/>
  <c r="AY69" i="5"/>
  <c r="AW69" i="5"/>
  <c r="AU69" i="5"/>
  <c r="AS69" i="5"/>
  <c r="AQ69" i="5"/>
  <c r="AO69" i="5"/>
  <c r="AK69" i="5"/>
  <c r="AI69" i="5"/>
  <c r="AG69" i="5"/>
  <c r="AD69" i="5"/>
  <c r="AA69" i="5"/>
  <c r="Y69" i="5"/>
  <c r="W69" i="5"/>
  <c r="U69" i="5"/>
  <c r="S69" i="5"/>
  <c r="G69" i="5"/>
  <c r="F69" i="5"/>
  <c r="B69" i="5"/>
  <c r="BT68" i="5"/>
  <c r="BS68" i="5"/>
  <c r="BR68" i="5"/>
  <c r="BQ68" i="5"/>
  <c r="BP68" i="5"/>
  <c r="BK68" i="5"/>
  <c r="BA68" i="5"/>
  <c r="AY68" i="5"/>
  <c r="AW68" i="5"/>
  <c r="AU68" i="5"/>
  <c r="AS68" i="5"/>
  <c r="AQ68" i="5"/>
  <c r="AO68" i="5"/>
  <c r="AK68" i="5"/>
  <c r="AI68" i="5"/>
  <c r="AG68" i="5"/>
  <c r="AD68" i="5"/>
  <c r="AA68" i="5"/>
  <c r="Y68" i="5"/>
  <c r="W68" i="5"/>
  <c r="U68" i="5"/>
  <c r="S68" i="5"/>
  <c r="G68" i="5"/>
  <c r="F68" i="5"/>
  <c r="B68" i="5"/>
  <c r="BT67" i="5"/>
  <c r="BS67" i="5"/>
  <c r="BQ67" i="5"/>
  <c r="BP67" i="5"/>
  <c r="BK67" i="5"/>
  <c r="BA67" i="5"/>
  <c r="AY67" i="5"/>
  <c r="AW67" i="5"/>
  <c r="AU67" i="5"/>
  <c r="AS67" i="5"/>
  <c r="AQ67" i="5"/>
  <c r="AO67" i="5"/>
  <c r="AK67" i="5"/>
  <c r="AI67" i="5"/>
  <c r="AG67" i="5"/>
  <c r="AD67" i="5"/>
  <c r="AA67" i="5"/>
  <c r="Y67" i="5"/>
  <c r="W67" i="5"/>
  <c r="U67" i="5"/>
  <c r="S67" i="5"/>
  <c r="G67" i="5"/>
  <c r="F67" i="5"/>
  <c r="BR67" i="5" s="1"/>
  <c r="B67" i="5"/>
  <c r="BT66" i="5"/>
  <c r="BS66" i="5"/>
  <c r="BQ66" i="5"/>
  <c r="BP66" i="5"/>
  <c r="BK66" i="5"/>
  <c r="BA66" i="5"/>
  <c r="AY66" i="5"/>
  <c r="AW66" i="5"/>
  <c r="AU66" i="5"/>
  <c r="AS66" i="5"/>
  <c r="AQ66" i="5"/>
  <c r="AO66" i="5"/>
  <c r="AK66" i="5"/>
  <c r="AI66" i="5"/>
  <c r="AG66" i="5"/>
  <c r="AD66" i="5"/>
  <c r="AA66" i="5"/>
  <c r="Y66" i="5"/>
  <c r="W66" i="5"/>
  <c r="U66" i="5"/>
  <c r="S66" i="5"/>
  <c r="G66" i="5"/>
  <c r="F66" i="5"/>
  <c r="BR66" i="5" s="1"/>
  <c r="B66" i="5"/>
  <c r="BT65" i="5"/>
  <c r="BS65" i="5"/>
  <c r="BQ65" i="5"/>
  <c r="BP65" i="5"/>
  <c r="BK65" i="5"/>
  <c r="BA65" i="5"/>
  <c r="AY65" i="5"/>
  <c r="AW65" i="5"/>
  <c r="AU65" i="5"/>
  <c r="AS65" i="5"/>
  <c r="AQ65" i="5"/>
  <c r="AO65" i="5"/>
  <c r="AK65" i="5"/>
  <c r="AI65" i="5"/>
  <c r="AG65" i="5"/>
  <c r="AD65" i="5"/>
  <c r="AA65" i="5"/>
  <c r="Y65" i="5"/>
  <c r="W65" i="5"/>
  <c r="U65" i="5"/>
  <c r="S65" i="5"/>
  <c r="G65" i="5"/>
  <c r="F65" i="5"/>
  <c r="BR65" i="5" s="1"/>
  <c r="B65" i="5"/>
  <c r="BT64" i="5"/>
  <c r="BS64" i="5"/>
  <c r="BR64" i="5"/>
  <c r="BQ64" i="5"/>
  <c r="BP64" i="5"/>
  <c r="BK64" i="5"/>
  <c r="BA64" i="5"/>
  <c r="AY64" i="5"/>
  <c r="AW64" i="5"/>
  <c r="AU64" i="5"/>
  <c r="AS64" i="5"/>
  <c r="AQ64" i="5"/>
  <c r="AO64" i="5"/>
  <c r="AK64" i="5"/>
  <c r="AI64" i="5"/>
  <c r="AG64" i="5"/>
  <c r="AD64" i="5"/>
  <c r="AA64" i="5"/>
  <c r="Y64" i="5"/>
  <c r="W64" i="5"/>
  <c r="U64" i="5"/>
  <c r="S64" i="5"/>
  <c r="G64" i="5"/>
  <c r="F64" i="5"/>
  <c r="B64" i="5"/>
  <c r="BT63" i="5"/>
  <c r="BS63" i="5"/>
  <c r="BQ63" i="5"/>
  <c r="BP63" i="5"/>
  <c r="BK63" i="5"/>
  <c r="BA63" i="5"/>
  <c r="AY63" i="5"/>
  <c r="AW63" i="5"/>
  <c r="AU63" i="5"/>
  <c r="AS63" i="5"/>
  <c r="AQ63" i="5"/>
  <c r="AO63" i="5"/>
  <c r="AK63" i="5"/>
  <c r="AI63" i="5"/>
  <c r="AG63" i="5"/>
  <c r="AD63" i="5"/>
  <c r="AA63" i="5"/>
  <c r="Y63" i="5"/>
  <c r="W63" i="5"/>
  <c r="U63" i="5"/>
  <c r="S63" i="5"/>
  <c r="G63" i="5"/>
  <c r="F63" i="5"/>
  <c r="BR63" i="5" s="1"/>
  <c r="B63" i="5"/>
  <c r="BT62" i="5"/>
  <c r="BS62" i="5"/>
  <c r="BQ62" i="5"/>
  <c r="BP62" i="5"/>
  <c r="BK62" i="5"/>
  <c r="BA62" i="5"/>
  <c r="AY62" i="5"/>
  <c r="AW62" i="5"/>
  <c r="AU62" i="5"/>
  <c r="AS62" i="5"/>
  <c r="AQ62" i="5"/>
  <c r="AO62" i="5"/>
  <c r="AK62" i="5"/>
  <c r="AI62" i="5"/>
  <c r="AG62" i="5"/>
  <c r="AD62" i="5"/>
  <c r="AA62" i="5"/>
  <c r="Y62" i="5"/>
  <c r="W62" i="5"/>
  <c r="U62" i="5"/>
  <c r="S62" i="5"/>
  <c r="G62" i="5"/>
  <c r="F62" i="5"/>
  <c r="BR62" i="5" s="1"/>
  <c r="B62" i="5"/>
  <c r="BT61" i="5"/>
  <c r="BS61" i="5"/>
  <c r="BQ61" i="5"/>
  <c r="BP61" i="5"/>
  <c r="BK61" i="5"/>
  <c r="BA61" i="5"/>
  <c r="AY61" i="5"/>
  <c r="AW61" i="5"/>
  <c r="AU61" i="5"/>
  <c r="AS61" i="5"/>
  <c r="AQ61" i="5"/>
  <c r="AO61" i="5"/>
  <c r="AK61" i="5"/>
  <c r="AI61" i="5"/>
  <c r="AG61" i="5"/>
  <c r="AD61" i="5"/>
  <c r="AA61" i="5"/>
  <c r="Y61" i="5"/>
  <c r="W61" i="5"/>
  <c r="U61" i="5"/>
  <c r="S61" i="5"/>
  <c r="G61" i="5"/>
  <c r="F61" i="5"/>
  <c r="BR61" i="5" s="1"/>
  <c r="B61" i="5"/>
  <c r="BT60" i="5"/>
  <c r="BS60" i="5"/>
  <c r="BQ60" i="5"/>
  <c r="BP60" i="5"/>
  <c r="BK60" i="5"/>
  <c r="BA60" i="5"/>
  <c r="AY60" i="5"/>
  <c r="AW60" i="5"/>
  <c r="AU60" i="5"/>
  <c r="AS60" i="5"/>
  <c r="AQ60" i="5"/>
  <c r="AO60" i="5"/>
  <c r="AK60" i="5"/>
  <c r="AI60" i="5"/>
  <c r="AG60" i="5"/>
  <c r="AD60" i="5"/>
  <c r="AA60" i="5"/>
  <c r="Y60" i="5"/>
  <c r="W60" i="5"/>
  <c r="U60" i="5"/>
  <c r="S60" i="5"/>
  <c r="G60" i="5"/>
  <c r="F60" i="5"/>
  <c r="BR60" i="5" s="1"/>
  <c r="B60" i="5"/>
  <c r="BT59" i="5"/>
  <c r="BS59" i="5"/>
  <c r="BQ59" i="5"/>
  <c r="BP59" i="5"/>
  <c r="BK59" i="5"/>
  <c r="BA59" i="5"/>
  <c r="AY59" i="5"/>
  <c r="AW59" i="5"/>
  <c r="AU59" i="5"/>
  <c r="AS59" i="5"/>
  <c r="AQ59" i="5"/>
  <c r="AO59" i="5"/>
  <c r="AK59" i="5"/>
  <c r="AI59" i="5"/>
  <c r="AG59" i="5"/>
  <c r="AD59" i="5"/>
  <c r="AA59" i="5"/>
  <c r="Y59" i="5"/>
  <c r="W59" i="5"/>
  <c r="U59" i="5"/>
  <c r="S59" i="5"/>
  <c r="G59" i="5"/>
  <c r="F59" i="5"/>
  <c r="BR59" i="5" s="1"/>
  <c r="B59" i="5"/>
  <c r="BT58" i="5"/>
  <c r="BS58" i="5"/>
  <c r="BQ58" i="5"/>
  <c r="BP58" i="5"/>
  <c r="BK58" i="5"/>
  <c r="BA58" i="5"/>
  <c r="AY58" i="5"/>
  <c r="AW58" i="5"/>
  <c r="AU58" i="5"/>
  <c r="AS58" i="5"/>
  <c r="AQ58" i="5"/>
  <c r="AO58" i="5"/>
  <c r="AK58" i="5"/>
  <c r="AI58" i="5"/>
  <c r="AG58" i="5"/>
  <c r="AD58" i="5"/>
  <c r="AA58" i="5"/>
  <c r="Y58" i="5"/>
  <c r="W58" i="5"/>
  <c r="U58" i="5"/>
  <c r="S58" i="5"/>
  <c r="G58" i="5"/>
  <c r="F58" i="5"/>
  <c r="BR58" i="5" s="1"/>
  <c r="B58" i="5"/>
  <c r="BT57" i="5"/>
  <c r="BS57" i="5"/>
  <c r="BQ57" i="5"/>
  <c r="BP57" i="5"/>
  <c r="BK57" i="5"/>
  <c r="BA57" i="5"/>
  <c r="AY57" i="5"/>
  <c r="AW57" i="5"/>
  <c r="AU57" i="5"/>
  <c r="AS57" i="5"/>
  <c r="AQ57" i="5"/>
  <c r="AO57" i="5"/>
  <c r="AK57" i="5"/>
  <c r="AI57" i="5"/>
  <c r="AG57" i="5"/>
  <c r="AD57" i="5"/>
  <c r="AA57" i="5"/>
  <c r="Y57" i="5"/>
  <c r="W57" i="5"/>
  <c r="U57" i="5"/>
  <c r="S57" i="5"/>
  <c r="G57" i="5"/>
  <c r="F57" i="5"/>
  <c r="BR57" i="5" s="1"/>
  <c r="B57" i="5"/>
  <c r="BT56" i="5"/>
  <c r="BS56" i="5"/>
  <c r="BQ56" i="5"/>
  <c r="BP56" i="5"/>
  <c r="BK56" i="5"/>
  <c r="BA56" i="5"/>
  <c r="AY56" i="5"/>
  <c r="AW56" i="5"/>
  <c r="AU56" i="5"/>
  <c r="AS56" i="5"/>
  <c r="AQ56" i="5"/>
  <c r="AO56" i="5"/>
  <c r="AK56" i="5"/>
  <c r="AI56" i="5"/>
  <c r="AG56" i="5"/>
  <c r="AD56" i="5"/>
  <c r="AA56" i="5"/>
  <c r="Y56" i="5"/>
  <c r="W56" i="5"/>
  <c r="U56" i="5"/>
  <c r="S56" i="5"/>
  <c r="G56" i="5"/>
  <c r="F56" i="5"/>
  <c r="BR56" i="5" s="1"/>
  <c r="B56" i="5"/>
  <c r="BT55" i="5"/>
  <c r="BS55" i="5"/>
  <c r="BQ55" i="5"/>
  <c r="BP55" i="5"/>
  <c r="BK55" i="5"/>
  <c r="BA55" i="5"/>
  <c r="AY55" i="5"/>
  <c r="AW55" i="5"/>
  <c r="AU55" i="5"/>
  <c r="AS55" i="5"/>
  <c r="AQ55" i="5"/>
  <c r="AO55" i="5"/>
  <c r="AK55" i="5"/>
  <c r="AI55" i="5"/>
  <c r="AG55" i="5"/>
  <c r="AD55" i="5"/>
  <c r="AA55" i="5"/>
  <c r="Y55" i="5"/>
  <c r="W55" i="5"/>
  <c r="U55" i="5"/>
  <c r="S55" i="5"/>
  <c r="G55" i="5"/>
  <c r="F55" i="5"/>
  <c r="BR55" i="5" s="1"/>
  <c r="B55" i="5"/>
  <c r="BT54" i="5"/>
  <c r="BS54" i="5"/>
  <c r="BQ54" i="5"/>
  <c r="BP54" i="5"/>
  <c r="BK54" i="5"/>
  <c r="BA54" i="5"/>
  <c r="AY54" i="5"/>
  <c r="AW54" i="5"/>
  <c r="AU54" i="5"/>
  <c r="AS54" i="5"/>
  <c r="AQ54" i="5"/>
  <c r="AO54" i="5"/>
  <c r="AK54" i="5"/>
  <c r="AI54" i="5"/>
  <c r="AG54" i="5"/>
  <c r="AD54" i="5"/>
  <c r="AA54" i="5"/>
  <c r="Y54" i="5"/>
  <c r="W54" i="5"/>
  <c r="U54" i="5"/>
  <c r="S54" i="5"/>
  <c r="G54" i="5"/>
  <c r="F54" i="5"/>
  <c r="BR54" i="5" s="1"/>
  <c r="B54" i="5"/>
  <c r="BT53" i="5"/>
  <c r="BS53" i="5"/>
  <c r="BQ53" i="5"/>
  <c r="BP53" i="5"/>
  <c r="BK53" i="5"/>
  <c r="BA53" i="5"/>
  <c r="AY53" i="5"/>
  <c r="AW53" i="5"/>
  <c r="AU53" i="5"/>
  <c r="AS53" i="5"/>
  <c r="AQ53" i="5"/>
  <c r="AO53" i="5"/>
  <c r="AK53" i="5"/>
  <c r="AI53" i="5"/>
  <c r="AG53" i="5"/>
  <c r="AD53" i="5"/>
  <c r="AA53" i="5"/>
  <c r="Y53" i="5"/>
  <c r="W53" i="5"/>
  <c r="U53" i="5"/>
  <c r="S53" i="5"/>
  <c r="G53" i="5"/>
  <c r="F53" i="5"/>
  <c r="BR53" i="5" s="1"/>
  <c r="B53" i="5"/>
  <c r="BT52" i="5"/>
  <c r="BS52" i="5"/>
  <c r="BQ52" i="5"/>
  <c r="BP52" i="5"/>
  <c r="BK52" i="5"/>
  <c r="BA52" i="5"/>
  <c r="AY52" i="5"/>
  <c r="AW52" i="5"/>
  <c r="AU52" i="5"/>
  <c r="AS52" i="5"/>
  <c r="AQ52" i="5"/>
  <c r="AO52" i="5"/>
  <c r="AK52" i="5"/>
  <c r="AI52" i="5"/>
  <c r="AG52" i="5"/>
  <c r="AD52" i="5"/>
  <c r="AA52" i="5"/>
  <c r="Y52" i="5"/>
  <c r="W52" i="5"/>
  <c r="U52" i="5"/>
  <c r="S52" i="5"/>
  <c r="G52" i="5"/>
  <c r="F52" i="5"/>
  <c r="BR52" i="5" s="1"/>
  <c r="B52" i="5"/>
  <c r="BT51" i="5"/>
  <c r="BS51" i="5"/>
  <c r="BQ51" i="5"/>
  <c r="BP51" i="5"/>
  <c r="BK51" i="5"/>
  <c r="BA51" i="5"/>
  <c r="AY51" i="5"/>
  <c r="AW51" i="5"/>
  <c r="AU51" i="5"/>
  <c r="AS51" i="5"/>
  <c r="AQ51" i="5"/>
  <c r="AO51" i="5"/>
  <c r="AK51" i="5"/>
  <c r="AI51" i="5"/>
  <c r="AG51" i="5"/>
  <c r="AD51" i="5"/>
  <c r="AA51" i="5"/>
  <c r="Y51" i="5"/>
  <c r="W51" i="5"/>
  <c r="U51" i="5"/>
  <c r="S51" i="5"/>
  <c r="G51" i="5"/>
  <c r="F51" i="5"/>
  <c r="BR51" i="5" s="1"/>
  <c r="B51" i="5"/>
  <c r="BT50" i="5"/>
  <c r="BS50" i="5"/>
  <c r="BQ50" i="5"/>
  <c r="BP50" i="5"/>
  <c r="BK50" i="5"/>
  <c r="BA50" i="5"/>
  <c r="AY50" i="5"/>
  <c r="AW50" i="5"/>
  <c r="AU50" i="5"/>
  <c r="AS50" i="5"/>
  <c r="AQ50" i="5"/>
  <c r="AO50" i="5"/>
  <c r="AK50" i="5"/>
  <c r="AI50" i="5"/>
  <c r="AG50" i="5"/>
  <c r="AD50" i="5"/>
  <c r="AA50" i="5"/>
  <c r="Y50" i="5"/>
  <c r="W50" i="5"/>
  <c r="U50" i="5"/>
  <c r="S50" i="5"/>
  <c r="G50" i="5"/>
  <c r="F50" i="5"/>
  <c r="BR50" i="5" s="1"/>
  <c r="B50" i="5"/>
  <c r="BT49" i="5"/>
  <c r="BS49" i="5"/>
  <c r="BQ49" i="5"/>
  <c r="BP49" i="5"/>
  <c r="BK49" i="5"/>
  <c r="BA49" i="5"/>
  <c r="AY49" i="5"/>
  <c r="AW49" i="5"/>
  <c r="AU49" i="5"/>
  <c r="AS49" i="5"/>
  <c r="AQ49" i="5"/>
  <c r="AO49" i="5"/>
  <c r="AK49" i="5"/>
  <c r="AI49" i="5"/>
  <c r="AG49" i="5"/>
  <c r="AD49" i="5"/>
  <c r="AA49" i="5"/>
  <c r="Y49" i="5"/>
  <c r="W49" i="5"/>
  <c r="U49" i="5"/>
  <c r="S49" i="5"/>
  <c r="G49" i="5"/>
  <c r="F49" i="5"/>
  <c r="BR49" i="5" s="1"/>
  <c r="B49" i="5"/>
  <c r="BT48" i="5"/>
  <c r="BS48" i="5"/>
  <c r="BR48" i="5"/>
  <c r="BQ48" i="5"/>
  <c r="BP48" i="5"/>
  <c r="BK48" i="5"/>
  <c r="BA48" i="5"/>
  <c r="AY48" i="5"/>
  <c r="AW48" i="5"/>
  <c r="AU48" i="5"/>
  <c r="AS48" i="5"/>
  <c r="AQ48" i="5"/>
  <c r="AO48" i="5"/>
  <c r="AK48" i="5"/>
  <c r="AI48" i="5"/>
  <c r="AG48" i="5"/>
  <c r="AD48" i="5"/>
  <c r="AA48" i="5"/>
  <c r="Y48" i="5"/>
  <c r="W48" i="5"/>
  <c r="U48" i="5"/>
  <c r="S48" i="5"/>
  <c r="G48" i="5"/>
  <c r="F48" i="5"/>
  <c r="B48" i="5"/>
  <c r="BT47" i="5"/>
  <c r="BS47" i="5"/>
  <c r="BQ47" i="5"/>
  <c r="BP47" i="5"/>
  <c r="BK47" i="5"/>
  <c r="BA47" i="5"/>
  <c r="AY47" i="5"/>
  <c r="AW47" i="5"/>
  <c r="AU47" i="5"/>
  <c r="AS47" i="5"/>
  <c r="AQ47" i="5"/>
  <c r="AO47" i="5"/>
  <c r="AK47" i="5"/>
  <c r="AI47" i="5"/>
  <c r="AG47" i="5"/>
  <c r="AD47" i="5"/>
  <c r="AA47" i="5"/>
  <c r="Y47" i="5"/>
  <c r="W47" i="5"/>
  <c r="U47" i="5"/>
  <c r="S47" i="5"/>
  <c r="G47" i="5"/>
  <c r="F47" i="5"/>
  <c r="BR47" i="5" s="1"/>
  <c r="B47" i="5"/>
  <c r="BT46" i="5"/>
  <c r="BS46" i="5"/>
  <c r="BQ46" i="5"/>
  <c r="BP46" i="5"/>
  <c r="BK46" i="5"/>
  <c r="BA46" i="5"/>
  <c r="AY46" i="5"/>
  <c r="AW46" i="5"/>
  <c r="AU46" i="5"/>
  <c r="AS46" i="5"/>
  <c r="AQ46" i="5"/>
  <c r="AO46" i="5"/>
  <c r="AK46" i="5"/>
  <c r="AI46" i="5"/>
  <c r="AG46" i="5"/>
  <c r="AD46" i="5"/>
  <c r="AA46" i="5"/>
  <c r="Y46" i="5"/>
  <c r="W46" i="5"/>
  <c r="U46" i="5"/>
  <c r="S46" i="5"/>
  <c r="G46" i="5"/>
  <c r="F46" i="5"/>
  <c r="BR46" i="5" s="1"/>
  <c r="B46" i="5"/>
  <c r="BT45" i="5"/>
  <c r="BS45" i="5"/>
  <c r="BR45" i="5"/>
  <c r="BQ45" i="5"/>
  <c r="BP45" i="5"/>
  <c r="BK45" i="5"/>
  <c r="BA45" i="5"/>
  <c r="AY45" i="5"/>
  <c r="AW45" i="5"/>
  <c r="AU45" i="5"/>
  <c r="AS45" i="5"/>
  <c r="AQ45" i="5"/>
  <c r="AO45" i="5"/>
  <c r="AK45" i="5"/>
  <c r="AI45" i="5"/>
  <c r="AG45" i="5"/>
  <c r="AD45" i="5"/>
  <c r="AA45" i="5"/>
  <c r="Y45" i="5"/>
  <c r="W45" i="5"/>
  <c r="U45" i="5"/>
  <c r="S45" i="5"/>
  <c r="G45" i="5"/>
  <c r="F45" i="5"/>
  <c r="B45" i="5"/>
  <c r="BT44" i="5"/>
  <c r="BS44" i="5"/>
  <c r="BR44" i="5"/>
  <c r="BQ44" i="5"/>
  <c r="BP44" i="5"/>
  <c r="BK44" i="5"/>
  <c r="BA44" i="5"/>
  <c r="AY44" i="5"/>
  <c r="AW44" i="5"/>
  <c r="AU44" i="5"/>
  <c r="AS44" i="5"/>
  <c r="AQ44" i="5"/>
  <c r="AO44" i="5"/>
  <c r="AK44" i="5"/>
  <c r="AI44" i="5"/>
  <c r="AG44" i="5"/>
  <c r="AD44" i="5"/>
  <c r="AA44" i="5"/>
  <c r="Y44" i="5"/>
  <c r="W44" i="5"/>
  <c r="U44" i="5"/>
  <c r="BL44" i="5" s="1"/>
  <c r="S44" i="5"/>
  <c r="G44" i="5"/>
  <c r="F44" i="5"/>
  <c r="B44" i="5"/>
  <c r="BT43" i="5"/>
  <c r="BS43" i="5"/>
  <c r="BQ43" i="5"/>
  <c r="BP43" i="5"/>
  <c r="BK43" i="5"/>
  <c r="BA43" i="5"/>
  <c r="AY43" i="5"/>
  <c r="AW43" i="5"/>
  <c r="AU43" i="5"/>
  <c r="AS43" i="5"/>
  <c r="AQ43" i="5"/>
  <c r="AO43" i="5"/>
  <c r="AK43" i="5"/>
  <c r="AI43" i="5"/>
  <c r="AG43" i="5"/>
  <c r="AD43" i="5"/>
  <c r="AA43" i="5"/>
  <c r="Y43" i="5"/>
  <c r="W43" i="5"/>
  <c r="U43" i="5"/>
  <c r="BL43" i="5" s="1"/>
  <c r="Q43" i="5" s="1"/>
  <c r="S43" i="5"/>
  <c r="G43" i="5"/>
  <c r="F43" i="5"/>
  <c r="BR43" i="5" s="1"/>
  <c r="B43" i="5"/>
  <c r="BT42" i="5"/>
  <c r="BS42" i="5"/>
  <c r="BQ42" i="5"/>
  <c r="BP42" i="5"/>
  <c r="BK42" i="5"/>
  <c r="BA42" i="5"/>
  <c r="AY42" i="5"/>
  <c r="AW42" i="5"/>
  <c r="AU42" i="5"/>
  <c r="AS42" i="5"/>
  <c r="AQ42" i="5"/>
  <c r="AO42" i="5"/>
  <c r="AK42" i="5"/>
  <c r="AI42" i="5"/>
  <c r="AG42" i="5"/>
  <c r="AD42" i="5"/>
  <c r="AA42" i="5"/>
  <c r="Y42" i="5"/>
  <c r="W42" i="5"/>
  <c r="U42" i="5"/>
  <c r="BL42" i="5" s="1"/>
  <c r="S42" i="5"/>
  <c r="G42" i="5"/>
  <c r="F42" i="5"/>
  <c r="BR42" i="5" s="1"/>
  <c r="B42" i="5"/>
  <c r="BT41" i="5"/>
  <c r="BS41" i="5"/>
  <c r="BQ41" i="5"/>
  <c r="BP41" i="5"/>
  <c r="BK41" i="5"/>
  <c r="BA41" i="5"/>
  <c r="AY41" i="5"/>
  <c r="AW41" i="5"/>
  <c r="AU41" i="5"/>
  <c r="AS41" i="5"/>
  <c r="AQ41" i="5"/>
  <c r="AO41" i="5"/>
  <c r="AK41" i="5"/>
  <c r="AI41" i="5"/>
  <c r="AG41" i="5"/>
  <c r="AD41" i="5"/>
  <c r="AA41" i="5"/>
  <c r="Y41" i="5"/>
  <c r="W41" i="5"/>
  <c r="U41" i="5"/>
  <c r="BL41" i="5" s="1"/>
  <c r="S41" i="5"/>
  <c r="G41" i="5"/>
  <c r="F41" i="5"/>
  <c r="BR41" i="5" s="1"/>
  <c r="B41" i="5"/>
  <c r="BT40" i="5"/>
  <c r="BS40" i="5"/>
  <c r="BR40" i="5"/>
  <c r="BQ40" i="5"/>
  <c r="BP40" i="5"/>
  <c r="BK40" i="5"/>
  <c r="BA40" i="5"/>
  <c r="AY40" i="5"/>
  <c r="AW40" i="5"/>
  <c r="AU40" i="5"/>
  <c r="AS40" i="5"/>
  <c r="AQ40" i="5"/>
  <c r="AO40" i="5"/>
  <c r="AK40" i="5"/>
  <c r="AI40" i="5"/>
  <c r="AG40" i="5"/>
  <c r="AD40" i="5"/>
  <c r="AA40" i="5"/>
  <c r="Y40" i="5"/>
  <c r="W40" i="5"/>
  <c r="U40" i="5"/>
  <c r="S40" i="5"/>
  <c r="G40" i="5"/>
  <c r="F40" i="5"/>
  <c r="B40" i="5"/>
  <c r="BT39" i="5"/>
  <c r="BS39" i="5"/>
  <c r="BQ39" i="5"/>
  <c r="BP39" i="5"/>
  <c r="BK39" i="5"/>
  <c r="BA39" i="5"/>
  <c r="AY39" i="5"/>
  <c r="AW39" i="5"/>
  <c r="AU39" i="5"/>
  <c r="AS39" i="5"/>
  <c r="AQ39" i="5"/>
  <c r="AO39" i="5"/>
  <c r="AK39" i="5"/>
  <c r="AI39" i="5"/>
  <c r="AG39" i="5"/>
  <c r="AD39" i="5"/>
  <c r="AA39" i="5"/>
  <c r="Y39" i="5"/>
  <c r="W39" i="5"/>
  <c r="U39" i="5"/>
  <c r="S39" i="5"/>
  <c r="G39" i="5"/>
  <c r="F39" i="5"/>
  <c r="BR39" i="5" s="1"/>
  <c r="B39" i="5"/>
  <c r="BT38" i="5"/>
  <c r="BS38" i="5"/>
  <c r="BQ38" i="5"/>
  <c r="BP38" i="5"/>
  <c r="BK38" i="5"/>
  <c r="BA38" i="5"/>
  <c r="AY38" i="5"/>
  <c r="AW38" i="5"/>
  <c r="AU38" i="5"/>
  <c r="AS38" i="5"/>
  <c r="AQ38" i="5"/>
  <c r="AO38" i="5"/>
  <c r="AK38" i="5"/>
  <c r="AI38" i="5"/>
  <c r="AG38" i="5"/>
  <c r="AD38" i="5"/>
  <c r="AA38" i="5"/>
  <c r="Y38" i="5"/>
  <c r="W38" i="5"/>
  <c r="U38" i="5"/>
  <c r="S38" i="5"/>
  <c r="G38" i="5"/>
  <c r="F38" i="5"/>
  <c r="BR38" i="5" s="1"/>
  <c r="B38" i="5"/>
  <c r="BT37" i="5"/>
  <c r="BS37" i="5"/>
  <c r="BR37" i="5"/>
  <c r="BQ37" i="5"/>
  <c r="BP37" i="5"/>
  <c r="BK37" i="5"/>
  <c r="BA37" i="5"/>
  <c r="AY37" i="5"/>
  <c r="AW37" i="5"/>
  <c r="AU37" i="5"/>
  <c r="AS37" i="5"/>
  <c r="AQ37" i="5"/>
  <c r="AO37" i="5"/>
  <c r="AK37" i="5"/>
  <c r="AI37" i="5"/>
  <c r="AG37" i="5"/>
  <c r="AD37" i="5"/>
  <c r="AA37" i="5"/>
  <c r="Y37" i="5"/>
  <c r="W37" i="5"/>
  <c r="U37" i="5"/>
  <c r="S37" i="5"/>
  <c r="G37" i="5"/>
  <c r="F37" i="5"/>
  <c r="B37" i="5"/>
  <c r="BT36" i="5"/>
  <c r="BS36" i="5"/>
  <c r="BQ36" i="5"/>
  <c r="BP36" i="5"/>
  <c r="BK36" i="5"/>
  <c r="BA36" i="5"/>
  <c r="AY36" i="5"/>
  <c r="AW36" i="5"/>
  <c r="AU36" i="5"/>
  <c r="AS36" i="5"/>
  <c r="AQ36" i="5"/>
  <c r="AO36" i="5"/>
  <c r="AK36" i="5"/>
  <c r="AI36" i="5"/>
  <c r="AG36" i="5"/>
  <c r="AD36" i="5"/>
  <c r="AA36" i="5"/>
  <c r="Y36" i="5"/>
  <c r="W36" i="5"/>
  <c r="U36" i="5"/>
  <c r="S36" i="5"/>
  <c r="G36" i="5"/>
  <c r="F36" i="5"/>
  <c r="BR36" i="5" s="1"/>
  <c r="B36" i="5"/>
  <c r="BT35" i="5"/>
  <c r="BS35" i="5"/>
  <c r="BQ35" i="5"/>
  <c r="BP35" i="5"/>
  <c r="BK35" i="5"/>
  <c r="BA35" i="5"/>
  <c r="AY35" i="5"/>
  <c r="AW35" i="5"/>
  <c r="AU35" i="5"/>
  <c r="AS35" i="5"/>
  <c r="AQ35" i="5"/>
  <c r="AO35" i="5"/>
  <c r="AK35" i="5"/>
  <c r="AI35" i="5"/>
  <c r="AG35" i="5"/>
  <c r="AD35" i="5"/>
  <c r="AA35" i="5"/>
  <c r="Y35" i="5"/>
  <c r="W35" i="5"/>
  <c r="U35" i="5"/>
  <c r="S35" i="5"/>
  <c r="G35" i="5"/>
  <c r="F35" i="5"/>
  <c r="BR35" i="5" s="1"/>
  <c r="B35" i="5"/>
  <c r="BT34" i="5"/>
  <c r="BS34" i="5"/>
  <c r="BQ34" i="5"/>
  <c r="BP34" i="5"/>
  <c r="BK34" i="5"/>
  <c r="BA34" i="5"/>
  <c r="AY34" i="5"/>
  <c r="AW34" i="5"/>
  <c r="AU34" i="5"/>
  <c r="AS34" i="5"/>
  <c r="AQ34" i="5"/>
  <c r="AO34" i="5"/>
  <c r="AK34" i="5"/>
  <c r="AI34" i="5"/>
  <c r="AG34" i="5"/>
  <c r="AD34" i="5"/>
  <c r="AA34" i="5"/>
  <c r="Y34" i="5"/>
  <c r="W34" i="5"/>
  <c r="U34" i="5"/>
  <c r="S34" i="5"/>
  <c r="G34" i="5"/>
  <c r="F34" i="5"/>
  <c r="BR34" i="5" s="1"/>
  <c r="B34" i="5"/>
  <c r="BT33" i="5"/>
  <c r="BS33" i="5"/>
  <c r="BQ33" i="5"/>
  <c r="BP33" i="5"/>
  <c r="BK33" i="5"/>
  <c r="BA33" i="5"/>
  <c r="AY33" i="5"/>
  <c r="AW33" i="5"/>
  <c r="AU33" i="5"/>
  <c r="AS33" i="5"/>
  <c r="AQ33" i="5"/>
  <c r="AO33" i="5"/>
  <c r="AK33" i="5"/>
  <c r="AI33" i="5"/>
  <c r="AG33" i="5"/>
  <c r="AD33" i="5"/>
  <c r="AA33" i="5"/>
  <c r="Y33" i="5"/>
  <c r="W33" i="5"/>
  <c r="U33" i="5"/>
  <c r="S33" i="5"/>
  <c r="G33" i="5"/>
  <c r="F33" i="5"/>
  <c r="BR33" i="5" s="1"/>
  <c r="B33" i="5"/>
  <c r="BT32" i="5"/>
  <c r="BS32" i="5"/>
  <c r="BQ32" i="5"/>
  <c r="BP32" i="5"/>
  <c r="BK32" i="5"/>
  <c r="BA32" i="5"/>
  <c r="AY32" i="5"/>
  <c r="AW32" i="5"/>
  <c r="AU32" i="5"/>
  <c r="AS32" i="5"/>
  <c r="AQ32" i="5"/>
  <c r="AO32" i="5"/>
  <c r="AK32" i="5"/>
  <c r="AI32" i="5"/>
  <c r="AG32" i="5"/>
  <c r="AD32" i="5"/>
  <c r="AA32" i="5"/>
  <c r="Y32" i="5"/>
  <c r="W32" i="5"/>
  <c r="U32" i="5"/>
  <c r="S32" i="5"/>
  <c r="G32" i="5"/>
  <c r="F32" i="5"/>
  <c r="BR32" i="5" s="1"/>
  <c r="B32" i="5"/>
  <c r="BT31" i="5"/>
  <c r="BS31" i="5"/>
  <c r="BQ31" i="5"/>
  <c r="BP31" i="5"/>
  <c r="BK31" i="5"/>
  <c r="BA31" i="5"/>
  <c r="AY31" i="5"/>
  <c r="AW31" i="5"/>
  <c r="AU31" i="5"/>
  <c r="AS31" i="5"/>
  <c r="AQ31" i="5"/>
  <c r="AO31" i="5"/>
  <c r="AK31" i="5"/>
  <c r="AI31" i="5"/>
  <c r="AG31" i="5"/>
  <c r="AD31" i="5"/>
  <c r="AA31" i="5"/>
  <c r="Y31" i="5"/>
  <c r="W31" i="5"/>
  <c r="U31" i="5"/>
  <c r="S31" i="5"/>
  <c r="G31" i="5"/>
  <c r="F31" i="5"/>
  <c r="BR31" i="5" s="1"/>
  <c r="B31" i="5"/>
  <c r="BT30" i="5"/>
  <c r="BS30" i="5"/>
  <c r="BQ30" i="5"/>
  <c r="BP30" i="5"/>
  <c r="BK30" i="5"/>
  <c r="BA30" i="5"/>
  <c r="AY30" i="5"/>
  <c r="AW30" i="5"/>
  <c r="AU30" i="5"/>
  <c r="AS30" i="5"/>
  <c r="AQ30" i="5"/>
  <c r="AO30" i="5"/>
  <c r="AK30" i="5"/>
  <c r="AI30" i="5"/>
  <c r="AG30" i="5"/>
  <c r="AD30" i="5"/>
  <c r="AA30" i="5"/>
  <c r="Y30" i="5"/>
  <c r="W30" i="5"/>
  <c r="U30" i="5"/>
  <c r="S30" i="5"/>
  <c r="G30" i="5"/>
  <c r="F30" i="5"/>
  <c r="BR30" i="5" s="1"/>
  <c r="B30" i="5"/>
  <c r="BT29" i="5"/>
  <c r="BS29" i="5"/>
  <c r="BQ29" i="5"/>
  <c r="BP29" i="5"/>
  <c r="BK29" i="5"/>
  <c r="BA29" i="5"/>
  <c r="AY29" i="5"/>
  <c r="AW29" i="5"/>
  <c r="AU29" i="5"/>
  <c r="AS29" i="5"/>
  <c r="AQ29" i="5"/>
  <c r="AO29" i="5"/>
  <c r="AK29" i="5"/>
  <c r="AI29" i="5"/>
  <c r="AG29" i="5"/>
  <c r="AD29" i="5"/>
  <c r="AA29" i="5"/>
  <c r="Y29" i="5"/>
  <c r="W29" i="5"/>
  <c r="U29" i="5"/>
  <c r="S29" i="5"/>
  <c r="G29" i="5"/>
  <c r="F29" i="5"/>
  <c r="BR29" i="5" s="1"/>
  <c r="B29" i="5"/>
  <c r="BT28" i="5"/>
  <c r="BS28" i="5"/>
  <c r="BQ28" i="5"/>
  <c r="BP28" i="5"/>
  <c r="BK28" i="5"/>
  <c r="BA28" i="5"/>
  <c r="AY28" i="5"/>
  <c r="AW28" i="5"/>
  <c r="AU28" i="5"/>
  <c r="AS28" i="5"/>
  <c r="AQ28" i="5"/>
  <c r="AO28" i="5"/>
  <c r="AK28" i="5"/>
  <c r="AI28" i="5"/>
  <c r="AG28" i="5"/>
  <c r="AD28" i="5"/>
  <c r="AA28" i="5"/>
  <c r="Y28" i="5"/>
  <c r="W28" i="5"/>
  <c r="U28" i="5"/>
  <c r="S28" i="5"/>
  <c r="G28" i="5"/>
  <c r="F28" i="5"/>
  <c r="BR28" i="5" s="1"/>
  <c r="B28" i="5"/>
  <c r="BT27" i="5"/>
  <c r="BS27" i="5"/>
  <c r="BQ27" i="5"/>
  <c r="BP27" i="5"/>
  <c r="BK27" i="5"/>
  <c r="BA27" i="5"/>
  <c r="AY27" i="5"/>
  <c r="AW27" i="5"/>
  <c r="AU27" i="5"/>
  <c r="AS27" i="5"/>
  <c r="AQ27" i="5"/>
  <c r="AO27" i="5"/>
  <c r="AK27" i="5"/>
  <c r="AI27" i="5"/>
  <c r="AG27" i="5"/>
  <c r="AD27" i="5"/>
  <c r="AA27" i="5"/>
  <c r="Y27" i="5"/>
  <c r="W27" i="5"/>
  <c r="U27" i="5"/>
  <c r="S27" i="5"/>
  <c r="G27" i="5"/>
  <c r="F27" i="5"/>
  <c r="BR27" i="5" s="1"/>
  <c r="B27" i="5"/>
  <c r="BT26" i="5"/>
  <c r="BS26" i="5"/>
  <c r="BQ26" i="5"/>
  <c r="BP26" i="5"/>
  <c r="BK26" i="5"/>
  <c r="BA26" i="5"/>
  <c r="AY26" i="5"/>
  <c r="AW26" i="5"/>
  <c r="AU26" i="5"/>
  <c r="AS26" i="5"/>
  <c r="AQ26" i="5"/>
  <c r="AO26" i="5"/>
  <c r="AK26" i="5"/>
  <c r="AI26" i="5"/>
  <c r="AG26" i="5"/>
  <c r="AD26" i="5"/>
  <c r="AA26" i="5"/>
  <c r="Y26" i="5"/>
  <c r="W26" i="5"/>
  <c r="U26" i="5"/>
  <c r="S26" i="5"/>
  <c r="G26" i="5"/>
  <c r="F26" i="5"/>
  <c r="BR26" i="5" s="1"/>
  <c r="B26" i="5"/>
  <c r="BT25" i="5"/>
  <c r="BS25" i="5"/>
  <c r="BQ25" i="5"/>
  <c r="BP25" i="5"/>
  <c r="BK25" i="5"/>
  <c r="BA25" i="5"/>
  <c r="AY25" i="5"/>
  <c r="AW25" i="5"/>
  <c r="AU25" i="5"/>
  <c r="AS25" i="5"/>
  <c r="AQ25" i="5"/>
  <c r="AO25" i="5"/>
  <c r="AK25" i="5"/>
  <c r="AI25" i="5"/>
  <c r="AG25" i="5"/>
  <c r="AD25" i="5"/>
  <c r="AA25" i="5"/>
  <c r="Y25" i="5"/>
  <c r="W25" i="5"/>
  <c r="U25" i="5"/>
  <c r="S25" i="5"/>
  <c r="G25" i="5"/>
  <c r="F25" i="5"/>
  <c r="BR25" i="5" s="1"/>
  <c r="B25" i="5"/>
  <c r="BT24" i="5"/>
  <c r="BS24" i="5"/>
  <c r="BQ24" i="5"/>
  <c r="BP24" i="5"/>
  <c r="BK24" i="5"/>
  <c r="BA24" i="5"/>
  <c r="AY24" i="5"/>
  <c r="AW24" i="5"/>
  <c r="AU24" i="5"/>
  <c r="AS24" i="5"/>
  <c r="AQ24" i="5"/>
  <c r="AO24" i="5"/>
  <c r="AK24" i="5"/>
  <c r="AI24" i="5"/>
  <c r="AG24" i="5"/>
  <c r="AD24" i="5"/>
  <c r="AA24" i="5"/>
  <c r="Y24" i="5"/>
  <c r="W24" i="5"/>
  <c r="U24" i="5"/>
  <c r="S24" i="5"/>
  <c r="G24" i="5"/>
  <c r="F24" i="5"/>
  <c r="BR24" i="5" s="1"/>
  <c r="B24" i="5"/>
  <c r="BT23" i="5"/>
  <c r="BS23" i="5"/>
  <c r="BQ23" i="5"/>
  <c r="BP23" i="5"/>
  <c r="BK23" i="5"/>
  <c r="BA23" i="5"/>
  <c r="AY23" i="5"/>
  <c r="AW23" i="5"/>
  <c r="AU23" i="5"/>
  <c r="AS23" i="5"/>
  <c r="AQ23" i="5"/>
  <c r="AO23" i="5"/>
  <c r="AK23" i="5"/>
  <c r="AI23" i="5"/>
  <c r="AG23" i="5"/>
  <c r="AD23" i="5"/>
  <c r="AA23" i="5"/>
  <c r="Y23" i="5"/>
  <c r="W23" i="5"/>
  <c r="U23" i="5"/>
  <c r="S23" i="5"/>
  <c r="G23" i="5"/>
  <c r="F23" i="5"/>
  <c r="BR23" i="5" s="1"/>
  <c r="B23" i="5"/>
  <c r="BT22" i="5"/>
  <c r="BS22" i="5"/>
  <c r="BQ22" i="5"/>
  <c r="BP22" i="5"/>
  <c r="BK22" i="5"/>
  <c r="BA22" i="5"/>
  <c r="AY22" i="5"/>
  <c r="AW22" i="5"/>
  <c r="AU22" i="5"/>
  <c r="AS22" i="5"/>
  <c r="AQ22" i="5"/>
  <c r="AO22" i="5"/>
  <c r="AK22" i="5"/>
  <c r="AI22" i="5"/>
  <c r="AG22" i="5"/>
  <c r="AD22" i="5"/>
  <c r="AA22" i="5"/>
  <c r="Y22" i="5"/>
  <c r="W22" i="5"/>
  <c r="U22" i="5"/>
  <c r="S22" i="5"/>
  <c r="G22" i="5"/>
  <c r="F22" i="5"/>
  <c r="BR22" i="5" s="1"/>
  <c r="B22" i="5"/>
  <c r="BT21" i="5"/>
  <c r="BS21" i="5"/>
  <c r="BQ21" i="5"/>
  <c r="BP21" i="5"/>
  <c r="BK21" i="5"/>
  <c r="BA21" i="5"/>
  <c r="AY21" i="5"/>
  <c r="AW21" i="5"/>
  <c r="AU21" i="5"/>
  <c r="AS21" i="5"/>
  <c r="AQ21" i="5"/>
  <c r="AO21" i="5"/>
  <c r="AK21" i="5"/>
  <c r="AI21" i="5"/>
  <c r="AG21" i="5"/>
  <c r="AD21" i="5"/>
  <c r="AA21" i="5"/>
  <c r="Y21" i="5"/>
  <c r="W21" i="5"/>
  <c r="U21" i="5"/>
  <c r="S21" i="5"/>
  <c r="G21" i="5"/>
  <c r="F21" i="5"/>
  <c r="BR21" i="5" s="1"/>
  <c r="B21" i="5"/>
  <c r="BT20" i="5"/>
  <c r="BS20" i="5"/>
  <c r="BQ20" i="5"/>
  <c r="BP20" i="5"/>
  <c r="BK20" i="5"/>
  <c r="BA20" i="5"/>
  <c r="AY20" i="5"/>
  <c r="AW20" i="5"/>
  <c r="AU20" i="5"/>
  <c r="AS20" i="5"/>
  <c r="AQ20" i="5"/>
  <c r="AO20" i="5"/>
  <c r="AK20" i="5"/>
  <c r="AI20" i="5"/>
  <c r="AG20" i="5"/>
  <c r="AD20" i="5"/>
  <c r="AA20" i="5"/>
  <c r="Y20" i="5"/>
  <c r="W20" i="5"/>
  <c r="U20" i="5"/>
  <c r="S20" i="5"/>
  <c r="G20" i="5"/>
  <c r="F20" i="5"/>
  <c r="BR20" i="5" s="1"/>
  <c r="B20" i="5"/>
  <c r="BT19" i="5"/>
  <c r="BS19" i="5"/>
  <c r="BQ19" i="5"/>
  <c r="BP19" i="5"/>
  <c r="BK19" i="5"/>
  <c r="BA19" i="5"/>
  <c r="AY19" i="5"/>
  <c r="AW19" i="5"/>
  <c r="AU19" i="5"/>
  <c r="AS19" i="5"/>
  <c r="AQ19" i="5"/>
  <c r="AO19" i="5"/>
  <c r="AK19" i="5"/>
  <c r="AI19" i="5"/>
  <c r="AG19" i="5"/>
  <c r="AD19" i="5"/>
  <c r="AA19" i="5"/>
  <c r="Y19" i="5"/>
  <c r="W19" i="5"/>
  <c r="U19" i="5"/>
  <c r="S19" i="5"/>
  <c r="G19" i="5"/>
  <c r="F19" i="5"/>
  <c r="BR19" i="5" s="1"/>
  <c r="B19" i="5"/>
  <c r="BT18" i="5"/>
  <c r="BS18" i="5"/>
  <c r="BQ18" i="5"/>
  <c r="BP18" i="5"/>
  <c r="BK18" i="5"/>
  <c r="BA18" i="5"/>
  <c r="AY18" i="5"/>
  <c r="AW18" i="5"/>
  <c r="AU18" i="5"/>
  <c r="AS18" i="5"/>
  <c r="AQ18" i="5"/>
  <c r="AO18" i="5"/>
  <c r="AK18" i="5"/>
  <c r="AI18" i="5"/>
  <c r="AG18" i="5"/>
  <c r="AD18" i="5"/>
  <c r="AA18" i="5"/>
  <c r="Y18" i="5"/>
  <c r="W18" i="5"/>
  <c r="U18" i="5"/>
  <c r="S18" i="5"/>
  <c r="G18" i="5"/>
  <c r="F18" i="5"/>
  <c r="BR18" i="5" s="1"/>
  <c r="B18" i="5"/>
  <c r="BT17" i="5"/>
  <c r="BS17" i="5"/>
  <c r="BQ17" i="5"/>
  <c r="BP17" i="5"/>
  <c r="BK17" i="5"/>
  <c r="BA17" i="5"/>
  <c r="AY17" i="5"/>
  <c r="AW17" i="5"/>
  <c r="AU17" i="5"/>
  <c r="AS17" i="5"/>
  <c r="AQ17" i="5"/>
  <c r="AO17" i="5"/>
  <c r="AK17" i="5"/>
  <c r="AI17" i="5"/>
  <c r="AG17" i="5"/>
  <c r="AD17" i="5"/>
  <c r="AA17" i="5"/>
  <c r="Y17" i="5"/>
  <c r="W17" i="5"/>
  <c r="U17" i="5"/>
  <c r="S17" i="5"/>
  <c r="G17" i="5"/>
  <c r="F17" i="5"/>
  <c r="BR17" i="5" s="1"/>
  <c r="B17" i="5"/>
  <c r="BT16" i="5"/>
  <c r="BS16" i="5"/>
  <c r="BQ16" i="5"/>
  <c r="BP16" i="5"/>
  <c r="BK16" i="5"/>
  <c r="BA16" i="5"/>
  <c r="AY16" i="5"/>
  <c r="AW16" i="5"/>
  <c r="AU16" i="5"/>
  <c r="AS16" i="5"/>
  <c r="AQ16" i="5"/>
  <c r="AO16" i="5"/>
  <c r="AK16" i="5"/>
  <c r="AI16" i="5"/>
  <c r="AG16" i="5"/>
  <c r="AD16" i="5"/>
  <c r="AA16" i="5"/>
  <c r="Y16" i="5"/>
  <c r="W16" i="5"/>
  <c r="U16" i="5"/>
  <c r="S16" i="5"/>
  <c r="G16" i="5"/>
  <c r="F16" i="5"/>
  <c r="BR16" i="5" s="1"/>
  <c r="B16" i="5"/>
  <c r="BT15" i="5"/>
  <c r="BS15" i="5"/>
  <c r="BQ15" i="5"/>
  <c r="BP15" i="5"/>
  <c r="BK15" i="5"/>
  <c r="BA15" i="5"/>
  <c r="AY15" i="5"/>
  <c r="AW15" i="5"/>
  <c r="AU15" i="5"/>
  <c r="AS15" i="5"/>
  <c r="AQ15" i="5"/>
  <c r="AO15" i="5"/>
  <c r="AK15" i="5"/>
  <c r="AI15" i="5"/>
  <c r="AG15" i="5"/>
  <c r="AD15" i="5"/>
  <c r="AA15" i="5"/>
  <c r="Y15" i="5"/>
  <c r="W15" i="5"/>
  <c r="U15" i="5"/>
  <c r="S15" i="5"/>
  <c r="G15" i="5"/>
  <c r="F15" i="5"/>
  <c r="BR15" i="5" s="1"/>
  <c r="B15" i="5"/>
  <c r="BT14" i="5"/>
  <c r="BS14" i="5"/>
  <c r="BQ14" i="5"/>
  <c r="BP14" i="5"/>
  <c r="BK14" i="5"/>
  <c r="BA14" i="5"/>
  <c r="AY14" i="5"/>
  <c r="AW14" i="5"/>
  <c r="AU14" i="5"/>
  <c r="AS14" i="5"/>
  <c r="AQ14" i="5"/>
  <c r="AO14" i="5"/>
  <c r="AK14" i="5"/>
  <c r="AI14" i="5"/>
  <c r="AG14" i="5"/>
  <c r="AD14" i="5"/>
  <c r="AA14" i="5"/>
  <c r="Y14" i="5"/>
  <c r="W14" i="5"/>
  <c r="U14" i="5"/>
  <c r="S14" i="5"/>
  <c r="G14" i="5"/>
  <c r="F14" i="5"/>
  <c r="BR14" i="5" s="1"/>
  <c r="B14" i="5"/>
  <c r="BT13" i="5"/>
  <c r="BS13" i="5"/>
  <c r="BQ13" i="5"/>
  <c r="BP13" i="5"/>
  <c r="BK13" i="5"/>
  <c r="BA13" i="5"/>
  <c r="AY13" i="5"/>
  <c r="AW13" i="5"/>
  <c r="AU13" i="5"/>
  <c r="AS13" i="5"/>
  <c r="AQ13" i="5"/>
  <c r="AO13" i="5"/>
  <c r="AK13" i="5"/>
  <c r="AI13" i="5"/>
  <c r="AG13" i="5"/>
  <c r="AD13" i="5"/>
  <c r="AA13" i="5"/>
  <c r="Y13" i="5"/>
  <c r="W13" i="5"/>
  <c r="U13" i="5"/>
  <c r="S13" i="5"/>
  <c r="G13" i="5"/>
  <c r="F13" i="5"/>
  <c r="BR13" i="5" s="1"/>
  <c r="B13" i="5"/>
  <c r="BT12" i="5"/>
  <c r="BS12" i="5"/>
  <c r="BQ12" i="5"/>
  <c r="BP12" i="5"/>
  <c r="BK12" i="5"/>
  <c r="BA12" i="5"/>
  <c r="AY12" i="5"/>
  <c r="AW12" i="5"/>
  <c r="AU12" i="5"/>
  <c r="AS12" i="5"/>
  <c r="AQ12" i="5"/>
  <c r="AO12" i="5"/>
  <c r="AK12" i="5"/>
  <c r="AI12" i="5"/>
  <c r="AG12" i="5"/>
  <c r="AD12" i="5"/>
  <c r="AA12" i="5"/>
  <c r="Y12" i="5"/>
  <c r="W12" i="5"/>
  <c r="U12" i="5"/>
  <c r="S12" i="5"/>
  <c r="G12" i="5"/>
  <c r="F12" i="5"/>
  <c r="BR12" i="5" s="1"/>
  <c r="B12" i="5"/>
  <c r="BT11" i="5"/>
  <c r="BS11" i="5"/>
  <c r="BQ11" i="5"/>
  <c r="BP11" i="5"/>
  <c r="BK11" i="5"/>
  <c r="BA11" i="5"/>
  <c r="AY11" i="5"/>
  <c r="AW11" i="5"/>
  <c r="AU11" i="5"/>
  <c r="AS11" i="5"/>
  <c r="AQ11" i="5"/>
  <c r="AO11" i="5"/>
  <c r="AK11" i="5"/>
  <c r="AI11" i="5"/>
  <c r="AG11" i="5"/>
  <c r="AD11" i="5"/>
  <c r="AA11" i="5"/>
  <c r="Y11" i="5"/>
  <c r="W11" i="5"/>
  <c r="U11" i="5"/>
  <c r="S11" i="5"/>
  <c r="G11" i="5"/>
  <c r="F11" i="5"/>
  <c r="BR11" i="5" s="1"/>
  <c r="B11" i="5"/>
  <c r="BT10" i="5"/>
  <c r="BS10" i="5"/>
  <c r="BQ10" i="5"/>
  <c r="BP10" i="5"/>
  <c r="BK10" i="5"/>
  <c r="BA10" i="5"/>
  <c r="AY10" i="5"/>
  <c r="AW10" i="5"/>
  <c r="AU10" i="5"/>
  <c r="AS10" i="5"/>
  <c r="AQ10" i="5"/>
  <c r="AO10" i="5"/>
  <c r="AK10" i="5"/>
  <c r="AI10" i="5"/>
  <c r="AG10" i="5"/>
  <c r="AD10" i="5"/>
  <c r="AA10" i="5"/>
  <c r="Y10" i="5"/>
  <c r="W10" i="5"/>
  <c r="U10" i="5"/>
  <c r="S10" i="5"/>
  <c r="G10" i="5"/>
  <c r="F10" i="5"/>
  <c r="BR10" i="5" s="1"/>
  <c r="B10" i="5"/>
  <c r="BT9" i="5"/>
  <c r="BS9" i="5"/>
  <c r="BQ9" i="5"/>
  <c r="BP9" i="5"/>
  <c r="BK9" i="5"/>
  <c r="BA9" i="5"/>
  <c r="AY9" i="5"/>
  <c r="AW9" i="5"/>
  <c r="AU9" i="5"/>
  <c r="AS9" i="5"/>
  <c r="AQ9" i="5"/>
  <c r="AO9" i="5"/>
  <c r="AK9" i="5"/>
  <c r="AI9" i="5"/>
  <c r="AG9" i="5"/>
  <c r="AD9" i="5"/>
  <c r="AA9" i="5"/>
  <c r="Y9" i="5"/>
  <c r="W9" i="5"/>
  <c r="U9" i="5"/>
  <c r="S9" i="5"/>
  <c r="G9" i="5"/>
  <c r="F9" i="5"/>
  <c r="BR9" i="5" s="1"/>
  <c r="B9" i="5"/>
  <c r="BT8" i="5"/>
  <c r="BS8" i="5"/>
  <c r="BQ8" i="5"/>
  <c r="BP8" i="5"/>
  <c r="BK8" i="5"/>
  <c r="BA8" i="5"/>
  <c r="AY8" i="5"/>
  <c r="AW8" i="5"/>
  <c r="AU8" i="5"/>
  <c r="AS8" i="5"/>
  <c r="AQ8" i="5"/>
  <c r="AO8" i="5"/>
  <c r="AK8" i="5"/>
  <c r="AI8" i="5"/>
  <c r="AG8" i="5"/>
  <c r="AD8" i="5"/>
  <c r="AA8" i="5"/>
  <c r="Y8" i="5"/>
  <c r="W8" i="5"/>
  <c r="U8" i="5"/>
  <c r="S8" i="5"/>
  <c r="G8" i="5"/>
  <c r="F8" i="5"/>
  <c r="BR8" i="5" s="1"/>
  <c r="B8" i="5"/>
  <c r="BT7" i="5"/>
  <c r="BS7" i="5"/>
  <c r="BQ7" i="5"/>
  <c r="BP7" i="5"/>
  <c r="BK7" i="5"/>
  <c r="BA7" i="5"/>
  <c r="AY7" i="5"/>
  <c r="AW7" i="5"/>
  <c r="AU7" i="5"/>
  <c r="AS7" i="5"/>
  <c r="AQ7" i="5"/>
  <c r="AO7" i="5"/>
  <c r="AK7" i="5"/>
  <c r="AI7" i="5"/>
  <c r="AG7" i="5"/>
  <c r="AD7" i="5"/>
  <c r="AA7" i="5"/>
  <c r="Y7" i="5"/>
  <c r="W7" i="5"/>
  <c r="U7" i="5"/>
  <c r="S7" i="5"/>
  <c r="G7" i="5"/>
  <c r="F7" i="5"/>
  <c r="BR7" i="5" s="1"/>
  <c r="B7" i="5"/>
  <c r="BT6" i="5"/>
  <c r="BS6" i="5"/>
  <c r="BQ6" i="5"/>
  <c r="BP6" i="5"/>
  <c r="BK6" i="5"/>
  <c r="BA6" i="5"/>
  <c r="AY6" i="5"/>
  <c r="AW6" i="5"/>
  <c r="AU6" i="5"/>
  <c r="AS6" i="5"/>
  <c r="AQ6" i="5"/>
  <c r="AO6" i="5"/>
  <c r="AK6" i="5"/>
  <c r="AI6" i="5"/>
  <c r="AG6" i="5"/>
  <c r="AD6" i="5"/>
  <c r="AA6" i="5"/>
  <c r="Y6" i="5"/>
  <c r="W6" i="5"/>
  <c r="U6" i="5"/>
  <c r="S6" i="5"/>
  <c r="G6" i="5"/>
  <c r="F6" i="5"/>
  <c r="BR6" i="5" s="1"/>
  <c r="B6" i="5"/>
  <c r="BT5" i="5"/>
  <c r="BS5" i="5"/>
  <c r="BQ5" i="5"/>
  <c r="BP5" i="5"/>
  <c r="BK5" i="5"/>
  <c r="BA5" i="5"/>
  <c r="AY5" i="5"/>
  <c r="AW5" i="5"/>
  <c r="AU5" i="5"/>
  <c r="AS5" i="5"/>
  <c r="AQ5" i="5"/>
  <c r="AO5" i="5"/>
  <c r="AK5" i="5"/>
  <c r="AI5" i="5"/>
  <c r="AG5" i="5"/>
  <c r="AD5" i="5"/>
  <c r="AA5" i="5"/>
  <c r="Y5" i="5"/>
  <c r="W5" i="5"/>
  <c r="U5" i="5"/>
  <c r="S5" i="5"/>
  <c r="G5" i="5"/>
  <c r="F5" i="5"/>
  <c r="BR5" i="5" s="1"/>
  <c r="B5" i="5"/>
  <c r="BT4" i="5"/>
  <c r="BS4" i="5"/>
  <c r="BQ4" i="5"/>
  <c r="BP4" i="5"/>
  <c r="BK4" i="5"/>
  <c r="BA4" i="5"/>
  <c r="AY4" i="5"/>
  <c r="AW4" i="5"/>
  <c r="AU4" i="5"/>
  <c r="AS4" i="5"/>
  <c r="AQ4" i="5"/>
  <c r="AO4" i="5"/>
  <c r="AK4" i="5"/>
  <c r="AI4" i="5"/>
  <c r="AG4" i="5"/>
  <c r="AD4" i="5"/>
  <c r="AA4" i="5"/>
  <c r="Y4" i="5"/>
  <c r="W4" i="5"/>
  <c r="U4" i="5"/>
  <c r="S4" i="5"/>
  <c r="G4" i="5"/>
  <c r="F4" i="5"/>
  <c r="BR4" i="5" s="1"/>
  <c r="B4" i="5"/>
  <c r="BT3" i="5"/>
  <c r="BS3" i="5"/>
  <c r="BQ3" i="5"/>
  <c r="BP3" i="5"/>
  <c r="BK3" i="5"/>
  <c r="BA3" i="5"/>
  <c r="AY3" i="5"/>
  <c r="AW3" i="5"/>
  <c r="AU3" i="5"/>
  <c r="AS3" i="5"/>
  <c r="AQ3" i="5"/>
  <c r="AO3" i="5"/>
  <c r="AK3" i="5"/>
  <c r="AI3" i="5"/>
  <c r="AG3" i="5"/>
  <c r="AA3" i="5"/>
  <c r="Y3" i="5"/>
  <c r="W3" i="5"/>
  <c r="U3" i="5"/>
  <c r="S3" i="5"/>
  <c r="G3" i="5"/>
  <c r="F3" i="5"/>
  <c r="BR3" i="5" s="1"/>
  <c r="B3" i="5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208" i="1"/>
  <c r="BQ209" i="1"/>
  <c r="BQ210" i="1"/>
  <c r="BQ211" i="1"/>
  <c r="BQ212" i="1"/>
  <c r="BQ213" i="1"/>
  <c r="BQ214" i="1"/>
  <c r="BQ215" i="1"/>
  <c r="BQ216" i="1"/>
  <c r="BQ217" i="1"/>
  <c r="BQ218" i="1"/>
  <c r="BQ219" i="1"/>
  <c r="BQ220" i="1"/>
  <c r="BQ221" i="1"/>
  <c r="BQ222" i="1"/>
  <c r="BQ223" i="1"/>
  <c r="BQ224" i="1"/>
  <c r="BQ225" i="1"/>
  <c r="BQ226" i="1"/>
  <c r="BQ227" i="1"/>
  <c r="BQ228" i="1"/>
  <c r="BQ229" i="1"/>
  <c r="BQ230" i="1"/>
  <c r="BQ231" i="1"/>
  <c r="BQ232" i="1"/>
  <c r="BQ233" i="1"/>
  <c r="BQ234" i="1"/>
  <c r="BQ235" i="1"/>
  <c r="BQ236" i="1"/>
  <c r="BQ237" i="1"/>
  <c r="BQ238" i="1"/>
  <c r="BQ239" i="1"/>
  <c r="BQ240" i="1"/>
  <c r="BQ241" i="1"/>
  <c r="BQ242" i="1"/>
  <c r="BQ243" i="1"/>
  <c r="BQ244" i="1"/>
  <c r="BQ245" i="1"/>
  <c r="BQ246" i="1"/>
  <c r="BQ247" i="1"/>
  <c r="BQ248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264" i="1"/>
  <c r="BQ265" i="1"/>
  <c r="BQ266" i="1"/>
  <c r="BQ267" i="1"/>
  <c r="BQ268" i="1"/>
  <c r="BQ269" i="1"/>
  <c r="BQ270" i="1"/>
  <c r="BQ271" i="1"/>
  <c r="BQ272" i="1"/>
  <c r="BQ273" i="1"/>
  <c r="BQ274" i="1"/>
  <c r="BQ275" i="1"/>
  <c r="BQ276" i="1"/>
  <c r="BQ277" i="1"/>
  <c r="BQ278" i="1"/>
  <c r="BQ279" i="1"/>
  <c r="BQ280" i="1"/>
  <c r="BQ281" i="1"/>
  <c r="BQ282" i="1"/>
  <c r="BQ283" i="1"/>
  <c r="BQ284" i="1"/>
  <c r="BQ285" i="1"/>
  <c r="BQ286" i="1"/>
  <c r="BQ287" i="1"/>
  <c r="BQ288" i="1"/>
  <c r="BQ289" i="1"/>
  <c r="BQ290" i="1"/>
  <c r="BQ291" i="1"/>
  <c r="BQ292" i="1"/>
  <c r="BQ293" i="1"/>
  <c r="BQ294" i="1"/>
  <c r="BQ295" i="1"/>
  <c r="BQ296" i="1"/>
  <c r="BQ297" i="1"/>
  <c r="BQ298" i="1"/>
  <c r="BQ299" i="1"/>
  <c r="BQ300" i="1"/>
  <c r="BQ301" i="1"/>
  <c r="BQ302" i="1"/>
  <c r="BQ303" i="1"/>
  <c r="BQ304" i="1"/>
  <c r="BQ305" i="1"/>
  <c r="BQ306" i="1"/>
  <c r="BQ307" i="1"/>
  <c r="BQ308" i="1"/>
  <c r="BQ309" i="1"/>
  <c r="BQ310" i="1"/>
  <c r="BQ311" i="1"/>
  <c r="BQ312" i="1"/>
  <c r="BQ313" i="1"/>
  <c r="BQ314" i="1"/>
  <c r="BQ315" i="1"/>
  <c r="BQ316" i="1"/>
  <c r="BQ317" i="1"/>
  <c r="BQ318" i="1"/>
  <c r="BQ319" i="1"/>
  <c r="BQ320" i="1"/>
  <c r="BQ321" i="1"/>
  <c r="BQ322" i="1"/>
  <c r="BQ323" i="1"/>
  <c r="BQ324" i="1"/>
  <c r="BQ325" i="1"/>
  <c r="BQ326" i="1"/>
  <c r="BQ327" i="1"/>
  <c r="BQ328" i="1"/>
  <c r="BQ329" i="1"/>
  <c r="BQ330" i="1"/>
  <c r="BQ331" i="1"/>
  <c r="BQ332" i="1"/>
  <c r="BQ333" i="1"/>
  <c r="BQ334" i="1"/>
  <c r="BQ335" i="1"/>
  <c r="BQ336" i="1"/>
  <c r="BQ337" i="1"/>
  <c r="BQ338" i="1"/>
  <c r="BQ339" i="1"/>
  <c r="BQ340" i="1"/>
  <c r="BQ341" i="1"/>
  <c r="BQ342" i="1"/>
  <c r="BQ343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F3" i="1"/>
  <c r="BR3" i="1" s="1"/>
  <c r="F4" i="1"/>
  <c r="BR4" i="1" s="1"/>
  <c r="F5" i="1"/>
  <c r="BR5" i="1" s="1"/>
  <c r="F6" i="1"/>
  <c r="BR6" i="1" s="1"/>
  <c r="F7" i="1"/>
  <c r="BR7" i="1" s="1"/>
  <c r="F8" i="1"/>
  <c r="BR8" i="1" s="1"/>
  <c r="F9" i="1"/>
  <c r="BR9" i="1" s="1"/>
  <c r="F10" i="1"/>
  <c r="BR10" i="1" s="1"/>
  <c r="F11" i="1"/>
  <c r="BR11" i="1" s="1"/>
  <c r="F12" i="1"/>
  <c r="BR12" i="1" s="1"/>
  <c r="F13" i="1"/>
  <c r="BR13" i="1" s="1"/>
  <c r="F14" i="1"/>
  <c r="BR14" i="1" s="1"/>
  <c r="F15" i="1"/>
  <c r="BR15" i="1" s="1"/>
  <c r="F16" i="1"/>
  <c r="F17" i="1"/>
  <c r="BR17" i="1" s="1"/>
  <c r="F18" i="1"/>
  <c r="BR18" i="1" s="1"/>
  <c r="F19" i="1"/>
  <c r="BR19" i="1" s="1"/>
  <c r="F20" i="1"/>
  <c r="BR20" i="1" s="1"/>
  <c r="F21" i="1"/>
  <c r="BR21" i="1" s="1"/>
  <c r="F22" i="1"/>
  <c r="BR22" i="1" s="1"/>
  <c r="F23" i="1"/>
  <c r="BR23" i="1" s="1"/>
  <c r="F24" i="1"/>
  <c r="BR24" i="1" s="1"/>
  <c r="F25" i="1"/>
  <c r="BR25" i="1" s="1"/>
  <c r="F26" i="1"/>
  <c r="BR26" i="1" s="1"/>
  <c r="F27" i="1"/>
  <c r="BR27" i="1" s="1"/>
  <c r="F28" i="1"/>
  <c r="BR28" i="1" s="1"/>
  <c r="F29" i="1"/>
  <c r="BR29" i="1" s="1"/>
  <c r="F30" i="1"/>
  <c r="BR30" i="1" s="1"/>
  <c r="F31" i="1"/>
  <c r="BR31" i="1" s="1"/>
  <c r="F32" i="1"/>
  <c r="BR32" i="1" s="1"/>
  <c r="F33" i="1"/>
  <c r="BR33" i="1" s="1"/>
  <c r="F34" i="1"/>
  <c r="BR34" i="1" s="1"/>
  <c r="F35" i="1"/>
  <c r="BR35" i="1" s="1"/>
  <c r="F36" i="1"/>
  <c r="BR36" i="1" s="1"/>
  <c r="F37" i="1"/>
  <c r="BR37" i="1" s="1"/>
  <c r="F38" i="1"/>
  <c r="BR38" i="1" s="1"/>
  <c r="F39" i="1"/>
  <c r="BR39" i="1" s="1"/>
  <c r="F40" i="1"/>
  <c r="BR40" i="1" s="1"/>
  <c r="F41" i="1"/>
  <c r="BR41" i="1" s="1"/>
  <c r="F42" i="1"/>
  <c r="BR42" i="1" s="1"/>
  <c r="F43" i="1"/>
  <c r="BR43" i="1" s="1"/>
  <c r="F44" i="1"/>
  <c r="BR44" i="1" s="1"/>
  <c r="F45" i="1"/>
  <c r="BR45" i="1" s="1"/>
  <c r="F46" i="1"/>
  <c r="BR46" i="1" s="1"/>
  <c r="F47" i="1"/>
  <c r="BR47" i="1" s="1"/>
  <c r="F48" i="1"/>
  <c r="BR48" i="1" s="1"/>
  <c r="F49" i="1"/>
  <c r="BR49" i="1" s="1"/>
  <c r="F50" i="1"/>
  <c r="BR50" i="1" s="1"/>
  <c r="F51" i="1"/>
  <c r="BR51" i="1" s="1"/>
  <c r="F52" i="1"/>
  <c r="BR52" i="1" s="1"/>
  <c r="F53" i="1"/>
  <c r="BR53" i="1" s="1"/>
  <c r="F54" i="1"/>
  <c r="BR54" i="1" s="1"/>
  <c r="F55" i="1"/>
  <c r="BR55" i="1" s="1"/>
  <c r="F56" i="1"/>
  <c r="BR56" i="1" s="1"/>
  <c r="F57" i="1"/>
  <c r="BR57" i="1" s="1"/>
  <c r="F58" i="1"/>
  <c r="BR58" i="1" s="1"/>
  <c r="F59" i="1"/>
  <c r="BR59" i="1" s="1"/>
  <c r="F60" i="1"/>
  <c r="BR60" i="1" s="1"/>
  <c r="F61" i="1"/>
  <c r="BR61" i="1" s="1"/>
  <c r="F62" i="1"/>
  <c r="BR62" i="1" s="1"/>
  <c r="F63" i="1"/>
  <c r="BR63" i="1" s="1"/>
  <c r="F64" i="1"/>
  <c r="BR64" i="1" s="1"/>
  <c r="F65" i="1"/>
  <c r="BR65" i="1" s="1"/>
  <c r="F66" i="1"/>
  <c r="BR66" i="1" s="1"/>
  <c r="F67" i="1"/>
  <c r="BR67" i="1" s="1"/>
  <c r="F68" i="1"/>
  <c r="BR68" i="1" s="1"/>
  <c r="F69" i="1"/>
  <c r="BR69" i="1" s="1"/>
  <c r="F70" i="1"/>
  <c r="BR70" i="1" s="1"/>
  <c r="F71" i="1"/>
  <c r="BR71" i="1" s="1"/>
  <c r="F72" i="1"/>
  <c r="BR72" i="1" s="1"/>
  <c r="F73" i="1"/>
  <c r="BR73" i="1" s="1"/>
  <c r="F74" i="1"/>
  <c r="BR74" i="1" s="1"/>
  <c r="F75" i="1"/>
  <c r="BR75" i="1" s="1"/>
  <c r="F76" i="1"/>
  <c r="BR76" i="1" s="1"/>
  <c r="F77" i="1"/>
  <c r="BR77" i="1" s="1"/>
  <c r="F78" i="1"/>
  <c r="BR78" i="1" s="1"/>
  <c r="F79" i="1"/>
  <c r="BR79" i="1" s="1"/>
  <c r="F80" i="1"/>
  <c r="BR80" i="1" s="1"/>
  <c r="F81" i="1"/>
  <c r="BR81" i="1" s="1"/>
  <c r="F82" i="1"/>
  <c r="BR82" i="1" s="1"/>
  <c r="F83" i="1"/>
  <c r="BR83" i="1" s="1"/>
  <c r="F84" i="1"/>
  <c r="BR84" i="1" s="1"/>
  <c r="F85" i="1"/>
  <c r="BR85" i="1" s="1"/>
  <c r="F86" i="1"/>
  <c r="BR86" i="1" s="1"/>
  <c r="F87" i="1"/>
  <c r="BR87" i="1" s="1"/>
  <c r="F88" i="1"/>
  <c r="BR88" i="1" s="1"/>
  <c r="F89" i="1"/>
  <c r="BR89" i="1" s="1"/>
  <c r="F90" i="1"/>
  <c r="BR90" i="1" s="1"/>
  <c r="F91" i="1"/>
  <c r="BR91" i="1" s="1"/>
  <c r="F92" i="1"/>
  <c r="BR92" i="1" s="1"/>
  <c r="F93" i="1"/>
  <c r="BR93" i="1" s="1"/>
  <c r="F94" i="1"/>
  <c r="BR94" i="1" s="1"/>
  <c r="F95" i="1"/>
  <c r="BR95" i="1" s="1"/>
  <c r="F96" i="1"/>
  <c r="BR96" i="1" s="1"/>
  <c r="F97" i="1"/>
  <c r="BR97" i="1" s="1"/>
  <c r="F98" i="1"/>
  <c r="BR98" i="1" s="1"/>
  <c r="F99" i="1"/>
  <c r="BR99" i="1" s="1"/>
  <c r="F100" i="1"/>
  <c r="BR100" i="1" s="1"/>
  <c r="F101" i="1"/>
  <c r="BR101" i="1" s="1"/>
  <c r="F102" i="1"/>
  <c r="BR102" i="1" s="1"/>
  <c r="F103" i="1"/>
  <c r="BR103" i="1" s="1"/>
  <c r="F104" i="1"/>
  <c r="BR104" i="1" s="1"/>
  <c r="F105" i="1"/>
  <c r="BR105" i="1" s="1"/>
  <c r="F106" i="1"/>
  <c r="BR106" i="1" s="1"/>
  <c r="F107" i="1"/>
  <c r="BR107" i="1" s="1"/>
  <c r="F108" i="1"/>
  <c r="BR108" i="1" s="1"/>
  <c r="F109" i="1"/>
  <c r="BR109" i="1" s="1"/>
  <c r="F110" i="1"/>
  <c r="BR110" i="1" s="1"/>
  <c r="F111" i="1"/>
  <c r="BR111" i="1" s="1"/>
  <c r="F112" i="1"/>
  <c r="BR112" i="1" s="1"/>
  <c r="F113" i="1"/>
  <c r="BR113" i="1" s="1"/>
  <c r="F114" i="1"/>
  <c r="BR114" i="1" s="1"/>
  <c r="F115" i="1"/>
  <c r="BR115" i="1" s="1"/>
  <c r="F116" i="1"/>
  <c r="BR116" i="1" s="1"/>
  <c r="F117" i="1"/>
  <c r="BR117" i="1" s="1"/>
  <c r="F118" i="1"/>
  <c r="BR118" i="1" s="1"/>
  <c r="F119" i="1"/>
  <c r="BR119" i="1" s="1"/>
  <c r="F120" i="1"/>
  <c r="BR120" i="1" s="1"/>
  <c r="F121" i="1"/>
  <c r="BR121" i="1" s="1"/>
  <c r="F122" i="1"/>
  <c r="BR122" i="1" s="1"/>
  <c r="F123" i="1"/>
  <c r="BR123" i="1" s="1"/>
  <c r="F124" i="1"/>
  <c r="BR124" i="1" s="1"/>
  <c r="F125" i="1"/>
  <c r="BR125" i="1" s="1"/>
  <c r="F126" i="1"/>
  <c r="BR126" i="1" s="1"/>
  <c r="F127" i="1"/>
  <c r="BR127" i="1" s="1"/>
  <c r="F128" i="1"/>
  <c r="BR128" i="1" s="1"/>
  <c r="F129" i="1"/>
  <c r="BR129" i="1" s="1"/>
  <c r="F130" i="1"/>
  <c r="BR130" i="1" s="1"/>
  <c r="F131" i="1"/>
  <c r="BR131" i="1" s="1"/>
  <c r="F132" i="1"/>
  <c r="BR132" i="1" s="1"/>
  <c r="F133" i="1"/>
  <c r="BR133" i="1" s="1"/>
  <c r="F134" i="1"/>
  <c r="BR134" i="1" s="1"/>
  <c r="F135" i="1"/>
  <c r="BR135" i="1" s="1"/>
  <c r="F136" i="1"/>
  <c r="BR136" i="1" s="1"/>
  <c r="F137" i="1"/>
  <c r="BR137" i="1" s="1"/>
  <c r="F138" i="1"/>
  <c r="BR138" i="1" s="1"/>
  <c r="F139" i="1"/>
  <c r="BR139" i="1" s="1"/>
  <c r="F140" i="1"/>
  <c r="BR140" i="1" s="1"/>
  <c r="F141" i="1"/>
  <c r="BR141" i="1" s="1"/>
  <c r="F142" i="1"/>
  <c r="BR142" i="1" s="1"/>
  <c r="F143" i="1"/>
  <c r="BR143" i="1" s="1"/>
  <c r="F144" i="1"/>
  <c r="BR144" i="1" s="1"/>
  <c r="F145" i="1"/>
  <c r="BR145" i="1" s="1"/>
  <c r="F146" i="1"/>
  <c r="BR146" i="1" s="1"/>
  <c r="F147" i="1"/>
  <c r="BR147" i="1" s="1"/>
  <c r="F148" i="1"/>
  <c r="BR148" i="1" s="1"/>
  <c r="F149" i="1"/>
  <c r="BR149" i="1" s="1"/>
  <c r="F150" i="1"/>
  <c r="BR150" i="1" s="1"/>
  <c r="F151" i="1"/>
  <c r="BR151" i="1" s="1"/>
  <c r="F152" i="1"/>
  <c r="BR152" i="1" s="1"/>
  <c r="F153" i="1"/>
  <c r="BR153" i="1" s="1"/>
  <c r="F154" i="1"/>
  <c r="BR154" i="1" s="1"/>
  <c r="F155" i="1"/>
  <c r="BR155" i="1" s="1"/>
  <c r="F156" i="1"/>
  <c r="BR156" i="1" s="1"/>
  <c r="F157" i="1"/>
  <c r="BR157" i="1" s="1"/>
  <c r="F158" i="1"/>
  <c r="BR158" i="1" s="1"/>
  <c r="F159" i="1"/>
  <c r="BR159" i="1" s="1"/>
  <c r="F160" i="1"/>
  <c r="BR160" i="1" s="1"/>
  <c r="F161" i="1"/>
  <c r="BR161" i="1" s="1"/>
  <c r="F162" i="1"/>
  <c r="BR162" i="1" s="1"/>
  <c r="F163" i="1"/>
  <c r="BR163" i="1" s="1"/>
  <c r="F164" i="1"/>
  <c r="BR164" i="1" s="1"/>
  <c r="F165" i="1"/>
  <c r="BR165" i="1" s="1"/>
  <c r="F166" i="1"/>
  <c r="BR166" i="1" s="1"/>
  <c r="F167" i="1"/>
  <c r="BR167" i="1" s="1"/>
  <c r="F168" i="1"/>
  <c r="BR168" i="1" s="1"/>
  <c r="F169" i="1"/>
  <c r="BR169" i="1" s="1"/>
  <c r="F170" i="1"/>
  <c r="BR170" i="1" s="1"/>
  <c r="F171" i="1"/>
  <c r="BR171" i="1" s="1"/>
  <c r="F172" i="1"/>
  <c r="BR172" i="1" s="1"/>
  <c r="F173" i="1"/>
  <c r="BR173" i="1" s="1"/>
  <c r="F174" i="1"/>
  <c r="BR174" i="1" s="1"/>
  <c r="F175" i="1"/>
  <c r="BR175" i="1" s="1"/>
  <c r="F176" i="1"/>
  <c r="BR176" i="1" s="1"/>
  <c r="F177" i="1"/>
  <c r="BR177" i="1" s="1"/>
  <c r="F178" i="1"/>
  <c r="BR178" i="1" s="1"/>
  <c r="F179" i="1"/>
  <c r="BR179" i="1" s="1"/>
  <c r="F180" i="1"/>
  <c r="BR180" i="1" s="1"/>
  <c r="F181" i="1"/>
  <c r="BR181" i="1" s="1"/>
  <c r="F182" i="1"/>
  <c r="BR182" i="1" s="1"/>
  <c r="F183" i="1"/>
  <c r="BR183" i="1" s="1"/>
  <c r="F184" i="1"/>
  <c r="BR184" i="1" s="1"/>
  <c r="F185" i="1"/>
  <c r="BR185" i="1" s="1"/>
  <c r="F186" i="1"/>
  <c r="BR186" i="1" s="1"/>
  <c r="F187" i="1"/>
  <c r="BR187" i="1" s="1"/>
  <c r="F188" i="1"/>
  <c r="BR188" i="1" s="1"/>
  <c r="F189" i="1"/>
  <c r="BR189" i="1" s="1"/>
  <c r="F190" i="1"/>
  <c r="BR190" i="1" s="1"/>
  <c r="F191" i="1"/>
  <c r="BR191" i="1" s="1"/>
  <c r="F192" i="1"/>
  <c r="BR192" i="1" s="1"/>
  <c r="F193" i="1"/>
  <c r="BR193" i="1" s="1"/>
  <c r="F194" i="1"/>
  <c r="BR194" i="1" s="1"/>
  <c r="F195" i="1"/>
  <c r="BR195" i="1" s="1"/>
  <c r="F196" i="1"/>
  <c r="BR196" i="1" s="1"/>
  <c r="F197" i="1"/>
  <c r="BR197" i="1" s="1"/>
  <c r="F198" i="1"/>
  <c r="BR198" i="1" s="1"/>
  <c r="F199" i="1"/>
  <c r="BR199" i="1" s="1"/>
  <c r="F200" i="1"/>
  <c r="BR200" i="1" s="1"/>
  <c r="F201" i="1"/>
  <c r="BR201" i="1" s="1"/>
  <c r="F202" i="1"/>
  <c r="BR202" i="1" s="1"/>
  <c r="F203" i="1"/>
  <c r="BR203" i="1" s="1"/>
  <c r="F204" i="1"/>
  <c r="BR204" i="1" s="1"/>
  <c r="F205" i="1"/>
  <c r="BR205" i="1" s="1"/>
  <c r="F206" i="1"/>
  <c r="BR206" i="1" s="1"/>
  <c r="F207" i="1"/>
  <c r="BR207" i="1" s="1"/>
  <c r="F208" i="1"/>
  <c r="BR208" i="1" s="1"/>
  <c r="F209" i="1"/>
  <c r="BR209" i="1" s="1"/>
  <c r="F210" i="1"/>
  <c r="BR210" i="1" s="1"/>
  <c r="F211" i="1"/>
  <c r="BR211" i="1" s="1"/>
  <c r="F212" i="1"/>
  <c r="BR212" i="1" s="1"/>
  <c r="F213" i="1"/>
  <c r="BR213" i="1" s="1"/>
  <c r="F214" i="1"/>
  <c r="BR214" i="1" s="1"/>
  <c r="F215" i="1"/>
  <c r="BR215" i="1" s="1"/>
  <c r="F216" i="1"/>
  <c r="BR216" i="1" s="1"/>
  <c r="F217" i="1"/>
  <c r="BR217" i="1" s="1"/>
  <c r="F218" i="1"/>
  <c r="BR218" i="1" s="1"/>
  <c r="F219" i="1"/>
  <c r="BR219" i="1" s="1"/>
  <c r="F220" i="1"/>
  <c r="BR220" i="1" s="1"/>
  <c r="F221" i="1"/>
  <c r="BR221" i="1" s="1"/>
  <c r="F222" i="1"/>
  <c r="BR222" i="1" s="1"/>
  <c r="F223" i="1"/>
  <c r="BR223" i="1" s="1"/>
  <c r="F224" i="1"/>
  <c r="BR224" i="1" s="1"/>
  <c r="F225" i="1"/>
  <c r="BR225" i="1" s="1"/>
  <c r="F226" i="1"/>
  <c r="BR226" i="1" s="1"/>
  <c r="F227" i="1"/>
  <c r="BR227" i="1" s="1"/>
  <c r="F228" i="1"/>
  <c r="BR228" i="1" s="1"/>
  <c r="F229" i="1"/>
  <c r="BR229" i="1" s="1"/>
  <c r="F230" i="1"/>
  <c r="BR230" i="1" s="1"/>
  <c r="F231" i="1"/>
  <c r="BR231" i="1" s="1"/>
  <c r="F232" i="1"/>
  <c r="BR232" i="1" s="1"/>
  <c r="F233" i="1"/>
  <c r="BR233" i="1" s="1"/>
  <c r="F234" i="1"/>
  <c r="BR234" i="1" s="1"/>
  <c r="F235" i="1"/>
  <c r="BR235" i="1" s="1"/>
  <c r="F236" i="1"/>
  <c r="BR236" i="1" s="1"/>
  <c r="F237" i="1"/>
  <c r="BR237" i="1" s="1"/>
  <c r="F238" i="1"/>
  <c r="BR238" i="1" s="1"/>
  <c r="F239" i="1"/>
  <c r="BR239" i="1" s="1"/>
  <c r="F240" i="1"/>
  <c r="BR240" i="1" s="1"/>
  <c r="F241" i="1"/>
  <c r="BR241" i="1" s="1"/>
  <c r="F242" i="1"/>
  <c r="BR242" i="1" s="1"/>
  <c r="F243" i="1"/>
  <c r="BR243" i="1" s="1"/>
  <c r="F244" i="1"/>
  <c r="BR244" i="1" s="1"/>
  <c r="F245" i="1"/>
  <c r="BR245" i="1" s="1"/>
  <c r="F246" i="1"/>
  <c r="BR246" i="1" s="1"/>
  <c r="F247" i="1"/>
  <c r="BR247" i="1" s="1"/>
  <c r="F248" i="1"/>
  <c r="BR248" i="1" s="1"/>
  <c r="F249" i="1"/>
  <c r="BR249" i="1" s="1"/>
  <c r="F250" i="1"/>
  <c r="BR250" i="1" s="1"/>
  <c r="F251" i="1"/>
  <c r="BR251" i="1" s="1"/>
  <c r="F252" i="1"/>
  <c r="BR252" i="1" s="1"/>
  <c r="F253" i="1"/>
  <c r="BR253" i="1" s="1"/>
  <c r="F254" i="1"/>
  <c r="BR254" i="1" s="1"/>
  <c r="F255" i="1"/>
  <c r="BR255" i="1" s="1"/>
  <c r="F256" i="1"/>
  <c r="BR256" i="1" s="1"/>
  <c r="F257" i="1"/>
  <c r="BR257" i="1" s="1"/>
  <c r="F258" i="1"/>
  <c r="BR258" i="1" s="1"/>
  <c r="F259" i="1"/>
  <c r="BR259" i="1" s="1"/>
  <c r="F260" i="1"/>
  <c r="BR260" i="1" s="1"/>
  <c r="F261" i="1"/>
  <c r="BR261" i="1" s="1"/>
  <c r="F262" i="1"/>
  <c r="BR262" i="1" s="1"/>
  <c r="F263" i="1"/>
  <c r="BR263" i="1" s="1"/>
  <c r="F264" i="1"/>
  <c r="BR264" i="1" s="1"/>
  <c r="F265" i="1"/>
  <c r="BR265" i="1" s="1"/>
  <c r="F266" i="1"/>
  <c r="BR266" i="1" s="1"/>
  <c r="F267" i="1"/>
  <c r="BR267" i="1" s="1"/>
  <c r="F268" i="1"/>
  <c r="BR268" i="1" s="1"/>
  <c r="F269" i="1"/>
  <c r="BR269" i="1" s="1"/>
  <c r="F270" i="1"/>
  <c r="BR270" i="1" s="1"/>
  <c r="F271" i="1"/>
  <c r="BR271" i="1" s="1"/>
  <c r="F272" i="1"/>
  <c r="BR272" i="1" s="1"/>
  <c r="F273" i="1"/>
  <c r="BR273" i="1" s="1"/>
  <c r="F274" i="1"/>
  <c r="BR274" i="1" s="1"/>
  <c r="F275" i="1"/>
  <c r="BR275" i="1" s="1"/>
  <c r="F276" i="1"/>
  <c r="BR276" i="1" s="1"/>
  <c r="F277" i="1"/>
  <c r="BR277" i="1" s="1"/>
  <c r="F278" i="1"/>
  <c r="BR278" i="1" s="1"/>
  <c r="F279" i="1"/>
  <c r="BR279" i="1" s="1"/>
  <c r="F280" i="1"/>
  <c r="BR280" i="1" s="1"/>
  <c r="F281" i="1"/>
  <c r="BR281" i="1" s="1"/>
  <c r="F282" i="1"/>
  <c r="BR282" i="1" s="1"/>
  <c r="F283" i="1"/>
  <c r="BR283" i="1" s="1"/>
  <c r="F284" i="1"/>
  <c r="BR284" i="1" s="1"/>
  <c r="F285" i="1"/>
  <c r="BR285" i="1" s="1"/>
  <c r="F286" i="1"/>
  <c r="BR286" i="1" s="1"/>
  <c r="F287" i="1"/>
  <c r="BR287" i="1" s="1"/>
  <c r="F288" i="1"/>
  <c r="BR288" i="1" s="1"/>
  <c r="F289" i="1"/>
  <c r="BR289" i="1" s="1"/>
  <c r="F290" i="1"/>
  <c r="BR290" i="1" s="1"/>
  <c r="F291" i="1"/>
  <c r="BR291" i="1" s="1"/>
  <c r="F292" i="1"/>
  <c r="BR292" i="1" s="1"/>
  <c r="F293" i="1"/>
  <c r="BR293" i="1" s="1"/>
  <c r="F294" i="1"/>
  <c r="BR294" i="1" s="1"/>
  <c r="F295" i="1"/>
  <c r="BR295" i="1" s="1"/>
  <c r="F296" i="1"/>
  <c r="BR296" i="1" s="1"/>
  <c r="F297" i="1"/>
  <c r="BR297" i="1" s="1"/>
  <c r="F298" i="1"/>
  <c r="BR298" i="1" s="1"/>
  <c r="F299" i="1"/>
  <c r="BR299" i="1" s="1"/>
  <c r="F300" i="1"/>
  <c r="BR300" i="1" s="1"/>
  <c r="F301" i="1"/>
  <c r="BR301" i="1" s="1"/>
  <c r="F302" i="1"/>
  <c r="BR302" i="1" s="1"/>
  <c r="F303" i="1"/>
  <c r="BR303" i="1" s="1"/>
  <c r="F304" i="1"/>
  <c r="BR304" i="1" s="1"/>
  <c r="F305" i="1"/>
  <c r="BR305" i="1" s="1"/>
  <c r="F306" i="1"/>
  <c r="BR306" i="1" s="1"/>
  <c r="F307" i="1"/>
  <c r="BR307" i="1" s="1"/>
  <c r="F308" i="1"/>
  <c r="BR308" i="1" s="1"/>
  <c r="F309" i="1"/>
  <c r="BR309" i="1" s="1"/>
  <c r="F310" i="1"/>
  <c r="BR310" i="1" s="1"/>
  <c r="F311" i="1"/>
  <c r="BR311" i="1" s="1"/>
  <c r="F312" i="1"/>
  <c r="BR312" i="1" s="1"/>
  <c r="F313" i="1"/>
  <c r="BR313" i="1" s="1"/>
  <c r="F314" i="1"/>
  <c r="BR314" i="1" s="1"/>
  <c r="F315" i="1"/>
  <c r="BR315" i="1" s="1"/>
  <c r="F316" i="1"/>
  <c r="BR316" i="1" s="1"/>
  <c r="F317" i="1"/>
  <c r="BR317" i="1" s="1"/>
  <c r="F318" i="1"/>
  <c r="BR318" i="1" s="1"/>
  <c r="F319" i="1"/>
  <c r="BR319" i="1" s="1"/>
  <c r="F320" i="1"/>
  <c r="BR320" i="1" s="1"/>
  <c r="F321" i="1"/>
  <c r="BR321" i="1" s="1"/>
  <c r="F322" i="1"/>
  <c r="BR322" i="1" s="1"/>
  <c r="F323" i="1"/>
  <c r="BR323" i="1" s="1"/>
  <c r="F324" i="1"/>
  <c r="BR324" i="1" s="1"/>
  <c r="F325" i="1"/>
  <c r="BR325" i="1" s="1"/>
  <c r="F326" i="1"/>
  <c r="F327" i="1"/>
  <c r="F328" i="1"/>
  <c r="F329" i="1"/>
  <c r="F330" i="1"/>
  <c r="F331" i="1"/>
  <c r="F332" i="1"/>
  <c r="F333" i="1"/>
  <c r="F334" i="1"/>
  <c r="BR334" i="1" s="1"/>
  <c r="F335" i="1"/>
  <c r="F336" i="1"/>
  <c r="F337" i="1"/>
  <c r="F338" i="1"/>
  <c r="F339" i="1"/>
  <c r="F340" i="1"/>
  <c r="F341" i="1"/>
  <c r="BR341" i="1" s="1"/>
  <c r="F342" i="1"/>
  <c r="BR342" i="1" s="1"/>
  <c r="F343" i="1"/>
  <c r="BR343" i="1" s="1"/>
  <c r="BR16" i="1"/>
  <c r="BT343" i="1"/>
  <c r="BS343" i="1"/>
  <c r="BK343" i="1"/>
  <c r="BA343" i="1"/>
  <c r="AY343" i="1"/>
  <c r="AW343" i="1"/>
  <c r="AU343" i="1"/>
  <c r="AS343" i="1"/>
  <c r="AQ343" i="1"/>
  <c r="AO343" i="1"/>
  <c r="AK343" i="1"/>
  <c r="AI343" i="1"/>
  <c r="AG343" i="1"/>
  <c r="AD343" i="1"/>
  <c r="AA343" i="1"/>
  <c r="Y343" i="1"/>
  <c r="W343" i="1"/>
  <c r="U343" i="1"/>
  <c r="S343" i="1"/>
  <c r="BL343" i="1" s="1"/>
  <c r="B343" i="1"/>
  <c r="BT342" i="1"/>
  <c r="BS342" i="1"/>
  <c r="BK342" i="1"/>
  <c r="BA342" i="1"/>
  <c r="AY342" i="1"/>
  <c r="AW342" i="1"/>
  <c r="AU342" i="1"/>
  <c r="AS342" i="1"/>
  <c r="AQ342" i="1"/>
  <c r="AO342" i="1"/>
  <c r="AK342" i="1"/>
  <c r="AI342" i="1"/>
  <c r="AG342" i="1"/>
  <c r="AD342" i="1"/>
  <c r="AA342" i="1"/>
  <c r="Y342" i="1"/>
  <c r="W342" i="1"/>
  <c r="U342" i="1"/>
  <c r="S342" i="1"/>
  <c r="BL342" i="1" s="1"/>
  <c r="B342" i="1"/>
  <c r="BT341" i="1"/>
  <c r="BS341" i="1"/>
  <c r="BK341" i="1"/>
  <c r="BA341" i="1"/>
  <c r="AY341" i="1"/>
  <c r="AW341" i="1"/>
  <c r="AU341" i="1"/>
  <c r="AS341" i="1"/>
  <c r="AQ341" i="1"/>
  <c r="AO341" i="1"/>
  <c r="AK341" i="1"/>
  <c r="AI341" i="1"/>
  <c r="AG341" i="1"/>
  <c r="AD341" i="1"/>
  <c r="AA341" i="1"/>
  <c r="Y341" i="1"/>
  <c r="W341" i="1"/>
  <c r="U341" i="1"/>
  <c r="S341" i="1"/>
  <c r="BL341" i="1" s="1"/>
  <c r="B341" i="1"/>
  <c r="BT340" i="1"/>
  <c r="BS340" i="1"/>
  <c r="BK340" i="1"/>
  <c r="BA340" i="1"/>
  <c r="AY340" i="1"/>
  <c r="AW340" i="1"/>
  <c r="AU340" i="1"/>
  <c r="AS340" i="1"/>
  <c r="AQ340" i="1"/>
  <c r="AO340" i="1"/>
  <c r="AK340" i="1"/>
  <c r="AI340" i="1"/>
  <c r="AG340" i="1"/>
  <c r="AD340" i="1"/>
  <c r="AA340" i="1"/>
  <c r="Y340" i="1"/>
  <c r="W340" i="1"/>
  <c r="U340" i="1"/>
  <c r="S340" i="1"/>
  <c r="BL340" i="1" s="1"/>
  <c r="BR340" i="1"/>
  <c r="B340" i="1"/>
  <c r="BT339" i="1"/>
  <c r="BS339" i="1"/>
  <c r="BK339" i="1"/>
  <c r="BA339" i="1"/>
  <c r="AY339" i="1"/>
  <c r="AW339" i="1"/>
  <c r="AU339" i="1"/>
  <c r="AS339" i="1"/>
  <c r="AQ339" i="1"/>
  <c r="AO339" i="1"/>
  <c r="AK339" i="1"/>
  <c r="AI339" i="1"/>
  <c r="AG339" i="1"/>
  <c r="AD339" i="1"/>
  <c r="AA339" i="1"/>
  <c r="Y339" i="1"/>
  <c r="W339" i="1"/>
  <c r="U339" i="1"/>
  <c r="S339" i="1"/>
  <c r="BL339" i="1" s="1"/>
  <c r="BR339" i="1"/>
  <c r="B339" i="1"/>
  <c r="BT338" i="1"/>
  <c r="BS338" i="1"/>
  <c r="BK338" i="1"/>
  <c r="BA338" i="1"/>
  <c r="AY338" i="1"/>
  <c r="AW338" i="1"/>
  <c r="AU338" i="1"/>
  <c r="AS338" i="1"/>
  <c r="AQ338" i="1"/>
  <c r="AO338" i="1"/>
  <c r="AK338" i="1"/>
  <c r="AI338" i="1"/>
  <c r="AG338" i="1"/>
  <c r="AD338" i="1"/>
  <c r="AA338" i="1"/>
  <c r="Y338" i="1"/>
  <c r="W338" i="1"/>
  <c r="U338" i="1"/>
  <c r="S338" i="1"/>
  <c r="BL338" i="1" s="1"/>
  <c r="BR338" i="1"/>
  <c r="B338" i="1"/>
  <c r="BT337" i="1"/>
  <c r="BS337" i="1"/>
  <c r="BK337" i="1"/>
  <c r="BA337" i="1"/>
  <c r="AY337" i="1"/>
  <c r="AW337" i="1"/>
  <c r="AU337" i="1"/>
  <c r="AS337" i="1"/>
  <c r="AQ337" i="1"/>
  <c r="AO337" i="1"/>
  <c r="AK337" i="1"/>
  <c r="AI337" i="1"/>
  <c r="AG337" i="1"/>
  <c r="AD337" i="1"/>
  <c r="AA337" i="1"/>
  <c r="Y337" i="1"/>
  <c r="W337" i="1"/>
  <c r="U337" i="1"/>
  <c r="S337" i="1"/>
  <c r="BL337" i="1" s="1"/>
  <c r="BR337" i="1"/>
  <c r="B337" i="1"/>
  <c r="BT336" i="1"/>
  <c r="BS336" i="1"/>
  <c r="BK336" i="1"/>
  <c r="BA336" i="1"/>
  <c r="AY336" i="1"/>
  <c r="AW336" i="1"/>
  <c r="AU336" i="1"/>
  <c r="AS336" i="1"/>
  <c r="AQ336" i="1"/>
  <c r="AO336" i="1"/>
  <c r="AK336" i="1"/>
  <c r="AI336" i="1"/>
  <c r="AG336" i="1"/>
  <c r="AD336" i="1"/>
  <c r="AA336" i="1"/>
  <c r="Y336" i="1"/>
  <c r="W336" i="1"/>
  <c r="U336" i="1"/>
  <c r="S336" i="1"/>
  <c r="BL336" i="1" s="1"/>
  <c r="BR336" i="1"/>
  <c r="B336" i="1"/>
  <c r="BT335" i="1"/>
  <c r="BS335" i="1"/>
  <c r="BK335" i="1"/>
  <c r="BA335" i="1"/>
  <c r="AY335" i="1"/>
  <c r="AW335" i="1"/>
  <c r="AU335" i="1"/>
  <c r="AS335" i="1"/>
  <c r="AQ335" i="1"/>
  <c r="AO335" i="1"/>
  <c r="AK335" i="1"/>
  <c r="AI335" i="1"/>
  <c r="AG335" i="1"/>
  <c r="AD335" i="1"/>
  <c r="AA335" i="1"/>
  <c r="Y335" i="1"/>
  <c r="W335" i="1"/>
  <c r="U335" i="1"/>
  <c r="S335" i="1"/>
  <c r="BR335" i="1"/>
  <c r="B335" i="1"/>
  <c r="BT334" i="1"/>
  <c r="BS334" i="1"/>
  <c r="BK334" i="1"/>
  <c r="BA334" i="1"/>
  <c r="AY334" i="1"/>
  <c r="AW334" i="1"/>
  <c r="AU334" i="1"/>
  <c r="AS334" i="1"/>
  <c r="AQ334" i="1"/>
  <c r="AO334" i="1"/>
  <c r="AK334" i="1"/>
  <c r="AI334" i="1"/>
  <c r="AG334" i="1"/>
  <c r="AD334" i="1"/>
  <c r="AA334" i="1"/>
  <c r="Y334" i="1"/>
  <c r="W334" i="1"/>
  <c r="U334" i="1"/>
  <c r="S334" i="1"/>
  <c r="BL334" i="1" s="1"/>
  <c r="B334" i="1"/>
  <c r="BT333" i="1"/>
  <c r="BS333" i="1"/>
  <c r="BK333" i="1"/>
  <c r="BA333" i="1"/>
  <c r="AY333" i="1"/>
  <c r="AW333" i="1"/>
  <c r="AU333" i="1"/>
  <c r="AS333" i="1"/>
  <c r="AQ333" i="1"/>
  <c r="AO333" i="1"/>
  <c r="AK333" i="1"/>
  <c r="AI333" i="1"/>
  <c r="AG333" i="1"/>
  <c r="AD333" i="1"/>
  <c r="AA333" i="1"/>
  <c r="Y333" i="1"/>
  <c r="W333" i="1"/>
  <c r="U333" i="1"/>
  <c r="S333" i="1"/>
  <c r="BL333" i="1" s="1"/>
  <c r="BR333" i="1"/>
  <c r="B333" i="1"/>
  <c r="BT332" i="1"/>
  <c r="BS332" i="1"/>
  <c r="BK332" i="1"/>
  <c r="BA332" i="1"/>
  <c r="AY332" i="1"/>
  <c r="AW332" i="1"/>
  <c r="AU332" i="1"/>
  <c r="AS332" i="1"/>
  <c r="AQ332" i="1"/>
  <c r="AO332" i="1"/>
  <c r="AK332" i="1"/>
  <c r="AI332" i="1"/>
  <c r="AG332" i="1"/>
  <c r="AD332" i="1"/>
  <c r="AA332" i="1"/>
  <c r="Y332" i="1"/>
  <c r="W332" i="1"/>
  <c r="U332" i="1"/>
  <c r="S332" i="1"/>
  <c r="BL332" i="1" s="1"/>
  <c r="BR332" i="1"/>
  <c r="B332" i="1"/>
  <c r="BT331" i="1"/>
  <c r="BS331" i="1"/>
  <c r="BK331" i="1"/>
  <c r="BA331" i="1"/>
  <c r="AY331" i="1"/>
  <c r="AW331" i="1"/>
  <c r="AU331" i="1"/>
  <c r="AS331" i="1"/>
  <c r="AQ331" i="1"/>
  <c r="AO331" i="1"/>
  <c r="AK331" i="1"/>
  <c r="AI331" i="1"/>
  <c r="AG331" i="1"/>
  <c r="AD331" i="1"/>
  <c r="AA331" i="1"/>
  <c r="Y331" i="1"/>
  <c r="W331" i="1"/>
  <c r="U331" i="1"/>
  <c r="S331" i="1"/>
  <c r="BL331" i="1" s="1"/>
  <c r="BR331" i="1"/>
  <c r="B331" i="1"/>
  <c r="BT330" i="1"/>
  <c r="BS330" i="1"/>
  <c r="BK330" i="1"/>
  <c r="BA330" i="1"/>
  <c r="AY330" i="1"/>
  <c r="AW330" i="1"/>
  <c r="AU330" i="1"/>
  <c r="AS330" i="1"/>
  <c r="AQ330" i="1"/>
  <c r="AO330" i="1"/>
  <c r="AK330" i="1"/>
  <c r="AI330" i="1"/>
  <c r="AG330" i="1"/>
  <c r="AD330" i="1"/>
  <c r="AA330" i="1"/>
  <c r="Y330" i="1"/>
  <c r="W330" i="1"/>
  <c r="U330" i="1"/>
  <c r="S330" i="1"/>
  <c r="BL330" i="1" s="1"/>
  <c r="BR330" i="1"/>
  <c r="B330" i="1"/>
  <c r="BT329" i="1"/>
  <c r="BS329" i="1"/>
  <c r="BK329" i="1"/>
  <c r="BA329" i="1"/>
  <c r="AY329" i="1"/>
  <c r="AW329" i="1"/>
  <c r="AU329" i="1"/>
  <c r="AS329" i="1"/>
  <c r="AQ329" i="1"/>
  <c r="AO329" i="1"/>
  <c r="AK329" i="1"/>
  <c r="AI329" i="1"/>
  <c r="AG329" i="1"/>
  <c r="AD329" i="1"/>
  <c r="AA329" i="1"/>
  <c r="Y329" i="1"/>
  <c r="W329" i="1"/>
  <c r="U329" i="1"/>
  <c r="S329" i="1"/>
  <c r="BR329" i="1"/>
  <c r="B329" i="1"/>
  <c r="BT328" i="1"/>
  <c r="BS328" i="1"/>
  <c r="BK328" i="1"/>
  <c r="BA328" i="1"/>
  <c r="AY328" i="1"/>
  <c r="AW328" i="1"/>
  <c r="AU328" i="1"/>
  <c r="AS328" i="1"/>
  <c r="AQ328" i="1"/>
  <c r="AO328" i="1"/>
  <c r="AK328" i="1"/>
  <c r="AI328" i="1"/>
  <c r="AG328" i="1"/>
  <c r="AD328" i="1"/>
  <c r="AA328" i="1"/>
  <c r="Y328" i="1"/>
  <c r="W328" i="1"/>
  <c r="U328" i="1"/>
  <c r="S328" i="1"/>
  <c r="BL328" i="1" s="1"/>
  <c r="BR328" i="1"/>
  <c r="B328" i="1"/>
  <c r="BT327" i="1"/>
  <c r="BS327" i="1"/>
  <c r="BK327" i="1"/>
  <c r="BA327" i="1"/>
  <c r="AY327" i="1"/>
  <c r="AW327" i="1"/>
  <c r="AU327" i="1"/>
  <c r="AS327" i="1"/>
  <c r="AQ327" i="1"/>
  <c r="AO327" i="1"/>
  <c r="AK327" i="1"/>
  <c r="AI327" i="1"/>
  <c r="AG327" i="1"/>
  <c r="AD327" i="1"/>
  <c r="AA327" i="1"/>
  <c r="Y327" i="1"/>
  <c r="W327" i="1"/>
  <c r="U327" i="1"/>
  <c r="S327" i="1"/>
  <c r="BL327" i="1" s="1"/>
  <c r="BR327" i="1"/>
  <c r="B327" i="1"/>
  <c r="BT326" i="1"/>
  <c r="BS326" i="1"/>
  <c r="BK326" i="1"/>
  <c r="BA326" i="1"/>
  <c r="AY326" i="1"/>
  <c r="AW326" i="1"/>
  <c r="AU326" i="1"/>
  <c r="AS326" i="1"/>
  <c r="AQ326" i="1"/>
  <c r="AO326" i="1"/>
  <c r="AK326" i="1"/>
  <c r="AI326" i="1"/>
  <c r="AG326" i="1"/>
  <c r="AD326" i="1"/>
  <c r="AA326" i="1"/>
  <c r="Y326" i="1"/>
  <c r="W326" i="1"/>
  <c r="U326" i="1"/>
  <c r="S326" i="1"/>
  <c r="BL326" i="1" s="1"/>
  <c r="BR326" i="1"/>
  <c r="B326" i="1"/>
  <c r="BT325" i="1"/>
  <c r="BS325" i="1"/>
  <c r="BK325" i="1"/>
  <c r="BA325" i="1"/>
  <c r="AY325" i="1"/>
  <c r="AW325" i="1"/>
  <c r="AU325" i="1"/>
  <c r="AS325" i="1"/>
  <c r="AQ325" i="1"/>
  <c r="AO325" i="1"/>
  <c r="AK325" i="1"/>
  <c r="AI325" i="1"/>
  <c r="AG325" i="1"/>
  <c r="AD325" i="1"/>
  <c r="AA325" i="1"/>
  <c r="Y325" i="1"/>
  <c r="W325" i="1"/>
  <c r="U325" i="1"/>
  <c r="S325" i="1"/>
  <c r="BL325" i="1" s="1"/>
  <c r="B325" i="1"/>
  <c r="BT324" i="1"/>
  <c r="BS324" i="1"/>
  <c r="BK324" i="1"/>
  <c r="BA324" i="1"/>
  <c r="AY324" i="1"/>
  <c r="AW324" i="1"/>
  <c r="AU324" i="1"/>
  <c r="AS324" i="1"/>
  <c r="AQ324" i="1"/>
  <c r="AO324" i="1"/>
  <c r="AK324" i="1"/>
  <c r="AI324" i="1"/>
  <c r="AG324" i="1"/>
  <c r="AD324" i="1"/>
  <c r="AA324" i="1"/>
  <c r="Y324" i="1"/>
  <c r="W324" i="1"/>
  <c r="U324" i="1"/>
  <c r="S324" i="1"/>
  <c r="BL324" i="1" s="1"/>
  <c r="B324" i="1"/>
  <c r="BT323" i="1"/>
  <c r="BS323" i="1"/>
  <c r="BK323" i="1"/>
  <c r="BA323" i="1"/>
  <c r="AY323" i="1"/>
  <c r="AW323" i="1"/>
  <c r="AU323" i="1"/>
  <c r="AS323" i="1"/>
  <c r="AQ323" i="1"/>
  <c r="AO323" i="1"/>
  <c r="AK323" i="1"/>
  <c r="AI323" i="1"/>
  <c r="AG323" i="1"/>
  <c r="AD323" i="1"/>
  <c r="AA323" i="1"/>
  <c r="Y323" i="1"/>
  <c r="W323" i="1"/>
  <c r="U323" i="1"/>
  <c r="S323" i="1"/>
  <c r="BL323" i="1" s="1"/>
  <c r="B323" i="1"/>
  <c r="BT322" i="1"/>
  <c r="BS322" i="1"/>
  <c r="BK322" i="1"/>
  <c r="BA322" i="1"/>
  <c r="AY322" i="1"/>
  <c r="AW322" i="1"/>
  <c r="AU322" i="1"/>
  <c r="AS322" i="1"/>
  <c r="AQ322" i="1"/>
  <c r="AO322" i="1"/>
  <c r="AK322" i="1"/>
  <c r="AI322" i="1"/>
  <c r="AG322" i="1"/>
  <c r="AD322" i="1"/>
  <c r="AA322" i="1"/>
  <c r="Y322" i="1"/>
  <c r="W322" i="1"/>
  <c r="U322" i="1"/>
  <c r="S322" i="1"/>
  <c r="BL322" i="1" s="1"/>
  <c r="B322" i="1"/>
  <c r="BT321" i="1"/>
  <c r="BS321" i="1"/>
  <c r="BK321" i="1"/>
  <c r="BA321" i="1"/>
  <c r="AY321" i="1"/>
  <c r="AW321" i="1"/>
  <c r="AU321" i="1"/>
  <c r="AS321" i="1"/>
  <c r="AQ321" i="1"/>
  <c r="AO321" i="1"/>
  <c r="AK321" i="1"/>
  <c r="AI321" i="1"/>
  <c r="AG321" i="1"/>
  <c r="AD321" i="1"/>
  <c r="AA321" i="1"/>
  <c r="Y321" i="1"/>
  <c r="W321" i="1"/>
  <c r="U321" i="1"/>
  <c r="S321" i="1"/>
  <c r="BL321" i="1" s="1"/>
  <c r="B321" i="1"/>
  <c r="BT320" i="1"/>
  <c r="BS320" i="1"/>
  <c r="BK320" i="1"/>
  <c r="BA320" i="1"/>
  <c r="AY320" i="1"/>
  <c r="AW320" i="1"/>
  <c r="AU320" i="1"/>
  <c r="AS320" i="1"/>
  <c r="AQ320" i="1"/>
  <c r="AO320" i="1"/>
  <c r="AK320" i="1"/>
  <c r="AI320" i="1"/>
  <c r="AG320" i="1"/>
  <c r="AD320" i="1"/>
  <c r="AA320" i="1"/>
  <c r="Y320" i="1"/>
  <c r="W320" i="1"/>
  <c r="U320" i="1"/>
  <c r="S320" i="1"/>
  <c r="BL320" i="1" s="1"/>
  <c r="B320" i="1"/>
  <c r="BT319" i="1"/>
  <c r="BS319" i="1"/>
  <c r="BK319" i="1"/>
  <c r="BA319" i="1"/>
  <c r="AY319" i="1"/>
  <c r="AW319" i="1"/>
  <c r="AU319" i="1"/>
  <c r="AS319" i="1"/>
  <c r="AQ319" i="1"/>
  <c r="AO319" i="1"/>
  <c r="AK319" i="1"/>
  <c r="AI319" i="1"/>
  <c r="AG319" i="1"/>
  <c r="AD319" i="1"/>
  <c r="AA319" i="1"/>
  <c r="Y319" i="1"/>
  <c r="W319" i="1"/>
  <c r="U319" i="1"/>
  <c r="S319" i="1"/>
  <c r="BL319" i="1" s="1"/>
  <c r="B319" i="1"/>
  <c r="BT318" i="1"/>
  <c r="BS318" i="1"/>
  <c r="BK318" i="1"/>
  <c r="BA318" i="1"/>
  <c r="AY318" i="1"/>
  <c r="AW318" i="1"/>
  <c r="AU318" i="1"/>
  <c r="AS318" i="1"/>
  <c r="AQ318" i="1"/>
  <c r="AO318" i="1"/>
  <c r="AK318" i="1"/>
  <c r="AI318" i="1"/>
  <c r="AG318" i="1"/>
  <c r="AD318" i="1"/>
  <c r="AA318" i="1"/>
  <c r="Y318" i="1"/>
  <c r="W318" i="1"/>
  <c r="U318" i="1"/>
  <c r="S318" i="1"/>
  <c r="BL318" i="1" s="1"/>
  <c r="B318" i="1"/>
  <c r="BT317" i="1"/>
  <c r="BS317" i="1"/>
  <c r="BK317" i="1"/>
  <c r="BA317" i="1"/>
  <c r="AY317" i="1"/>
  <c r="AW317" i="1"/>
  <c r="AU317" i="1"/>
  <c r="AS317" i="1"/>
  <c r="AQ317" i="1"/>
  <c r="AO317" i="1"/>
  <c r="AK317" i="1"/>
  <c r="AI317" i="1"/>
  <c r="AG317" i="1"/>
  <c r="AD317" i="1"/>
  <c r="AA317" i="1"/>
  <c r="Y317" i="1"/>
  <c r="W317" i="1"/>
  <c r="U317" i="1"/>
  <c r="S317" i="1"/>
  <c r="BL317" i="1" s="1"/>
  <c r="B317" i="1"/>
  <c r="BT316" i="1"/>
  <c r="BS316" i="1"/>
  <c r="BK316" i="1"/>
  <c r="BA316" i="1"/>
  <c r="AY316" i="1"/>
  <c r="AW316" i="1"/>
  <c r="AU316" i="1"/>
  <c r="AS316" i="1"/>
  <c r="AQ316" i="1"/>
  <c r="AO316" i="1"/>
  <c r="AK316" i="1"/>
  <c r="AI316" i="1"/>
  <c r="AG316" i="1"/>
  <c r="AD316" i="1"/>
  <c r="AA316" i="1"/>
  <c r="Y316" i="1"/>
  <c r="W316" i="1"/>
  <c r="U316" i="1"/>
  <c r="S316" i="1"/>
  <c r="BL316" i="1" s="1"/>
  <c r="B316" i="1"/>
  <c r="BT315" i="1"/>
  <c r="BS315" i="1"/>
  <c r="BK315" i="1"/>
  <c r="BA315" i="1"/>
  <c r="AY315" i="1"/>
  <c r="AW315" i="1"/>
  <c r="AU315" i="1"/>
  <c r="AS315" i="1"/>
  <c r="AQ315" i="1"/>
  <c r="AO315" i="1"/>
  <c r="AK315" i="1"/>
  <c r="AI315" i="1"/>
  <c r="AG315" i="1"/>
  <c r="AD315" i="1"/>
  <c r="AA315" i="1"/>
  <c r="Y315" i="1"/>
  <c r="W315" i="1"/>
  <c r="U315" i="1"/>
  <c r="S315" i="1"/>
  <c r="BL315" i="1" s="1"/>
  <c r="B315" i="1"/>
  <c r="BT314" i="1"/>
  <c r="BS314" i="1"/>
  <c r="BK314" i="1"/>
  <c r="BA314" i="1"/>
  <c r="AY314" i="1"/>
  <c r="AW314" i="1"/>
  <c r="AU314" i="1"/>
  <c r="AS314" i="1"/>
  <c r="AQ314" i="1"/>
  <c r="AO314" i="1"/>
  <c r="AK314" i="1"/>
  <c r="AI314" i="1"/>
  <c r="AG314" i="1"/>
  <c r="AD314" i="1"/>
  <c r="AA314" i="1"/>
  <c r="Y314" i="1"/>
  <c r="W314" i="1"/>
  <c r="U314" i="1"/>
  <c r="S314" i="1"/>
  <c r="BL314" i="1" s="1"/>
  <c r="B314" i="1"/>
  <c r="BT313" i="1"/>
  <c r="BS313" i="1"/>
  <c r="BK313" i="1"/>
  <c r="BA313" i="1"/>
  <c r="AY313" i="1"/>
  <c r="AW313" i="1"/>
  <c r="AU313" i="1"/>
  <c r="AS313" i="1"/>
  <c r="AQ313" i="1"/>
  <c r="AO313" i="1"/>
  <c r="AK313" i="1"/>
  <c r="AI313" i="1"/>
  <c r="AG313" i="1"/>
  <c r="AD313" i="1"/>
  <c r="AA313" i="1"/>
  <c r="Y313" i="1"/>
  <c r="W313" i="1"/>
  <c r="U313" i="1"/>
  <c r="S313" i="1"/>
  <c r="BL313" i="1" s="1"/>
  <c r="B313" i="1"/>
  <c r="BT312" i="1"/>
  <c r="BS312" i="1"/>
  <c r="BK312" i="1"/>
  <c r="BA312" i="1"/>
  <c r="AY312" i="1"/>
  <c r="AW312" i="1"/>
  <c r="AU312" i="1"/>
  <c r="AS312" i="1"/>
  <c r="AQ312" i="1"/>
  <c r="AO312" i="1"/>
  <c r="AK312" i="1"/>
  <c r="AI312" i="1"/>
  <c r="AG312" i="1"/>
  <c r="AD312" i="1"/>
  <c r="AA312" i="1"/>
  <c r="Y312" i="1"/>
  <c r="W312" i="1"/>
  <c r="U312" i="1"/>
  <c r="S312" i="1"/>
  <c r="B312" i="1"/>
  <c r="BT311" i="1"/>
  <c r="BS311" i="1"/>
  <c r="BK311" i="1"/>
  <c r="BA311" i="1"/>
  <c r="AY311" i="1"/>
  <c r="AW311" i="1"/>
  <c r="AU311" i="1"/>
  <c r="AS311" i="1"/>
  <c r="AQ311" i="1"/>
  <c r="AO311" i="1"/>
  <c r="AK311" i="1"/>
  <c r="AI311" i="1"/>
  <c r="AG311" i="1"/>
  <c r="AD311" i="1"/>
  <c r="AA311" i="1"/>
  <c r="Y311" i="1"/>
  <c r="W311" i="1"/>
  <c r="U311" i="1"/>
  <c r="S311" i="1"/>
  <c r="BL311" i="1" s="1"/>
  <c r="B311" i="1"/>
  <c r="BT310" i="1"/>
  <c r="BS310" i="1"/>
  <c r="BK310" i="1"/>
  <c r="BA310" i="1"/>
  <c r="AY310" i="1"/>
  <c r="AW310" i="1"/>
  <c r="AU310" i="1"/>
  <c r="AS310" i="1"/>
  <c r="AQ310" i="1"/>
  <c r="AO310" i="1"/>
  <c r="AK310" i="1"/>
  <c r="AI310" i="1"/>
  <c r="AG310" i="1"/>
  <c r="AD310" i="1"/>
  <c r="AA310" i="1"/>
  <c r="Y310" i="1"/>
  <c r="W310" i="1"/>
  <c r="U310" i="1"/>
  <c r="S310" i="1"/>
  <c r="B310" i="1"/>
  <c r="BT309" i="1"/>
  <c r="BS309" i="1"/>
  <c r="BK309" i="1"/>
  <c r="BA309" i="1"/>
  <c r="AY309" i="1"/>
  <c r="AW309" i="1"/>
  <c r="AU309" i="1"/>
  <c r="AS309" i="1"/>
  <c r="AQ309" i="1"/>
  <c r="AO309" i="1"/>
  <c r="AK309" i="1"/>
  <c r="AI309" i="1"/>
  <c r="AG309" i="1"/>
  <c r="AD309" i="1"/>
  <c r="AA309" i="1"/>
  <c r="Y309" i="1"/>
  <c r="W309" i="1"/>
  <c r="U309" i="1"/>
  <c r="S309" i="1"/>
  <c r="BL309" i="1" s="1"/>
  <c r="B309" i="1"/>
  <c r="BT308" i="1"/>
  <c r="BS308" i="1"/>
  <c r="BK308" i="1"/>
  <c r="BA308" i="1"/>
  <c r="AY308" i="1"/>
  <c r="AW308" i="1"/>
  <c r="AU308" i="1"/>
  <c r="AS308" i="1"/>
  <c r="AQ308" i="1"/>
  <c r="AO308" i="1"/>
  <c r="AK308" i="1"/>
  <c r="AI308" i="1"/>
  <c r="AG308" i="1"/>
  <c r="AD308" i="1"/>
  <c r="AA308" i="1"/>
  <c r="Y308" i="1"/>
  <c r="W308" i="1"/>
  <c r="U308" i="1"/>
  <c r="S308" i="1"/>
  <c r="BL308" i="1" s="1"/>
  <c r="B308" i="1"/>
  <c r="BT307" i="1"/>
  <c r="BS307" i="1"/>
  <c r="BK307" i="1"/>
  <c r="BA307" i="1"/>
  <c r="AY307" i="1"/>
  <c r="AW307" i="1"/>
  <c r="AU307" i="1"/>
  <c r="AS307" i="1"/>
  <c r="AQ307" i="1"/>
  <c r="AO307" i="1"/>
  <c r="AK307" i="1"/>
  <c r="AI307" i="1"/>
  <c r="AG307" i="1"/>
  <c r="AD307" i="1"/>
  <c r="AA307" i="1"/>
  <c r="Y307" i="1"/>
  <c r="W307" i="1"/>
  <c r="U307" i="1"/>
  <c r="S307" i="1"/>
  <c r="BL307" i="1" s="1"/>
  <c r="B307" i="1"/>
  <c r="BT306" i="1"/>
  <c r="BS306" i="1"/>
  <c r="BK306" i="1"/>
  <c r="BA306" i="1"/>
  <c r="AY306" i="1"/>
  <c r="AW306" i="1"/>
  <c r="AU306" i="1"/>
  <c r="AS306" i="1"/>
  <c r="AQ306" i="1"/>
  <c r="AO306" i="1"/>
  <c r="AK306" i="1"/>
  <c r="AI306" i="1"/>
  <c r="AG306" i="1"/>
  <c r="AD306" i="1"/>
  <c r="AA306" i="1"/>
  <c r="Y306" i="1"/>
  <c r="W306" i="1"/>
  <c r="U306" i="1"/>
  <c r="S306" i="1"/>
  <c r="BL306" i="1" s="1"/>
  <c r="B306" i="1"/>
  <c r="BT305" i="1"/>
  <c r="BS305" i="1"/>
  <c r="BK305" i="1"/>
  <c r="BA305" i="1"/>
  <c r="AY305" i="1"/>
  <c r="AW305" i="1"/>
  <c r="AU305" i="1"/>
  <c r="AS305" i="1"/>
  <c r="AQ305" i="1"/>
  <c r="AO305" i="1"/>
  <c r="AK305" i="1"/>
  <c r="AI305" i="1"/>
  <c r="AG305" i="1"/>
  <c r="AD305" i="1"/>
  <c r="AA305" i="1"/>
  <c r="Y305" i="1"/>
  <c r="W305" i="1"/>
  <c r="U305" i="1"/>
  <c r="S305" i="1"/>
  <c r="BL305" i="1" s="1"/>
  <c r="B305" i="1"/>
  <c r="BT304" i="1"/>
  <c r="BS304" i="1"/>
  <c r="BK304" i="1"/>
  <c r="BA304" i="1"/>
  <c r="AY304" i="1"/>
  <c r="AW304" i="1"/>
  <c r="AU304" i="1"/>
  <c r="AS304" i="1"/>
  <c r="AQ304" i="1"/>
  <c r="AO304" i="1"/>
  <c r="AK304" i="1"/>
  <c r="AI304" i="1"/>
  <c r="AG304" i="1"/>
  <c r="AD304" i="1"/>
  <c r="AA304" i="1"/>
  <c r="Y304" i="1"/>
  <c r="W304" i="1"/>
  <c r="U304" i="1"/>
  <c r="S304" i="1"/>
  <c r="BL304" i="1" s="1"/>
  <c r="B304" i="1"/>
  <c r="BT303" i="1"/>
  <c r="BS303" i="1"/>
  <c r="BK303" i="1"/>
  <c r="BA303" i="1"/>
  <c r="AY303" i="1"/>
  <c r="AW303" i="1"/>
  <c r="AU303" i="1"/>
  <c r="AS303" i="1"/>
  <c r="AQ303" i="1"/>
  <c r="AO303" i="1"/>
  <c r="AK303" i="1"/>
  <c r="AI303" i="1"/>
  <c r="AG303" i="1"/>
  <c r="AD303" i="1"/>
  <c r="AA303" i="1"/>
  <c r="Y303" i="1"/>
  <c r="W303" i="1"/>
  <c r="U303" i="1"/>
  <c r="S303" i="1"/>
  <c r="BL303" i="1" s="1"/>
  <c r="B303" i="1"/>
  <c r="BT302" i="1"/>
  <c r="BS302" i="1"/>
  <c r="BK302" i="1"/>
  <c r="BA302" i="1"/>
  <c r="AY302" i="1"/>
  <c r="AW302" i="1"/>
  <c r="AU302" i="1"/>
  <c r="AS302" i="1"/>
  <c r="AQ302" i="1"/>
  <c r="AO302" i="1"/>
  <c r="AK302" i="1"/>
  <c r="AI302" i="1"/>
  <c r="AG302" i="1"/>
  <c r="AD302" i="1"/>
  <c r="AA302" i="1"/>
  <c r="Y302" i="1"/>
  <c r="W302" i="1"/>
  <c r="U302" i="1"/>
  <c r="S302" i="1"/>
  <c r="BL302" i="1" s="1"/>
  <c r="B302" i="1"/>
  <c r="BT301" i="1"/>
  <c r="BS301" i="1"/>
  <c r="BK301" i="1"/>
  <c r="BA301" i="1"/>
  <c r="AY301" i="1"/>
  <c r="AW301" i="1"/>
  <c r="AU301" i="1"/>
  <c r="AS301" i="1"/>
  <c r="AQ301" i="1"/>
  <c r="AO301" i="1"/>
  <c r="AK301" i="1"/>
  <c r="AI301" i="1"/>
  <c r="AG301" i="1"/>
  <c r="AD301" i="1"/>
  <c r="AA301" i="1"/>
  <c r="Y301" i="1"/>
  <c r="W301" i="1"/>
  <c r="U301" i="1"/>
  <c r="S301" i="1"/>
  <c r="BL301" i="1" s="1"/>
  <c r="B301" i="1"/>
  <c r="BT300" i="1"/>
  <c r="BS300" i="1"/>
  <c r="BK300" i="1"/>
  <c r="BA300" i="1"/>
  <c r="AY300" i="1"/>
  <c r="AW300" i="1"/>
  <c r="AU300" i="1"/>
  <c r="AS300" i="1"/>
  <c r="AQ300" i="1"/>
  <c r="AO300" i="1"/>
  <c r="AK300" i="1"/>
  <c r="AI300" i="1"/>
  <c r="AG300" i="1"/>
  <c r="AD300" i="1"/>
  <c r="AA300" i="1"/>
  <c r="Y300" i="1"/>
  <c r="W300" i="1"/>
  <c r="U300" i="1"/>
  <c r="S300" i="1"/>
  <c r="BL300" i="1" s="1"/>
  <c r="B300" i="1"/>
  <c r="BT299" i="1"/>
  <c r="BS299" i="1"/>
  <c r="BK299" i="1"/>
  <c r="BA299" i="1"/>
  <c r="AY299" i="1"/>
  <c r="AW299" i="1"/>
  <c r="AU299" i="1"/>
  <c r="AS299" i="1"/>
  <c r="AQ299" i="1"/>
  <c r="AO299" i="1"/>
  <c r="AK299" i="1"/>
  <c r="AI299" i="1"/>
  <c r="AG299" i="1"/>
  <c r="AD299" i="1"/>
  <c r="AA299" i="1"/>
  <c r="Y299" i="1"/>
  <c r="W299" i="1"/>
  <c r="U299" i="1"/>
  <c r="S299" i="1"/>
  <c r="BL299" i="1" s="1"/>
  <c r="B299" i="1"/>
  <c r="BT298" i="1"/>
  <c r="BS298" i="1"/>
  <c r="BK298" i="1"/>
  <c r="BA298" i="1"/>
  <c r="AY298" i="1"/>
  <c r="AW298" i="1"/>
  <c r="AU298" i="1"/>
  <c r="AS298" i="1"/>
  <c r="AQ298" i="1"/>
  <c r="AO298" i="1"/>
  <c r="AK298" i="1"/>
  <c r="AI298" i="1"/>
  <c r="AG298" i="1"/>
  <c r="AD298" i="1"/>
  <c r="AA298" i="1"/>
  <c r="Y298" i="1"/>
  <c r="W298" i="1"/>
  <c r="U298" i="1"/>
  <c r="S298" i="1"/>
  <c r="B298" i="1"/>
  <c r="BT297" i="1"/>
  <c r="BS297" i="1"/>
  <c r="BK297" i="1"/>
  <c r="BA297" i="1"/>
  <c r="AY297" i="1"/>
  <c r="AW297" i="1"/>
  <c r="AU297" i="1"/>
  <c r="AS297" i="1"/>
  <c r="AQ297" i="1"/>
  <c r="AO297" i="1"/>
  <c r="AK297" i="1"/>
  <c r="AI297" i="1"/>
  <c r="AG297" i="1"/>
  <c r="AD297" i="1"/>
  <c r="AA297" i="1"/>
  <c r="Y297" i="1"/>
  <c r="W297" i="1"/>
  <c r="U297" i="1"/>
  <c r="S297" i="1"/>
  <c r="BL297" i="1" s="1"/>
  <c r="B297" i="1"/>
  <c r="BT296" i="1"/>
  <c r="BS296" i="1"/>
  <c r="BK296" i="1"/>
  <c r="BA296" i="1"/>
  <c r="AY296" i="1"/>
  <c r="AW296" i="1"/>
  <c r="AU296" i="1"/>
  <c r="AS296" i="1"/>
  <c r="AQ296" i="1"/>
  <c r="AO296" i="1"/>
  <c r="AK296" i="1"/>
  <c r="AI296" i="1"/>
  <c r="AG296" i="1"/>
  <c r="AD296" i="1"/>
  <c r="AA296" i="1"/>
  <c r="Y296" i="1"/>
  <c r="W296" i="1"/>
  <c r="U296" i="1"/>
  <c r="S296" i="1"/>
  <c r="BL296" i="1" s="1"/>
  <c r="B296" i="1"/>
  <c r="BT295" i="1"/>
  <c r="BS295" i="1"/>
  <c r="BK295" i="1"/>
  <c r="BA295" i="1"/>
  <c r="AY295" i="1"/>
  <c r="AW295" i="1"/>
  <c r="AU295" i="1"/>
  <c r="AS295" i="1"/>
  <c r="AQ295" i="1"/>
  <c r="AO295" i="1"/>
  <c r="AK295" i="1"/>
  <c r="AI295" i="1"/>
  <c r="AG295" i="1"/>
  <c r="AD295" i="1"/>
  <c r="AA295" i="1"/>
  <c r="Y295" i="1"/>
  <c r="W295" i="1"/>
  <c r="U295" i="1"/>
  <c r="S295" i="1"/>
  <c r="BL295" i="1" s="1"/>
  <c r="B295" i="1"/>
  <c r="BT294" i="1"/>
  <c r="BS294" i="1"/>
  <c r="BK294" i="1"/>
  <c r="BA294" i="1"/>
  <c r="AY294" i="1"/>
  <c r="AW294" i="1"/>
  <c r="AU294" i="1"/>
  <c r="AS294" i="1"/>
  <c r="AQ294" i="1"/>
  <c r="AO294" i="1"/>
  <c r="AK294" i="1"/>
  <c r="AI294" i="1"/>
  <c r="AG294" i="1"/>
  <c r="AD294" i="1"/>
  <c r="AA294" i="1"/>
  <c r="Y294" i="1"/>
  <c r="W294" i="1"/>
  <c r="U294" i="1"/>
  <c r="S294" i="1"/>
  <c r="BL294" i="1" s="1"/>
  <c r="B294" i="1"/>
  <c r="BT293" i="1"/>
  <c r="BS293" i="1"/>
  <c r="BK293" i="1"/>
  <c r="BA293" i="1"/>
  <c r="AY293" i="1"/>
  <c r="AW293" i="1"/>
  <c r="AU293" i="1"/>
  <c r="AS293" i="1"/>
  <c r="AQ293" i="1"/>
  <c r="AO293" i="1"/>
  <c r="AK293" i="1"/>
  <c r="AI293" i="1"/>
  <c r="AG293" i="1"/>
  <c r="AD293" i="1"/>
  <c r="AA293" i="1"/>
  <c r="Y293" i="1"/>
  <c r="W293" i="1"/>
  <c r="U293" i="1"/>
  <c r="S293" i="1"/>
  <c r="BL293" i="1" s="1"/>
  <c r="B293" i="1"/>
  <c r="BT292" i="1"/>
  <c r="BS292" i="1"/>
  <c r="BK292" i="1"/>
  <c r="BA292" i="1"/>
  <c r="AY292" i="1"/>
  <c r="AW292" i="1"/>
  <c r="AU292" i="1"/>
  <c r="AS292" i="1"/>
  <c r="AQ292" i="1"/>
  <c r="AO292" i="1"/>
  <c r="AK292" i="1"/>
  <c r="AI292" i="1"/>
  <c r="AG292" i="1"/>
  <c r="AD292" i="1"/>
  <c r="AA292" i="1"/>
  <c r="Y292" i="1"/>
  <c r="W292" i="1"/>
  <c r="U292" i="1"/>
  <c r="S292" i="1"/>
  <c r="BL292" i="1" s="1"/>
  <c r="B292" i="1"/>
  <c r="BT291" i="1"/>
  <c r="BS291" i="1"/>
  <c r="BK291" i="1"/>
  <c r="BA291" i="1"/>
  <c r="AY291" i="1"/>
  <c r="AW291" i="1"/>
  <c r="AU291" i="1"/>
  <c r="AS291" i="1"/>
  <c r="AQ291" i="1"/>
  <c r="AO291" i="1"/>
  <c r="AK291" i="1"/>
  <c r="AI291" i="1"/>
  <c r="AG291" i="1"/>
  <c r="AD291" i="1"/>
  <c r="AA291" i="1"/>
  <c r="Y291" i="1"/>
  <c r="W291" i="1"/>
  <c r="U291" i="1"/>
  <c r="S291" i="1"/>
  <c r="BL291" i="1" s="1"/>
  <c r="B291" i="1"/>
  <c r="BT290" i="1"/>
  <c r="BS290" i="1"/>
  <c r="BK290" i="1"/>
  <c r="BA290" i="1"/>
  <c r="AY290" i="1"/>
  <c r="AW290" i="1"/>
  <c r="AU290" i="1"/>
  <c r="AS290" i="1"/>
  <c r="AQ290" i="1"/>
  <c r="AO290" i="1"/>
  <c r="AK290" i="1"/>
  <c r="AI290" i="1"/>
  <c r="AG290" i="1"/>
  <c r="AD290" i="1"/>
  <c r="AA290" i="1"/>
  <c r="Y290" i="1"/>
  <c r="W290" i="1"/>
  <c r="U290" i="1"/>
  <c r="S290" i="1"/>
  <c r="BL290" i="1" s="1"/>
  <c r="B290" i="1"/>
  <c r="BT289" i="1"/>
  <c r="BS289" i="1"/>
  <c r="BK289" i="1"/>
  <c r="BA289" i="1"/>
  <c r="AY289" i="1"/>
  <c r="AW289" i="1"/>
  <c r="AU289" i="1"/>
  <c r="AS289" i="1"/>
  <c r="AQ289" i="1"/>
  <c r="AO289" i="1"/>
  <c r="AK289" i="1"/>
  <c r="AI289" i="1"/>
  <c r="AG289" i="1"/>
  <c r="AD289" i="1"/>
  <c r="AA289" i="1"/>
  <c r="Y289" i="1"/>
  <c r="W289" i="1"/>
  <c r="U289" i="1"/>
  <c r="S289" i="1"/>
  <c r="BL289" i="1" s="1"/>
  <c r="B289" i="1"/>
  <c r="BT288" i="1"/>
  <c r="BS288" i="1"/>
  <c r="BK288" i="1"/>
  <c r="BA288" i="1"/>
  <c r="AY288" i="1"/>
  <c r="AW288" i="1"/>
  <c r="AU288" i="1"/>
  <c r="AS288" i="1"/>
  <c r="AQ288" i="1"/>
  <c r="AO288" i="1"/>
  <c r="AK288" i="1"/>
  <c r="AI288" i="1"/>
  <c r="AG288" i="1"/>
  <c r="AD288" i="1"/>
  <c r="AA288" i="1"/>
  <c r="Y288" i="1"/>
  <c r="W288" i="1"/>
  <c r="U288" i="1"/>
  <c r="S288" i="1"/>
  <c r="BL288" i="1" s="1"/>
  <c r="B288" i="1"/>
  <c r="BT287" i="1"/>
  <c r="BS287" i="1"/>
  <c r="BK287" i="1"/>
  <c r="BA287" i="1"/>
  <c r="AY287" i="1"/>
  <c r="AW287" i="1"/>
  <c r="AU287" i="1"/>
  <c r="AS287" i="1"/>
  <c r="AQ287" i="1"/>
  <c r="AO287" i="1"/>
  <c r="AK287" i="1"/>
  <c r="AI287" i="1"/>
  <c r="AG287" i="1"/>
  <c r="AD287" i="1"/>
  <c r="AA287" i="1"/>
  <c r="Y287" i="1"/>
  <c r="W287" i="1"/>
  <c r="U287" i="1"/>
  <c r="S287" i="1"/>
  <c r="B287" i="1"/>
  <c r="BT286" i="1"/>
  <c r="BS286" i="1"/>
  <c r="BK286" i="1"/>
  <c r="BA286" i="1"/>
  <c r="AY286" i="1"/>
  <c r="AW286" i="1"/>
  <c r="AU286" i="1"/>
  <c r="AS286" i="1"/>
  <c r="AQ286" i="1"/>
  <c r="AO286" i="1"/>
  <c r="AK286" i="1"/>
  <c r="AI286" i="1"/>
  <c r="AG286" i="1"/>
  <c r="AD286" i="1"/>
  <c r="AA286" i="1"/>
  <c r="Y286" i="1"/>
  <c r="W286" i="1"/>
  <c r="U286" i="1"/>
  <c r="S286" i="1"/>
  <c r="BL286" i="1" s="1"/>
  <c r="B286" i="1"/>
  <c r="BT285" i="1"/>
  <c r="BS285" i="1"/>
  <c r="BK285" i="1"/>
  <c r="BA285" i="1"/>
  <c r="AY285" i="1"/>
  <c r="AW285" i="1"/>
  <c r="AU285" i="1"/>
  <c r="AS285" i="1"/>
  <c r="AQ285" i="1"/>
  <c r="AO285" i="1"/>
  <c r="AK285" i="1"/>
  <c r="AI285" i="1"/>
  <c r="AG285" i="1"/>
  <c r="AD285" i="1"/>
  <c r="AA285" i="1"/>
  <c r="Y285" i="1"/>
  <c r="W285" i="1"/>
  <c r="U285" i="1"/>
  <c r="S285" i="1"/>
  <c r="BL285" i="1" s="1"/>
  <c r="B285" i="1"/>
  <c r="BT284" i="1"/>
  <c r="BS284" i="1"/>
  <c r="BK284" i="1"/>
  <c r="BA284" i="1"/>
  <c r="AY284" i="1"/>
  <c r="AW284" i="1"/>
  <c r="AU284" i="1"/>
  <c r="AS284" i="1"/>
  <c r="AQ284" i="1"/>
  <c r="AO284" i="1"/>
  <c r="AK284" i="1"/>
  <c r="AI284" i="1"/>
  <c r="AG284" i="1"/>
  <c r="AD284" i="1"/>
  <c r="AA284" i="1"/>
  <c r="Y284" i="1"/>
  <c r="W284" i="1"/>
  <c r="U284" i="1"/>
  <c r="S284" i="1"/>
  <c r="BL284" i="1" s="1"/>
  <c r="B284" i="1"/>
  <c r="BT283" i="1"/>
  <c r="BS283" i="1"/>
  <c r="BK283" i="1"/>
  <c r="BA283" i="1"/>
  <c r="AY283" i="1"/>
  <c r="AW283" i="1"/>
  <c r="AU283" i="1"/>
  <c r="AS283" i="1"/>
  <c r="AQ283" i="1"/>
  <c r="AO283" i="1"/>
  <c r="AK283" i="1"/>
  <c r="AI283" i="1"/>
  <c r="AG283" i="1"/>
  <c r="AD283" i="1"/>
  <c r="AA283" i="1"/>
  <c r="Y283" i="1"/>
  <c r="W283" i="1"/>
  <c r="U283" i="1"/>
  <c r="S283" i="1"/>
  <c r="BL283" i="1" s="1"/>
  <c r="B283" i="1"/>
  <c r="BT282" i="1"/>
  <c r="BS282" i="1"/>
  <c r="BK282" i="1"/>
  <c r="BA282" i="1"/>
  <c r="AY282" i="1"/>
  <c r="AW282" i="1"/>
  <c r="AU282" i="1"/>
  <c r="AS282" i="1"/>
  <c r="AQ282" i="1"/>
  <c r="AO282" i="1"/>
  <c r="AK282" i="1"/>
  <c r="AI282" i="1"/>
  <c r="AG282" i="1"/>
  <c r="AD282" i="1"/>
  <c r="AA282" i="1"/>
  <c r="Y282" i="1"/>
  <c r="W282" i="1"/>
  <c r="U282" i="1"/>
  <c r="S282" i="1"/>
  <c r="BL282" i="1" s="1"/>
  <c r="B282" i="1"/>
  <c r="BT281" i="1"/>
  <c r="BS281" i="1"/>
  <c r="BK281" i="1"/>
  <c r="BA281" i="1"/>
  <c r="AY281" i="1"/>
  <c r="AW281" i="1"/>
  <c r="AU281" i="1"/>
  <c r="AS281" i="1"/>
  <c r="AQ281" i="1"/>
  <c r="AO281" i="1"/>
  <c r="AK281" i="1"/>
  <c r="AI281" i="1"/>
  <c r="AG281" i="1"/>
  <c r="AD281" i="1"/>
  <c r="AA281" i="1"/>
  <c r="Y281" i="1"/>
  <c r="W281" i="1"/>
  <c r="U281" i="1"/>
  <c r="S281" i="1"/>
  <c r="BL281" i="1" s="1"/>
  <c r="B281" i="1"/>
  <c r="BT280" i="1"/>
  <c r="BS280" i="1"/>
  <c r="BK280" i="1"/>
  <c r="BA280" i="1"/>
  <c r="AY280" i="1"/>
  <c r="AW280" i="1"/>
  <c r="AU280" i="1"/>
  <c r="AS280" i="1"/>
  <c r="AQ280" i="1"/>
  <c r="AO280" i="1"/>
  <c r="AK280" i="1"/>
  <c r="AI280" i="1"/>
  <c r="AG280" i="1"/>
  <c r="AD280" i="1"/>
  <c r="AA280" i="1"/>
  <c r="Y280" i="1"/>
  <c r="W280" i="1"/>
  <c r="U280" i="1"/>
  <c r="S280" i="1"/>
  <c r="BL280" i="1" s="1"/>
  <c r="B280" i="1"/>
  <c r="BT279" i="1"/>
  <c r="BS279" i="1"/>
  <c r="BK279" i="1"/>
  <c r="BA279" i="1"/>
  <c r="AY279" i="1"/>
  <c r="AW279" i="1"/>
  <c r="AU279" i="1"/>
  <c r="AS279" i="1"/>
  <c r="AQ279" i="1"/>
  <c r="AO279" i="1"/>
  <c r="AK279" i="1"/>
  <c r="AI279" i="1"/>
  <c r="AG279" i="1"/>
  <c r="AD279" i="1"/>
  <c r="AA279" i="1"/>
  <c r="Y279" i="1"/>
  <c r="W279" i="1"/>
  <c r="U279" i="1"/>
  <c r="S279" i="1"/>
  <c r="BL279" i="1" s="1"/>
  <c r="B279" i="1"/>
  <c r="BT278" i="1"/>
  <c r="BS278" i="1"/>
  <c r="BK278" i="1"/>
  <c r="BA278" i="1"/>
  <c r="AY278" i="1"/>
  <c r="AW278" i="1"/>
  <c r="AU278" i="1"/>
  <c r="AS278" i="1"/>
  <c r="AQ278" i="1"/>
  <c r="AO278" i="1"/>
  <c r="AK278" i="1"/>
  <c r="AI278" i="1"/>
  <c r="AG278" i="1"/>
  <c r="AD278" i="1"/>
  <c r="AA278" i="1"/>
  <c r="Y278" i="1"/>
  <c r="W278" i="1"/>
  <c r="U278" i="1"/>
  <c r="S278" i="1"/>
  <c r="BL278" i="1" s="1"/>
  <c r="B278" i="1"/>
  <c r="BT277" i="1"/>
  <c r="BS277" i="1"/>
  <c r="BK277" i="1"/>
  <c r="BA277" i="1"/>
  <c r="AY277" i="1"/>
  <c r="AW277" i="1"/>
  <c r="AU277" i="1"/>
  <c r="AS277" i="1"/>
  <c r="AQ277" i="1"/>
  <c r="AO277" i="1"/>
  <c r="AK277" i="1"/>
  <c r="AI277" i="1"/>
  <c r="AG277" i="1"/>
  <c r="AD277" i="1"/>
  <c r="AA277" i="1"/>
  <c r="Y277" i="1"/>
  <c r="W277" i="1"/>
  <c r="U277" i="1"/>
  <c r="S277" i="1"/>
  <c r="BL277" i="1" s="1"/>
  <c r="B277" i="1"/>
  <c r="BT276" i="1"/>
  <c r="BS276" i="1"/>
  <c r="BK276" i="1"/>
  <c r="BA276" i="1"/>
  <c r="AY276" i="1"/>
  <c r="AW276" i="1"/>
  <c r="AU276" i="1"/>
  <c r="AS276" i="1"/>
  <c r="AQ276" i="1"/>
  <c r="AO276" i="1"/>
  <c r="AK276" i="1"/>
  <c r="AI276" i="1"/>
  <c r="AG276" i="1"/>
  <c r="AD276" i="1"/>
  <c r="AA276" i="1"/>
  <c r="Y276" i="1"/>
  <c r="W276" i="1"/>
  <c r="U276" i="1"/>
  <c r="S276" i="1"/>
  <c r="B276" i="1"/>
  <c r="BT275" i="1"/>
  <c r="BS275" i="1"/>
  <c r="BK275" i="1"/>
  <c r="BA275" i="1"/>
  <c r="AY275" i="1"/>
  <c r="AW275" i="1"/>
  <c r="AU275" i="1"/>
  <c r="AS275" i="1"/>
  <c r="AQ275" i="1"/>
  <c r="AO275" i="1"/>
  <c r="AK275" i="1"/>
  <c r="AI275" i="1"/>
  <c r="AG275" i="1"/>
  <c r="AD275" i="1"/>
  <c r="AA275" i="1"/>
  <c r="Y275" i="1"/>
  <c r="W275" i="1"/>
  <c r="U275" i="1"/>
  <c r="S275" i="1"/>
  <c r="BL275" i="1" s="1"/>
  <c r="B275" i="1"/>
  <c r="BT274" i="1"/>
  <c r="BS274" i="1"/>
  <c r="BK274" i="1"/>
  <c r="BA274" i="1"/>
  <c r="AY274" i="1"/>
  <c r="AW274" i="1"/>
  <c r="AU274" i="1"/>
  <c r="AS274" i="1"/>
  <c r="AQ274" i="1"/>
  <c r="AO274" i="1"/>
  <c r="AK274" i="1"/>
  <c r="AI274" i="1"/>
  <c r="AG274" i="1"/>
  <c r="AD274" i="1"/>
  <c r="AA274" i="1"/>
  <c r="Y274" i="1"/>
  <c r="W274" i="1"/>
  <c r="U274" i="1"/>
  <c r="S274" i="1"/>
  <c r="BL274" i="1" s="1"/>
  <c r="B274" i="1"/>
  <c r="BT273" i="1"/>
  <c r="BS273" i="1"/>
  <c r="BK273" i="1"/>
  <c r="BA273" i="1"/>
  <c r="AY273" i="1"/>
  <c r="AW273" i="1"/>
  <c r="AU273" i="1"/>
  <c r="AS273" i="1"/>
  <c r="AQ273" i="1"/>
  <c r="AO273" i="1"/>
  <c r="AK273" i="1"/>
  <c r="AI273" i="1"/>
  <c r="AG273" i="1"/>
  <c r="AD273" i="1"/>
  <c r="AA273" i="1"/>
  <c r="Y273" i="1"/>
  <c r="W273" i="1"/>
  <c r="U273" i="1"/>
  <c r="S273" i="1"/>
  <c r="BL273" i="1" s="1"/>
  <c r="B273" i="1"/>
  <c r="BT272" i="1"/>
  <c r="BS272" i="1"/>
  <c r="BK272" i="1"/>
  <c r="BA272" i="1"/>
  <c r="AY272" i="1"/>
  <c r="AW272" i="1"/>
  <c r="AU272" i="1"/>
  <c r="AS272" i="1"/>
  <c r="AQ272" i="1"/>
  <c r="AO272" i="1"/>
  <c r="AK272" i="1"/>
  <c r="AI272" i="1"/>
  <c r="AG272" i="1"/>
  <c r="AD272" i="1"/>
  <c r="AA272" i="1"/>
  <c r="Y272" i="1"/>
  <c r="W272" i="1"/>
  <c r="U272" i="1"/>
  <c r="S272" i="1"/>
  <c r="BL272" i="1" s="1"/>
  <c r="B272" i="1"/>
  <c r="BT271" i="1"/>
  <c r="BS271" i="1"/>
  <c r="BK271" i="1"/>
  <c r="BA271" i="1"/>
  <c r="AY271" i="1"/>
  <c r="AW271" i="1"/>
  <c r="AU271" i="1"/>
  <c r="AS271" i="1"/>
  <c r="AQ271" i="1"/>
  <c r="AO271" i="1"/>
  <c r="AK271" i="1"/>
  <c r="AI271" i="1"/>
  <c r="AG271" i="1"/>
  <c r="AD271" i="1"/>
  <c r="AA271" i="1"/>
  <c r="Y271" i="1"/>
  <c r="W271" i="1"/>
  <c r="U271" i="1"/>
  <c r="S271" i="1"/>
  <c r="BL271" i="1" s="1"/>
  <c r="B271" i="1"/>
  <c r="BT270" i="1"/>
  <c r="BS270" i="1"/>
  <c r="BK270" i="1"/>
  <c r="BA270" i="1"/>
  <c r="AY270" i="1"/>
  <c r="AW270" i="1"/>
  <c r="AU270" i="1"/>
  <c r="AS270" i="1"/>
  <c r="AQ270" i="1"/>
  <c r="AO270" i="1"/>
  <c r="AK270" i="1"/>
  <c r="AI270" i="1"/>
  <c r="AG270" i="1"/>
  <c r="AD270" i="1"/>
  <c r="AA270" i="1"/>
  <c r="Y270" i="1"/>
  <c r="W270" i="1"/>
  <c r="U270" i="1"/>
  <c r="S270" i="1"/>
  <c r="BL270" i="1" s="1"/>
  <c r="B270" i="1"/>
  <c r="BT269" i="1"/>
  <c r="BS269" i="1"/>
  <c r="BK269" i="1"/>
  <c r="BA269" i="1"/>
  <c r="AY269" i="1"/>
  <c r="AW269" i="1"/>
  <c r="AU269" i="1"/>
  <c r="AS269" i="1"/>
  <c r="AQ269" i="1"/>
  <c r="AO269" i="1"/>
  <c r="AK269" i="1"/>
  <c r="AI269" i="1"/>
  <c r="AG269" i="1"/>
  <c r="AD269" i="1"/>
  <c r="AA269" i="1"/>
  <c r="Y269" i="1"/>
  <c r="W269" i="1"/>
  <c r="U269" i="1"/>
  <c r="S269" i="1"/>
  <c r="BL269" i="1" s="1"/>
  <c r="B269" i="1"/>
  <c r="BT268" i="1"/>
  <c r="BS268" i="1"/>
  <c r="BK268" i="1"/>
  <c r="BA268" i="1"/>
  <c r="AY268" i="1"/>
  <c r="AW268" i="1"/>
  <c r="AU268" i="1"/>
  <c r="AS268" i="1"/>
  <c r="AQ268" i="1"/>
  <c r="AO268" i="1"/>
  <c r="AK268" i="1"/>
  <c r="AI268" i="1"/>
  <c r="AG268" i="1"/>
  <c r="AD268" i="1"/>
  <c r="AA268" i="1"/>
  <c r="Y268" i="1"/>
  <c r="W268" i="1"/>
  <c r="U268" i="1"/>
  <c r="S268" i="1"/>
  <c r="BL268" i="1" s="1"/>
  <c r="B268" i="1"/>
  <c r="BT267" i="1"/>
  <c r="BS267" i="1"/>
  <c r="BK267" i="1"/>
  <c r="BA267" i="1"/>
  <c r="AY267" i="1"/>
  <c r="AW267" i="1"/>
  <c r="AU267" i="1"/>
  <c r="AS267" i="1"/>
  <c r="AQ267" i="1"/>
  <c r="AO267" i="1"/>
  <c r="AK267" i="1"/>
  <c r="AI267" i="1"/>
  <c r="AG267" i="1"/>
  <c r="AD267" i="1"/>
  <c r="AA267" i="1"/>
  <c r="Y267" i="1"/>
  <c r="W267" i="1"/>
  <c r="U267" i="1"/>
  <c r="S267" i="1"/>
  <c r="BL267" i="1" s="1"/>
  <c r="B267" i="1"/>
  <c r="BT266" i="1"/>
  <c r="BS266" i="1"/>
  <c r="BK266" i="1"/>
  <c r="BA266" i="1"/>
  <c r="AY266" i="1"/>
  <c r="AW266" i="1"/>
  <c r="AU266" i="1"/>
  <c r="AS266" i="1"/>
  <c r="AQ266" i="1"/>
  <c r="AO266" i="1"/>
  <c r="AK266" i="1"/>
  <c r="AI266" i="1"/>
  <c r="AG266" i="1"/>
  <c r="AD266" i="1"/>
  <c r="AA266" i="1"/>
  <c r="Y266" i="1"/>
  <c r="W266" i="1"/>
  <c r="U266" i="1"/>
  <c r="S266" i="1"/>
  <c r="BL266" i="1" s="1"/>
  <c r="B266" i="1"/>
  <c r="BT265" i="1"/>
  <c r="BS265" i="1"/>
  <c r="BK265" i="1"/>
  <c r="BA265" i="1"/>
  <c r="AY265" i="1"/>
  <c r="AW265" i="1"/>
  <c r="AU265" i="1"/>
  <c r="AS265" i="1"/>
  <c r="AQ265" i="1"/>
  <c r="AO265" i="1"/>
  <c r="AK265" i="1"/>
  <c r="AI265" i="1"/>
  <c r="AG265" i="1"/>
  <c r="AD265" i="1"/>
  <c r="AA265" i="1"/>
  <c r="Y265" i="1"/>
  <c r="W265" i="1"/>
  <c r="U265" i="1"/>
  <c r="S265" i="1"/>
  <c r="BL265" i="1" s="1"/>
  <c r="B265" i="1"/>
  <c r="BT264" i="1"/>
  <c r="BS264" i="1"/>
  <c r="BK264" i="1"/>
  <c r="BA264" i="1"/>
  <c r="AY264" i="1"/>
  <c r="AW264" i="1"/>
  <c r="AU264" i="1"/>
  <c r="AS264" i="1"/>
  <c r="AQ264" i="1"/>
  <c r="AO264" i="1"/>
  <c r="AK264" i="1"/>
  <c r="AI264" i="1"/>
  <c r="AG264" i="1"/>
  <c r="AD264" i="1"/>
  <c r="AA264" i="1"/>
  <c r="Y264" i="1"/>
  <c r="W264" i="1"/>
  <c r="U264" i="1"/>
  <c r="S264" i="1"/>
  <c r="BL264" i="1" s="1"/>
  <c r="B264" i="1"/>
  <c r="BT263" i="1"/>
  <c r="BS263" i="1"/>
  <c r="BK263" i="1"/>
  <c r="BA263" i="1"/>
  <c r="AY263" i="1"/>
  <c r="AW263" i="1"/>
  <c r="AU263" i="1"/>
  <c r="AS263" i="1"/>
  <c r="AQ263" i="1"/>
  <c r="AO263" i="1"/>
  <c r="AK263" i="1"/>
  <c r="AI263" i="1"/>
  <c r="AG263" i="1"/>
  <c r="AD263" i="1"/>
  <c r="AA263" i="1"/>
  <c r="Y263" i="1"/>
  <c r="W263" i="1"/>
  <c r="U263" i="1"/>
  <c r="S263" i="1"/>
  <c r="BL263" i="1" s="1"/>
  <c r="B263" i="1"/>
  <c r="BT262" i="1"/>
  <c r="BS262" i="1"/>
  <c r="BK262" i="1"/>
  <c r="BA262" i="1"/>
  <c r="AY262" i="1"/>
  <c r="AW262" i="1"/>
  <c r="AU262" i="1"/>
  <c r="AS262" i="1"/>
  <c r="AQ262" i="1"/>
  <c r="AO262" i="1"/>
  <c r="AK262" i="1"/>
  <c r="AI262" i="1"/>
  <c r="AG262" i="1"/>
  <c r="AD262" i="1"/>
  <c r="AA262" i="1"/>
  <c r="Y262" i="1"/>
  <c r="W262" i="1"/>
  <c r="U262" i="1"/>
  <c r="S262" i="1"/>
  <c r="BL262" i="1" s="1"/>
  <c r="B262" i="1"/>
  <c r="BT261" i="1"/>
  <c r="BS261" i="1"/>
  <c r="BK261" i="1"/>
  <c r="BA261" i="1"/>
  <c r="AY261" i="1"/>
  <c r="AW261" i="1"/>
  <c r="AU261" i="1"/>
  <c r="AS261" i="1"/>
  <c r="AQ261" i="1"/>
  <c r="AO261" i="1"/>
  <c r="AK261" i="1"/>
  <c r="AI261" i="1"/>
  <c r="AG261" i="1"/>
  <c r="AD261" i="1"/>
  <c r="AA261" i="1"/>
  <c r="Y261" i="1"/>
  <c r="W261" i="1"/>
  <c r="U261" i="1"/>
  <c r="S261" i="1"/>
  <c r="BL261" i="1" s="1"/>
  <c r="B261" i="1"/>
  <c r="BT260" i="1"/>
  <c r="BS260" i="1"/>
  <c r="BK260" i="1"/>
  <c r="BA260" i="1"/>
  <c r="AY260" i="1"/>
  <c r="AW260" i="1"/>
  <c r="AU260" i="1"/>
  <c r="AS260" i="1"/>
  <c r="AQ260" i="1"/>
  <c r="AO260" i="1"/>
  <c r="AK260" i="1"/>
  <c r="AI260" i="1"/>
  <c r="AG260" i="1"/>
  <c r="AD260" i="1"/>
  <c r="AA260" i="1"/>
  <c r="Y260" i="1"/>
  <c r="W260" i="1"/>
  <c r="U260" i="1"/>
  <c r="S260" i="1"/>
  <c r="BL260" i="1" s="1"/>
  <c r="B260" i="1"/>
  <c r="BT259" i="1"/>
  <c r="BS259" i="1"/>
  <c r="BK259" i="1"/>
  <c r="BA259" i="1"/>
  <c r="AY259" i="1"/>
  <c r="AW259" i="1"/>
  <c r="AU259" i="1"/>
  <c r="AS259" i="1"/>
  <c r="AQ259" i="1"/>
  <c r="AO259" i="1"/>
  <c r="AK259" i="1"/>
  <c r="AI259" i="1"/>
  <c r="AG259" i="1"/>
  <c r="AD259" i="1"/>
  <c r="AA259" i="1"/>
  <c r="Y259" i="1"/>
  <c r="W259" i="1"/>
  <c r="U259" i="1"/>
  <c r="S259" i="1"/>
  <c r="BL259" i="1" s="1"/>
  <c r="B259" i="1"/>
  <c r="BT258" i="1"/>
  <c r="BS258" i="1"/>
  <c r="BK258" i="1"/>
  <c r="BA258" i="1"/>
  <c r="AY258" i="1"/>
  <c r="AW258" i="1"/>
  <c r="AU258" i="1"/>
  <c r="AS258" i="1"/>
  <c r="AQ258" i="1"/>
  <c r="AO258" i="1"/>
  <c r="AK258" i="1"/>
  <c r="AI258" i="1"/>
  <c r="AG258" i="1"/>
  <c r="AD258" i="1"/>
  <c r="AA258" i="1"/>
  <c r="Y258" i="1"/>
  <c r="W258" i="1"/>
  <c r="U258" i="1"/>
  <c r="S258" i="1"/>
  <c r="BL258" i="1" s="1"/>
  <c r="B258" i="1"/>
  <c r="BT257" i="1"/>
  <c r="BS257" i="1"/>
  <c r="BK257" i="1"/>
  <c r="BA257" i="1"/>
  <c r="AY257" i="1"/>
  <c r="AW257" i="1"/>
  <c r="AU257" i="1"/>
  <c r="AS257" i="1"/>
  <c r="AQ257" i="1"/>
  <c r="AO257" i="1"/>
  <c r="AK257" i="1"/>
  <c r="AI257" i="1"/>
  <c r="AG257" i="1"/>
  <c r="AD257" i="1"/>
  <c r="AA257" i="1"/>
  <c r="Y257" i="1"/>
  <c r="W257" i="1"/>
  <c r="U257" i="1"/>
  <c r="S257" i="1"/>
  <c r="BL257" i="1" s="1"/>
  <c r="B257" i="1"/>
  <c r="BT256" i="1"/>
  <c r="BS256" i="1"/>
  <c r="BK256" i="1"/>
  <c r="BA256" i="1"/>
  <c r="AY256" i="1"/>
  <c r="AW256" i="1"/>
  <c r="AU256" i="1"/>
  <c r="AS256" i="1"/>
  <c r="AQ256" i="1"/>
  <c r="AO256" i="1"/>
  <c r="AK256" i="1"/>
  <c r="AI256" i="1"/>
  <c r="AG256" i="1"/>
  <c r="AD256" i="1"/>
  <c r="AA256" i="1"/>
  <c r="Y256" i="1"/>
  <c r="W256" i="1"/>
  <c r="U256" i="1"/>
  <c r="S256" i="1"/>
  <c r="BL256" i="1" s="1"/>
  <c r="B256" i="1"/>
  <c r="BT255" i="1"/>
  <c r="BS255" i="1"/>
  <c r="BK255" i="1"/>
  <c r="BA255" i="1"/>
  <c r="AY255" i="1"/>
  <c r="AW255" i="1"/>
  <c r="AU255" i="1"/>
  <c r="AS255" i="1"/>
  <c r="AQ255" i="1"/>
  <c r="AO255" i="1"/>
  <c r="AK255" i="1"/>
  <c r="AI255" i="1"/>
  <c r="AG255" i="1"/>
  <c r="AD255" i="1"/>
  <c r="AA255" i="1"/>
  <c r="Y255" i="1"/>
  <c r="W255" i="1"/>
  <c r="U255" i="1"/>
  <c r="S255" i="1"/>
  <c r="BL255" i="1" s="1"/>
  <c r="B255" i="1"/>
  <c r="BT254" i="1"/>
  <c r="BS254" i="1"/>
  <c r="BK254" i="1"/>
  <c r="BA254" i="1"/>
  <c r="AY254" i="1"/>
  <c r="AW254" i="1"/>
  <c r="AU254" i="1"/>
  <c r="AS254" i="1"/>
  <c r="AQ254" i="1"/>
  <c r="AO254" i="1"/>
  <c r="AK254" i="1"/>
  <c r="AI254" i="1"/>
  <c r="AG254" i="1"/>
  <c r="AD254" i="1"/>
  <c r="AA254" i="1"/>
  <c r="Y254" i="1"/>
  <c r="W254" i="1"/>
  <c r="U254" i="1"/>
  <c r="S254" i="1"/>
  <c r="BL254" i="1" s="1"/>
  <c r="B254" i="1"/>
  <c r="BT253" i="1"/>
  <c r="BS253" i="1"/>
  <c r="BK253" i="1"/>
  <c r="BA253" i="1"/>
  <c r="AY253" i="1"/>
  <c r="AW253" i="1"/>
  <c r="AU253" i="1"/>
  <c r="AS253" i="1"/>
  <c r="AQ253" i="1"/>
  <c r="AO253" i="1"/>
  <c r="AK253" i="1"/>
  <c r="AI253" i="1"/>
  <c r="AG253" i="1"/>
  <c r="AD253" i="1"/>
  <c r="AA253" i="1"/>
  <c r="Y253" i="1"/>
  <c r="W253" i="1"/>
  <c r="U253" i="1"/>
  <c r="S253" i="1"/>
  <c r="BL253" i="1" s="1"/>
  <c r="B253" i="1"/>
  <c r="BT252" i="1"/>
  <c r="BS252" i="1"/>
  <c r="BK252" i="1"/>
  <c r="BA252" i="1"/>
  <c r="AY252" i="1"/>
  <c r="AW252" i="1"/>
  <c r="AU252" i="1"/>
  <c r="AS252" i="1"/>
  <c r="AQ252" i="1"/>
  <c r="AO252" i="1"/>
  <c r="AK252" i="1"/>
  <c r="AI252" i="1"/>
  <c r="AG252" i="1"/>
  <c r="AD252" i="1"/>
  <c r="AA252" i="1"/>
  <c r="Y252" i="1"/>
  <c r="W252" i="1"/>
  <c r="U252" i="1"/>
  <c r="S252" i="1"/>
  <c r="BL252" i="1" s="1"/>
  <c r="B252" i="1"/>
  <c r="BT251" i="1"/>
  <c r="BS251" i="1"/>
  <c r="BK251" i="1"/>
  <c r="BA251" i="1"/>
  <c r="AY251" i="1"/>
  <c r="AW251" i="1"/>
  <c r="AU251" i="1"/>
  <c r="AS251" i="1"/>
  <c r="AQ251" i="1"/>
  <c r="AO251" i="1"/>
  <c r="AK251" i="1"/>
  <c r="AI251" i="1"/>
  <c r="AG251" i="1"/>
  <c r="AD251" i="1"/>
  <c r="AA251" i="1"/>
  <c r="Y251" i="1"/>
  <c r="W251" i="1"/>
  <c r="U251" i="1"/>
  <c r="S251" i="1"/>
  <c r="BL251" i="1" s="1"/>
  <c r="B251" i="1"/>
  <c r="BT250" i="1"/>
  <c r="BS250" i="1"/>
  <c r="BK250" i="1"/>
  <c r="BA250" i="1"/>
  <c r="AY250" i="1"/>
  <c r="AW250" i="1"/>
  <c r="AU250" i="1"/>
  <c r="AS250" i="1"/>
  <c r="AQ250" i="1"/>
  <c r="AO250" i="1"/>
  <c r="AK250" i="1"/>
  <c r="AI250" i="1"/>
  <c r="AG250" i="1"/>
  <c r="AD250" i="1"/>
  <c r="AA250" i="1"/>
  <c r="Y250" i="1"/>
  <c r="W250" i="1"/>
  <c r="U250" i="1"/>
  <c r="S250" i="1"/>
  <c r="BL250" i="1" s="1"/>
  <c r="B250" i="1"/>
  <c r="BT249" i="1"/>
  <c r="BS249" i="1"/>
  <c r="BK249" i="1"/>
  <c r="BA249" i="1"/>
  <c r="AY249" i="1"/>
  <c r="AW249" i="1"/>
  <c r="AU249" i="1"/>
  <c r="AS249" i="1"/>
  <c r="AQ249" i="1"/>
  <c r="AO249" i="1"/>
  <c r="AK249" i="1"/>
  <c r="AI249" i="1"/>
  <c r="AG249" i="1"/>
  <c r="AD249" i="1"/>
  <c r="AA249" i="1"/>
  <c r="Y249" i="1"/>
  <c r="W249" i="1"/>
  <c r="U249" i="1"/>
  <c r="S249" i="1"/>
  <c r="BL249" i="1" s="1"/>
  <c r="B249" i="1"/>
  <c r="BT248" i="1"/>
  <c r="BS248" i="1"/>
  <c r="BK248" i="1"/>
  <c r="BA248" i="1"/>
  <c r="AY248" i="1"/>
  <c r="AW248" i="1"/>
  <c r="AU248" i="1"/>
  <c r="AS248" i="1"/>
  <c r="AQ248" i="1"/>
  <c r="AO248" i="1"/>
  <c r="AK248" i="1"/>
  <c r="AI248" i="1"/>
  <c r="AG248" i="1"/>
  <c r="AD248" i="1"/>
  <c r="AA248" i="1"/>
  <c r="Y248" i="1"/>
  <c r="W248" i="1"/>
  <c r="U248" i="1"/>
  <c r="S248" i="1"/>
  <c r="BL248" i="1" s="1"/>
  <c r="B248" i="1"/>
  <c r="BT247" i="1"/>
  <c r="BS247" i="1"/>
  <c r="BK247" i="1"/>
  <c r="BA247" i="1"/>
  <c r="AY247" i="1"/>
  <c r="AW247" i="1"/>
  <c r="AU247" i="1"/>
  <c r="AS247" i="1"/>
  <c r="AQ247" i="1"/>
  <c r="AO247" i="1"/>
  <c r="AK247" i="1"/>
  <c r="AI247" i="1"/>
  <c r="AG247" i="1"/>
  <c r="AD247" i="1"/>
  <c r="AA247" i="1"/>
  <c r="Y247" i="1"/>
  <c r="W247" i="1"/>
  <c r="U247" i="1"/>
  <c r="S247" i="1"/>
  <c r="BL247" i="1" s="1"/>
  <c r="B247" i="1"/>
  <c r="BT246" i="1"/>
  <c r="BS246" i="1"/>
  <c r="BK246" i="1"/>
  <c r="BA246" i="1"/>
  <c r="AY246" i="1"/>
  <c r="AW246" i="1"/>
  <c r="AU246" i="1"/>
  <c r="AS246" i="1"/>
  <c r="AQ246" i="1"/>
  <c r="AO246" i="1"/>
  <c r="AK246" i="1"/>
  <c r="AI246" i="1"/>
  <c r="AG246" i="1"/>
  <c r="AD246" i="1"/>
  <c r="AA246" i="1"/>
  <c r="Y246" i="1"/>
  <c r="W246" i="1"/>
  <c r="U246" i="1"/>
  <c r="S246" i="1"/>
  <c r="BL246" i="1" s="1"/>
  <c r="B246" i="1"/>
  <c r="BT245" i="1"/>
  <c r="BS245" i="1"/>
  <c r="BK245" i="1"/>
  <c r="BA245" i="1"/>
  <c r="AY245" i="1"/>
  <c r="AW245" i="1"/>
  <c r="AU245" i="1"/>
  <c r="AS245" i="1"/>
  <c r="AQ245" i="1"/>
  <c r="AO245" i="1"/>
  <c r="AK245" i="1"/>
  <c r="AI245" i="1"/>
  <c r="AG245" i="1"/>
  <c r="AD245" i="1"/>
  <c r="AA245" i="1"/>
  <c r="Y245" i="1"/>
  <c r="W245" i="1"/>
  <c r="U245" i="1"/>
  <c r="S245" i="1"/>
  <c r="BL245" i="1" s="1"/>
  <c r="B245" i="1"/>
  <c r="BT244" i="1"/>
  <c r="BS244" i="1"/>
  <c r="BK244" i="1"/>
  <c r="BA244" i="1"/>
  <c r="AY244" i="1"/>
  <c r="AW244" i="1"/>
  <c r="AU244" i="1"/>
  <c r="AS244" i="1"/>
  <c r="AQ244" i="1"/>
  <c r="AO244" i="1"/>
  <c r="AK244" i="1"/>
  <c r="AI244" i="1"/>
  <c r="AG244" i="1"/>
  <c r="AD244" i="1"/>
  <c r="AA244" i="1"/>
  <c r="Y244" i="1"/>
  <c r="W244" i="1"/>
  <c r="U244" i="1"/>
  <c r="S244" i="1"/>
  <c r="BL244" i="1" s="1"/>
  <c r="B244" i="1"/>
  <c r="BT243" i="1"/>
  <c r="BS243" i="1"/>
  <c r="BK243" i="1"/>
  <c r="BA243" i="1"/>
  <c r="AY243" i="1"/>
  <c r="AW243" i="1"/>
  <c r="AU243" i="1"/>
  <c r="AS243" i="1"/>
  <c r="AQ243" i="1"/>
  <c r="AO243" i="1"/>
  <c r="AK243" i="1"/>
  <c r="AI243" i="1"/>
  <c r="AG243" i="1"/>
  <c r="AD243" i="1"/>
  <c r="AA243" i="1"/>
  <c r="Y243" i="1"/>
  <c r="W243" i="1"/>
  <c r="U243" i="1"/>
  <c r="S243" i="1"/>
  <c r="BL243" i="1" s="1"/>
  <c r="B243" i="1"/>
  <c r="BT242" i="1"/>
  <c r="BS242" i="1"/>
  <c r="BK242" i="1"/>
  <c r="BA242" i="1"/>
  <c r="AY242" i="1"/>
  <c r="AW242" i="1"/>
  <c r="AU242" i="1"/>
  <c r="AS242" i="1"/>
  <c r="AQ242" i="1"/>
  <c r="AO242" i="1"/>
  <c r="AK242" i="1"/>
  <c r="AI242" i="1"/>
  <c r="AG242" i="1"/>
  <c r="AD242" i="1"/>
  <c r="AA242" i="1"/>
  <c r="Y242" i="1"/>
  <c r="W242" i="1"/>
  <c r="U242" i="1"/>
  <c r="S242" i="1"/>
  <c r="BL242" i="1" s="1"/>
  <c r="B242" i="1"/>
  <c r="BT241" i="1"/>
  <c r="BS241" i="1"/>
  <c r="BK241" i="1"/>
  <c r="BA241" i="1"/>
  <c r="AY241" i="1"/>
  <c r="AW241" i="1"/>
  <c r="AU241" i="1"/>
  <c r="AS241" i="1"/>
  <c r="AQ241" i="1"/>
  <c r="AO241" i="1"/>
  <c r="AK241" i="1"/>
  <c r="AI241" i="1"/>
  <c r="AG241" i="1"/>
  <c r="AD241" i="1"/>
  <c r="AA241" i="1"/>
  <c r="Y241" i="1"/>
  <c r="W241" i="1"/>
  <c r="U241" i="1"/>
  <c r="S241" i="1"/>
  <c r="BL241" i="1" s="1"/>
  <c r="B241" i="1"/>
  <c r="BT240" i="1"/>
  <c r="BS240" i="1"/>
  <c r="BK240" i="1"/>
  <c r="BA240" i="1"/>
  <c r="AY240" i="1"/>
  <c r="AW240" i="1"/>
  <c r="AU240" i="1"/>
  <c r="AS240" i="1"/>
  <c r="AQ240" i="1"/>
  <c r="AO240" i="1"/>
  <c r="AK240" i="1"/>
  <c r="AI240" i="1"/>
  <c r="AG240" i="1"/>
  <c r="AD240" i="1"/>
  <c r="AA240" i="1"/>
  <c r="Y240" i="1"/>
  <c r="W240" i="1"/>
  <c r="U240" i="1"/>
  <c r="S240" i="1"/>
  <c r="BL240" i="1" s="1"/>
  <c r="B240" i="1"/>
  <c r="BT239" i="1"/>
  <c r="BS239" i="1"/>
  <c r="BK239" i="1"/>
  <c r="BA239" i="1"/>
  <c r="AY239" i="1"/>
  <c r="AW239" i="1"/>
  <c r="AU239" i="1"/>
  <c r="AS239" i="1"/>
  <c r="AQ239" i="1"/>
  <c r="AO239" i="1"/>
  <c r="AK239" i="1"/>
  <c r="AI239" i="1"/>
  <c r="AG239" i="1"/>
  <c r="AD239" i="1"/>
  <c r="AA239" i="1"/>
  <c r="Y239" i="1"/>
  <c r="W239" i="1"/>
  <c r="U239" i="1"/>
  <c r="S239" i="1"/>
  <c r="BL239" i="1" s="1"/>
  <c r="B239" i="1"/>
  <c r="BT238" i="1"/>
  <c r="BS238" i="1"/>
  <c r="BK238" i="1"/>
  <c r="BA238" i="1"/>
  <c r="AY238" i="1"/>
  <c r="AW238" i="1"/>
  <c r="AU238" i="1"/>
  <c r="AS238" i="1"/>
  <c r="AQ238" i="1"/>
  <c r="AO238" i="1"/>
  <c r="AK238" i="1"/>
  <c r="AI238" i="1"/>
  <c r="AG238" i="1"/>
  <c r="AD238" i="1"/>
  <c r="AA238" i="1"/>
  <c r="Y238" i="1"/>
  <c r="W238" i="1"/>
  <c r="U238" i="1"/>
  <c r="S238" i="1"/>
  <c r="BL238" i="1" s="1"/>
  <c r="B238" i="1"/>
  <c r="BT237" i="1"/>
  <c r="BS237" i="1"/>
  <c r="BK237" i="1"/>
  <c r="BA237" i="1"/>
  <c r="AY237" i="1"/>
  <c r="AW237" i="1"/>
  <c r="AU237" i="1"/>
  <c r="AS237" i="1"/>
  <c r="AQ237" i="1"/>
  <c r="AO237" i="1"/>
  <c r="AK237" i="1"/>
  <c r="AI237" i="1"/>
  <c r="AG237" i="1"/>
  <c r="AD237" i="1"/>
  <c r="AA237" i="1"/>
  <c r="Y237" i="1"/>
  <c r="W237" i="1"/>
  <c r="U237" i="1"/>
  <c r="S237" i="1"/>
  <c r="BL237" i="1" s="1"/>
  <c r="B237" i="1"/>
  <c r="BT236" i="1"/>
  <c r="BS236" i="1"/>
  <c r="BK236" i="1"/>
  <c r="BA236" i="1"/>
  <c r="AY236" i="1"/>
  <c r="AW236" i="1"/>
  <c r="AU236" i="1"/>
  <c r="AS236" i="1"/>
  <c r="AQ236" i="1"/>
  <c r="AO236" i="1"/>
  <c r="AK236" i="1"/>
  <c r="AI236" i="1"/>
  <c r="AG236" i="1"/>
  <c r="AD236" i="1"/>
  <c r="AA236" i="1"/>
  <c r="Y236" i="1"/>
  <c r="W236" i="1"/>
  <c r="U236" i="1"/>
  <c r="S236" i="1"/>
  <c r="BL236" i="1" s="1"/>
  <c r="B236" i="1"/>
  <c r="BT235" i="1"/>
  <c r="BS235" i="1"/>
  <c r="BK235" i="1"/>
  <c r="BA235" i="1"/>
  <c r="AY235" i="1"/>
  <c r="AW235" i="1"/>
  <c r="AU235" i="1"/>
  <c r="AS235" i="1"/>
  <c r="AQ235" i="1"/>
  <c r="AO235" i="1"/>
  <c r="AK235" i="1"/>
  <c r="AI235" i="1"/>
  <c r="AG235" i="1"/>
  <c r="AD235" i="1"/>
  <c r="AA235" i="1"/>
  <c r="Y235" i="1"/>
  <c r="W235" i="1"/>
  <c r="U235" i="1"/>
  <c r="S235" i="1"/>
  <c r="B235" i="1"/>
  <c r="BT234" i="1"/>
  <c r="BS234" i="1"/>
  <c r="BK234" i="1"/>
  <c r="BA234" i="1"/>
  <c r="AY234" i="1"/>
  <c r="AW234" i="1"/>
  <c r="AU234" i="1"/>
  <c r="AS234" i="1"/>
  <c r="AQ234" i="1"/>
  <c r="AO234" i="1"/>
  <c r="AK234" i="1"/>
  <c r="AI234" i="1"/>
  <c r="AG234" i="1"/>
  <c r="AD234" i="1"/>
  <c r="AA234" i="1"/>
  <c r="Y234" i="1"/>
  <c r="W234" i="1"/>
  <c r="U234" i="1"/>
  <c r="S234" i="1"/>
  <c r="BL234" i="1" s="1"/>
  <c r="B234" i="1"/>
  <c r="BT233" i="1"/>
  <c r="BS233" i="1"/>
  <c r="BK233" i="1"/>
  <c r="BA233" i="1"/>
  <c r="AY233" i="1"/>
  <c r="AW233" i="1"/>
  <c r="AU233" i="1"/>
  <c r="AS233" i="1"/>
  <c r="AQ233" i="1"/>
  <c r="AO233" i="1"/>
  <c r="AK233" i="1"/>
  <c r="AI233" i="1"/>
  <c r="AG233" i="1"/>
  <c r="AD233" i="1"/>
  <c r="AA233" i="1"/>
  <c r="Y233" i="1"/>
  <c r="W233" i="1"/>
  <c r="U233" i="1"/>
  <c r="S233" i="1"/>
  <c r="BL233" i="1" s="1"/>
  <c r="B233" i="1"/>
  <c r="BT232" i="1"/>
  <c r="BS232" i="1"/>
  <c r="BK232" i="1"/>
  <c r="BA232" i="1"/>
  <c r="AY232" i="1"/>
  <c r="AW232" i="1"/>
  <c r="AU232" i="1"/>
  <c r="AS232" i="1"/>
  <c r="AQ232" i="1"/>
  <c r="AO232" i="1"/>
  <c r="AK232" i="1"/>
  <c r="AI232" i="1"/>
  <c r="AG232" i="1"/>
  <c r="AD232" i="1"/>
  <c r="AA232" i="1"/>
  <c r="Y232" i="1"/>
  <c r="W232" i="1"/>
  <c r="U232" i="1"/>
  <c r="S232" i="1"/>
  <c r="BL232" i="1" s="1"/>
  <c r="B232" i="1"/>
  <c r="BT231" i="1"/>
  <c r="BS231" i="1"/>
  <c r="BK231" i="1"/>
  <c r="BA231" i="1"/>
  <c r="AY231" i="1"/>
  <c r="AW231" i="1"/>
  <c r="AU231" i="1"/>
  <c r="AS231" i="1"/>
  <c r="AQ231" i="1"/>
  <c r="AO231" i="1"/>
  <c r="AK231" i="1"/>
  <c r="AI231" i="1"/>
  <c r="AG231" i="1"/>
  <c r="AD231" i="1"/>
  <c r="AA231" i="1"/>
  <c r="Y231" i="1"/>
  <c r="W231" i="1"/>
  <c r="U231" i="1"/>
  <c r="S231" i="1"/>
  <c r="BL231" i="1" s="1"/>
  <c r="B231" i="1"/>
  <c r="BT230" i="1"/>
  <c r="BS230" i="1"/>
  <c r="BK230" i="1"/>
  <c r="BA230" i="1"/>
  <c r="AY230" i="1"/>
  <c r="AW230" i="1"/>
  <c r="AU230" i="1"/>
  <c r="AS230" i="1"/>
  <c r="AQ230" i="1"/>
  <c r="AO230" i="1"/>
  <c r="AK230" i="1"/>
  <c r="AI230" i="1"/>
  <c r="AG230" i="1"/>
  <c r="AD230" i="1"/>
  <c r="AA230" i="1"/>
  <c r="Y230" i="1"/>
  <c r="W230" i="1"/>
  <c r="U230" i="1"/>
  <c r="S230" i="1"/>
  <c r="BL230" i="1" s="1"/>
  <c r="B230" i="1"/>
  <c r="BT229" i="1"/>
  <c r="BS229" i="1"/>
  <c r="BK229" i="1"/>
  <c r="BA229" i="1"/>
  <c r="AY229" i="1"/>
  <c r="AW229" i="1"/>
  <c r="AU229" i="1"/>
  <c r="AS229" i="1"/>
  <c r="AQ229" i="1"/>
  <c r="AO229" i="1"/>
  <c r="AK229" i="1"/>
  <c r="AI229" i="1"/>
  <c r="AG229" i="1"/>
  <c r="AD229" i="1"/>
  <c r="AA229" i="1"/>
  <c r="Y229" i="1"/>
  <c r="W229" i="1"/>
  <c r="U229" i="1"/>
  <c r="S229" i="1"/>
  <c r="BL229" i="1" s="1"/>
  <c r="B229" i="1"/>
  <c r="BT228" i="1"/>
  <c r="BS228" i="1"/>
  <c r="BK228" i="1"/>
  <c r="BA228" i="1"/>
  <c r="AY228" i="1"/>
  <c r="AW228" i="1"/>
  <c r="AU228" i="1"/>
  <c r="AS228" i="1"/>
  <c r="AQ228" i="1"/>
  <c r="AO228" i="1"/>
  <c r="AK228" i="1"/>
  <c r="AI228" i="1"/>
  <c r="AG228" i="1"/>
  <c r="AD228" i="1"/>
  <c r="AA228" i="1"/>
  <c r="Y228" i="1"/>
  <c r="W228" i="1"/>
  <c r="U228" i="1"/>
  <c r="S228" i="1"/>
  <c r="BL228" i="1" s="1"/>
  <c r="B228" i="1"/>
  <c r="BT227" i="1"/>
  <c r="BS227" i="1"/>
  <c r="BK227" i="1"/>
  <c r="BA227" i="1"/>
  <c r="AY227" i="1"/>
  <c r="AW227" i="1"/>
  <c r="AU227" i="1"/>
  <c r="AS227" i="1"/>
  <c r="AQ227" i="1"/>
  <c r="AO227" i="1"/>
  <c r="AK227" i="1"/>
  <c r="AI227" i="1"/>
  <c r="AG227" i="1"/>
  <c r="AD227" i="1"/>
  <c r="AA227" i="1"/>
  <c r="Y227" i="1"/>
  <c r="W227" i="1"/>
  <c r="U227" i="1"/>
  <c r="S227" i="1"/>
  <c r="BL227" i="1" s="1"/>
  <c r="B227" i="1"/>
  <c r="BT226" i="1"/>
  <c r="BS226" i="1"/>
  <c r="BK226" i="1"/>
  <c r="BA226" i="1"/>
  <c r="AY226" i="1"/>
  <c r="AW226" i="1"/>
  <c r="AU226" i="1"/>
  <c r="AS226" i="1"/>
  <c r="AQ226" i="1"/>
  <c r="AO226" i="1"/>
  <c r="AK226" i="1"/>
  <c r="AI226" i="1"/>
  <c r="AG226" i="1"/>
  <c r="AD226" i="1"/>
  <c r="AA226" i="1"/>
  <c r="Y226" i="1"/>
  <c r="W226" i="1"/>
  <c r="U226" i="1"/>
  <c r="S226" i="1"/>
  <c r="BL226" i="1" s="1"/>
  <c r="B226" i="1"/>
  <c r="BT225" i="1"/>
  <c r="BS225" i="1"/>
  <c r="BK225" i="1"/>
  <c r="BA225" i="1"/>
  <c r="AY225" i="1"/>
  <c r="AW225" i="1"/>
  <c r="AU225" i="1"/>
  <c r="AS225" i="1"/>
  <c r="AQ225" i="1"/>
  <c r="AO225" i="1"/>
  <c r="AK225" i="1"/>
  <c r="AI225" i="1"/>
  <c r="AG225" i="1"/>
  <c r="AD225" i="1"/>
  <c r="AA225" i="1"/>
  <c r="Y225" i="1"/>
  <c r="W225" i="1"/>
  <c r="U225" i="1"/>
  <c r="S225" i="1"/>
  <c r="BL225" i="1" s="1"/>
  <c r="B225" i="1"/>
  <c r="BT224" i="1"/>
  <c r="BS224" i="1"/>
  <c r="BK224" i="1"/>
  <c r="BA224" i="1"/>
  <c r="AY224" i="1"/>
  <c r="AW224" i="1"/>
  <c r="AU224" i="1"/>
  <c r="AS224" i="1"/>
  <c r="AQ224" i="1"/>
  <c r="AO224" i="1"/>
  <c r="AK224" i="1"/>
  <c r="AI224" i="1"/>
  <c r="AG224" i="1"/>
  <c r="AD224" i="1"/>
  <c r="AA224" i="1"/>
  <c r="Y224" i="1"/>
  <c r="W224" i="1"/>
  <c r="U224" i="1"/>
  <c r="S224" i="1"/>
  <c r="BL224" i="1" s="1"/>
  <c r="B224" i="1"/>
  <c r="BT223" i="1"/>
  <c r="BS223" i="1"/>
  <c r="BK223" i="1"/>
  <c r="BA223" i="1"/>
  <c r="AY223" i="1"/>
  <c r="AW223" i="1"/>
  <c r="AU223" i="1"/>
  <c r="AS223" i="1"/>
  <c r="AQ223" i="1"/>
  <c r="AO223" i="1"/>
  <c r="AK223" i="1"/>
  <c r="AI223" i="1"/>
  <c r="AG223" i="1"/>
  <c r="AD223" i="1"/>
  <c r="AA223" i="1"/>
  <c r="Y223" i="1"/>
  <c r="W223" i="1"/>
  <c r="U223" i="1"/>
  <c r="S223" i="1"/>
  <c r="BL223" i="1" s="1"/>
  <c r="B223" i="1"/>
  <c r="BT222" i="1"/>
  <c r="BS222" i="1"/>
  <c r="BK222" i="1"/>
  <c r="BA222" i="1"/>
  <c r="AY222" i="1"/>
  <c r="AW222" i="1"/>
  <c r="AU222" i="1"/>
  <c r="AS222" i="1"/>
  <c r="AQ222" i="1"/>
  <c r="AO222" i="1"/>
  <c r="AK222" i="1"/>
  <c r="AI222" i="1"/>
  <c r="AG222" i="1"/>
  <c r="AD222" i="1"/>
  <c r="AA222" i="1"/>
  <c r="Y222" i="1"/>
  <c r="W222" i="1"/>
  <c r="U222" i="1"/>
  <c r="S222" i="1"/>
  <c r="BL222" i="1" s="1"/>
  <c r="B222" i="1"/>
  <c r="BT221" i="1"/>
  <c r="BS221" i="1"/>
  <c r="BK221" i="1"/>
  <c r="BA221" i="1"/>
  <c r="AY221" i="1"/>
  <c r="AW221" i="1"/>
  <c r="AU221" i="1"/>
  <c r="AS221" i="1"/>
  <c r="AQ221" i="1"/>
  <c r="AO221" i="1"/>
  <c r="AK221" i="1"/>
  <c r="AI221" i="1"/>
  <c r="AG221" i="1"/>
  <c r="AD221" i="1"/>
  <c r="AA221" i="1"/>
  <c r="Y221" i="1"/>
  <c r="W221" i="1"/>
  <c r="U221" i="1"/>
  <c r="S221" i="1"/>
  <c r="BL221" i="1" s="1"/>
  <c r="B221" i="1"/>
  <c r="BT220" i="1"/>
  <c r="BS220" i="1"/>
  <c r="BK220" i="1"/>
  <c r="BA220" i="1"/>
  <c r="AY220" i="1"/>
  <c r="AW220" i="1"/>
  <c r="AU220" i="1"/>
  <c r="AS220" i="1"/>
  <c r="AQ220" i="1"/>
  <c r="AO220" i="1"/>
  <c r="AK220" i="1"/>
  <c r="AI220" i="1"/>
  <c r="AG220" i="1"/>
  <c r="AD220" i="1"/>
  <c r="AA220" i="1"/>
  <c r="Y220" i="1"/>
  <c r="W220" i="1"/>
  <c r="U220" i="1"/>
  <c r="S220" i="1"/>
  <c r="BL220" i="1" s="1"/>
  <c r="B220" i="1"/>
  <c r="BT219" i="1"/>
  <c r="BS219" i="1"/>
  <c r="BK219" i="1"/>
  <c r="BA219" i="1"/>
  <c r="AY219" i="1"/>
  <c r="AW219" i="1"/>
  <c r="AU219" i="1"/>
  <c r="AS219" i="1"/>
  <c r="AQ219" i="1"/>
  <c r="AO219" i="1"/>
  <c r="AK219" i="1"/>
  <c r="AI219" i="1"/>
  <c r="AG219" i="1"/>
  <c r="AD219" i="1"/>
  <c r="AA219" i="1"/>
  <c r="Y219" i="1"/>
  <c r="W219" i="1"/>
  <c r="U219" i="1"/>
  <c r="S219" i="1"/>
  <c r="BL219" i="1" s="1"/>
  <c r="B219" i="1"/>
  <c r="BT218" i="1"/>
  <c r="BS218" i="1"/>
  <c r="BK218" i="1"/>
  <c r="BA218" i="1"/>
  <c r="AY218" i="1"/>
  <c r="AW218" i="1"/>
  <c r="AU218" i="1"/>
  <c r="AS218" i="1"/>
  <c r="AQ218" i="1"/>
  <c r="AO218" i="1"/>
  <c r="AK218" i="1"/>
  <c r="AI218" i="1"/>
  <c r="AG218" i="1"/>
  <c r="AD218" i="1"/>
  <c r="AA218" i="1"/>
  <c r="Y218" i="1"/>
  <c r="W218" i="1"/>
  <c r="U218" i="1"/>
  <c r="S218" i="1"/>
  <c r="BL218" i="1" s="1"/>
  <c r="B218" i="1"/>
  <c r="BT217" i="1"/>
  <c r="BS217" i="1"/>
  <c r="BK217" i="1"/>
  <c r="BA217" i="1"/>
  <c r="AY217" i="1"/>
  <c r="AW217" i="1"/>
  <c r="AU217" i="1"/>
  <c r="AS217" i="1"/>
  <c r="AQ217" i="1"/>
  <c r="AO217" i="1"/>
  <c r="AK217" i="1"/>
  <c r="AI217" i="1"/>
  <c r="AG217" i="1"/>
  <c r="AD217" i="1"/>
  <c r="AA217" i="1"/>
  <c r="Y217" i="1"/>
  <c r="W217" i="1"/>
  <c r="U217" i="1"/>
  <c r="S217" i="1"/>
  <c r="BL217" i="1" s="1"/>
  <c r="B217" i="1"/>
  <c r="BT216" i="1"/>
  <c r="BS216" i="1"/>
  <c r="BK216" i="1"/>
  <c r="BA216" i="1"/>
  <c r="AY216" i="1"/>
  <c r="AW216" i="1"/>
  <c r="AU216" i="1"/>
  <c r="AS216" i="1"/>
  <c r="AQ216" i="1"/>
  <c r="AO216" i="1"/>
  <c r="AK216" i="1"/>
  <c r="AI216" i="1"/>
  <c r="AG216" i="1"/>
  <c r="AD216" i="1"/>
  <c r="AA216" i="1"/>
  <c r="Y216" i="1"/>
  <c r="W216" i="1"/>
  <c r="U216" i="1"/>
  <c r="S216" i="1"/>
  <c r="B216" i="1"/>
  <c r="BT215" i="1"/>
  <c r="BS215" i="1"/>
  <c r="BK215" i="1"/>
  <c r="BA215" i="1"/>
  <c r="AY215" i="1"/>
  <c r="AW215" i="1"/>
  <c r="AU215" i="1"/>
  <c r="AS215" i="1"/>
  <c r="AQ215" i="1"/>
  <c r="AO215" i="1"/>
  <c r="AK215" i="1"/>
  <c r="AI215" i="1"/>
  <c r="AG215" i="1"/>
  <c r="AD215" i="1"/>
  <c r="AA215" i="1"/>
  <c r="Y215" i="1"/>
  <c r="W215" i="1"/>
  <c r="U215" i="1"/>
  <c r="S215" i="1"/>
  <c r="BL215" i="1" s="1"/>
  <c r="B215" i="1"/>
  <c r="BT214" i="1"/>
  <c r="BS214" i="1"/>
  <c r="BK214" i="1"/>
  <c r="BA214" i="1"/>
  <c r="AY214" i="1"/>
  <c r="AW214" i="1"/>
  <c r="AU214" i="1"/>
  <c r="AS214" i="1"/>
  <c r="AQ214" i="1"/>
  <c r="AO214" i="1"/>
  <c r="AK214" i="1"/>
  <c r="AI214" i="1"/>
  <c r="AG214" i="1"/>
  <c r="AD214" i="1"/>
  <c r="AA214" i="1"/>
  <c r="Y214" i="1"/>
  <c r="W214" i="1"/>
  <c r="U214" i="1"/>
  <c r="S214" i="1"/>
  <c r="BL214" i="1" s="1"/>
  <c r="B214" i="1"/>
  <c r="BT213" i="1"/>
  <c r="BS213" i="1"/>
  <c r="BK213" i="1"/>
  <c r="BA213" i="1"/>
  <c r="AY213" i="1"/>
  <c r="AW213" i="1"/>
  <c r="AU213" i="1"/>
  <c r="AS213" i="1"/>
  <c r="AQ213" i="1"/>
  <c r="AO213" i="1"/>
  <c r="AK213" i="1"/>
  <c r="AI213" i="1"/>
  <c r="AG213" i="1"/>
  <c r="AD213" i="1"/>
  <c r="AA213" i="1"/>
  <c r="Y213" i="1"/>
  <c r="W213" i="1"/>
  <c r="U213" i="1"/>
  <c r="S213" i="1"/>
  <c r="BL213" i="1" s="1"/>
  <c r="B213" i="1"/>
  <c r="BT212" i="1"/>
  <c r="BS212" i="1"/>
  <c r="BK212" i="1"/>
  <c r="BA212" i="1"/>
  <c r="AY212" i="1"/>
  <c r="AW212" i="1"/>
  <c r="AU212" i="1"/>
  <c r="AS212" i="1"/>
  <c r="AQ212" i="1"/>
  <c r="AO212" i="1"/>
  <c r="AK212" i="1"/>
  <c r="AI212" i="1"/>
  <c r="AG212" i="1"/>
  <c r="AD212" i="1"/>
  <c r="AA212" i="1"/>
  <c r="Y212" i="1"/>
  <c r="W212" i="1"/>
  <c r="U212" i="1"/>
  <c r="S212" i="1"/>
  <c r="BL212" i="1" s="1"/>
  <c r="B212" i="1"/>
  <c r="BT211" i="1"/>
  <c r="BS211" i="1"/>
  <c r="BK211" i="1"/>
  <c r="BA211" i="1"/>
  <c r="AY211" i="1"/>
  <c r="AW211" i="1"/>
  <c r="AU211" i="1"/>
  <c r="AS211" i="1"/>
  <c r="AQ211" i="1"/>
  <c r="AO211" i="1"/>
  <c r="AK211" i="1"/>
  <c r="AI211" i="1"/>
  <c r="AG211" i="1"/>
  <c r="AD211" i="1"/>
  <c r="AA211" i="1"/>
  <c r="Y211" i="1"/>
  <c r="W211" i="1"/>
  <c r="U211" i="1"/>
  <c r="S211" i="1"/>
  <c r="BL211" i="1" s="1"/>
  <c r="B211" i="1"/>
  <c r="BT210" i="1"/>
  <c r="BS210" i="1"/>
  <c r="BK210" i="1"/>
  <c r="BA210" i="1"/>
  <c r="AY210" i="1"/>
  <c r="AW210" i="1"/>
  <c r="AU210" i="1"/>
  <c r="AS210" i="1"/>
  <c r="AQ210" i="1"/>
  <c r="AO210" i="1"/>
  <c r="AK210" i="1"/>
  <c r="AI210" i="1"/>
  <c r="AG210" i="1"/>
  <c r="AD210" i="1"/>
  <c r="AA210" i="1"/>
  <c r="Y210" i="1"/>
  <c r="W210" i="1"/>
  <c r="U210" i="1"/>
  <c r="S210" i="1"/>
  <c r="BL210" i="1" s="1"/>
  <c r="B210" i="1"/>
  <c r="BT209" i="1"/>
  <c r="BS209" i="1"/>
  <c r="BK209" i="1"/>
  <c r="BA209" i="1"/>
  <c r="AY209" i="1"/>
  <c r="AW209" i="1"/>
  <c r="AU209" i="1"/>
  <c r="AS209" i="1"/>
  <c r="AQ209" i="1"/>
  <c r="AO209" i="1"/>
  <c r="AK209" i="1"/>
  <c r="AI209" i="1"/>
  <c r="AG209" i="1"/>
  <c r="AD209" i="1"/>
  <c r="AA209" i="1"/>
  <c r="Y209" i="1"/>
  <c r="W209" i="1"/>
  <c r="U209" i="1"/>
  <c r="S209" i="1"/>
  <c r="BL209" i="1" s="1"/>
  <c r="B209" i="1"/>
  <c r="BT208" i="1"/>
  <c r="BS208" i="1"/>
  <c r="BK208" i="1"/>
  <c r="BA208" i="1"/>
  <c r="AY208" i="1"/>
  <c r="AW208" i="1"/>
  <c r="AU208" i="1"/>
  <c r="AS208" i="1"/>
  <c r="AQ208" i="1"/>
  <c r="AO208" i="1"/>
  <c r="AK208" i="1"/>
  <c r="AI208" i="1"/>
  <c r="AG208" i="1"/>
  <c r="AD208" i="1"/>
  <c r="AA208" i="1"/>
  <c r="Y208" i="1"/>
  <c r="W208" i="1"/>
  <c r="U208" i="1"/>
  <c r="S208" i="1"/>
  <c r="BL208" i="1" s="1"/>
  <c r="B208" i="1"/>
  <c r="BT207" i="1"/>
  <c r="BS207" i="1"/>
  <c r="BK207" i="1"/>
  <c r="BA207" i="1"/>
  <c r="AY207" i="1"/>
  <c r="AW207" i="1"/>
  <c r="AU207" i="1"/>
  <c r="AS207" i="1"/>
  <c r="AQ207" i="1"/>
  <c r="AO207" i="1"/>
  <c r="AK207" i="1"/>
  <c r="AI207" i="1"/>
  <c r="AG207" i="1"/>
  <c r="AD207" i="1"/>
  <c r="AA207" i="1"/>
  <c r="Y207" i="1"/>
  <c r="W207" i="1"/>
  <c r="U207" i="1"/>
  <c r="S207" i="1"/>
  <c r="BL207" i="1" s="1"/>
  <c r="B207" i="1"/>
  <c r="BT206" i="1"/>
  <c r="BS206" i="1"/>
  <c r="BK206" i="1"/>
  <c r="BA206" i="1"/>
  <c r="AY206" i="1"/>
  <c r="AW206" i="1"/>
  <c r="AU206" i="1"/>
  <c r="AS206" i="1"/>
  <c r="AQ206" i="1"/>
  <c r="AO206" i="1"/>
  <c r="AK206" i="1"/>
  <c r="AI206" i="1"/>
  <c r="AG206" i="1"/>
  <c r="AD206" i="1"/>
  <c r="AA206" i="1"/>
  <c r="Y206" i="1"/>
  <c r="W206" i="1"/>
  <c r="U206" i="1"/>
  <c r="S206" i="1"/>
  <c r="BL206" i="1" s="1"/>
  <c r="B206" i="1"/>
  <c r="BT205" i="1"/>
  <c r="BS205" i="1"/>
  <c r="BK205" i="1"/>
  <c r="BA205" i="1"/>
  <c r="AY205" i="1"/>
  <c r="AW205" i="1"/>
  <c r="AU205" i="1"/>
  <c r="AS205" i="1"/>
  <c r="AQ205" i="1"/>
  <c r="AO205" i="1"/>
  <c r="AK205" i="1"/>
  <c r="AI205" i="1"/>
  <c r="AG205" i="1"/>
  <c r="AD205" i="1"/>
  <c r="AA205" i="1"/>
  <c r="Y205" i="1"/>
  <c r="W205" i="1"/>
  <c r="U205" i="1"/>
  <c r="S205" i="1"/>
  <c r="BL205" i="1" s="1"/>
  <c r="B205" i="1"/>
  <c r="BT204" i="1"/>
  <c r="BS204" i="1"/>
  <c r="BK204" i="1"/>
  <c r="BA204" i="1"/>
  <c r="AY204" i="1"/>
  <c r="AW204" i="1"/>
  <c r="AU204" i="1"/>
  <c r="AS204" i="1"/>
  <c r="AQ204" i="1"/>
  <c r="AO204" i="1"/>
  <c r="AK204" i="1"/>
  <c r="AI204" i="1"/>
  <c r="AG204" i="1"/>
  <c r="AD204" i="1"/>
  <c r="AA204" i="1"/>
  <c r="Y204" i="1"/>
  <c r="W204" i="1"/>
  <c r="U204" i="1"/>
  <c r="S204" i="1"/>
  <c r="B204" i="1"/>
  <c r="BT203" i="1"/>
  <c r="BS203" i="1"/>
  <c r="BK203" i="1"/>
  <c r="BA203" i="1"/>
  <c r="AY203" i="1"/>
  <c r="AW203" i="1"/>
  <c r="AU203" i="1"/>
  <c r="AS203" i="1"/>
  <c r="AQ203" i="1"/>
  <c r="AO203" i="1"/>
  <c r="AK203" i="1"/>
  <c r="AI203" i="1"/>
  <c r="AG203" i="1"/>
  <c r="AD203" i="1"/>
  <c r="AA203" i="1"/>
  <c r="Y203" i="1"/>
  <c r="W203" i="1"/>
  <c r="U203" i="1"/>
  <c r="S203" i="1"/>
  <c r="BL203" i="1" s="1"/>
  <c r="B203" i="1"/>
  <c r="BT202" i="1"/>
  <c r="BS202" i="1"/>
  <c r="BK202" i="1"/>
  <c r="BA202" i="1"/>
  <c r="AY202" i="1"/>
  <c r="AW202" i="1"/>
  <c r="AU202" i="1"/>
  <c r="AS202" i="1"/>
  <c r="AQ202" i="1"/>
  <c r="AO202" i="1"/>
  <c r="AK202" i="1"/>
  <c r="AI202" i="1"/>
  <c r="AG202" i="1"/>
  <c r="AD202" i="1"/>
  <c r="AA202" i="1"/>
  <c r="Y202" i="1"/>
  <c r="W202" i="1"/>
  <c r="U202" i="1"/>
  <c r="S202" i="1"/>
  <c r="BL202" i="1" s="1"/>
  <c r="B202" i="1"/>
  <c r="BT201" i="1"/>
  <c r="BS201" i="1"/>
  <c r="BK201" i="1"/>
  <c r="BA201" i="1"/>
  <c r="AY201" i="1"/>
  <c r="AW201" i="1"/>
  <c r="AU201" i="1"/>
  <c r="AS201" i="1"/>
  <c r="AQ201" i="1"/>
  <c r="AO201" i="1"/>
  <c r="AK201" i="1"/>
  <c r="AI201" i="1"/>
  <c r="AG201" i="1"/>
  <c r="AD201" i="1"/>
  <c r="AA201" i="1"/>
  <c r="Y201" i="1"/>
  <c r="W201" i="1"/>
  <c r="U201" i="1"/>
  <c r="S201" i="1"/>
  <c r="BL201" i="1" s="1"/>
  <c r="B201" i="1"/>
  <c r="BT200" i="1"/>
  <c r="BS200" i="1"/>
  <c r="BK200" i="1"/>
  <c r="BA200" i="1"/>
  <c r="AY200" i="1"/>
  <c r="AW200" i="1"/>
  <c r="AU200" i="1"/>
  <c r="AS200" i="1"/>
  <c r="AQ200" i="1"/>
  <c r="AO200" i="1"/>
  <c r="AK200" i="1"/>
  <c r="AI200" i="1"/>
  <c r="AG200" i="1"/>
  <c r="AD200" i="1"/>
  <c r="AA200" i="1"/>
  <c r="Y200" i="1"/>
  <c r="W200" i="1"/>
  <c r="U200" i="1"/>
  <c r="S200" i="1"/>
  <c r="BL200" i="1" s="1"/>
  <c r="B200" i="1"/>
  <c r="BT199" i="1"/>
  <c r="BS199" i="1"/>
  <c r="BK199" i="1"/>
  <c r="BA199" i="1"/>
  <c r="AY199" i="1"/>
  <c r="AW199" i="1"/>
  <c r="AU199" i="1"/>
  <c r="AS199" i="1"/>
  <c r="AQ199" i="1"/>
  <c r="AO199" i="1"/>
  <c r="AK199" i="1"/>
  <c r="AI199" i="1"/>
  <c r="AG199" i="1"/>
  <c r="AD199" i="1"/>
  <c r="AA199" i="1"/>
  <c r="Y199" i="1"/>
  <c r="W199" i="1"/>
  <c r="U199" i="1"/>
  <c r="S199" i="1"/>
  <c r="BL199" i="1" s="1"/>
  <c r="B199" i="1"/>
  <c r="BT198" i="1"/>
  <c r="BS198" i="1"/>
  <c r="BK198" i="1"/>
  <c r="BA198" i="1"/>
  <c r="AY198" i="1"/>
  <c r="AW198" i="1"/>
  <c r="AU198" i="1"/>
  <c r="AS198" i="1"/>
  <c r="AQ198" i="1"/>
  <c r="AO198" i="1"/>
  <c r="AK198" i="1"/>
  <c r="AI198" i="1"/>
  <c r="AG198" i="1"/>
  <c r="AD198" i="1"/>
  <c r="AA198" i="1"/>
  <c r="Y198" i="1"/>
  <c r="W198" i="1"/>
  <c r="U198" i="1"/>
  <c r="S198" i="1"/>
  <c r="BL198" i="1" s="1"/>
  <c r="B198" i="1"/>
  <c r="BT197" i="1"/>
  <c r="BS197" i="1"/>
  <c r="BK197" i="1"/>
  <c r="BA197" i="1"/>
  <c r="AY197" i="1"/>
  <c r="AW197" i="1"/>
  <c r="AU197" i="1"/>
  <c r="AS197" i="1"/>
  <c r="AQ197" i="1"/>
  <c r="AO197" i="1"/>
  <c r="AK197" i="1"/>
  <c r="AI197" i="1"/>
  <c r="AG197" i="1"/>
  <c r="AD197" i="1"/>
  <c r="AA197" i="1"/>
  <c r="Y197" i="1"/>
  <c r="W197" i="1"/>
  <c r="U197" i="1"/>
  <c r="S197" i="1"/>
  <c r="BL197" i="1" s="1"/>
  <c r="B197" i="1"/>
  <c r="BT196" i="1"/>
  <c r="BS196" i="1"/>
  <c r="BK196" i="1"/>
  <c r="BA196" i="1"/>
  <c r="AY196" i="1"/>
  <c r="AW196" i="1"/>
  <c r="AU196" i="1"/>
  <c r="AS196" i="1"/>
  <c r="AQ196" i="1"/>
  <c r="AO196" i="1"/>
  <c r="AK196" i="1"/>
  <c r="AI196" i="1"/>
  <c r="AG196" i="1"/>
  <c r="AD196" i="1"/>
  <c r="AA196" i="1"/>
  <c r="Y196" i="1"/>
  <c r="W196" i="1"/>
  <c r="U196" i="1"/>
  <c r="S196" i="1"/>
  <c r="BL196" i="1" s="1"/>
  <c r="B196" i="1"/>
  <c r="BT195" i="1"/>
  <c r="BS195" i="1"/>
  <c r="BK195" i="1"/>
  <c r="BA195" i="1"/>
  <c r="AY195" i="1"/>
  <c r="AW195" i="1"/>
  <c r="AU195" i="1"/>
  <c r="AS195" i="1"/>
  <c r="AQ195" i="1"/>
  <c r="AO195" i="1"/>
  <c r="AK195" i="1"/>
  <c r="AI195" i="1"/>
  <c r="AG195" i="1"/>
  <c r="AD195" i="1"/>
  <c r="AA195" i="1"/>
  <c r="Y195" i="1"/>
  <c r="W195" i="1"/>
  <c r="U195" i="1"/>
  <c r="S195" i="1"/>
  <c r="BL195" i="1" s="1"/>
  <c r="B195" i="1"/>
  <c r="BT194" i="1"/>
  <c r="BS194" i="1"/>
  <c r="BK194" i="1"/>
  <c r="BA194" i="1"/>
  <c r="AY194" i="1"/>
  <c r="AW194" i="1"/>
  <c r="AU194" i="1"/>
  <c r="AS194" i="1"/>
  <c r="AQ194" i="1"/>
  <c r="AO194" i="1"/>
  <c r="AK194" i="1"/>
  <c r="AI194" i="1"/>
  <c r="AG194" i="1"/>
  <c r="AD194" i="1"/>
  <c r="AA194" i="1"/>
  <c r="Y194" i="1"/>
  <c r="W194" i="1"/>
  <c r="U194" i="1"/>
  <c r="S194" i="1"/>
  <c r="BL194" i="1" s="1"/>
  <c r="B194" i="1"/>
  <c r="BT193" i="1"/>
  <c r="BS193" i="1"/>
  <c r="BK193" i="1"/>
  <c r="BA193" i="1"/>
  <c r="AY193" i="1"/>
  <c r="AW193" i="1"/>
  <c r="AU193" i="1"/>
  <c r="AS193" i="1"/>
  <c r="AQ193" i="1"/>
  <c r="AO193" i="1"/>
  <c r="AK193" i="1"/>
  <c r="AI193" i="1"/>
  <c r="AG193" i="1"/>
  <c r="AD193" i="1"/>
  <c r="AA193" i="1"/>
  <c r="Y193" i="1"/>
  <c r="W193" i="1"/>
  <c r="U193" i="1"/>
  <c r="S193" i="1"/>
  <c r="BL193" i="1" s="1"/>
  <c r="B193" i="1"/>
  <c r="BT192" i="1"/>
  <c r="BS192" i="1"/>
  <c r="BK192" i="1"/>
  <c r="BA192" i="1"/>
  <c r="AY192" i="1"/>
  <c r="AW192" i="1"/>
  <c r="AU192" i="1"/>
  <c r="AS192" i="1"/>
  <c r="AQ192" i="1"/>
  <c r="AO192" i="1"/>
  <c r="AK192" i="1"/>
  <c r="AI192" i="1"/>
  <c r="AG192" i="1"/>
  <c r="AD192" i="1"/>
  <c r="AA192" i="1"/>
  <c r="Y192" i="1"/>
  <c r="W192" i="1"/>
  <c r="U192" i="1"/>
  <c r="S192" i="1"/>
  <c r="B192" i="1"/>
  <c r="BT191" i="1"/>
  <c r="BS191" i="1"/>
  <c r="BK191" i="1"/>
  <c r="BA191" i="1"/>
  <c r="AY191" i="1"/>
  <c r="AW191" i="1"/>
  <c r="AU191" i="1"/>
  <c r="AS191" i="1"/>
  <c r="AQ191" i="1"/>
  <c r="AO191" i="1"/>
  <c r="AK191" i="1"/>
  <c r="AI191" i="1"/>
  <c r="AG191" i="1"/>
  <c r="AD191" i="1"/>
  <c r="AA191" i="1"/>
  <c r="Y191" i="1"/>
  <c r="W191" i="1"/>
  <c r="U191" i="1"/>
  <c r="S191" i="1"/>
  <c r="BL191" i="1" s="1"/>
  <c r="B191" i="1"/>
  <c r="BT190" i="1"/>
  <c r="BS190" i="1"/>
  <c r="BK190" i="1"/>
  <c r="BA190" i="1"/>
  <c r="AY190" i="1"/>
  <c r="AW190" i="1"/>
  <c r="AU190" i="1"/>
  <c r="AS190" i="1"/>
  <c r="AQ190" i="1"/>
  <c r="AO190" i="1"/>
  <c r="AK190" i="1"/>
  <c r="AI190" i="1"/>
  <c r="AG190" i="1"/>
  <c r="AD190" i="1"/>
  <c r="AA190" i="1"/>
  <c r="Y190" i="1"/>
  <c r="W190" i="1"/>
  <c r="U190" i="1"/>
  <c r="S190" i="1"/>
  <c r="B190" i="1"/>
  <c r="BT189" i="1"/>
  <c r="BS189" i="1"/>
  <c r="BK189" i="1"/>
  <c r="BA189" i="1"/>
  <c r="AY189" i="1"/>
  <c r="AW189" i="1"/>
  <c r="AU189" i="1"/>
  <c r="AS189" i="1"/>
  <c r="AQ189" i="1"/>
  <c r="AO189" i="1"/>
  <c r="AK189" i="1"/>
  <c r="AI189" i="1"/>
  <c r="AG189" i="1"/>
  <c r="AD189" i="1"/>
  <c r="AA189" i="1"/>
  <c r="Y189" i="1"/>
  <c r="W189" i="1"/>
  <c r="U189" i="1"/>
  <c r="S189" i="1"/>
  <c r="BL189" i="1" s="1"/>
  <c r="B189" i="1"/>
  <c r="BT188" i="1"/>
  <c r="BS188" i="1"/>
  <c r="BK188" i="1"/>
  <c r="BA188" i="1"/>
  <c r="AY188" i="1"/>
  <c r="AW188" i="1"/>
  <c r="AU188" i="1"/>
  <c r="AS188" i="1"/>
  <c r="AQ188" i="1"/>
  <c r="AO188" i="1"/>
  <c r="AK188" i="1"/>
  <c r="AI188" i="1"/>
  <c r="AG188" i="1"/>
  <c r="AD188" i="1"/>
  <c r="AA188" i="1"/>
  <c r="Y188" i="1"/>
  <c r="W188" i="1"/>
  <c r="U188" i="1"/>
  <c r="S188" i="1"/>
  <c r="BL188" i="1" s="1"/>
  <c r="B188" i="1"/>
  <c r="BT187" i="1"/>
  <c r="BS187" i="1"/>
  <c r="BK187" i="1"/>
  <c r="BA187" i="1"/>
  <c r="AY187" i="1"/>
  <c r="AW187" i="1"/>
  <c r="AU187" i="1"/>
  <c r="AS187" i="1"/>
  <c r="AQ187" i="1"/>
  <c r="AO187" i="1"/>
  <c r="AK187" i="1"/>
  <c r="AI187" i="1"/>
  <c r="AG187" i="1"/>
  <c r="AD187" i="1"/>
  <c r="AA187" i="1"/>
  <c r="Y187" i="1"/>
  <c r="W187" i="1"/>
  <c r="U187" i="1"/>
  <c r="S187" i="1"/>
  <c r="B187" i="1"/>
  <c r="BT186" i="1"/>
  <c r="BS186" i="1"/>
  <c r="BK186" i="1"/>
  <c r="BA186" i="1"/>
  <c r="AY186" i="1"/>
  <c r="AW186" i="1"/>
  <c r="AU186" i="1"/>
  <c r="AS186" i="1"/>
  <c r="AQ186" i="1"/>
  <c r="AO186" i="1"/>
  <c r="AK186" i="1"/>
  <c r="AI186" i="1"/>
  <c r="AG186" i="1"/>
  <c r="AD186" i="1"/>
  <c r="AA186" i="1"/>
  <c r="Y186" i="1"/>
  <c r="W186" i="1"/>
  <c r="U186" i="1"/>
  <c r="S186" i="1"/>
  <c r="BL186" i="1" s="1"/>
  <c r="B186" i="1"/>
  <c r="BT185" i="1"/>
  <c r="BS185" i="1"/>
  <c r="BK185" i="1"/>
  <c r="BA185" i="1"/>
  <c r="AY185" i="1"/>
  <c r="AW185" i="1"/>
  <c r="AU185" i="1"/>
  <c r="AS185" i="1"/>
  <c r="AQ185" i="1"/>
  <c r="AO185" i="1"/>
  <c r="AK185" i="1"/>
  <c r="AI185" i="1"/>
  <c r="AG185" i="1"/>
  <c r="AD185" i="1"/>
  <c r="AA185" i="1"/>
  <c r="Y185" i="1"/>
  <c r="W185" i="1"/>
  <c r="U185" i="1"/>
  <c r="S185" i="1"/>
  <c r="BL185" i="1" s="1"/>
  <c r="B185" i="1"/>
  <c r="BT184" i="1"/>
  <c r="BS184" i="1"/>
  <c r="BK184" i="1"/>
  <c r="BA184" i="1"/>
  <c r="AY184" i="1"/>
  <c r="AW184" i="1"/>
  <c r="AU184" i="1"/>
  <c r="AS184" i="1"/>
  <c r="AQ184" i="1"/>
  <c r="AO184" i="1"/>
  <c r="AK184" i="1"/>
  <c r="AI184" i="1"/>
  <c r="AG184" i="1"/>
  <c r="AD184" i="1"/>
  <c r="AA184" i="1"/>
  <c r="Y184" i="1"/>
  <c r="W184" i="1"/>
  <c r="U184" i="1"/>
  <c r="S184" i="1"/>
  <c r="BL184" i="1" s="1"/>
  <c r="B184" i="1"/>
  <c r="BT183" i="1"/>
  <c r="BS183" i="1"/>
  <c r="BK183" i="1"/>
  <c r="BA183" i="1"/>
  <c r="AY183" i="1"/>
  <c r="AW183" i="1"/>
  <c r="AU183" i="1"/>
  <c r="AS183" i="1"/>
  <c r="AQ183" i="1"/>
  <c r="AO183" i="1"/>
  <c r="AK183" i="1"/>
  <c r="AI183" i="1"/>
  <c r="AG183" i="1"/>
  <c r="AD183" i="1"/>
  <c r="AA183" i="1"/>
  <c r="Y183" i="1"/>
  <c r="W183" i="1"/>
  <c r="U183" i="1"/>
  <c r="S183" i="1"/>
  <c r="BL183" i="1" s="1"/>
  <c r="B183" i="1"/>
  <c r="BT182" i="1"/>
  <c r="BS182" i="1"/>
  <c r="BK182" i="1"/>
  <c r="BA182" i="1"/>
  <c r="AY182" i="1"/>
  <c r="AW182" i="1"/>
  <c r="AU182" i="1"/>
  <c r="AS182" i="1"/>
  <c r="AQ182" i="1"/>
  <c r="AO182" i="1"/>
  <c r="AK182" i="1"/>
  <c r="AI182" i="1"/>
  <c r="AG182" i="1"/>
  <c r="AD182" i="1"/>
  <c r="AA182" i="1"/>
  <c r="Y182" i="1"/>
  <c r="W182" i="1"/>
  <c r="U182" i="1"/>
  <c r="S182" i="1"/>
  <c r="BL182" i="1" s="1"/>
  <c r="B182" i="1"/>
  <c r="BT181" i="1"/>
  <c r="BS181" i="1"/>
  <c r="BK181" i="1"/>
  <c r="BA181" i="1"/>
  <c r="AY181" i="1"/>
  <c r="AW181" i="1"/>
  <c r="AU181" i="1"/>
  <c r="AS181" i="1"/>
  <c r="AQ181" i="1"/>
  <c r="AO181" i="1"/>
  <c r="AK181" i="1"/>
  <c r="AI181" i="1"/>
  <c r="AG181" i="1"/>
  <c r="AD181" i="1"/>
  <c r="AA181" i="1"/>
  <c r="Y181" i="1"/>
  <c r="W181" i="1"/>
  <c r="U181" i="1"/>
  <c r="S181" i="1"/>
  <c r="B181" i="1"/>
  <c r="BT180" i="1"/>
  <c r="BS180" i="1"/>
  <c r="BK180" i="1"/>
  <c r="BA180" i="1"/>
  <c r="AY180" i="1"/>
  <c r="AW180" i="1"/>
  <c r="AU180" i="1"/>
  <c r="AS180" i="1"/>
  <c r="AQ180" i="1"/>
  <c r="AO180" i="1"/>
  <c r="AK180" i="1"/>
  <c r="AI180" i="1"/>
  <c r="AG180" i="1"/>
  <c r="AD180" i="1"/>
  <c r="AA180" i="1"/>
  <c r="Y180" i="1"/>
  <c r="W180" i="1"/>
  <c r="U180" i="1"/>
  <c r="S180" i="1"/>
  <c r="BL180" i="1" s="1"/>
  <c r="B180" i="1"/>
  <c r="BT179" i="1"/>
  <c r="BS179" i="1"/>
  <c r="BK179" i="1"/>
  <c r="BA179" i="1"/>
  <c r="AY179" i="1"/>
  <c r="AW179" i="1"/>
  <c r="AU179" i="1"/>
  <c r="AS179" i="1"/>
  <c r="AQ179" i="1"/>
  <c r="AO179" i="1"/>
  <c r="AK179" i="1"/>
  <c r="AI179" i="1"/>
  <c r="AG179" i="1"/>
  <c r="AD179" i="1"/>
  <c r="AA179" i="1"/>
  <c r="Y179" i="1"/>
  <c r="W179" i="1"/>
  <c r="U179" i="1"/>
  <c r="S179" i="1"/>
  <c r="BL179" i="1" s="1"/>
  <c r="B179" i="1"/>
  <c r="BT178" i="1"/>
  <c r="BS178" i="1"/>
  <c r="BK178" i="1"/>
  <c r="BA178" i="1"/>
  <c r="AY178" i="1"/>
  <c r="AW178" i="1"/>
  <c r="AU178" i="1"/>
  <c r="AS178" i="1"/>
  <c r="AQ178" i="1"/>
  <c r="AO178" i="1"/>
  <c r="AK178" i="1"/>
  <c r="AI178" i="1"/>
  <c r="AG178" i="1"/>
  <c r="AD178" i="1"/>
  <c r="AA178" i="1"/>
  <c r="Y178" i="1"/>
  <c r="W178" i="1"/>
  <c r="U178" i="1"/>
  <c r="S178" i="1"/>
  <c r="BL178" i="1" s="1"/>
  <c r="B178" i="1"/>
  <c r="BT177" i="1"/>
  <c r="BS177" i="1"/>
  <c r="BK177" i="1"/>
  <c r="BA177" i="1"/>
  <c r="AY177" i="1"/>
  <c r="AW177" i="1"/>
  <c r="AU177" i="1"/>
  <c r="AS177" i="1"/>
  <c r="AQ177" i="1"/>
  <c r="AO177" i="1"/>
  <c r="AK177" i="1"/>
  <c r="AI177" i="1"/>
  <c r="AG177" i="1"/>
  <c r="AD177" i="1"/>
  <c r="AA177" i="1"/>
  <c r="Y177" i="1"/>
  <c r="W177" i="1"/>
  <c r="U177" i="1"/>
  <c r="S177" i="1"/>
  <c r="BL177" i="1" s="1"/>
  <c r="B177" i="1"/>
  <c r="BT176" i="1"/>
  <c r="BS176" i="1"/>
  <c r="BK176" i="1"/>
  <c r="BA176" i="1"/>
  <c r="AY176" i="1"/>
  <c r="AW176" i="1"/>
  <c r="AU176" i="1"/>
  <c r="AS176" i="1"/>
  <c r="AQ176" i="1"/>
  <c r="AO176" i="1"/>
  <c r="AK176" i="1"/>
  <c r="AI176" i="1"/>
  <c r="AG176" i="1"/>
  <c r="AD176" i="1"/>
  <c r="AA176" i="1"/>
  <c r="Y176" i="1"/>
  <c r="W176" i="1"/>
  <c r="U176" i="1"/>
  <c r="S176" i="1"/>
  <c r="BL176" i="1" s="1"/>
  <c r="B176" i="1"/>
  <c r="BT175" i="1"/>
  <c r="BS175" i="1"/>
  <c r="BK175" i="1"/>
  <c r="BA175" i="1"/>
  <c r="AY175" i="1"/>
  <c r="AW175" i="1"/>
  <c r="AU175" i="1"/>
  <c r="AS175" i="1"/>
  <c r="AQ175" i="1"/>
  <c r="AO175" i="1"/>
  <c r="AK175" i="1"/>
  <c r="AI175" i="1"/>
  <c r="AG175" i="1"/>
  <c r="AD175" i="1"/>
  <c r="AA175" i="1"/>
  <c r="Y175" i="1"/>
  <c r="W175" i="1"/>
  <c r="U175" i="1"/>
  <c r="S175" i="1"/>
  <c r="BL175" i="1" s="1"/>
  <c r="B175" i="1"/>
  <c r="BT174" i="1"/>
  <c r="BS174" i="1"/>
  <c r="BK174" i="1"/>
  <c r="BA174" i="1"/>
  <c r="AY174" i="1"/>
  <c r="AW174" i="1"/>
  <c r="AU174" i="1"/>
  <c r="AS174" i="1"/>
  <c r="AQ174" i="1"/>
  <c r="AO174" i="1"/>
  <c r="AK174" i="1"/>
  <c r="AI174" i="1"/>
  <c r="AG174" i="1"/>
  <c r="AD174" i="1"/>
  <c r="AA174" i="1"/>
  <c r="Y174" i="1"/>
  <c r="W174" i="1"/>
  <c r="U174" i="1"/>
  <c r="S174" i="1"/>
  <c r="BL174" i="1" s="1"/>
  <c r="B174" i="1"/>
  <c r="BT173" i="1"/>
  <c r="BS173" i="1"/>
  <c r="BK173" i="1"/>
  <c r="BA173" i="1"/>
  <c r="AY173" i="1"/>
  <c r="AW173" i="1"/>
  <c r="AU173" i="1"/>
  <c r="AS173" i="1"/>
  <c r="AQ173" i="1"/>
  <c r="AO173" i="1"/>
  <c r="AK173" i="1"/>
  <c r="AI173" i="1"/>
  <c r="AG173" i="1"/>
  <c r="AD173" i="1"/>
  <c r="AA173" i="1"/>
  <c r="Y173" i="1"/>
  <c r="W173" i="1"/>
  <c r="U173" i="1"/>
  <c r="S173" i="1"/>
  <c r="BL173" i="1" s="1"/>
  <c r="B173" i="1"/>
  <c r="BT172" i="1"/>
  <c r="BS172" i="1"/>
  <c r="BK172" i="1"/>
  <c r="BA172" i="1"/>
  <c r="AY172" i="1"/>
  <c r="AW172" i="1"/>
  <c r="AU172" i="1"/>
  <c r="AS172" i="1"/>
  <c r="AQ172" i="1"/>
  <c r="AO172" i="1"/>
  <c r="AK172" i="1"/>
  <c r="AI172" i="1"/>
  <c r="AG172" i="1"/>
  <c r="AD172" i="1"/>
  <c r="AA172" i="1"/>
  <c r="Y172" i="1"/>
  <c r="W172" i="1"/>
  <c r="U172" i="1"/>
  <c r="S172" i="1"/>
  <c r="BL172" i="1" s="1"/>
  <c r="B172" i="1"/>
  <c r="BT171" i="1"/>
  <c r="BS171" i="1"/>
  <c r="BK171" i="1"/>
  <c r="BA171" i="1"/>
  <c r="AY171" i="1"/>
  <c r="AW171" i="1"/>
  <c r="AU171" i="1"/>
  <c r="AS171" i="1"/>
  <c r="AQ171" i="1"/>
  <c r="AO171" i="1"/>
  <c r="AK171" i="1"/>
  <c r="AI171" i="1"/>
  <c r="AG171" i="1"/>
  <c r="AD171" i="1"/>
  <c r="AA171" i="1"/>
  <c r="Y171" i="1"/>
  <c r="W171" i="1"/>
  <c r="U171" i="1"/>
  <c r="S171" i="1"/>
  <c r="BL171" i="1" s="1"/>
  <c r="B171" i="1"/>
  <c r="BT170" i="1"/>
  <c r="BS170" i="1"/>
  <c r="BK170" i="1"/>
  <c r="BA170" i="1"/>
  <c r="AY170" i="1"/>
  <c r="AW170" i="1"/>
  <c r="AU170" i="1"/>
  <c r="AS170" i="1"/>
  <c r="AQ170" i="1"/>
  <c r="AO170" i="1"/>
  <c r="AK170" i="1"/>
  <c r="AI170" i="1"/>
  <c r="AG170" i="1"/>
  <c r="AD170" i="1"/>
  <c r="AA170" i="1"/>
  <c r="Y170" i="1"/>
  <c r="W170" i="1"/>
  <c r="U170" i="1"/>
  <c r="S170" i="1"/>
  <c r="BL170" i="1" s="1"/>
  <c r="B170" i="1"/>
  <c r="BT169" i="1"/>
  <c r="BS169" i="1"/>
  <c r="BK169" i="1"/>
  <c r="BA169" i="1"/>
  <c r="AY169" i="1"/>
  <c r="AW169" i="1"/>
  <c r="AU169" i="1"/>
  <c r="AS169" i="1"/>
  <c r="AQ169" i="1"/>
  <c r="AO169" i="1"/>
  <c r="AK169" i="1"/>
  <c r="AI169" i="1"/>
  <c r="AG169" i="1"/>
  <c r="AD169" i="1"/>
  <c r="AA169" i="1"/>
  <c r="Y169" i="1"/>
  <c r="W169" i="1"/>
  <c r="U169" i="1"/>
  <c r="S169" i="1"/>
  <c r="BL169" i="1" s="1"/>
  <c r="B169" i="1"/>
  <c r="BT168" i="1"/>
  <c r="BS168" i="1"/>
  <c r="BK168" i="1"/>
  <c r="BA168" i="1"/>
  <c r="AY168" i="1"/>
  <c r="AW168" i="1"/>
  <c r="AU168" i="1"/>
  <c r="AS168" i="1"/>
  <c r="AQ168" i="1"/>
  <c r="AO168" i="1"/>
  <c r="AK168" i="1"/>
  <c r="AI168" i="1"/>
  <c r="AG168" i="1"/>
  <c r="AD168" i="1"/>
  <c r="AA168" i="1"/>
  <c r="Y168" i="1"/>
  <c r="W168" i="1"/>
  <c r="U168" i="1"/>
  <c r="S168" i="1"/>
  <c r="BL168" i="1" s="1"/>
  <c r="B168" i="1"/>
  <c r="BT167" i="1"/>
  <c r="BS167" i="1"/>
  <c r="BK167" i="1"/>
  <c r="BA167" i="1"/>
  <c r="AY167" i="1"/>
  <c r="AW167" i="1"/>
  <c r="AU167" i="1"/>
  <c r="AS167" i="1"/>
  <c r="AQ167" i="1"/>
  <c r="AO167" i="1"/>
  <c r="AK167" i="1"/>
  <c r="AI167" i="1"/>
  <c r="AG167" i="1"/>
  <c r="AD167" i="1"/>
  <c r="AA167" i="1"/>
  <c r="Y167" i="1"/>
  <c r="W167" i="1"/>
  <c r="U167" i="1"/>
  <c r="S167" i="1"/>
  <c r="BL167" i="1" s="1"/>
  <c r="B167" i="1"/>
  <c r="BT166" i="1"/>
  <c r="BS166" i="1"/>
  <c r="BK166" i="1"/>
  <c r="BA166" i="1"/>
  <c r="AY166" i="1"/>
  <c r="AW166" i="1"/>
  <c r="AU166" i="1"/>
  <c r="AS166" i="1"/>
  <c r="AQ166" i="1"/>
  <c r="AO166" i="1"/>
  <c r="AK166" i="1"/>
  <c r="AI166" i="1"/>
  <c r="AG166" i="1"/>
  <c r="AD166" i="1"/>
  <c r="AA166" i="1"/>
  <c r="Y166" i="1"/>
  <c r="W166" i="1"/>
  <c r="U166" i="1"/>
  <c r="S166" i="1"/>
  <c r="BL166" i="1" s="1"/>
  <c r="B166" i="1"/>
  <c r="BT165" i="1"/>
  <c r="BS165" i="1"/>
  <c r="BK165" i="1"/>
  <c r="BA165" i="1"/>
  <c r="AY165" i="1"/>
  <c r="AW165" i="1"/>
  <c r="AU165" i="1"/>
  <c r="AS165" i="1"/>
  <c r="AQ165" i="1"/>
  <c r="AO165" i="1"/>
  <c r="AK165" i="1"/>
  <c r="AI165" i="1"/>
  <c r="AG165" i="1"/>
  <c r="AD165" i="1"/>
  <c r="AA165" i="1"/>
  <c r="Y165" i="1"/>
  <c r="W165" i="1"/>
  <c r="U165" i="1"/>
  <c r="S165" i="1"/>
  <c r="BL165" i="1" s="1"/>
  <c r="B165" i="1"/>
  <c r="BT164" i="1"/>
  <c r="BS164" i="1"/>
  <c r="BK164" i="1"/>
  <c r="BA164" i="1"/>
  <c r="AY164" i="1"/>
  <c r="AW164" i="1"/>
  <c r="AU164" i="1"/>
  <c r="AS164" i="1"/>
  <c r="AQ164" i="1"/>
  <c r="AO164" i="1"/>
  <c r="AK164" i="1"/>
  <c r="AI164" i="1"/>
  <c r="AG164" i="1"/>
  <c r="AD164" i="1"/>
  <c r="AA164" i="1"/>
  <c r="Y164" i="1"/>
  <c r="W164" i="1"/>
  <c r="U164" i="1"/>
  <c r="S164" i="1"/>
  <c r="BL164" i="1" s="1"/>
  <c r="B164" i="1"/>
  <c r="BT163" i="1"/>
  <c r="BS163" i="1"/>
  <c r="BK163" i="1"/>
  <c r="BA163" i="1"/>
  <c r="AY163" i="1"/>
  <c r="AW163" i="1"/>
  <c r="AU163" i="1"/>
  <c r="AS163" i="1"/>
  <c r="AQ163" i="1"/>
  <c r="AO163" i="1"/>
  <c r="AK163" i="1"/>
  <c r="AI163" i="1"/>
  <c r="AG163" i="1"/>
  <c r="AD163" i="1"/>
  <c r="AA163" i="1"/>
  <c r="Y163" i="1"/>
  <c r="W163" i="1"/>
  <c r="U163" i="1"/>
  <c r="S163" i="1"/>
  <c r="BL163" i="1" s="1"/>
  <c r="B163" i="1"/>
  <c r="BT162" i="1"/>
  <c r="BS162" i="1"/>
  <c r="BK162" i="1"/>
  <c r="BA162" i="1"/>
  <c r="AY162" i="1"/>
  <c r="AW162" i="1"/>
  <c r="AU162" i="1"/>
  <c r="AS162" i="1"/>
  <c r="AQ162" i="1"/>
  <c r="AO162" i="1"/>
  <c r="AK162" i="1"/>
  <c r="AI162" i="1"/>
  <c r="AG162" i="1"/>
  <c r="AD162" i="1"/>
  <c r="AA162" i="1"/>
  <c r="Y162" i="1"/>
  <c r="W162" i="1"/>
  <c r="U162" i="1"/>
  <c r="S162" i="1"/>
  <c r="BL162" i="1" s="1"/>
  <c r="B162" i="1"/>
  <c r="BT161" i="1"/>
  <c r="BS161" i="1"/>
  <c r="BK161" i="1"/>
  <c r="BA161" i="1"/>
  <c r="AY161" i="1"/>
  <c r="AW161" i="1"/>
  <c r="AU161" i="1"/>
  <c r="AS161" i="1"/>
  <c r="AQ161" i="1"/>
  <c r="AO161" i="1"/>
  <c r="AK161" i="1"/>
  <c r="AI161" i="1"/>
  <c r="AG161" i="1"/>
  <c r="AD161" i="1"/>
  <c r="AA161" i="1"/>
  <c r="Y161" i="1"/>
  <c r="W161" i="1"/>
  <c r="U161" i="1"/>
  <c r="S161" i="1"/>
  <c r="BL161" i="1" s="1"/>
  <c r="B161" i="1"/>
  <c r="BT160" i="1"/>
  <c r="BS160" i="1"/>
  <c r="BK160" i="1"/>
  <c r="BA160" i="1"/>
  <c r="AY160" i="1"/>
  <c r="AW160" i="1"/>
  <c r="AU160" i="1"/>
  <c r="AS160" i="1"/>
  <c r="AQ160" i="1"/>
  <c r="AO160" i="1"/>
  <c r="AK160" i="1"/>
  <c r="AI160" i="1"/>
  <c r="AG160" i="1"/>
  <c r="AD160" i="1"/>
  <c r="AA160" i="1"/>
  <c r="Y160" i="1"/>
  <c r="W160" i="1"/>
  <c r="U160" i="1"/>
  <c r="S160" i="1"/>
  <c r="BL160" i="1" s="1"/>
  <c r="B160" i="1"/>
  <c r="BT159" i="1"/>
  <c r="BS159" i="1"/>
  <c r="BK159" i="1"/>
  <c r="BA159" i="1"/>
  <c r="AY159" i="1"/>
  <c r="AW159" i="1"/>
  <c r="AU159" i="1"/>
  <c r="AS159" i="1"/>
  <c r="AQ159" i="1"/>
  <c r="AO159" i="1"/>
  <c r="AK159" i="1"/>
  <c r="AI159" i="1"/>
  <c r="AG159" i="1"/>
  <c r="AD159" i="1"/>
  <c r="AA159" i="1"/>
  <c r="Y159" i="1"/>
  <c r="W159" i="1"/>
  <c r="U159" i="1"/>
  <c r="S159" i="1"/>
  <c r="BL159" i="1" s="1"/>
  <c r="B159" i="1"/>
  <c r="BT158" i="1"/>
  <c r="BS158" i="1"/>
  <c r="BK158" i="1"/>
  <c r="BA158" i="1"/>
  <c r="AY158" i="1"/>
  <c r="AW158" i="1"/>
  <c r="AU158" i="1"/>
  <c r="AS158" i="1"/>
  <c r="AQ158" i="1"/>
  <c r="AO158" i="1"/>
  <c r="AK158" i="1"/>
  <c r="AI158" i="1"/>
  <c r="AG158" i="1"/>
  <c r="AD158" i="1"/>
  <c r="AA158" i="1"/>
  <c r="Y158" i="1"/>
  <c r="W158" i="1"/>
  <c r="U158" i="1"/>
  <c r="S158" i="1"/>
  <c r="BL158" i="1" s="1"/>
  <c r="B158" i="1"/>
  <c r="BT157" i="1"/>
  <c r="BS157" i="1"/>
  <c r="BK157" i="1"/>
  <c r="BA157" i="1"/>
  <c r="AY157" i="1"/>
  <c r="AW157" i="1"/>
  <c r="AU157" i="1"/>
  <c r="AS157" i="1"/>
  <c r="AQ157" i="1"/>
  <c r="AO157" i="1"/>
  <c r="AK157" i="1"/>
  <c r="AI157" i="1"/>
  <c r="AG157" i="1"/>
  <c r="AD157" i="1"/>
  <c r="AA157" i="1"/>
  <c r="Y157" i="1"/>
  <c r="W157" i="1"/>
  <c r="U157" i="1"/>
  <c r="S157" i="1"/>
  <c r="BL157" i="1" s="1"/>
  <c r="B157" i="1"/>
  <c r="BT156" i="1"/>
  <c r="BS156" i="1"/>
  <c r="BK156" i="1"/>
  <c r="BA156" i="1"/>
  <c r="AY156" i="1"/>
  <c r="AW156" i="1"/>
  <c r="AU156" i="1"/>
  <c r="AS156" i="1"/>
  <c r="AQ156" i="1"/>
  <c r="AO156" i="1"/>
  <c r="AK156" i="1"/>
  <c r="AI156" i="1"/>
  <c r="AG156" i="1"/>
  <c r="AD156" i="1"/>
  <c r="AA156" i="1"/>
  <c r="Y156" i="1"/>
  <c r="W156" i="1"/>
  <c r="U156" i="1"/>
  <c r="S156" i="1"/>
  <c r="BL156" i="1" s="1"/>
  <c r="B156" i="1"/>
  <c r="BT155" i="1"/>
  <c r="BS155" i="1"/>
  <c r="BK155" i="1"/>
  <c r="BA155" i="1"/>
  <c r="AY155" i="1"/>
  <c r="AW155" i="1"/>
  <c r="AU155" i="1"/>
  <c r="AS155" i="1"/>
  <c r="AQ155" i="1"/>
  <c r="AO155" i="1"/>
  <c r="AK155" i="1"/>
  <c r="AI155" i="1"/>
  <c r="AG155" i="1"/>
  <c r="AD155" i="1"/>
  <c r="AA155" i="1"/>
  <c r="Y155" i="1"/>
  <c r="W155" i="1"/>
  <c r="U155" i="1"/>
  <c r="S155" i="1"/>
  <c r="BL155" i="1" s="1"/>
  <c r="B155" i="1"/>
  <c r="BT154" i="1"/>
  <c r="BS154" i="1"/>
  <c r="BK154" i="1"/>
  <c r="BA154" i="1"/>
  <c r="AY154" i="1"/>
  <c r="AW154" i="1"/>
  <c r="AU154" i="1"/>
  <c r="AS154" i="1"/>
  <c r="AQ154" i="1"/>
  <c r="AO154" i="1"/>
  <c r="AK154" i="1"/>
  <c r="AI154" i="1"/>
  <c r="AG154" i="1"/>
  <c r="AD154" i="1"/>
  <c r="AA154" i="1"/>
  <c r="Y154" i="1"/>
  <c r="W154" i="1"/>
  <c r="U154" i="1"/>
  <c r="S154" i="1"/>
  <c r="BL154" i="1" s="1"/>
  <c r="B154" i="1"/>
  <c r="BT153" i="1"/>
  <c r="BS153" i="1"/>
  <c r="BK153" i="1"/>
  <c r="BA153" i="1"/>
  <c r="AY153" i="1"/>
  <c r="AW153" i="1"/>
  <c r="AU153" i="1"/>
  <c r="AS153" i="1"/>
  <c r="AQ153" i="1"/>
  <c r="AO153" i="1"/>
  <c r="AK153" i="1"/>
  <c r="AI153" i="1"/>
  <c r="AG153" i="1"/>
  <c r="AD153" i="1"/>
  <c r="AA153" i="1"/>
  <c r="Y153" i="1"/>
  <c r="W153" i="1"/>
  <c r="U153" i="1"/>
  <c r="S153" i="1"/>
  <c r="BL153" i="1" s="1"/>
  <c r="B153" i="1"/>
  <c r="BT152" i="1"/>
  <c r="BS152" i="1"/>
  <c r="BK152" i="1"/>
  <c r="BA152" i="1"/>
  <c r="AY152" i="1"/>
  <c r="AW152" i="1"/>
  <c r="AU152" i="1"/>
  <c r="AS152" i="1"/>
  <c r="AQ152" i="1"/>
  <c r="AO152" i="1"/>
  <c r="AK152" i="1"/>
  <c r="AI152" i="1"/>
  <c r="AG152" i="1"/>
  <c r="AD152" i="1"/>
  <c r="AA152" i="1"/>
  <c r="Y152" i="1"/>
  <c r="W152" i="1"/>
  <c r="U152" i="1"/>
  <c r="S152" i="1"/>
  <c r="BL152" i="1" s="1"/>
  <c r="B152" i="1"/>
  <c r="BT151" i="1"/>
  <c r="BS151" i="1"/>
  <c r="BK151" i="1"/>
  <c r="BA151" i="1"/>
  <c r="AY151" i="1"/>
  <c r="AW151" i="1"/>
  <c r="AU151" i="1"/>
  <c r="AS151" i="1"/>
  <c r="AQ151" i="1"/>
  <c r="AO151" i="1"/>
  <c r="AK151" i="1"/>
  <c r="AI151" i="1"/>
  <c r="AG151" i="1"/>
  <c r="AD151" i="1"/>
  <c r="AA151" i="1"/>
  <c r="Y151" i="1"/>
  <c r="W151" i="1"/>
  <c r="U151" i="1"/>
  <c r="S151" i="1"/>
  <c r="BL151" i="1" s="1"/>
  <c r="B151" i="1"/>
  <c r="BT150" i="1"/>
  <c r="BS150" i="1"/>
  <c r="BK150" i="1"/>
  <c r="BA150" i="1"/>
  <c r="AY150" i="1"/>
  <c r="AW150" i="1"/>
  <c r="AU150" i="1"/>
  <c r="AS150" i="1"/>
  <c r="AQ150" i="1"/>
  <c r="AO150" i="1"/>
  <c r="AK150" i="1"/>
  <c r="AI150" i="1"/>
  <c r="AG150" i="1"/>
  <c r="AD150" i="1"/>
  <c r="AA150" i="1"/>
  <c r="Y150" i="1"/>
  <c r="W150" i="1"/>
  <c r="U150" i="1"/>
  <c r="S150" i="1"/>
  <c r="BL150" i="1" s="1"/>
  <c r="B150" i="1"/>
  <c r="BT149" i="1"/>
  <c r="BS149" i="1"/>
  <c r="BK149" i="1"/>
  <c r="BA149" i="1"/>
  <c r="AY149" i="1"/>
  <c r="AW149" i="1"/>
  <c r="AU149" i="1"/>
  <c r="AS149" i="1"/>
  <c r="AQ149" i="1"/>
  <c r="AO149" i="1"/>
  <c r="AK149" i="1"/>
  <c r="AI149" i="1"/>
  <c r="AG149" i="1"/>
  <c r="AD149" i="1"/>
  <c r="AA149" i="1"/>
  <c r="Y149" i="1"/>
  <c r="W149" i="1"/>
  <c r="U149" i="1"/>
  <c r="S149" i="1"/>
  <c r="BL149" i="1" s="1"/>
  <c r="B149" i="1"/>
  <c r="BT148" i="1"/>
  <c r="BS148" i="1"/>
  <c r="BK148" i="1"/>
  <c r="BA148" i="1"/>
  <c r="AY148" i="1"/>
  <c r="AW148" i="1"/>
  <c r="AU148" i="1"/>
  <c r="AS148" i="1"/>
  <c r="AQ148" i="1"/>
  <c r="AO148" i="1"/>
  <c r="AK148" i="1"/>
  <c r="AI148" i="1"/>
  <c r="AG148" i="1"/>
  <c r="AD148" i="1"/>
  <c r="AA148" i="1"/>
  <c r="Y148" i="1"/>
  <c r="W148" i="1"/>
  <c r="U148" i="1"/>
  <c r="S148" i="1"/>
  <c r="BL148" i="1" s="1"/>
  <c r="B148" i="1"/>
  <c r="BT147" i="1"/>
  <c r="BS147" i="1"/>
  <c r="BK147" i="1"/>
  <c r="BA147" i="1"/>
  <c r="AY147" i="1"/>
  <c r="AW147" i="1"/>
  <c r="AU147" i="1"/>
  <c r="AS147" i="1"/>
  <c r="AQ147" i="1"/>
  <c r="AO147" i="1"/>
  <c r="AK147" i="1"/>
  <c r="AI147" i="1"/>
  <c r="AG147" i="1"/>
  <c r="AD147" i="1"/>
  <c r="AA147" i="1"/>
  <c r="Y147" i="1"/>
  <c r="W147" i="1"/>
  <c r="U147" i="1"/>
  <c r="S147" i="1"/>
  <c r="BL147" i="1" s="1"/>
  <c r="B147" i="1"/>
  <c r="BT146" i="1"/>
  <c r="BS146" i="1"/>
  <c r="BK146" i="1"/>
  <c r="BA146" i="1"/>
  <c r="AY146" i="1"/>
  <c r="AW146" i="1"/>
  <c r="AU146" i="1"/>
  <c r="AS146" i="1"/>
  <c r="AQ146" i="1"/>
  <c r="AO146" i="1"/>
  <c r="AK146" i="1"/>
  <c r="AI146" i="1"/>
  <c r="AG146" i="1"/>
  <c r="AD146" i="1"/>
  <c r="AA146" i="1"/>
  <c r="Y146" i="1"/>
  <c r="W146" i="1"/>
  <c r="U146" i="1"/>
  <c r="S146" i="1"/>
  <c r="BL146" i="1" s="1"/>
  <c r="B146" i="1"/>
  <c r="BT145" i="1"/>
  <c r="BS145" i="1"/>
  <c r="BK145" i="1"/>
  <c r="BA145" i="1"/>
  <c r="AY145" i="1"/>
  <c r="AW145" i="1"/>
  <c r="AU145" i="1"/>
  <c r="AS145" i="1"/>
  <c r="AQ145" i="1"/>
  <c r="AO145" i="1"/>
  <c r="AK145" i="1"/>
  <c r="AI145" i="1"/>
  <c r="AG145" i="1"/>
  <c r="AD145" i="1"/>
  <c r="AA145" i="1"/>
  <c r="Y145" i="1"/>
  <c r="W145" i="1"/>
  <c r="U145" i="1"/>
  <c r="S145" i="1"/>
  <c r="BL145" i="1" s="1"/>
  <c r="B145" i="1"/>
  <c r="BT144" i="1"/>
  <c r="BS144" i="1"/>
  <c r="BK144" i="1"/>
  <c r="BA144" i="1"/>
  <c r="AY144" i="1"/>
  <c r="AW144" i="1"/>
  <c r="AU144" i="1"/>
  <c r="AS144" i="1"/>
  <c r="AQ144" i="1"/>
  <c r="AO144" i="1"/>
  <c r="AK144" i="1"/>
  <c r="AI144" i="1"/>
  <c r="AG144" i="1"/>
  <c r="AD144" i="1"/>
  <c r="AA144" i="1"/>
  <c r="Y144" i="1"/>
  <c r="W144" i="1"/>
  <c r="U144" i="1"/>
  <c r="S144" i="1"/>
  <c r="BL144" i="1" s="1"/>
  <c r="B144" i="1"/>
  <c r="BT143" i="1"/>
  <c r="BS143" i="1"/>
  <c r="BK143" i="1"/>
  <c r="BA143" i="1"/>
  <c r="AY143" i="1"/>
  <c r="AW143" i="1"/>
  <c r="AU143" i="1"/>
  <c r="AS143" i="1"/>
  <c r="AQ143" i="1"/>
  <c r="AO143" i="1"/>
  <c r="AK143" i="1"/>
  <c r="AI143" i="1"/>
  <c r="AG143" i="1"/>
  <c r="AD143" i="1"/>
  <c r="AA143" i="1"/>
  <c r="Y143" i="1"/>
  <c r="W143" i="1"/>
  <c r="U143" i="1"/>
  <c r="S143" i="1"/>
  <c r="BL143" i="1" s="1"/>
  <c r="B143" i="1"/>
  <c r="BT142" i="1"/>
  <c r="BS142" i="1"/>
  <c r="BK142" i="1"/>
  <c r="BA142" i="1"/>
  <c r="AY142" i="1"/>
  <c r="AW142" i="1"/>
  <c r="AU142" i="1"/>
  <c r="AS142" i="1"/>
  <c r="AQ142" i="1"/>
  <c r="AO142" i="1"/>
  <c r="AK142" i="1"/>
  <c r="AI142" i="1"/>
  <c r="AG142" i="1"/>
  <c r="AD142" i="1"/>
  <c r="AA142" i="1"/>
  <c r="Y142" i="1"/>
  <c r="W142" i="1"/>
  <c r="U142" i="1"/>
  <c r="S142" i="1"/>
  <c r="BL142" i="1" s="1"/>
  <c r="B142" i="1"/>
  <c r="BT141" i="1"/>
  <c r="BS141" i="1"/>
  <c r="BK141" i="1"/>
  <c r="BA141" i="1"/>
  <c r="AY141" i="1"/>
  <c r="AW141" i="1"/>
  <c r="AU141" i="1"/>
  <c r="AS141" i="1"/>
  <c r="AQ141" i="1"/>
  <c r="AO141" i="1"/>
  <c r="AK141" i="1"/>
  <c r="AI141" i="1"/>
  <c r="AG141" i="1"/>
  <c r="AD141" i="1"/>
  <c r="AA141" i="1"/>
  <c r="Y141" i="1"/>
  <c r="W141" i="1"/>
  <c r="U141" i="1"/>
  <c r="S141" i="1"/>
  <c r="BL141" i="1" s="1"/>
  <c r="B141" i="1"/>
  <c r="BT140" i="1"/>
  <c r="BS140" i="1"/>
  <c r="BK140" i="1"/>
  <c r="BA140" i="1"/>
  <c r="AY140" i="1"/>
  <c r="AW140" i="1"/>
  <c r="AU140" i="1"/>
  <c r="AS140" i="1"/>
  <c r="AQ140" i="1"/>
  <c r="AO140" i="1"/>
  <c r="AK140" i="1"/>
  <c r="AI140" i="1"/>
  <c r="AG140" i="1"/>
  <c r="AD140" i="1"/>
  <c r="AA140" i="1"/>
  <c r="Y140" i="1"/>
  <c r="W140" i="1"/>
  <c r="U140" i="1"/>
  <c r="S140" i="1"/>
  <c r="BL140" i="1" s="1"/>
  <c r="B140" i="1"/>
  <c r="BT139" i="1"/>
  <c r="BS139" i="1"/>
  <c r="BK139" i="1"/>
  <c r="BA139" i="1"/>
  <c r="AY139" i="1"/>
  <c r="AW139" i="1"/>
  <c r="AU139" i="1"/>
  <c r="AS139" i="1"/>
  <c r="AQ139" i="1"/>
  <c r="AO139" i="1"/>
  <c r="AK139" i="1"/>
  <c r="AI139" i="1"/>
  <c r="AG139" i="1"/>
  <c r="AD139" i="1"/>
  <c r="AA139" i="1"/>
  <c r="Y139" i="1"/>
  <c r="W139" i="1"/>
  <c r="U139" i="1"/>
  <c r="S139" i="1"/>
  <c r="BL139" i="1" s="1"/>
  <c r="B139" i="1"/>
  <c r="BT138" i="1"/>
  <c r="BS138" i="1"/>
  <c r="BK138" i="1"/>
  <c r="BA138" i="1"/>
  <c r="AY138" i="1"/>
  <c r="AW138" i="1"/>
  <c r="AU138" i="1"/>
  <c r="AS138" i="1"/>
  <c r="AQ138" i="1"/>
  <c r="AO138" i="1"/>
  <c r="AK138" i="1"/>
  <c r="AI138" i="1"/>
  <c r="AG138" i="1"/>
  <c r="AD138" i="1"/>
  <c r="AA138" i="1"/>
  <c r="Y138" i="1"/>
  <c r="W138" i="1"/>
  <c r="U138" i="1"/>
  <c r="S138" i="1"/>
  <c r="BL138" i="1" s="1"/>
  <c r="B138" i="1"/>
  <c r="BT137" i="1"/>
  <c r="BS137" i="1"/>
  <c r="BK137" i="1"/>
  <c r="BA137" i="1"/>
  <c r="AY137" i="1"/>
  <c r="AW137" i="1"/>
  <c r="AU137" i="1"/>
  <c r="AS137" i="1"/>
  <c r="AQ137" i="1"/>
  <c r="AO137" i="1"/>
  <c r="AK137" i="1"/>
  <c r="AI137" i="1"/>
  <c r="AG137" i="1"/>
  <c r="AD137" i="1"/>
  <c r="AA137" i="1"/>
  <c r="Y137" i="1"/>
  <c r="W137" i="1"/>
  <c r="U137" i="1"/>
  <c r="S137" i="1"/>
  <c r="BL137" i="1" s="1"/>
  <c r="B137" i="1"/>
  <c r="BT136" i="1"/>
  <c r="BS136" i="1"/>
  <c r="BK136" i="1"/>
  <c r="BA136" i="1"/>
  <c r="AY136" i="1"/>
  <c r="AW136" i="1"/>
  <c r="AU136" i="1"/>
  <c r="AS136" i="1"/>
  <c r="AQ136" i="1"/>
  <c r="AO136" i="1"/>
  <c r="AK136" i="1"/>
  <c r="AI136" i="1"/>
  <c r="AG136" i="1"/>
  <c r="AD136" i="1"/>
  <c r="AA136" i="1"/>
  <c r="Y136" i="1"/>
  <c r="W136" i="1"/>
  <c r="U136" i="1"/>
  <c r="S136" i="1"/>
  <c r="BL136" i="1" s="1"/>
  <c r="B136" i="1"/>
  <c r="BT135" i="1"/>
  <c r="BS135" i="1"/>
  <c r="BK135" i="1"/>
  <c r="BA135" i="1"/>
  <c r="AY135" i="1"/>
  <c r="AW135" i="1"/>
  <c r="AU135" i="1"/>
  <c r="AS135" i="1"/>
  <c r="AQ135" i="1"/>
  <c r="AO135" i="1"/>
  <c r="AK135" i="1"/>
  <c r="AI135" i="1"/>
  <c r="AG135" i="1"/>
  <c r="AD135" i="1"/>
  <c r="AA135" i="1"/>
  <c r="Y135" i="1"/>
  <c r="W135" i="1"/>
  <c r="U135" i="1"/>
  <c r="S135" i="1"/>
  <c r="BL135" i="1" s="1"/>
  <c r="B135" i="1"/>
  <c r="BT134" i="1"/>
  <c r="BS134" i="1"/>
  <c r="BK134" i="1"/>
  <c r="BA134" i="1"/>
  <c r="AY134" i="1"/>
  <c r="AW134" i="1"/>
  <c r="AU134" i="1"/>
  <c r="AS134" i="1"/>
  <c r="AQ134" i="1"/>
  <c r="AO134" i="1"/>
  <c r="AK134" i="1"/>
  <c r="AI134" i="1"/>
  <c r="AG134" i="1"/>
  <c r="AD134" i="1"/>
  <c r="AA134" i="1"/>
  <c r="Y134" i="1"/>
  <c r="W134" i="1"/>
  <c r="U134" i="1"/>
  <c r="S134" i="1"/>
  <c r="BL134" i="1" s="1"/>
  <c r="B134" i="1"/>
  <c r="BT133" i="1"/>
  <c r="BS133" i="1"/>
  <c r="BK133" i="1"/>
  <c r="BA133" i="1"/>
  <c r="AY133" i="1"/>
  <c r="AW133" i="1"/>
  <c r="AU133" i="1"/>
  <c r="AS133" i="1"/>
  <c r="AQ133" i="1"/>
  <c r="AO133" i="1"/>
  <c r="AK133" i="1"/>
  <c r="AI133" i="1"/>
  <c r="AG133" i="1"/>
  <c r="AD133" i="1"/>
  <c r="AA133" i="1"/>
  <c r="Y133" i="1"/>
  <c r="W133" i="1"/>
  <c r="U133" i="1"/>
  <c r="S133" i="1"/>
  <c r="BL133" i="1" s="1"/>
  <c r="B133" i="1"/>
  <c r="BT132" i="1"/>
  <c r="BS132" i="1"/>
  <c r="BK132" i="1"/>
  <c r="BA132" i="1"/>
  <c r="AY132" i="1"/>
  <c r="AW132" i="1"/>
  <c r="AU132" i="1"/>
  <c r="AS132" i="1"/>
  <c r="AQ132" i="1"/>
  <c r="AO132" i="1"/>
  <c r="AK132" i="1"/>
  <c r="AI132" i="1"/>
  <c r="AG132" i="1"/>
  <c r="AD132" i="1"/>
  <c r="AA132" i="1"/>
  <c r="Y132" i="1"/>
  <c r="W132" i="1"/>
  <c r="U132" i="1"/>
  <c r="S132" i="1"/>
  <c r="BL132" i="1" s="1"/>
  <c r="B132" i="1"/>
  <c r="BT131" i="1"/>
  <c r="BS131" i="1"/>
  <c r="BK131" i="1"/>
  <c r="BA131" i="1"/>
  <c r="AY131" i="1"/>
  <c r="AW131" i="1"/>
  <c r="AU131" i="1"/>
  <c r="AS131" i="1"/>
  <c r="AQ131" i="1"/>
  <c r="AO131" i="1"/>
  <c r="AK131" i="1"/>
  <c r="AI131" i="1"/>
  <c r="AG131" i="1"/>
  <c r="AD131" i="1"/>
  <c r="AA131" i="1"/>
  <c r="Y131" i="1"/>
  <c r="W131" i="1"/>
  <c r="U131" i="1"/>
  <c r="S131" i="1"/>
  <c r="BL131" i="1" s="1"/>
  <c r="B131" i="1"/>
  <c r="BT130" i="1"/>
  <c r="BS130" i="1"/>
  <c r="BK130" i="1"/>
  <c r="BA130" i="1"/>
  <c r="AY130" i="1"/>
  <c r="AW130" i="1"/>
  <c r="AU130" i="1"/>
  <c r="AS130" i="1"/>
  <c r="AQ130" i="1"/>
  <c r="AO130" i="1"/>
  <c r="AK130" i="1"/>
  <c r="AI130" i="1"/>
  <c r="AG130" i="1"/>
  <c r="AD130" i="1"/>
  <c r="AA130" i="1"/>
  <c r="Y130" i="1"/>
  <c r="W130" i="1"/>
  <c r="U130" i="1"/>
  <c r="S130" i="1"/>
  <c r="BL130" i="1" s="1"/>
  <c r="B130" i="1"/>
  <c r="BT129" i="1"/>
  <c r="BS129" i="1"/>
  <c r="BK129" i="1"/>
  <c r="BA129" i="1"/>
  <c r="AY129" i="1"/>
  <c r="AW129" i="1"/>
  <c r="AU129" i="1"/>
  <c r="AS129" i="1"/>
  <c r="AQ129" i="1"/>
  <c r="AO129" i="1"/>
  <c r="AK129" i="1"/>
  <c r="AI129" i="1"/>
  <c r="AG129" i="1"/>
  <c r="AD129" i="1"/>
  <c r="AA129" i="1"/>
  <c r="Y129" i="1"/>
  <c r="W129" i="1"/>
  <c r="U129" i="1"/>
  <c r="S129" i="1"/>
  <c r="BL129" i="1" s="1"/>
  <c r="B129" i="1"/>
  <c r="BT128" i="1"/>
  <c r="BS128" i="1"/>
  <c r="BK128" i="1"/>
  <c r="BA128" i="1"/>
  <c r="AY128" i="1"/>
  <c r="AW128" i="1"/>
  <c r="AU128" i="1"/>
  <c r="AS128" i="1"/>
  <c r="AQ128" i="1"/>
  <c r="AO128" i="1"/>
  <c r="AK128" i="1"/>
  <c r="AI128" i="1"/>
  <c r="AG128" i="1"/>
  <c r="AD128" i="1"/>
  <c r="AA128" i="1"/>
  <c r="Y128" i="1"/>
  <c r="W128" i="1"/>
  <c r="U128" i="1"/>
  <c r="S128" i="1"/>
  <c r="BL128" i="1" s="1"/>
  <c r="B128" i="1"/>
  <c r="BT127" i="1"/>
  <c r="BS127" i="1"/>
  <c r="BK127" i="1"/>
  <c r="BA127" i="1"/>
  <c r="AY127" i="1"/>
  <c r="AW127" i="1"/>
  <c r="AU127" i="1"/>
  <c r="AS127" i="1"/>
  <c r="AQ127" i="1"/>
  <c r="AO127" i="1"/>
  <c r="AK127" i="1"/>
  <c r="AI127" i="1"/>
  <c r="AG127" i="1"/>
  <c r="AD127" i="1"/>
  <c r="AA127" i="1"/>
  <c r="Y127" i="1"/>
  <c r="W127" i="1"/>
  <c r="U127" i="1"/>
  <c r="S127" i="1"/>
  <c r="BL127" i="1" s="1"/>
  <c r="B127" i="1"/>
  <c r="BT126" i="1"/>
  <c r="BS126" i="1"/>
  <c r="BK126" i="1"/>
  <c r="BA126" i="1"/>
  <c r="AY126" i="1"/>
  <c r="AW126" i="1"/>
  <c r="AU126" i="1"/>
  <c r="AS126" i="1"/>
  <c r="AQ126" i="1"/>
  <c r="AO126" i="1"/>
  <c r="AK126" i="1"/>
  <c r="AI126" i="1"/>
  <c r="AG126" i="1"/>
  <c r="AD126" i="1"/>
  <c r="AA126" i="1"/>
  <c r="Y126" i="1"/>
  <c r="W126" i="1"/>
  <c r="U126" i="1"/>
  <c r="S126" i="1"/>
  <c r="BL126" i="1" s="1"/>
  <c r="B126" i="1"/>
  <c r="BT125" i="1"/>
  <c r="BS125" i="1"/>
  <c r="BK125" i="1"/>
  <c r="BA125" i="1"/>
  <c r="AY125" i="1"/>
  <c r="AW125" i="1"/>
  <c r="AU125" i="1"/>
  <c r="AS125" i="1"/>
  <c r="AQ125" i="1"/>
  <c r="AO125" i="1"/>
  <c r="AK125" i="1"/>
  <c r="AI125" i="1"/>
  <c r="AG125" i="1"/>
  <c r="AD125" i="1"/>
  <c r="AA125" i="1"/>
  <c r="Y125" i="1"/>
  <c r="W125" i="1"/>
  <c r="U125" i="1"/>
  <c r="S125" i="1"/>
  <c r="BL125" i="1" s="1"/>
  <c r="B125" i="1"/>
  <c r="BT124" i="1"/>
  <c r="BS124" i="1"/>
  <c r="BK124" i="1"/>
  <c r="BA124" i="1"/>
  <c r="AY124" i="1"/>
  <c r="AW124" i="1"/>
  <c r="AU124" i="1"/>
  <c r="AS124" i="1"/>
  <c r="AQ124" i="1"/>
  <c r="AO124" i="1"/>
  <c r="AK124" i="1"/>
  <c r="AI124" i="1"/>
  <c r="AG124" i="1"/>
  <c r="AD124" i="1"/>
  <c r="AA124" i="1"/>
  <c r="Y124" i="1"/>
  <c r="W124" i="1"/>
  <c r="U124" i="1"/>
  <c r="S124" i="1"/>
  <c r="BL124" i="1" s="1"/>
  <c r="B124" i="1"/>
  <c r="BT123" i="1"/>
  <c r="BS123" i="1"/>
  <c r="BK123" i="1"/>
  <c r="BA123" i="1"/>
  <c r="AY123" i="1"/>
  <c r="AW123" i="1"/>
  <c r="AU123" i="1"/>
  <c r="AS123" i="1"/>
  <c r="AQ123" i="1"/>
  <c r="AO123" i="1"/>
  <c r="AK123" i="1"/>
  <c r="AI123" i="1"/>
  <c r="AG123" i="1"/>
  <c r="AD123" i="1"/>
  <c r="AA123" i="1"/>
  <c r="Y123" i="1"/>
  <c r="W123" i="1"/>
  <c r="U123" i="1"/>
  <c r="S123" i="1"/>
  <c r="BL123" i="1" s="1"/>
  <c r="B123" i="1"/>
  <c r="BT122" i="1"/>
  <c r="BS122" i="1"/>
  <c r="BK122" i="1"/>
  <c r="BA122" i="1"/>
  <c r="AY122" i="1"/>
  <c r="AW122" i="1"/>
  <c r="AU122" i="1"/>
  <c r="AS122" i="1"/>
  <c r="AQ122" i="1"/>
  <c r="AO122" i="1"/>
  <c r="AK122" i="1"/>
  <c r="AI122" i="1"/>
  <c r="AG122" i="1"/>
  <c r="AD122" i="1"/>
  <c r="AA122" i="1"/>
  <c r="Y122" i="1"/>
  <c r="W122" i="1"/>
  <c r="U122" i="1"/>
  <c r="S122" i="1"/>
  <c r="BL122" i="1" s="1"/>
  <c r="B122" i="1"/>
  <c r="BT121" i="1"/>
  <c r="BS121" i="1"/>
  <c r="BK121" i="1"/>
  <c r="BA121" i="1"/>
  <c r="AY121" i="1"/>
  <c r="AW121" i="1"/>
  <c r="AU121" i="1"/>
  <c r="AS121" i="1"/>
  <c r="AQ121" i="1"/>
  <c r="AO121" i="1"/>
  <c r="AK121" i="1"/>
  <c r="AI121" i="1"/>
  <c r="AG121" i="1"/>
  <c r="AD121" i="1"/>
  <c r="AA121" i="1"/>
  <c r="Y121" i="1"/>
  <c r="W121" i="1"/>
  <c r="U121" i="1"/>
  <c r="S121" i="1"/>
  <c r="BL121" i="1" s="1"/>
  <c r="B121" i="1"/>
  <c r="BT120" i="1"/>
  <c r="BS120" i="1"/>
  <c r="BK120" i="1"/>
  <c r="BA120" i="1"/>
  <c r="AY120" i="1"/>
  <c r="AW120" i="1"/>
  <c r="AU120" i="1"/>
  <c r="AS120" i="1"/>
  <c r="AQ120" i="1"/>
  <c r="AO120" i="1"/>
  <c r="AK120" i="1"/>
  <c r="AI120" i="1"/>
  <c r="AG120" i="1"/>
  <c r="AD120" i="1"/>
  <c r="AA120" i="1"/>
  <c r="Y120" i="1"/>
  <c r="W120" i="1"/>
  <c r="U120" i="1"/>
  <c r="S120" i="1"/>
  <c r="BL120" i="1" s="1"/>
  <c r="B120" i="1"/>
  <c r="BT119" i="1"/>
  <c r="BS119" i="1"/>
  <c r="BK119" i="1"/>
  <c r="BA119" i="1"/>
  <c r="AY119" i="1"/>
  <c r="AW119" i="1"/>
  <c r="AU119" i="1"/>
  <c r="AS119" i="1"/>
  <c r="AQ119" i="1"/>
  <c r="AO119" i="1"/>
  <c r="AK119" i="1"/>
  <c r="AI119" i="1"/>
  <c r="AG119" i="1"/>
  <c r="AD119" i="1"/>
  <c r="AA119" i="1"/>
  <c r="Y119" i="1"/>
  <c r="W119" i="1"/>
  <c r="U119" i="1"/>
  <c r="S119" i="1"/>
  <c r="BL119" i="1" s="1"/>
  <c r="B119" i="1"/>
  <c r="BT118" i="1"/>
  <c r="BS118" i="1"/>
  <c r="BK118" i="1"/>
  <c r="BA118" i="1"/>
  <c r="AY118" i="1"/>
  <c r="AW118" i="1"/>
  <c r="AU118" i="1"/>
  <c r="AS118" i="1"/>
  <c r="AQ118" i="1"/>
  <c r="AO118" i="1"/>
  <c r="AK118" i="1"/>
  <c r="AI118" i="1"/>
  <c r="AG118" i="1"/>
  <c r="AD118" i="1"/>
  <c r="AA118" i="1"/>
  <c r="Y118" i="1"/>
  <c r="W118" i="1"/>
  <c r="U118" i="1"/>
  <c r="S118" i="1"/>
  <c r="BL118" i="1" s="1"/>
  <c r="B118" i="1"/>
  <c r="BT117" i="1"/>
  <c r="BS117" i="1"/>
  <c r="BK117" i="1"/>
  <c r="BA117" i="1"/>
  <c r="AY117" i="1"/>
  <c r="AW117" i="1"/>
  <c r="AU117" i="1"/>
  <c r="AS117" i="1"/>
  <c r="AQ117" i="1"/>
  <c r="AO117" i="1"/>
  <c r="AK117" i="1"/>
  <c r="AI117" i="1"/>
  <c r="AG117" i="1"/>
  <c r="AD117" i="1"/>
  <c r="AA117" i="1"/>
  <c r="Y117" i="1"/>
  <c r="W117" i="1"/>
  <c r="U117" i="1"/>
  <c r="S117" i="1"/>
  <c r="BL117" i="1" s="1"/>
  <c r="B117" i="1"/>
  <c r="BT116" i="1"/>
  <c r="BS116" i="1"/>
  <c r="BK116" i="1"/>
  <c r="BA116" i="1"/>
  <c r="AY116" i="1"/>
  <c r="AW116" i="1"/>
  <c r="AU116" i="1"/>
  <c r="AS116" i="1"/>
  <c r="AQ116" i="1"/>
  <c r="AO116" i="1"/>
  <c r="AK116" i="1"/>
  <c r="AI116" i="1"/>
  <c r="AG116" i="1"/>
  <c r="AD116" i="1"/>
  <c r="AA116" i="1"/>
  <c r="Y116" i="1"/>
  <c r="W116" i="1"/>
  <c r="U116" i="1"/>
  <c r="S116" i="1"/>
  <c r="BL116" i="1" s="1"/>
  <c r="B116" i="1"/>
  <c r="BT115" i="1"/>
  <c r="BS115" i="1"/>
  <c r="BK115" i="1"/>
  <c r="BA115" i="1"/>
  <c r="AY115" i="1"/>
  <c r="AW115" i="1"/>
  <c r="AU115" i="1"/>
  <c r="AS115" i="1"/>
  <c r="AQ115" i="1"/>
  <c r="AO115" i="1"/>
  <c r="AK115" i="1"/>
  <c r="AI115" i="1"/>
  <c r="AG115" i="1"/>
  <c r="AD115" i="1"/>
  <c r="AA115" i="1"/>
  <c r="Y115" i="1"/>
  <c r="W115" i="1"/>
  <c r="U115" i="1"/>
  <c r="S115" i="1"/>
  <c r="BL115" i="1" s="1"/>
  <c r="B115" i="1"/>
  <c r="BT114" i="1"/>
  <c r="BS114" i="1"/>
  <c r="BK114" i="1"/>
  <c r="BA114" i="1"/>
  <c r="AY114" i="1"/>
  <c r="AW114" i="1"/>
  <c r="AU114" i="1"/>
  <c r="AS114" i="1"/>
  <c r="AQ114" i="1"/>
  <c r="AO114" i="1"/>
  <c r="AK114" i="1"/>
  <c r="AI114" i="1"/>
  <c r="AG114" i="1"/>
  <c r="AD114" i="1"/>
  <c r="AA114" i="1"/>
  <c r="Y114" i="1"/>
  <c r="W114" i="1"/>
  <c r="U114" i="1"/>
  <c r="S114" i="1"/>
  <c r="BL114" i="1" s="1"/>
  <c r="B114" i="1"/>
  <c r="BT113" i="1"/>
  <c r="BS113" i="1"/>
  <c r="BK113" i="1"/>
  <c r="BA113" i="1"/>
  <c r="AY113" i="1"/>
  <c r="AW113" i="1"/>
  <c r="AU113" i="1"/>
  <c r="AS113" i="1"/>
  <c r="AQ113" i="1"/>
  <c r="AO113" i="1"/>
  <c r="AK113" i="1"/>
  <c r="AI113" i="1"/>
  <c r="AG113" i="1"/>
  <c r="AD113" i="1"/>
  <c r="AA113" i="1"/>
  <c r="Y113" i="1"/>
  <c r="W113" i="1"/>
  <c r="U113" i="1"/>
  <c r="S113" i="1"/>
  <c r="BL113" i="1" s="1"/>
  <c r="B113" i="1"/>
  <c r="BT112" i="1"/>
  <c r="BS112" i="1"/>
  <c r="BK112" i="1"/>
  <c r="BA112" i="1"/>
  <c r="AY112" i="1"/>
  <c r="AW112" i="1"/>
  <c r="AU112" i="1"/>
  <c r="AS112" i="1"/>
  <c r="AQ112" i="1"/>
  <c r="AO112" i="1"/>
  <c r="AK112" i="1"/>
  <c r="AI112" i="1"/>
  <c r="AG112" i="1"/>
  <c r="AD112" i="1"/>
  <c r="AA112" i="1"/>
  <c r="Y112" i="1"/>
  <c r="W112" i="1"/>
  <c r="U112" i="1"/>
  <c r="S112" i="1"/>
  <c r="BL112" i="1" s="1"/>
  <c r="B112" i="1"/>
  <c r="BT111" i="1"/>
  <c r="BS111" i="1"/>
  <c r="BK111" i="1"/>
  <c r="BA111" i="1"/>
  <c r="AY111" i="1"/>
  <c r="AW111" i="1"/>
  <c r="AU111" i="1"/>
  <c r="AS111" i="1"/>
  <c r="AQ111" i="1"/>
  <c r="AO111" i="1"/>
  <c r="AK111" i="1"/>
  <c r="AI111" i="1"/>
  <c r="AG111" i="1"/>
  <c r="AD111" i="1"/>
  <c r="AA111" i="1"/>
  <c r="Y111" i="1"/>
  <c r="W111" i="1"/>
  <c r="U111" i="1"/>
  <c r="S111" i="1"/>
  <c r="BL111" i="1" s="1"/>
  <c r="B111" i="1"/>
  <c r="BT110" i="1"/>
  <c r="BS110" i="1"/>
  <c r="BK110" i="1"/>
  <c r="BA110" i="1"/>
  <c r="AY110" i="1"/>
  <c r="AW110" i="1"/>
  <c r="AU110" i="1"/>
  <c r="AS110" i="1"/>
  <c r="AQ110" i="1"/>
  <c r="AO110" i="1"/>
  <c r="AK110" i="1"/>
  <c r="AI110" i="1"/>
  <c r="AG110" i="1"/>
  <c r="AD110" i="1"/>
  <c r="AA110" i="1"/>
  <c r="Y110" i="1"/>
  <c r="W110" i="1"/>
  <c r="U110" i="1"/>
  <c r="S110" i="1"/>
  <c r="BL110" i="1" s="1"/>
  <c r="B110" i="1"/>
  <c r="BT109" i="1"/>
  <c r="BS109" i="1"/>
  <c r="BK109" i="1"/>
  <c r="BA109" i="1"/>
  <c r="AY109" i="1"/>
  <c r="AW109" i="1"/>
  <c r="AU109" i="1"/>
  <c r="AS109" i="1"/>
  <c r="AQ109" i="1"/>
  <c r="AO109" i="1"/>
  <c r="AK109" i="1"/>
  <c r="AI109" i="1"/>
  <c r="AG109" i="1"/>
  <c r="AD109" i="1"/>
  <c r="AA109" i="1"/>
  <c r="Y109" i="1"/>
  <c r="W109" i="1"/>
  <c r="U109" i="1"/>
  <c r="S109" i="1"/>
  <c r="BL109" i="1" s="1"/>
  <c r="B109" i="1"/>
  <c r="BT108" i="1"/>
  <c r="BS108" i="1"/>
  <c r="BK108" i="1"/>
  <c r="BA108" i="1"/>
  <c r="AY108" i="1"/>
  <c r="AW108" i="1"/>
  <c r="AU108" i="1"/>
  <c r="AS108" i="1"/>
  <c r="AQ108" i="1"/>
  <c r="AO108" i="1"/>
  <c r="AK108" i="1"/>
  <c r="AI108" i="1"/>
  <c r="AG108" i="1"/>
  <c r="AD108" i="1"/>
  <c r="AA108" i="1"/>
  <c r="Y108" i="1"/>
  <c r="W108" i="1"/>
  <c r="U108" i="1"/>
  <c r="S108" i="1"/>
  <c r="BL108" i="1" s="1"/>
  <c r="B108" i="1"/>
  <c r="BT107" i="1"/>
  <c r="BS107" i="1"/>
  <c r="BK107" i="1"/>
  <c r="BA107" i="1"/>
  <c r="AY107" i="1"/>
  <c r="AW107" i="1"/>
  <c r="AU107" i="1"/>
  <c r="AS107" i="1"/>
  <c r="AQ107" i="1"/>
  <c r="AO107" i="1"/>
  <c r="AK107" i="1"/>
  <c r="AI107" i="1"/>
  <c r="AG107" i="1"/>
  <c r="AD107" i="1"/>
  <c r="AA107" i="1"/>
  <c r="Y107" i="1"/>
  <c r="W107" i="1"/>
  <c r="U107" i="1"/>
  <c r="S107" i="1"/>
  <c r="BL107" i="1" s="1"/>
  <c r="B107" i="1"/>
  <c r="BT106" i="1"/>
  <c r="BS106" i="1"/>
  <c r="BK106" i="1"/>
  <c r="BA106" i="1"/>
  <c r="AY106" i="1"/>
  <c r="AW106" i="1"/>
  <c r="AU106" i="1"/>
  <c r="AS106" i="1"/>
  <c r="AQ106" i="1"/>
  <c r="AO106" i="1"/>
  <c r="AK106" i="1"/>
  <c r="AI106" i="1"/>
  <c r="AG106" i="1"/>
  <c r="AD106" i="1"/>
  <c r="AA106" i="1"/>
  <c r="Y106" i="1"/>
  <c r="W106" i="1"/>
  <c r="U106" i="1"/>
  <c r="S106" i="1"/>
  <c r="BL106" i="1" s="1"/>
  <c r="B106" i="1"/>
  <c r="BT105" i="1"/>
  <c r="BS105" i="1"/>
  <c r="BK105" i="1"/>
  <c r="BA105" i="1"/>
  <c r="AY105" i="1"/>
  <c r="AW105" i="1"/>
  <c r="AU105" i="1"/>
  <c r="AS105" i="1"/>
  <c r="AQ105" i="1"/>
  <c r="AO105" i="1"/>
  <c r="AK105" i="1"/>
  <c r="AI105" i="1"/>
  <c r="AG105" i="1"/>
  <c r="AD105" i="1"/>
  <c r="AA105" i="1"/>
  <c r="Y105" i="1"/>
  <c r="W105" i="1"/>
  <c r="U105" i="1"/>
  <c r="S105" i="1"/>
  <c r="BL105" i="1" s="1"/>
  <c r="B105" i="1"/>
  <c r="BT104" i="1"/>
  <c r="BS104" i="1"/>
  <c r="BK104" i="1"/>
  <c r="BA104" i="1"/>
  <c r="AY104" i="1"/>
  <c r="AW104" i="1"/>
  <c r="AU104" i="1"/>
  <c r="AS104" i="1"/>
  <c r="AQ104" i="1"/>
  <c r="AO104" i="1"/>
  <c r="AK104" i="1"/>
  <c r="AI104" i="1"/>
  <c r="AG104" i="1"/>
  <c r="AD104" i="1"/>
  <c r="AA104" i="1"/>
  <c r="Y104" i="1"/>
  <c r="W104" i="1"/>
  <c r="U104" i="1"/>
  <c r="S104" i="1"/>
  <c r="BL104" i="1" s="1"/>
  <c r="B104" i="1"/>
  <c r="BT103" i="1"/>
  <c r="BS103" i="1"/>
  <c r="BK103" i="1"/>
  <c r="BA103" i="1"/>
  <c r="AY103" i="1"/>
  <c r="AW103" i="1"/>
  <c r="AU103" i="1"/>
  <c r="AS103" i="1"/>
  <c r="AQ103" i="1"/>
  <c r="AO103" i="1"/>
  <c r="AK103" i="1"/>
  <c r="AI103" i="1"/>
  <c r="AG103" i="1"/>
  <c r="AD103" i="1"/>
  <c r="AA103" i="1"/>
  <c r="Y103" i="1"/>
  <c r="W103" i="1"/>
  <c r="U103" i="1"/>
  <c r="S103" i="1"/>
  <c r="BL103" i="1" s="1"/>
  <c r="B103" i="1"/>
  <c r="BT102" i="1"/>
  <c r="BS102" i="1"/>
  <c r="BK102" i="1"/>
  <c r="BA102" i="1"/>
  <c r="AY102" i="1"/>
  <c r="AW102" i="1"/>
  <c r="AU102" i="1"/>
  <c r="AS102" i="1"/>
  <c r="AQ102" i="1"/>
  <c r="AO102" i="1"/>
  <c r="AK102" i="1"/>
  <c r="AI102" i="1"/>
  <c r="AG102" i="1"/>
  <c r="AD102" i="1"/>
  <c r="AA102" i="1"/>
  <c r="Y102" i="1"/>
  <c r="W102" i="1"/>
  <c r="U102" i="1"/>
  <c r="S102" i="1"/>
  <c r="BL102" i="1" s="1"/>
  <c r="B102" i="1"/>
  <c r="BT101" i="1"/>
  <c r="BS101" i="1"/>
  <c r="BK101" i="1"/>
  <c r="BA101" i="1"/>
  <c r="AY101" i="1"/>
  <c r="AW101" i="1"/>
  <c r="AU101" i="1"/>
  <c r="AS101" i="1"/>
  <c r="AQ101" i="1"/>
  <c r="AO101" i="1"/>
  <c r="AK101" i="1"/>
  <c r="AI101" i="1"/>
  <c r="AG101" i="1"/>
  <c r="AD101" i="1"/>
  <c r="AA101" i="1"/>
  <c r="Y101" i="1"/>
  <c r="W101" i="1"/>
  <c r="U101" i="1"/>
  <c r="S101" i="1"/>
  <c r="BL101" i="1" s="1"/>
  <c r="B101" i="1"/>
  <c r="BT100" i="1"/>
  <c r="BS100" i="1"/>
  <c r="BK100" i="1"/>
  <c r="BA100" i="1"/>
  <c r="AY100" i="1"/>
  <c r="AW100" i="1"/>
  <c r="AU100" i="1"/>
  <c r="AS100" i="1"/>
  <c r="AQ100" i="1"/>
  <c r="AO100" i="1"/>
  <c r="AK100" i="1"/>
  <c r="AI100" i="1"/>
  <c r="AG100" i="1"/>
  <c r="AD100" i="1"/>
  <c r="AA100" i="1"/>
  <c r="Y100" i="1"/>
  <c r="W100" i="1"/>
  <c r="U100" i="1"/>
  <c r="S100" i="1"/>
  <c r="BL100" i="1" s="1"/>
  <c r="B100" i="1"/>
  <c r="BT99" i="1"/>
  <c r="BS99" i="1"/>
  <c r="BK99" i="1"/>
  <c r="BA99" i="1"/>
  <c r="AY99" i="1"/>
  <c r="AW99" i="1"/>
  <c r="AU99" i="1"/>
  <c r="AS99" i="1"/>
  <c r="AQ99" i="1"/>
  <c r="AO99" i="1"/>
  <c r="AK99" i="1"/>
  <c r="AI99" i="1"/>
  <c r="AG99" i="1"/>
  <c r="AD99" i="1"/>
  <c r="AA99" i="1"/>
  <c r="Y99" i="1"/>
  <c r="W99" i="1"/>
  <c r="U99" i="1"/>
  <c r="S99" i="1"/>
  <c r="BL99" i="1" s="1"/>
  <c r="B99" i="1"/>
  <c r="BT98" i="1"/>
  <c r="BS98" i="1"/>
  <c r="BK98" i="1"/>
  <c r="BA98" i="1"/>
  <c r="AY98" i="1"/>
  <c r="AW98" i="1"/>
  <c r="AU98" i="1"/>
  <c r="AS98" i="1"/>
  <c r="AQ98" i="1"/>
  <c r="AO98" i="1"/>
  <c r="AK98" i="1"/>
  <c r="AI98" i="1"/>
  <c r="AG98" i="1"/>
  <c r="AD98" i="1"/>
  <c r="AA98" i="1"/>
  <c r="Y98" i="1"/>
  <c r="W98" i="1"/>
  <c r="U98" i="1"/>
  <c r="S98" i="1"/>
  <c r="BL98" i="1" s="1"/>
  <c r="B98" i="1"/>
  <c r="BT97" i="1"/>
  <c r="BS97" i="1"/>
  <c r="BK97" i="1"/>
  <c r="BA97" i="1"/>
  <c r="AY97" i="1"/>
  <c r="AW97" i="1"/>
  <c r="AU97" i="1"/>
  <c r="AS97" i="1"/>
  <c r="AQ97" i="1"/>
  <c r="AO97" i="1"/>
  <c r="AK97" i="1"/>
  <c r="AI97" i="1"/>
  <c r="AG97" i="1"/>
  <c r="AD97" i="1"/>
  <c r="AA97" i="1"/>
  <c r="Y97" i="1"/>
  <c r="W97" i="1"/>
  <c r="U97" i="1"/>
  <c r="S97" i="1"/>
  <c r="BL97" i="1" s="1"/>
  <c r="B97" i="1"/>
  <c r="BT96" i="1"/>
  <c r="BS96" i="1"/>
  <c r="BK96" i="1"/>
  <c r="BA96" i="1"/>
  <c r="AY96" i="1"/>
  <c r="AW96" i="1"/>
  <c r="AU96" i="1"/>
  <c r="AS96" i="1"/>
  <c r="AQ96" i="1"/>
  <c r="AO96" i="1"/>
  <c r="AK96" i="1"/>
  <c r="AI96" i="1"/>
  <c r="AG96" i="1"/>
  <c r="AD96" i="1"/>
  <c r="AA96" i="1"/>
  <c r="Y96" i="1"/>
  <c r="W96" i="1"/>
  <c r="U96" i="1"/>
  <c r="S96" i="1"/>
  <c r="BL96" i="1" s="1"/>
  <c r="B96" i="1"/>
  <c r="BT95" i="1"/>
  <c r="BS95" i="1"/>
  <c r="BK95" i="1"/>
  <c r="BA95" i="1"/>
  <c r="AY95" i="1"/>
  <c r="AW95" i="1"/>
  <c r="AU95" i="1"/>
  <c r="AS95" i="1"/>
  <c r="AQ95" i="1"/>
  <c r="AO95" i="1"/>
  <c r="AK95" i="1"/>
  <c r="AI95" i="1"/>
  <c r="AG95" i="1"/>
  <c r="AD95" i="1"/>
  <c r="AA95" i="1"/>
  <c r="Y95" i="1"/>
  <c r="W95" i="1"/>
  <c r="U95" i="1"/>
  <c r="S95" i="1"/>
  <c r="BL95" i="1" s="1"/>
  <c r="B95" i="1"/>
  <c r="BT94" i="1"/>
  <c r="BS94" i="1"/>
  <c r="BK94" i="1"/>
  <c r="BA94" i="1"/>
  <c r="AY94" i="1"/>
  <c r="AW94" i="1"/>
  <c r="AU94" i="1"/>
  <c r="AS94" i="1"/>
  <c r="AQ94" i="1"/>
  <c r="AO94" i="1"/>
  <c r="AK94" i="1"/>
  <c r="AI94" i="1"/>
  <c r="AG94" i="1"/>
  <c r="AD94" i="1"/>
  <c r="AA94" i="1"/>
  <c r="Y94" i="1"/>
  <c r="W94" i="1"/>
  <c r="U94" i="1"/>
  <c r="S94" i="1"/>
  <c r="BL94" i="1" s="1"/>
  <c r="B94" i="1"/>
  <c r="BT93" i="1"/>
  <c r="BS93" i="1"/>
  <c r="BK93" i="1"/>
  <c r="BA93" i="1"/>
  <c r="AY93" i="1"/>
  <c r="AW93" i="1"/>
  <c r="AU93" i="1"/>
  <c r="AS93" i="1"/>
  <c r="AQ93" i="1"/>
  <c r="AO93" i="1"/>
  <c r="AK93" i="1"/>
  <c r="AI93" i="1"/>
  <c r="AG93" i="1"/>
  <c r="AD93" i="1"/>
  <c r="AA93" i="1"/>
  <c r="Y93" i="1"/>
  <c r="W93" i="1"/>
  <c r="U93" i="1"/>
  <c r="S93" i="1"/>
  <c r="BL93" i="1" s="1"/>
  <c r="B93" i="1"/>
  <c r="BT92" i="1"/>
  <c r="BS92" i="1"/>
  <c r="BK92" i="1"/>
  <c r="BA92" i="1"/>
  <c r="AY92" i="1"/>
  <c r="AW92" i="1"/>
  <c r="AU92" i="1"/>
  <c r="AS92" i="1"/>
  <c r="AQ92" i="1"/>
  <c r="AO92" i="1"/>
  <c r="AK92" i="1"/>
  <c r="AI92" i="1"/>
  <c r="AG92" i="1"/>
  <c r="AD92" i="1"/>
  <c r="AA92" i="1"/>
  <c r="Y92" i="1"/>
  <c r="W92" i="1"/>
  <c r="U92" i="1"/>
  <c r="S92" i="1"/>
  <c r="BL92" i="1" s="1"/>
  <c r="B92" i="1"/>
  <c r="BT91" i="1"/>
  <c r="BS91" i="1"/>
  <c r="BK91" i="1"/>
  <c r="BA91" i="1"/>
  <c r="AY91" i="1"/>
  <c r="AW91" i="1"/>
  <c r="AU91" i="1"/>
  <c r="AS91" i="1"/>
  <c r="AQ91" i="1"/>
  <c r="AO91" i="1"/>
  <c r="AK91" i="1"/>
  <c r="AI91" i="1"/>
  <c r="AG91" i="1"/>
  <c r="AD91" i="1"/>
  <c r="AA91" i="1"/>
  <c r="Y91" i="1"/>
  <c r="W91" i="1"/>
  <c r="U91" i="1"/>
  <c r="S91" i="1"/>
  <c r="BL91" i="1" s="1"/>
  <c r="B91" i="1"/>
  <c r="BT90" i="1"/>
  <c r="BS90" i="1"/>
  <c r="BK90" i="1"/>
  <c r="BA90" i="1"/>
  <c r="AY90" i="1"/>
  <c r="AW90" i="1"/>
  <c r="AU90" i="1"/>
  <c r="AS90" i="1"/>
  <c r="AQ90" i="1"/>
  <c r="AO90" i="1"/>
  <c r="AK90" i="1"/>
  <c r="AI90" i="1"/>
  <c r="AG90" i="1"/>
  <c r="AD90" i="1"/>
  <c r="AA90" i="1"/>
  <c r="Y90" i="1"/>
  <c r="W90" i="1"/>
  <c r="U90" i="1"/>
  <c r="S90" i="1"/>
  <c r="BL90" i="1" s="1"/>
  <c r="B90" i="1"/>
  <c r="BT89" i="1"/>
  <c r="BS89" i="1"/>
  <c r="BK89" i="1"/>
  <c r="BA89" i="1"/>
  <c r="AY89" i="1"/>
  <c r="AW89" i="1"/>
  <c r="AU89" i="1"/>
  <c r="AS89" i="1"/>
  <c r="AQ89" i="1"/>
  <c r="AO89" i="1"/>
  <c r="AK89" i="1"/>
  <c r="AI89" i="1"/>
  <c r="AG89" i="1"/>
  <c r="AD89" i="1"/>
  <c r="AA89" i="1"/>
  <c r="Y89" i="1"/>
  <c r="W89" i="1"/>
  <c r="U89" i="1"/>
  <c r="S89" i="1"/>
  <c r="BL89" i="1" s="1"/>
  <c r="B89" i="1"/>
  <c r="BT88" i="1"/>
  <c r="BS88" i="1"/>
  <c r="BK88" i="1"/>
  <c r="BA88" i="1"/>
  <c r="AY88" i="1"/>
  <c r="AW88" i="1"/>
  <c r="AU88" i="1"/>
  <c r="AS88" i="1"/>
  <c r="AQ88" i="1"/>
  <c r="AO88" i="1"/>
  <c r="AK88" i="1"/>
  <c r="AI88" i="1"/>
  <c r="AG88" i="1"/>
  <c r="AD88" i="1"/>
  <c r="AA88" i="1"/>
  <c r="Y88" i="1"/>
  <c r="W88" i="1"/>
  <c r="U88" i="1"/>
  <c r="S88" i="1"/>
  <c r="BL88" i="1" s="1"/>
  <c r="B88" i="1"/>
  <c r="BT87" i="1"/>
  <c r="BS87" i="1"/>
  <c r="BK87" i="1"/>
  <c r="BA87" i="1"/>
  <c r="AY87" i="1"/>
  <c r="AW87" i="1"/>
  <c r="AU87" i="1"/>
  <c r="AS87" i="1"/>
  <c r="AQ87" i="1"/>
  <c r="AO87" i="1"/>
  <c r="AK87" i="1"/>
  <c r="AI87" i="1"/>
  <c r="AG87" i="1"/>
  <c r="AD87" i="1"/>
  <c r="AA87" i="1"/>
  <c r="Y87" i="1"/>
  <c r="W87" i="1"/>
  <c r="U87" i="1"/>
  <c r="S87" i="1"/>
  <c r="BL87" i="1" s="1"/>
  <c r="B87" i="1"/>
  <c r="BT86" i="1"/>
  <c r="BS86" i="1"/>
  <c r="BK86" i="1"/>
  <c r="BA86" i="1"/>
  <c r="AY86" i="1"/>
  <c r="AW86" i="1"/>
  <c r="AU86" i="1"/>
  <c r="AS86" i="1"/>
  <c r="AQ86" i="1"/>
  <c r="AO86" i="1"/>
  <c r="AK86" i="1"/>
  <c r="AI86" i="1"/>
  <c r="AG86" i="1"/>
  <c r="AD86" i="1"/>
  <c r="AA86" i="1"/>
  <c r="Y86" i="1"/>
  <c r="W86" i="1"/>
  <c r="U86" i="1"/>
  <c r="S86" i="1"/>
  <c r="BL86" i="1" s="1"/>
  <c r="B86" i="1"/>
  <c r="BT85" i="1"/>
  <c r="BS85" i="1"/>
  <c r="BK85" i="1"/>
  <c r="BA85" i="1"/>
  <c r="AY85" i="1"/>
  <c r="AW85" i="1"/>
  <c r="AU85" i="1"/>
  <c r="AS85" i="1"/>
  <c r="AQ85" i="1"/>
  <c r="AO85" i="1"/>
  <c r="AK85" i="1"/>
  <c r="AI85" i="1"/>
  <c r="AG85" i="1"/>
  <c r="AD85" i="1"/>
  <c r="AA85" i="1"/>
  <c r="Y85" i="1"/>
  <c r="W85" i="1"/>
  <c r="U85" i="1"/>
  <c r="S85" i="1"/>
  <c r="BL85" i="1" s="1"/>
  <c r="B85" i="1"/>
  <c r="BT84" i="1"/>
  <c r="BS84" i="1"/>
  <c r="BK84" i="1"/>
  <c r="BA84" i="1"/>
  <c r="AY84" i="1"/>
  <c r="AW84" i="1"/>
  <c r="AU84" i="1"/>
  <c r="AS84" i="1"/>
  <c r="AQ84" i="1"/>
  <c r="AO84" i="1"/>
  <c r="AK84" i="1"/>
  <c r="AI84" i="1"/>
  <c r="AG84" i="1"/>
  <c r="AD84" i="1"/>
  <c r="AA84" i="1"/>
  <c r="Y84" i="1"/>
  <c r="W84" i="1"/>
  <c r="U84" i="1"/>
  <c r="S84" i="1"/>
  <c r="BL84" i="1" s="1"/>
  <c r="B84" i="1"/>
  <c r="BT83" i="1"/>
  <c r="BS83" i="1"/>
  <c r="BK83" i="1"/>
  <c r="BA83" i="1"/>
  <c r="AY83" i="1"/>
  <c r="AW83" i="1"/>
  <c r="AU83" i="1"/>
  <c r="AS83" i="1"/>
  <c r="AQ83" i="1"/>
  <c r="AO83" i="1"/>
  <c r="AK83" i="1"/>
  <c r="AI83" i="1"/>
  <c r="AG83" i="1"/>
  <c r="AD83" i="1"/>
  <c r="AA83" i="1"/>
  <c r="Y83" i="1"/>
  <c r="W83" i="1"/>
  <c r="U83" i="1"/>
  <c r="S83" i="1"/>
  <c r="BL83" i="1" s="1"/>
  <c r="B83" i="1"/>
  <c r="BT82" i="1"/>
  <c r="BS82" i="1"/>
  <c r="BK82" i="1"/>
  <c r="BA82" i="1"/>
  <c r="AY82" i="1"/>
  <c r="AW82" i="1"/>
  <c r="AU82" i="1"/>
  <c r="AS82" i="1"/>
  <c r="AQ82" i="1"/>
  <c r="AO82" i="1"/>
  <c r="AK82" i="1"/>
  <c r="AI82" i="1"/>
  <c r="AG82" i="1"/>
  <c r="AD82" i="1"/>
  <c r="AA82" i="1"/>
  <c r="Y82" i="1"/>
  <c r="W82" i="1"/>
  <c r="U82" i="1"/>
  <c r="S82" i="1"/>
  <c r="BL82" i="1" s="1"/>
  <c r="B82" i="1"/>
  <c r="BT81" i="1"/>
  <c r="BS81" i="1"/>
  <c r="BK81" i="1"/>
  <c r="BA81" i="1"/>
  <c r="AY81" i="1"/>
  <c r="AW81" i="1"/>
  <c r="AU81" i="1"/>
  <c r="AS81" i="1"/>
  <c r="AQ81" i="1"/>
  <c r="AO81" i="1"/>
  <c r="AK81" i="1"/>
  <c r="AI81" i="1"/>
  <c r="AG81" i="1"/>
  <c r="AD81" i="1"/>
  <c r="AA81" i="1"/>
  <c r="Y81" i="1"/>
  <c r="W81" i="1"/>
  <c r="U81" i="1"/>
  <c r="S81" i="1"/>
  <c r="BL81" i="1" s="1"/>
  <c r="B81" i="1"/>
  <c r="BT80" i="1"/>
  <c r="BS80" i="1"/>
  <c r="BK80" i="1"/>
  <c r="BA80" i="1"/>
  <c r="AY80" i="1"/>
  <c r="AW80" i="1"/>
  <c r="AU80" i="1"/>
  <c r="AS80" i="1"/>
  <c r="AQ80" i="1"/>
  <c r="AO80" i="1"/>
  <c r="AK80" i="1"/>
  <c r="AI80" i="1"/>
  <c r="AG80" i="1"/>
  <c r="AD80" i="1"/>
  <c r="AA80" i="1"/>
  <c r="Y80" i="1"/>
  <c r="W80" i="1"/>
  <c r="U80" i="1"/>
  <c r="S80" i="1"/>
  <c r="BL80" i="1" s="1"/>
  <c r="B80" i="1"/>
  <c r="BT79" i="1"/>
  <c r="BS79" i="1"/>
  <c r="BK79" i="1"/>
  <c r="BA79" i="1"/>
  <c r="AY79" i="1"/>
  <c r="AW79" i="1"/>
  <c r="AU79" i="1"/>
  <c r="AS79" i="1"/>
  <c r="AQ79" i="1"/>
  <c r="AO79" i="1"/>
  <c r="AK79" i="1"/>
  <c r="AI79" i="1"/>
  <c r="AG79" i="1"/>
  <c r="AD79" i="1"/>
  <c r="AA79" i="1"/>
  <c r="Y79" i="1"/>
  <c r="W79" i="1"/>
  <c r="U79" i="1"/>
  <c r="S79" i="1"/>
  <c r="BL79" i="1" s="1"/>
  <c r="B79" i="1"/>
  <c r="BT78" i="1"/>
  <c r="BS78" i="1"/>
  <c r="BK78" i="1"/>
  <c r="BA78" i="1"/>
  <c r="AY78" i="1"/>
  <c r="AW78" i="1"/>
  <c r="AU78" i="1"/>
  <c r="AS78" i="1"/>
  <c r="AQ78" i="1"/>
  <c r="AO78" i="1"/>
  <c r="AK78" i="1"/>
  <c r="AI78" i="1"/>
  <c r="AG78" i="1"/>
  <c r="AD78" i="1"/>
  <c r="AA78" i="1"/>
  <c r="Y78" i="1"/>
  <c r="W78" i="1"/>
  <c r="U78" i="1"/>
  <c r="S78" i="1"/>
  <c r="BL78" i="1" s="1"/>
  <c r="B78" i="1"/>
  <c r="BT77" i="1"/>
  <c r="BS77" i="1"/>
  <c r="BK77" i="1"/>
  <c r="BA77" i="1"/>
  <c r="AY77" i="1"/>
  <c r="AW77" i="1"/>
  <c r="AU77" i="1"/>
  <c r="AS77" i="1"/>
  <c r="AQ77" i="1"/>
  <c r="AO77" i="1"/>
  <c r="AK77" i="1"/>
  <c r="AI77" i="1"/>
  <c r="AG77" i="1"/>
  <c r="AD77" i="1"/>
  <c r="AA77" i="1"/>
  <c r="Y77" i="1"/>
  <c r="W77" i="1"/>
  <c r="U77" i="1"/>
  <c r="S77" i="1"/>
  <c r="BL77" i="1" s="1"/>
  <c r="B77" i="1"/>
  <c r="BT76" i="1"/>
  <c r="BS76" i="1"/>
  <c r="BK76" i="1"/>
  <c r="BA76" i="1"/>
  <c r="AY76" i="1"/>
  <c r="AW76" i="1"/>
  <c r="AU76" i="1"/>
  <c r="AS76" i="1"/>
  <c r="AQ76" i="1"/>
  <c r="AO76" i="1"/>
  <c r="AK76" i="1"/>
  <c r="AI76" i="1"/>
  <c r="AG76" i="1"/>
  <c r="AD76" i="1"/>
  <c r="AA76" i="1"/>
  <c r="Y76" i="1"/>
  <c r="W76" i="1"/>
  <c r="U76" i="1"/>
  <c r="S76" i="1"/>
  <c r="BL76" i="1" s="1"/>
  <c r="B76" i="1"/>
  <c r="BT75" i="1"/>
  <c r="BS75" i="1"/>
  <c r="BK75" i="1"/>
  <c r="BA75" i="1"/>
  <c r="AY75" i="1"/>
  <c r="AW75" i="1"/>
  <c r="AU75" i="1"/>
  <c r="AS75" i="1"/>
  <c r="AQ75" i="1"/>
  <c r="AO75" i="1"/>
  <c r="AK75" i="1"/>
  <c r="AI75" i="1"/>
  <c r="AG75" i="1"/>
  <c r="AD75" i="1"/>
  <c r="AA75" i="1"/>
  <c r="Y75" i="1"/>
  <c r="W75" i="1"/>
  <c r="U75" i="1"/>
  <c r="S75" i="1"/>
  <c r="BL75" i="1" s="1"/>
  <c r="B75" i="1"/>
  <c r="BT74" i="1"/>
  <c r="BS74" i="1"/>
  <c r="BK74" i="1"/>
  <c r="BA74" i="1"/>
  <c r="AY74" i="1"/>
  <c r="AW74" i="1"/>
  <c r="AU74" i="1"/>
  <c r="AS74" i="1"/>
  <c r="AQ74" i="1"/>
  <c r="AO74" i="1"/>
  <c r="AK74" i="1"/>
  <c r="AI74" i="1"/>
  <c r="AG74" i="1"/>
  <c r="AD74" i="1"/>
  <c r="AA74" i="1"/>
  <c r="Y74" i="1"/>
  <c r="W74" i="1"/>
  <c r="U74" i="1"/>
  <c r="S74" i="1"/>
  <c r="BL74" i="1" s="1"/>
  <c r="B74" i="1"/>
  <c r="BT73" i="1"/>
  <c r="BS73" i="1"/>
  <c r="BK73" i="1"/>
  <c r="BA73" i="1"/>
  <c r="AY73" i="1"/>
  <c r="AW73" i="1"/>
  <c r="AU73" i="1"/>
  <c r="AS73" i="1"/>
  <c r="AQ73" i="1"/>
  <c r="AO73" i="1"/>
  <c r="AK73" i="1"/>
  <c r="AI73" i="1"/>
  <c r="AG73" i="1"/>
  <c r="AD73" i="1"/>
  <c r="AA73" i="1"/>
  <c r="Y73" i="1"/>
  <c r="W73" i="1"/>
  <c r="U73" i="1"/>
  <c r="S73" i="1"/>
  <c r="BL73" i="1" s="1"/>
  <c r="B73" i="1"/>
  <c r="BT72" i="1"/>
  <c r="BS72" i="1"/>
  <c r="BK72" i="1"/>
  <c r="BA72" i="1"/>
  <c r="AY72" i="1"/>
  <c r="AW72" i="1"/>
  <c r="AU72" i="1"/>
  <c r="AS72" i="1"/>
  <c r="AQ72" i="1"/>
  <c r="AO72" i="1"/>
  <c r="AK72" i="1"/>
  <c r="AI72" i="1"/>
  <c r="AG72" i="1"/>
  <c r="AD72" i="1"/>
  <c r="AA72" i="1"/>
  <c r="Y72" i="1"/>
  <c r="W72" i="1"/>
  <c r="U72" i="1"/>
  <c r="S72" i="1"/>
  <c r="B72" i="1"/>
  <c r="BT71" i="1"/>
  <c r="BS71" i="1"/>
  <c r="BK71" i="1"/>
  <c r="BA71" i="1"/>
  <c r="AY71" i="1"/>
  <c r="AW71" i="1"/>
  <c r="AU71" i="1"/>
  <c r="AS71" i="1"/>
  <c r="AQ71" i="1"/>
  <c r="AO71" i="1"/>
  <c r="AK71" i="1"/>
  <c r="AI71" i="1"/>
  <c r="AG71" i="1"/>
  <c r="AD71" i="1"/>
  <c r="AA71" i="1"/>
  <c r="Y71" i="1"/>
  <c r="W71" i="1"/>
  <c r="U71" i="1"/>
  <c r="S71" i="1"/>
  <c r="B71" i="1"/>
  <c r="BT70" i="1"/>
  <c r="BS70" i="1"/>
  <c r="BK70" i="1"/>
  <c r="BA70" i="1"/>
  <c r="AY70" i="1"/>
  <c r="AW70" i="1"/>
  <c r="AU70" i="1"/>
  <c r="AS70" i="1"/>
  <c r="AQ70" i="1"/>
  <c r="AO70" i="1"/>
  <c r="AK70" i="1"/>
  <c r="AI70" i="1"/>
  <c r="AG70" i="1"/>
  <c r="AD70" i="1"/>
  <c r="AA70" i="1"/>
  <c r="Y70" i="1"/>
  <c r="W70" i="1"/>
  <c r="U70" i="1"/>
  <c r="S70" i="1"/>
  <c r="BL70" i="1" s="1"/>
  <c r="B70" i="1"/>
  <c r="BT69" i="1"/>
  <c r="BS69" i="1"/>
  <c r="BK69" i="1"/>
  <c r="BA69" i="1"/>
  <c r="AY69" i="1"/>
  <c r="AW69" i="1"/>
  <c r="AU69" i="1"/>
  <c r="AS69" i="1"/>
  <c r="AQ69" i="1"/>
  <c r="AO69" i="1"/>
  <c r="AK69" i="1"/>
  <c r="AI69" i="1"/>
  <c r="AG69" i="1"/>
  <c r="AD69" i="1"/>
  <c r="AA69" i="1"/>
  <c r="Y69" i="1"/>
  <c r="W69" i="1"/>
  <c r="U69" i="1"/>
  <c r="S69" i="1"/>
  <c r="BL69" i="1" s="1"/>
  <c r="B69" i="1"/>
  <c r="BT68" i="1"/>
  <c r="BS68" i="1"/>
  <c r="BK68" i="1"/>
  <c r="BA68" i="1"/>
  <c r="AY68" i="1"/>
  <c r="AW68" i="1"/>
  <c r="AU68" i="1"/>
  <c r="AS68" i="1"/>
  <c r="AQ68" i="1"/>
  <c r="AO68" i="1"/>
  <c r="AK68" i="1"/>
  <c r="AI68" i="1"/>
  <c r="AG68" i="1"/>
  <c r="AD68" i="1"/>
  <c r="AA68" i="1"/>
  <c r="Y68" i="1"/>
  <c r="W68" i="1"/>
  <c r="U68" i="1"/>
  <c r="S68" i="1"/>
  <c r="B68" i="1"/>
  <c r="BT67" i="1"/>
  <c r="BS67" i="1"/>
  <c r="BK67" i="1"/>
  <c r="BA67" i="1"/>
  <c r="AY67" i="1"/>
  <c r="AW67" i="1"/>
  <c r="AU67" i="1"/>
  <c r="AS67" i="1"/>
  <c r="AQ67" i="1"/>
  <c r="AO67" i="1"/>
  <c r="AK67" i="1"/>
  <c r="AI67" i="1"/>
  <c r="AG67" i="1"/>
  <c r="AD67" i="1"/>
  <c r="AA67" i="1"/>
  <c r="Y67" i="1"/>
  <c r="W67" i="1"/>
  <c r="U67" i="1"/>
  <c r="S67" i="1"/>
  <c r="BL67" i="1" s="1"/>
  <c r="B67" i="1"/>
  <c r="BT66" i="1"/>
  <c r="BS66" i="1"/>
  <c r="BK66" i="1"/>
  <c r="BA66" i="1"/>
  <c r="AY66" i="1"/>
  <c r="AW66" i="1"/>
  <c r="AU66" i="1"/>
  <c r="AS66" i="1"/>
  <c r="AQ66" i="1"/>
  <c r="AO66" i="1"/>
  <c r="AK66" i="1"/>
  <c r="AI66" i="1"/>
  <c r="AG66" i="1"/>
  <c r="AD66" i="1"/>
  <c r="AA66" i="1"/>
  <c r="Y66" i="1"/>
  <c r="W66" i="1"/>
  <c r="U66" i="1"/>
  <c r="S66" i="1"/>
  <c r="BL66" i="1" s="1"/>
  <c r="B66" i="1"/>
  <c r="BT65" i="1"/>
  <c r="BS65" i="1"/>
  <c r="BK65" i="1"/>
  <c r="BA65" i="1"/>
  <c r="AY65" i="1"/>
  <c r="AW65" i="1"/>
  <c r="AU65" i="1"/>
  <c r="AS65" i="1"/>
  <c r="AQ65" i="1"/>
  <c r="AO65" i="1"/>
  <c r="AK65" i="1"/>
  <c r="AI65" i="1"/>
  <c r="AG65" i="1"/>
  <c r="AD65" i="1"/>
  <c r="AA65" i="1"/>
  <c r="Y65" i="1"/>
  <c r="W65" i="1"/>
  <c r="U65" i="1"/>
  <c r="S65" i="1"/>
  <c r="BL65" i="1" s="1"/>
  <c r="B65" i="1"/>
  <c r="BT64" i="1"/>
  <c r="BS64" i="1"/>
  <c r="BK64" i="1"/>
  <c r="BA64" i="1"/>
  <c r="AY64" i="1"/>
  <c r="AW64" i="1"/>
  <c r="AU64" i="1"/>
  <c r="AS64" i="1"/>
  <c r="AQ64" i="1"/>
  <c r="AO64" i="1"/>
  <c r="AK64" i="1"/>
  <c r="AI64" i="1"/>
  <c r="AG64" i="1"/>
  <c r="AD64" i="1"/>
  <c r="AA64" i="1"/>
  <c r="Y64" i="1"/>
  <c r="W64" i="1"/>
  <c r="U64" i="1"/>
  <c r="S64" i="1"/>
  <c r="BL64" i="1" s="1"/>
  <c r="B64" i="1"/>
  <c r="BT63" i="1"/>
  <c r="BS63" i="1"/>
  <c r="BK63" i="1"/>
  <c r="BA63" i="1"/>
  <c r="AY63" i="1"/>
  <c r="AW63" i="1"/>
  <c r="AU63" i="1"/>
  <c r="AS63" i="1"/>
  <c r="AQ63" i="1"/>
  <c r="AO63" i="1"/>
  <c r="AK63" i="1"/>
  <c r="AI63" i="1"/>
  <c r="AG63" i="1"/>
  <c r="AD63" i="1"/>
  <c r="AA63" i="1"/>
  <c r="Y63" i="1"/>
  <c r="W63" i="1"/>
  <c r="U63" i="1"/>
  <c r="S63" i="1"/>
  <c r="BL63" i="1" s="1"/>
  <c r="B63" i="1"/>
  <c r="BT62" i="1"/>
  <c r="BS62" i="1"/>
  <c r="BK62" i="1"/>
  <c r="BA62" i="1"/>
  <c r="AY62" i="1"/>
  <c r="AW62" i="1"/>
  <c r="AU62" i="1"/>
  <c r="AS62" i="1"/>
  <c r="AQ62" i="1"/>
  <c r="AO62" i="1"/>
  <c r="AK62" i="1"/>
  <c r="AI62" i="1"/>
  <c r="AG62" i="1"/>
  <c r="AD62" i="1"/>
  <c r="AA62" i="1"/>
  <c r="Y62" i="1"/>
  <c r="W62" i="1"/>
  <c r="U62" i="1"/>
  <c r="S62" i="1"/>
  <c r="BL62" i="1" s="1"/>
  <c r="B62" i="1"/>
  <c r="BT61" i="1"/>
  <c r="BS61" i="1"/>
  <c r="BK61" i="1"/>
  <c r="BA61" i="1"/>
  <c r="AY61" i="1"/>
  <c r="AW61" i="1"/>
  <c r="AU61" i="1"/>
  <c r="AS61" i="1"/>
  <c r="AQ61" i="1"/>
  <c r="AO61" i="1"/>
  <c r="AK61" i="1"/>
  <c r="AI61" i="1"/>
  <c r="AG61" i="1"/>
  <c r="AD61" i="1"/>
  <c r="AA61" i="1"/>
  <c r="Y61" i="1"/>
  <c r="W61" i="1"/>
  <c r="U61" i="1"/>
  <c r="S61" i="1"/>
  <c r="BL61" i="1" s="1"/>
  <c r="B61" i="1"/>
  <c r="BT60" i="1"/>
  <c r="BS60" i="1"/>
  <c r="BK60" i="1"/>
  <c r="BA60" i="1"/>
  <c r="AY60" i="1"/>
  <c r="AW60" i="1"/>
  <c r="AU60" i="1"/>
  <c r="AS60" i="1"/>
  <c r="AQ60" i="1"/>
  <c r="AO60" i="1"/>
  <c r="AK60" i="1"/>
  <c r="AI60" i="1"/>
  <c r="AG60" i="1"/>
  <c r="AD60" i="1"/>
  <c r="AA60" i="1"/>
  <c r="Y60" i="1"/>
  <c r="W60" i="1"/>
  <c r="U60" i="1"/>
  <c r="S60" i="1"/>
  <c r="BL60" i="1" s="1"/>
  <c r="B60" i="1"/>
  <c r="BT59" i="1"/>
  <c r="BS59" i="1"/>
  <c r="BK59" i="1"/>
  <c r="BA59" i="1"/>
  <c r="AY59" i="1"/>
  <c r="AW59" i="1"/>
  <c r="AU59" i="1"/>
  <c r="AS59" i="1"/>
  <c r="AQ59" i="1"/>
  <c r="AO59" i="1"/>
  <c r="AK59" i="1"/>
  <c r="AI59" i="1"/>
  <c r="AG59" i="1"/>
  <c r="AD59" i="1"/>
  <c r="AA59" i="1"/>
  <c r="Y59" i="1"/>
  <c r="W59" i="1"/>
  <c r="U59" i="1"/>
  <c r="S59" i="1"/>
  <c r="BL59" i="1" s="1"/>
  <c r="B59" i="1"/>
  <c r="BT58" i="1"/>
  <c r="BS58" i="1"/>
  <c r="BK58" i="1"/>
  <c r="BA58" i="1"/>
  <c r="AY58" i="1"/>
  <c r="AW58" i="1"/>
  <c r="AU58" i="1"/>
  <c r="AS58" i="1"/>
  <c r="AQ58" i="1"/>
  <c r="AO58" i="1"/>
  <c r="AK58" i="1"/>
  <c r="AI58" i="1"/>
  <c r="AG58" i="1"/>
  <c r="AD58" i="1"/>
  <c r="AA58" i="1"/>
  <c r="Y58" i="1"/>
  <c r="W58" i="1"/>
  <c r="U58" i="1"/>
  <c r="S58" i="1"/>
  <c r="BL58" i="1" s="1"/>
  <c r="B58" i="1"/>
  <c r="BT57" i="1"/>
  <c r="BS57" i="1"/>
  <c r="BK57" i="1"/>
  <c r="BA57" i="1"/>
  <c r="AY57" i="1"/>
  <c r="AW57" i="1"/>
  <c r="AU57" i="1"/>
  <c r="AS57" i="1"/>
  <c r="AQ57" i="1"/>
  <c r="AO57" i="1"/>
  <c r="AK57" i="1"/>
  <c r="AI57" i="1"/>
  <c r="AG57" i="1"/>
  <c r="AD57" i="1"/>
  <c r="AA57" i="1"/>
  <c r="Y57" i="1"/>
  <c r="W57" i="1"/>
  <c r="U57" i="1"/>
  <c r="S57" i="1"/>
  <c r="BL57" i="1" s="1"/>
  <c r="B57" i="1"/>
  <c r="BT56" i="1"/>
  <c r="BS56" i="1"/>
  <c r="BK56" i="1"/>
  <c r="BA56" i="1"/>
  <c r="AY56" i="1"/>
  <c r="AW56" i="1"/>
  <c r="AU56" i="1"/>
  <c r="AS56" i="1"/>
  <c r="AQ56" i="1"/>
  <c r="AO56" i="1"/>
  <c r="AK56" i="1"/>
  <c r="AI56" i="1"/>
  <c r="AG56" i="1"/>
  <c r="AD56" i="1"/>
  <c r="AA56" i="1"/>
  <c r="Y56" i="1"/>
  <c r="W56" i="1"/>
  <c r="U56" i="1"/>
  <c r="S56" i="1"/>
  <c r="BL56" i="1" s="1"/>
  <c r="B56" i="1"/>
  <c r="BT55" i="1"/>
  <c r="BS55" i="1"/>
  <c r="BK55" i="1"/>
  <c r="BA55" i="1"/>
  <c r="AY55" i="1"/>
  <c r="AW55" i="1"/>
  <c r="AU55" i="1"/>
  <c r="AS55" i="1"/>
  <c r="AQ55" i="1"/>
  <c r="AO55" i="1"/>
  <c r="AK55" i="1"/>
  <c r="AI55" i="1"/>
  <c r="AG55" i="1"/>
  <c r="AD55" i="1"/>
  <c r="AA55" i="1"/>
  <c r="Y55" i="1"/>
  <c r="W55" i="1"/>
  <c r="U55" i="1"/>
  <c r="S55" i="1"/>
  <c r="BL55" i="1" s="1"/>
  <c r="B55" i="1"/>
  <c r="BT54" i="1"/>
  <c r="BS54" i="1"/>
  <c r="BK54" i="1"/>
  <c r="BA54" i="1"/>
  <c r="AY54" i="1"/>
  <c r="AW54" i="1"/>
  <c r="AU54" i="1"/>
  <c r="AS54" i="1"/>
  <c r="AQ54" i="1"/>
  <c r="AO54" i="1"/>
  <c r="AK54" i="1"/>
  <c r="AI54" i="1"/>
  <c r="AG54" i="1"/>
  <c r="AD54" i="1"/>
  <c r="AA54" i="1"/>
  <c r="Y54" i="1"/>
  <c r="W54" i="1"/>
  <c r="U54" i="1"/>
  <c r="S54" i="1"/>
  <c r="BL54" i="1" s="1"/>
  <c r="B54" i="1"/>
  <c r="BT53" i="1"/>
  <c r="BS53" i="1"/>
  <c r="BK53" i="1"/>
  <c r="BA53" i="1"/>
  <c r="AY53" i="1"/>
  <c r="AW53" i="1"/>
  <c r="AU53" i="1"/>
  <c r="AS53" i="1"/>
  <c r="AQ53" i="1"/>
  <c r="AO53" i="1"/>
  <c r="AK53" i="1"/>
  <c r="AI53" i="1"/>
  <c r="AG53" i="1"/>
  <c r="AD53" i="1"/>
  <c r="AA53" i="1"/>
  <c r="Y53" i="1"/>
  <c r="W53" i="1"/>
  <c r="U53" i="1"/>
  <c r="S53" i="1"/>
  <c r="BL53" i="1" s="1"/>
  <c r="B53" i="1"/>
  <c r="BT52" i="1"/>
  <c r="BS52" i="1"/>
  <c r="BK52" i="1"/>
  <c r="BA52" i="1"/>
  <c r="AY52" i="1"/>
  <c r="AW52" i="1"/>
  <c r="AU52" i="1"/>
  <c r="AS52" i="1"/>
  <c r="AQ52" i="1"/>
  <c r="AO52" i="1"/>
  <c r="AK52" i="1"/>
  <c r="AI52" i="1"/>
  <c r="AG52" i="1"/>
  <c r="AD52" i="1"/>
  <c r="AA52" i="1"/>
  <c r="Y52" i="1"/>
  <c r="W52" i="1"/>
  <c r="U52" i="1"/>
  <c r="S52" i="1"/>
  <c r="BL52" i="1" s="1"/>
  <c r="B52" i="1"/>
  <c r="BT51" i="1"/>
  <c r="BS51" i="1"/>
  <c r="BK51" i="1"/>
  <c r="BA51" i="1"/>
  <c r="AY51" i="1"/>
  <c r="AW51" i="1"/>
  <c r="AU51" i="1"/>
  <c r="AS51" i="1"/>
  <c r="AQ51" i="1"/>
  <c r="AO51" i="1"/>
  <c r="AK51" i="1"/>
  <c r="AI51" i="1"/>
  <c r="AG51" i="1"/>
  <c r="AD51" i="1"/>
  <c r="AA51" i="1"/>
  <c r="Y51" i="1"/>
  <c r="W51" i="1"/>
  <c r="U51" i="1"/>
  <c r="S51" i="1"/>
  <c r="BL51" i="1" s="1"/>
  <c r="B51" i="1"/>
  <c r="BT50" i="1"/>
  <c r="BS50" i="1"/>
  <c r="BK50" i="1"/>
  <c r="BA50" i="1"/>
  <c r="AY50" i="1"/>
  <c r="AW50" i="1"/>
  <c r="AU50" i="1"/>
  <c r="AS50" i="1"/>
  <c r="AQ50" i="1"/>
  <c r="AO50" i="1"/>
  <c r="AK50" i="1"/>
  <c r="AI50" i="1"/>
  <c r="AG50" i="1"/>
  <c r="AD50" i="1"/>
  <c r="AA50" i="1"/>
  <c r="Y50" i="1"/>
  <c r="W50" i="1"/>
  <c r="U50" i="1"/>
  <c r="S50" i="1"/>
  <c r="BL50" i="1" s="1"/>
  <c r="B50" i="1"/>
  <c r="BT49" i="1"/>
  <c r="BS49" i="1"/>
  <c r="BK49" i="1"/>
  <c r="BA49" i="1"/>
  <c r="AY49" i="1"/>
  <c r="AW49" i="1"/>
  <c r="AU49" i="1"/>
  <c r="AS49" i="1"/>
  <c r="AQ49" i="1"/>
  <c r="AO49" i="1"/>
  <c r="AK49" i="1"/>
  <c r="AI49" i="1"/>
  <c r="AG49" i="1"/>
  <c r="AD49" i="1"/>
  <c r="AA49" i="1"/>
  <c r="Y49" i="1"/>
  <c r="W49" i="1"/>
  <c r="U49" i="1"/>
  <c r="S49" i="1"/>
  <c r="BL49" i="1" s="1"/>
  <c r="B49" i="1"/>
  <c r="BT48" i="1"/>
  <c r="BS48" i="1"/>
  <c r="BK48" i="1"/>
  <c r="BA48" i="1"/>
  <c r="AY48" i="1"/>
  <c r="AW48" i="1"/>
  <c r="AU48" i="1"/>
  <c r="AS48" i="1"/>
  <c r="AQ48" i="1"/>
  <c r="AO48" i="1"/>
  <c r="AK48" i="1"/>
  <c r="AI48" i="1"/>
  <c r="AG48" i="1"/>
  <c r="AD48" i="1"/>
  <c r="AA48" i="1"/>
  <c r="Y48" i="1"/>
  <c r="W48" i="1"/>
  <c r="U48" i="1"/>
  <c r="S48" i="1"/>
  <c r="BL48" i="1" s="1"/>
  <c r="B48" i="1"/>
  <c r="BT47" i="1"/>
  <c r="BS47" i="1"/>
  <c r="BK47" i="1"/>
  <c r="BA47" i="1"/>
  <c r="AY47" i="1"/>
  <c r="AW47" i="1"/>
  <c r="AU47" i="1"/>
  <c r="AS47" i="1"/>
  <c r="AQ47" i="1"/>
  <c r="AO47" i="1"/>
  <c r="AK47" i="1"/>
  <c r="AI47" i="1"/>
  <c r="AG47" i="1"/>
  <c r="AD47" i="1"/>
  <c r="AA47" i="1"/>
  <c r="Y47" i="1"/>
  <c r="W47" i="1"/>
  <c r="U47" i="1"/>
  <c r="S47" i="1"/>
  <c r="BL47" i="1" s="1"/>
  <c r="B47" i="1"/>
  <c r="BT46" i="1"/>
  <c r="BS46" i="1"/>
  <c r="BK46" i="1"/>
  <c r="BA46" i="1"/>
  <c r="AY46" i="1"/>
  <c r="AW46" i="1"/>
  <c r="AU46" i="1"/>
  <c r="AS46" i="1"/>
  <c r="AQ46" i="1"/>
  <c r="AO46" i="1"/>
  <c r="AK46" i="1"/>
  <c r="AI46" i="1"/>
  <c r="AG46" i="1"/>
  <c r="AD46" i="1"/>
  <c r="AA46" i="1"/>
  <c r="Y46" i="1"/>
  <c r="W46" i="1"/>
  <c r="U46" i="1"/>
  <c r="S46" i="1"/>
  <c r="BL46" i="1" s="1"/>
  <c r="B46" i="1"/>
  <c r="BT45" i="1"/>
  <c r="BS45" i="1"/>
  <c r="BK45" i="1"/>
  <c r="BA45" i="1"/>
  <c r="AY45" i="1"/>
  <c r="AW45" i="1"/>
  <c r="AU45" i="1"/>
  <c r="AS45" i="1"/>
  <c r="AQ45" i="1"/>
  <c r="AO45" i="1"/>
  <c r="AK45" i="1"/>
  <c r="AI45" i="1"/>
  <c r="AG45" i="1"/>
  <c r="AD45" i="1"/>
  <c r="AA45" i="1"/>
  <c r="Y45" i="1"/>
  <c r="W45" i="1"/>
  <c r="U45" i="1"/>
  <c r="S45" i="1"/>
  <c r="BL45" i="1" s="1"/>
  <c r="B45" i="1"/>
  <c r="BT44" i="1"/>
  <c r="BS44" i="1"/>
  <c r="BK44" i="1"/>
  <c r="BA44" i="1"/>
  <c r="AY44" i="1"/>
  <c r="AW44" i="1"/>
  <c r="AU44" i="1"/>
  <c r="AS44" i="1"/>
  <c r="AQ44" i="1"/>
  <c r="AO44" i="1"/>
  <c r="AK44" i="1"/>
  <c r="AI44" i="1"/>
  <c r="AG44" i="1"/>
  <c r="AD44" i="1"/>
  <c r="AA44" i="1"/>
  <c r="Y44" i="1"/>
  <c r="W44" i="1"/>
  <c r="U44" i="1"/>
  <c r="S44" i="1"/>
  <c r="BL44" i="1" s="1"/>
  <c r="B44" i="1"/>
  <c r="BT43" i="1"/>
  <c r="BS43" i="1"/>
  <c r="BK43" i="1"/>
  <c r="BA43" i="1"/>
  <c r="AY43" i="1"/>
  <c r="AW43" i="1"/>
  <c r="AU43" i="1"/>
  <c r="AS43" i="1"/>
  <c r="AQ43" i="1"/>
  <c r="AO43" i="1"/>
  <c r="AK43" i="1"/>
  <c r="AI43" i="1"/>
  <c r="AG43" i="1"/>
  <c r="AD43" i="1"/>
  <c r="AA43" i="1"/>
  <c r="Y43" i="1"/>
  <c r="W43" i="1"/>
  <c r="U43" i="1"/>
  <c r="S43" i="1"/>
  <c r="BL43" i="1" s="1"/>
  <c r="B43" i="1"/>
  <c r="BT42" i="1"/>
  <c r="BS42" i="1"/>
  <c r="BK42" i="1"/>
  <c r="BA42" i="1"/>
  <c r="AY42" i="1"/>
  <c r="AW42" i="1"/>
  <c r="AU42" i="1"/>
  <c r="AS42" i="1"/>
  <c r="AQ42" i="1"/>
  <c r="AO42" i="1"/>
  <c r="AK42" i="1"/>
  <c r="AI42" i="1"/>
  <c r="AG42" i="1"/>
  <c r="AD42" i="1"/>
  <c r="AA42" i="1"/>
  <c r="Y42" i="1"/>
  <c r="W42" i="1"/>
  <c r="U42" i="1"/>
  <c r="S42" i="1"/>
  <c r="BL42" i="1" s="1"/>
  <c r="B42" i="1"/>
  <c r="BT41" i="1"/>
  <c r="BS41" i="1"/>
  <c r="BK41" i="1"/>
  <c r="BA41" i="1"/>
  <c r="AY41" i="1"/>
  <c r="AW41" i="1"/>
  <c r="AU41" i="1"/>
  <c r="AS41" i="1"/>
  <c r="AQ41" i="1"/>
  <c r="AO41" i="1"/>
  <c r="AK41" i="1"/>
  <c r="AI41" i="1"/>
  <c r="AG41" i="1"/>
  <c r="AD41" i="1"/>
  <c r="AA41" i="1"/>
  <c r="Y41" i="1"/>
  <c r="W41" i="1"/>
  <c r="U41" i="1"/>
  <c r="S41" i="1"/>
  <c r="BL41" i="1" s="1"/>
  <c r="B41" i="1"/>
  <c r="BT40" i="1"/>
  <c r="BS40" i="1"/>
  <c r="BK40" i="1"/>
  <c r="BA40" i="1"/>
  <c r="AY40" i="1"/>
  <c r="AW40" i="1"/>
  <c r="AU40" i="1"/>
  <c r="AS40" i="1"/>
  <c r="AQ40" i="1"/>
  <c r="AO40" i="1"/>
  <c r="AK40" i="1"/>
  <c r="AI40" i="1"/>
  <c r="AG40" i="1"/>
  <c r="AD40" i="1"/>
  <c r="AA40" i="1"/>
  <c r="Y40" i="1"/>
  <c r="W40" i="1"/>
  <c r="U40" i="1"/>
  <c r="S40" i="1"/>
  <c r="BL40" i="1" s="1"/>
  <c r="B40" i="1"/>
  <c r="BT39" i="1"/>
  <c r="BS39" i="1"/>
  <c r="BK39" i="1"/>
  <c r="BA39" i="1"/>
  <c r="AY39" i="1"/>
  <c r="AW39" i="1"/>
  <c r="AU39" i="1"/>
  <c r="AS39" i="1"/>
  <c r="AQ39" i="1"/>
  <c r="AO39" i="1"/>
  <c r="AK39" i="1"/>
  <c r="AI39" i="1"/>
  <c r="AG39" i="1"/>
  <c r="AD39" i="1"/>
  <c r="AA39" i="1"/>
  <c r="Y39" i="1"/>
  <c r="W39" i="1"/>
  <c r="U39" i="1"/>
  <c r="S39" i="1"/>
  <c r="BL39" i="1" s="1"/>
  <c r="B39" i="1"/>
  <c r="BT38" i="1"/>
  <c r="BS38" i="1"/>
  <c r="BK38" i="1"/>
  <c r="BA38" i="1"/>
  <c r="AY38" i="1"/>
  <c r="AW38" i="1"/>
  <c r="AU38" i="1"/>
  <c r="AS38" i="1"/>
  <c r="AQ38" i="1"/>
  <c r="AO38" i="1"/>
  <c r="AK38" i="1"/>
  <c r="AI38" i="1"/>
  <c r="AG38" i="1"/>
  <c r="AD38" i="1"/>
  <c r="AA38" i="1"/>
  <c r="Y38" i="1"/>
  <c r="W38" i="1"/>
  <c r="U38" i="1"/>
  <c r="S38" i="1"/>
  <c r="BL38" i="1" s="1"/>
  <c r="B38" i="1"/>
  <c r="BT37" i="1"/>
  <c r="BS37" i="1"/>
  <c r="BK37" i="1"/>
  <c r="BA37" i="1"/>
  <c r="AY37" i="1"/>
  <c r="AW37" i="1"/>
  <c r="AU37" i="1"/>
  <c r="AS37" i="1"/>
  <c r="AQ37" i="1"/>
  <c r="AO37" i="1"/>
  <c r="AK37" i="1"/>
  <c r="AI37" i="1"/>
  <c r="AG37" i="1"/>
  <c r="AD37" i="1"/>
  <c r="AA37" i="1"/>
  <c r="Y37" i="1"/>
  <c r="W37" i="1"/>
  <c r="U37" i="1"/>
  <c r="S37" i="1"/>
  <c r="BL37" i="1" s="1"/>
  <c r="B37" i="1"/>
  <c r="BT36" i="1"/>
  <c r="BS36" i="1"/>
  <c r="BK36" i="1"/>
  <c r="BA36" i="1"/>
  <c r="AY36" i="1"/>
  <c r="AW36" i="1"/>
  <c r="AU36" i="1"/>
  <c r="AS36" i="1"/>
  <c r="AQ36" i="1"/>
  <c r="AO36" i="1"/>
  <c r="AK36" i="1"/>
  <c r="AI36" i="1"/>
  <c r="AG36" i="1"/>
  <c r="AD36" i="1"/>
  <c r="AA36" i="1"/>
  <c r="Y36" i="1"/>
  <c r="W36" i="1"/>
  <c r="U36" i="1"/>
  <c r="S36" i="1"/>
  <c r="BL36" i="1" s="1"/>
  <c r="B36" i="1"/>
  <c r="BT35" i="1"/>
  <c r="BS35" i="1"/>
  <c r="BK35" i="1"/>
  <c r="BA35" i="1"/>
  <c r="AY35" i="1"/>
  <c r="AW35" i="1"/>
  <c r="AU35" i="1"/>
  <c r="AS35" i="1"/>
  <c r="AQ35" i="1"/>
  <c r="AO35" i="1"/>
  <c r="AK35" i="1"/>
  <c r="AI35" i="1"/>
  <c r="AG35" i="1"/>
  <c r="AD35" i="1"/>
  <c r="AA35" i="1"/>
  <c r="Y35" i="1"/>
  <c r="W35" i="1"/>
  <c r="U35" i="1"/>
  <c r="S35" i="1"/>
  <c r="BL35" i="1" s="1"/>
  <c r="B35" i="1"/>
  <c r="BT34" i="1"/>
  <c r="BS34" i="1"/>
  <c r="BK34" i="1"/>
  <c r="BA34" i="1"/>
  <c r="AY34" i="1"/>
  <c r="AW34" i="1"/>
  <c r="AU34" i="1"/>
  <c r="AS34" i="1"/>
  <c r="AQ34" i="1"/>
  <c r="AO34" i="1"/>
  <c r="AK34" i="1"/>
  <c r="AI34" i="1"/>
  <c r="AG34" i="1"/>
  <c r="AD34" i="1"/>
  <c r="AA34" i="1"/>
  <c r="Y34" i="1"/>
  <c r="W34" i="1"/>
  <c r="U34" i="1"/>
  <c r="S34" i="1"/>
  <c r="BL34" i="1" s="1"/>
  <c r="B34" i="1"/>
  <c r="BT33" i="1"/>
  <c r="BS33" i="1"/>
  <c r="BK33" i="1"/>
  <c r="BA33" i="1"/>
  <c r="AY33" i="1"/>
  <c r="AW33" i="1"/>
  <c r="AU33" i="1"/>
  <c r="AS33" i="1"/>
  <c r="AQ33" i="1"/>
  <c r="AO33" i="1"/>
  <c r="AK33" i="1"/>
  <c r="AI33" i="1"/>
  <c r="AG33" i="1"/>
  <c r="AD33" i="1"/>
  <c r="AA33" i="1"/>
  <c r="Y33" i="1"/>
  <c r="W33" i="1"/>
  <c r="U33" i="1"/>
  <c r="S33" i="1"/>
  <c r="BL33" i="1" s="1"/>
  <c r="B33" i="1"/>
  <c r="BT32" i="1"/>
  <c r="BS32" i="1"/>
  <c r="BK32" i="1"/>
  <c r="BA32" i="1"/>
  <c r="AY32" i="1"/>
  <c r="AW32" i="1"/>
  <c r="AU32" i="1"/>
  <c r="AS32" i="1"/>
  <c r="AQ32" i="1"/>
  <c r="AO32" i="1"/>
  <c r="AK32" i="1"/>
  <c r="AI32" i="1"/>
  <c r="AG32" i="1"/>
  <c r="AD32" i="1"/>
  <c r="AA32" i="1"/>
  <c r="Y32" i="1"/>
  <c r="W32" i="1"/>
  <c r="U32" i="1"/>
  <c r="S32" i="1"/>
  <c r="BL32" i="1" s="1"/>
  <c r="B32" i="1"/>
  <c r="BT31" i="1"/>
  <c r="BS31" i="1"/>
  <c r="BK31" i="1"/>
  <c r="BA31" i="1"/>
  <c r="AY31" i="1"/>
  <c r="AW31" i="1"/>
  <c r="AU31" i="1"/>
  <c r="AS31" i="1"/>
  <c r="AQ31" i="1"/>
  <c r="AO31" i="1"/>
  <c r="AK31" i="1"/>
  <c r="AI31" i="1"/>
  <c r="AG31" i="1"/>
  <c r="AD31" i="1"/>
  <c r="AA31" i="1"/>
  <c r="Y31" i="1"/>
  <c r="W31" i="1"/>
  <c r="U31" i="1"/>
  <c r="S31" i="1"/>
  <c r="BL31" i="1" s="1"/>
  <c r="B31" i="1"/>
  <c r="BT30" i="1"/>
  <c r="BS30" i="1"/>
  <c r="BK30" i="1"/>
  <c r="BA30" i="1"/>
  <c r="AY30" i="1"/>
  <c r="AW30" i="1"/>
  <c r="AU30" i="1"/>
  <c r="AS30" i="1"/>
  <c r="AQ30" i="1"/>
  <c r="AO30" i="1"/>
  <c r="AK30" i="1"/>
  <c r="AI30" i="1"/>
  <c r="AG30" i="1"/>
  <c r="AD30" i="1"/>
  <c r="AA30" i="1"/>
  <c r="Y30" i="1"/>
  <c r="W30" i="1"/>
  <c r="U30" i="1"/>
  <c r="S30" i="1"/>
  <c r="BL30" i="1" s="1"/>
  <c r="B30" i="1"/>
  <c r="BT29" i="1"/>
  <c r="BS29" i="1"/>
  <c r="BK29" i="1"/>
  <c r="BA29" i="1"/>
  <c r="AY29" i="1"/>
  <c r="AW29" i="1"/>
  <c r="AU29" i="1"/>
  <c r="AS29" i="1"/>
  <c r="AQ29" i="1"/>
  <c r="AO29" i="1"/>
  <c r="AK29" i="1"/>
  <c r="AI29" i="1"/>
  <c r="AG29" i="1"/>
  <c r="AD29" i="1"/>
  <c r="AA29" i="1"/>
  <c r="Y29" i="1"/>
  <c r="W29" i="1"/>
  <c r="U29" i="1"/>
  <c r="S29" i="1"/>
  <c r="BL29" i="1" s="1"/>
  <c r="B29" i="1"/>
  <c r="BT28" i="1"/>
  <c r="BS28" i="1"/>
  <c r="BK28" i="1"/>
  <c r="BA28" i="1"/>
  <c r="AY28" i="1"/>
  <c r="AW28" i="1"/>
  <c r="AU28" i="1"/>
  <c r="AS28" i="1"/>
  <c r="AQ28" i="1"/>
  <c r="AO28" i="1"/>
  <c r="AK28" i="1"/>
  <c r="AI28" i="1"/>
  <c r="AG28" i="1"/>
  <c r="AD28" i="1"/>
  <c r="AA28" i="1"/>
  <c r="Y28" i="1"/>
  <c r="W28" i="1"/>
  <c r="U28" i="1"/>
  <c r="S28" i="1"/>
  <c r="BL28" i="1" s="1"/>
  <c r="B28" i="1"/>
  <c r="BT27" i="1"/>
  <c r="BS27" i="1"/>
  <c r="BK27" i="1"/>
  <c r="BA27" i="1"/>
  <c r="AY27" i="1"/>
  <c r="AW27" i="1"/>
  <c r="AU27" i="1"/>
  <c r="AS27" i="1"/>
  <c r="AQ27" i="1"/>
  <c r="AO27" i="1"/>
  <c r="AK27" i="1"/>
  <c r="AI27" i="1"/>
  <c r="AG27" i="1"/>
  <c r="AD27" i="1"/>
  <c r="AA27" i="1"/>
  <c r="Y27" i="1"/>
  <c r="W27" i="1"/>
  <c r="U27" i="1"/>
  <c r="S27" i="1"/>
  <c r="BL27" i="1" s="1"/>
  <c r="B27" i="1"/>
  <c r="BT26" i="1"/>
  <c r="BS26" i="1"/>
  <c r="BK26" i="1"/>
  <c r="BA26" i="1"/>
  <c r="AY26" i="1"/>
  <c r="AW26" i="1"/>
  <c r="AU26" i="1"/>
  <c r="AS26" i="1"/>
  <c r="AQ26" i="1"/>
  <c r="AO26" i="1"/>
  <c r="AK26" i="1"/>
  <c r="AI26" i="1"/>
  <c r="AG26" i="1"/>
  <c r="AD26" i="1"/>
  <c r="AA26" i="1"/>
  <c r="Y26" i="1"/>
  <c r="W26" i="1"/>
  <c r="U26" i="1"/>
  <c r="S26" i="1"/>
  <c r="BL26" i="1" s="1"/>
  <c r="B26" i="1"/>
  <c r="BT25" i="1"/>
  <c r="BS25" i="1"/>
  <c r="BK25" i="1"/>
  <c r="BA25" i="1"/>
  <c r="AY25" i="1"/>
  <c r="AW25" i="1"/>
  <c r="AU25" i="1"/>
  <c r="AS25" i="1"/>
  <c r="AQ25" i="1"/>
  <c r="AO25" i="1"/>
  <c r="AK25" i="1"/>
  <c r="AI25" i="1"/>
  <c r="AG25" i="1"/>
  <c r="AD25" i="1"/>
  <c r="AA25" i="1"/>
  <c r="Y25" i="1"/>
  <c r="W25" i="1"/>
  <c r="U25" i="1"/>
  <c r="S25" i="1"/>
  <c r="BL25" i="1" s="1"/>
  <c r="B25" i="1"/>
  <c r="BT24" i="1"/>
  <c r="BS24" i="1"/>
  <c r="BK24" i="1"/>
  <c r="BA24" i="1"/>
  <c r="AY24" i="1"/>
  <c r="AW24" i="1"/>
  <c r="AU24" i="1"/>
  <c r="AS24" i="1"/>
  <c r="AQ24" i="1"/>
  <c r="AO24" i="1"/>
  <c r="AK24" i="1"/>
  <c r="AI24" i="1"/>
  <c r="AG24" i="1"/>
  <c r="AD24" i="1"/>
  <c r="AA24" i="1"/>
  <c r="Y24" i="1"/>
  <c r="W24" i="1"/>
  <c r="U24" i="1"/>
  <c r="S24" i="1"/>
  <c r="BL24" i="1" s="1"/>
  <c r="B24" i="1"/>
  <c r="BT23" i="1"/>
  <c r="BS23" i="1"/>
  <c r="BK23" i="1"/>
  <c r="BA23" i="1"/>
  <c r="AY23" i="1"/>
  <c r="AW23" i="1"/>
  <c r="AU23" i="1"/>
  <c r="AS23" i="1"/>
  <c r="AQ23" i="1"/>
  <c r="AO23" i="1"/>
  <c r="AK23" i="1"/>
  <c r="AI23" i="1"/>
  <c r="AG23" i="1"/>
  <c r="AD23" i="1"/>
  <c r="AA23" i="1"/>
  <c r="Y23" i="1"/>
  <c r="W23" i="1"/>
  <c r="U23" i="1"/>
  <c r="S23" i="1"/>
  <c r="BL23" i="1" s="1"/>
  <c r="B23" i="1"/>
  <c r="BT22" i="1"/>
  <c r="BS22" i="1"/>
  <c r="BK22" i="1"/>
  <c r="BA22" i="1"/>
  <c r="AY22" i="1"/>
  <c r="AW22" i="1"/>
  <c r="AU22" i="1"/>
  <c r="AS22" i="1"/>
  <c r="AQ22" i="1"/>
  <c r="AO22" i="1"/>
  <c r="AK22" i="1"/>
  <c r="AI22" i="1"/>
  <c r="AG22" i="1"/>
  <c r="AD22" i="1"/>
  <c r="AA22" i="1"/>
  <c r="Y22" i="1"/>
  <c r="W22" i="1"/>
  <c r="U22" i="1"/>
  <c r="S22" i="1"/>
  <c r="BL22" i="1" s="1"/>
  <c r="B22" i="1"/>
  <c r="BT21" i="1"/>
  <c r="BS21" i="1"/>
  <c r="BK21" i="1"/>
  <c r="BA21" i="1"/>
  <c r="AY21" i="1"/>
  <c r="AW21" i="1"/>
  <c r="AU21" i="1"/>
  <c r="AS21" i="1"/>
  <c r="AQ21" i="1"/>
  <c r="AO21" i="1"/>
  <c r="AK21" i="1"/>
  <c r="AI21" i="1"/>
  <c r="AG21" i="1"/>
  <c r="AD21" i="1"/>
  <c r="AA21" i="1"/>
  <c r="Y21" i="1"/>
  <c r="W21" i="1"/>
  <c r="U21" i="1"/>
  <c r="S21" i="1"/>
  <c r="BL21" i="1" s="1"/>
  <c r="B21" i="1"/>
  <c r="BT20" i="1"/>
  <c r="BS20" i="1"/>
  <c r="BK20" i="1"/>
  <c r="BA20" i="1"/>
  <c r="AY20" i="1"/>
  <c r="AW20" i="1"/>
  <c r="AU20" i="1"/>
  <c r="AS20" i="1"/>
  <c r="AQ20" i="1"/>
  <c r="AO20" i="1"/>
  <c r="AK20" i="1"/>
  <c r="AI20" i="1"/>
  <c r="AG20" i="1"/>
  <c r="AD20" i="1"/>
  <c r="AA20" i="1"/>
  <c r="Y20" i="1"/>
  <c r="W20" i="1"/>
  <c r="U20" i="1"/>
  <c r="S20" i="1"/>
  <c r="BL20" i="1" s="1"/>
  <c r="B20" i="1"/>
  <c r="BT19" i="1"/>
  <c r="BS19" i="1"/>
  <c r="BK19" i="1"/>
  <c r="BA19" i="1"/>
  <c r="AY19" i="1"/>
  <c r="AW19" i="1"/>
  <c r="AU19" i="1"/>
  <c r="AS19" i="1"/>
  <c r="AQ19" i="1"/>
  <c r="AO19" i="1"/>
  <c r="AK19" i="1"/>
  <c r="AI19" i="1"/>
  <c r="AG19" i="1"/>
  <c r="AD19" i="1"/>
  <c r="AA19" i="1"/>
  <c r="Y19" i="1"/>
  <c r="W19" i="1"/>
  <c r="U19" i="1"/>
  <c r="S19" i="1"/>
  <c r="BL19" i="1" s="1"/>
  <c r="B19" i="1"/>
  <c r="BT18" i="1"/>
  <c r="BS18" i="1"/>
  <c r="BK18" i="1"/>
  <c r="BA18" i="1"/>
  <c r="AY18" i="1"/>
  <c r="AW18" i="1"/>
  <c r="AU18" i="1"/>
  <c r="AS18" i="1"/>
  <c r="AQ18" i="1"/>
  <c r="AO18" i="1"/>
  <c r="AK18" i="1"/>
  <c r="AI18" i="1"/>
  <c r="AG18" i="1"/>
  <c r="AD18" i="1"/>
  <c r="AA18" i="1"/>
  <c r="Y18" i="1"/>
  <c r="W18" i="1"/>
  <c r="U18" i="1"/>
  <c r="S18" i="1"/>
  <c r="BL18" i="1" s="1"/>
  <c r="B18" i="1"/>
  <c r="BT17" i="1"/>
  <c r="BS17" i="1"/>
  <c r="BK17" i="1"/>
  <c r="BA17" i="1"/>
  <c r="AY17" i="1"/>
  <c r="AW17" i="1"/>
  <c r="AU17" i="1"/>
  <c r="AS17" i="1"/>
  <c r="AQ17" i="1"/>
  <c r="AO17" i="1"/>
  <c r="AK17" i="1"/>
  <c r="AI17" i="1"/>
  <c r="AG17" i="1"/>
  <c r="AD17" i="1"/>
  <c r="AA17" i="1"/>
  <c r="Y17" i="1"/>
  <c r="W17" i="1"/>
  <c r="U17" i="1"/>
  <c r="S17" i="1"/>
  <c r="BL17" i="1" s="1"/>
  <c r="B17" i="1"/>
  <c r="BT16" i="1"/>
  <c r="BS16" i="1"/>
  <c r="BK16" i="1"/>
  <c r="BA16" i="1"/>
  <c r="AY16" i="1"/>
  <c r="AW16" i="1"/>
  <c r="AU16" i="1"/>
  <c r="AS16" i="1"/>
  <c r="AQ16" i="1"/>
  <c r="AO16" i="1"/>
  <c r="AK16" i="1"/>
  <c r="AI16" i="1"/>
  <c r="AG16" i="1"/>
  <c r="AD16" i="1"/>
  <c r="AA16" i="1"/>
  <c r="Y16" i="1"/>
  <c r="W16" i="1"/>
  <c r="U16" i="1"/>
  <c r="S16" i="1"/>
  <c r="BL16" i="1" s="1"/>
  <c r="B16" i="1"/>
  <c r="BT15" i="1"/>
  <c r="BS15" i="1"/>
  <c r="BK15" i="1"/>
  <c r="BA15" i="1"/>
  <c r="AY15" i="1"/>
  <c r="AW15" i="1"/>
  <c r="AU15" i="1"/>
  <c r="AS15" i="1"/>
  <c r="AQ15" i="1"/>
  <c r="AO15" i="1"/>
  <c r="AK15" i="1"/>
  <c r="AI15" i="1"/>
  <c r="AG15" i="1"/>
  <c r="AD15" i="1"/>
  <c r="AA15" i="1"/>
  <c r="Y15" i="1"/>
  <c r="W15" i="1"/>
  <c r="U15" i="1"/>
  <c r="S15" i="1"/>
  <c r="BL15" i="1" s="1"/>
  <c r="B15" i="1"/>
  <c r="BT14" i="1"/>
  <c r="BS14" i="1"/>
  <c r="BK14" i="1"/>
  <c r="BA14" i="1"/>
  <c r="AY14" i="1"/>
  <c r="AW14" i="1"/>
  <c r="AU14" i="1"/>
  <c r="AS14" i="1"/>
  <c r="AQ14" i="1"/>
  <c r="AO14" i="1"/>
  <c r="AK14" i="1"/>
  <c r="AI14" i="1"/>
  <c r="AG14" i="1"/>
  <c r="AD14" i="1"/>
  <c r="AA14" i="1"/>
  <c r="Y14" i="1"/>
  <c r="W14" i="1"/>
  <c r="U14" i="1"/>
  <c r="S14" i="1"/>
  <c r="BL14" i="1" s="1"/>
  <c r="B14" i="1"/>
  <c r="BT13" i="1"/>
  <c r="BS13" i="1"/>
  <c r="BK13" i="1"/>
  <c r="BA13" i="1"/>
  <c r="AY13" i="1"/>
  <c r="AW13" i="1"/>
  <c r="AU13" i="1"/>
  <c r="AS13" i="1"/>
  <c r="AQ13" i="1"/>
  <c r="AO13" i="1"/>
  <c r="AK13" i="1"/>
  <c r="AI13" i="1"/>
  <c r="AG13" i="1"/>
  <c r="AD13" i="1"/>
  <c r="AA13" i="1"/>
  <c r="Y13" i="1"/>
  <c r="W13" i="1"/>
  <c r="U13" i="1"/>
  <c r="S13" i="1"/>
  <c r="BL13" i="1" s="1"/>
  <c r="B13" i="1"/>
  <c r="BT12" i="1"/>
  <c r="BS12" i="1"/>
  <c r="BK12" i="1"/>
  <c r="BA12" i="1"/>
  <c r="AY12" i="1"/>
  <c r="AW12" i="1"/>
  <c r="AU12" i="1"/>
  <c r="AS12" i="1"/>
  <c r="AQ12" i="1"/>
  <c r="AO12" i="1"/>
  <c r="AK12" i="1"/>
  <c r="AI12" i="1"/>
  <c r="AG12" i="1"/>
  <c r="AD12" i="1"/>
  <c r="AA12" i="1"/>
  <c r="Y12" i="1"/>
  <c r="W12" i="1"/>
  <c r="U12" i="1"/>
  <c r="S12" i="1"/>
  <c r="BL12" i="1" s="1"/>
  <c r="B12" i="1"/>
  <c r="BT11" i="1"/>
  <c r="BS11" i="1"/>
  <c r="BK11" i="1"/>
  <c r="BA11" i="1"/>
  <c r="AY11" i="1"/>
  <c r="AW11" i="1"/>
  <c r="AU11" i="1"/>
  <c r="AS11" i="1"/>
  <c r="AQ11" i="1"/>
  <c r="AO11" i="1"/>
  <c r="AK11" i="1"/>
  <c r="AI11" i="1"/>
  <c r="AD11" i="1"/>
  <c r="AA11" i="1"/>
  <c r="Y11" i="1"/>
  <c r="W11" i="1"/>
  <c r="U11" i="1"/>
  <c r="S11" i="1"/>
  <c r="BL11" i="1" s="1"/>
  <c r="B11" i="1"/>
  <c r="BT10" i="1"/>
  <c r="BS10" i="1"/>
  <c r="BK10" i="1"/>
  <c r="BA10" i="1"/>
  <c r="AY10" i="1"/>
  <c r="AW10" i="1"/>
  <c r="AU10" i="1"/>
  <c r="AS10" i="1"/>
  <c r="AQ10" i="1"/>
  <c r="AO10" i="1"/>
  <c r="AK10" i="1"/>
  <c r="AI10" i="1"/>
  <c r="AD10" i="1"/>
  <c r="AA10" i="1"/>
  <c r="Y10" i="1"/>
  <c r="W10" i="1"/>
  <c r="U10" i="1"/>
  <c r="S10" i="1"/>
  <c r="BL10" i="1" s="1"/>
  <c r="B10" i="1"/>
  <c r="BT9" i="1"/>
  <c r="BS9" i="1"/>
  <c r="BK9" i="1"/>
  <c r="BA9" i="1"/>
  <c r="AY9" i="1"/>
  <c r="AW9" i="1"/>
  <c r="AU9" i="1"/>
  <c r="AS9" i="1"/>
  <c r="AQ9" i="1"/>
  <c r="AO9" i="1"/>
  <c r="AK9" i="1"/>
  <c r="AI9" i="1"/>
  <c r="AD9" i="1"/>
  <c r="AA9" i="1"/>
  <c r="Y9" i="1"/>
  <c r="W9" i="1"/>
  <c r="U9" i="1"/>
  <c r="S9" i="1"/>
  <c r="B9" i="1"/>
  <c r="BT8" i="1"/>
  <c r="BS8" i="1"/>
  <c r="BK8" i="1"/>
  <c r="BA8" i="1"/>
  <c r="AY8" i="1"/>
  <c r="AW8" i="1"/>
  <c r="AU8" i="1"/>
  <c r="AS8" i="1"/>
  <c r="AQ8" i="1"/>
  <c r="AO8" i="1"/>
  <c r="AK8" i="1"/>
  <c r="AI8" i="1"/>
  <c r="AD8" i="1"/>
  <c r="AA8" i="1"/>
  <c r="Y8" i="1"/>
  <c r="W8" i="1"/>
  <c r="U8" i="1"/>
  <c r="S8" i="1"/>
  <c r="BL8" i="1" s="1"/>
  <c r="B8" i="1"/>
  <c r="BT7" i="1"/>
  <c r="BS7" i="1"/>
  <c r="BK7" i="1"/>
  <c r="BA7" i="1"/>
  <c r="AY7" i="1"/>
  <c r="AW7" i="1"/>
  <c r="AU7" i="1"/>
  <c r="AS7" i="1"/>
  <c r="AQ7" i="1"/>
  <c r="AO7" i="1"/>
  <c r="AK7" i="1"/>
  <c r="AI7" i="1"/>
  <c r="AD7" i="1"/>
  <c r="AA7" i="1"/>
  <c r="Y7" i="1"/>
  <c r="W7" i="1"/>
  <c r="U7" i="1"/>
  <c r="S7" i="1"/>
  <c r="BL7" i="1" s="1"/>
  <c r="B7" i="1"/>
  <c r="BT6" i="1"/>
  <c r="BS6" i="1"/>
  <c r="BK6" i="1"/>
  <c r="BA6" i="1"/>
  <c r="AY6" i="1"/>
  <c r="AW6" i="1"/>
  <c r="AU6" i="1"/>
  <c r="AS6" i="1"/>
  <c r="AQ6" i="1"/>
  <c r="AO6" i="1"/>
  <c r="AK6" i="1"/>
  <c r="AI6" i="1"/>
  <c r="AD6" i="1"/>
  <c r="AA6" i="1"/>
  <c r="Y6" i="1"/>
  <c r="W6" i="1"/>
  <c r="U6" i="1"/>
  <c r="S6" i="1"/>
  <c r="BL6" i="1" s="1"/>
  <c r="B6" i="1"/>
  <c r="BT5" i="1"/>
  <c r="BS5" i="1"/>
  <c r="BK5" i="1"/>
  <c r="BA5" i="1"/>
  <c r="AY5" i="1"/>
  <c r="AW5" i="1"/>
  <c r="AU5" i="1"/>
  <c r="AS5" i="1"/>
  <c r="AQ5" i="1"/>
  <c r="AO5" i="1"/>
  <c r="AK5" i="1"/>
  <c r="AI5" i="1"/>
  <c r="AD5" i="1"/>
  <c r="AA5" i="1"/>
  <c r="Y5" i="1"/>
  <c r="W5" i="1"/>
  <c r="U5" i="1"/>
  <c r="S5" i="1"/>
  <c r="BL5" i="1" s="1"/>
  <c r="B5" i="1"/>
  <c r="BT4" i="1"/>
  <c r="BS4" i="1"/>
  <c r="BK4" i="1"/>
  <c r="BA4" i="1"/>
  <c r="AY4" i="1"/>
  <c r="AW4" i="1"/>
  <c r="AU4" i="1"/>
  <c r="AS4" i="1"/>
  <c r="AQ4" i="1"/>
  <c r="AO4" i="1"/>
  <c r="AK4" i="1"/>
  <c r="AI4" i="1"/>
  <c r="AD4" i="1"/>
  <c r="AA4" i="1"/>
  <c r="Y4" i="1"/>
  <c r="W4" i="1"/>
  <c r="U4" i="1"/>
  <c r="S4" i="1"/>
  <c r="BL4" i="1" s="1"/>
  <c r="B4" i="1"/>
  <c r="BT3" i="1"/>
  <c r="BS3" i="1"/>
  <c r="BK3" i="1"/>
  <c r="BA3" i="1"/>
  <c r="AY3" i="1"/>
  <c r="AW3" i="1"/>
  <c r="AU3" i="1"/>
  <c r="AS3" i="1"/>
  <c r="AQ3" i="1"/>
  <c r="AO3" i="1"/>
  <c r="AK3" i="1"/>
  <c r="AI3" i="1"/>
  <c r="AD3" i="1"/>
  <c r="AA3" i="1"/>
  <c r="Y3" i="1"/>
  <c r="W3" i="1"/>
  <c r="U3" i="1"/>
  <c r="S3" i="1"/>
  <c r="BL3" i="1" s="1"/>
  <c r="B3" i="1"/>
  <c r="BL45" i="5" l="1"/>
  <c r="BL46" i="5"/>
  <c r="BL48" i="5"/>
  <c r="BL49" i="5"/>
  <c r="BL50" i="5"/>
  <c r="Q50" i="5" s="1"/>
  <c r="BL51" i="5"/>
  <c r="Q51" i="5" s="1"/>
  <c r="BL52" i="5"/>
  <c r="BL53" i="5"/>
  <c r="BN53" i="5" s="1"/>
  <c r="BL113" i="5"/>
  <c r="BL115" i="5"/>
  <c r="Q115" i="5" s="1"/>
  <c r="BL116" i="5"/>
  <c r="BL164" i="5"/>
  <c r="Q164" i="5" s="1"/>
  <c r="BL166" i="5"/>
  <c r="Q166" i="5" s="1"/>
  <c r="BL167" i="5"/>
  <c r="BL168" i="5"/>
  <c r="Q168" i="5" s="1"/>
  <c r="BL169" i="5"/>
  <c r="BN169" i="5" s="1"/>
  <c r="BL214" i="5"/>
  <c r="Q214" i="5" s="1"/>
  <c r="BL215" i="5"/>
  <c r="BL86" i="5"/>
  <c r="BL87" i="5"/>
  <c r="BL88" i="5"/>
  <c r="Q88" i="5" s="1"/>
  <c r="BL89" i="5"/>
  <c r="BL90" i="5"/>
  <c r="Q90" i="5" s="1"/>
  <c r="BL170" i="5"/>
  <c r="BN170" i="5" s="1"/>
  <c r="BL171" i="5"/>
  <c r="BL172" i="5"/>
  <c r="BL173" i="5"/>
  <c r="BL174" i="5"/>
  <c r="BL96" i="5"/>
  <c r="Q96" i="5" s="1"/>
  <c r="BL187" i="5"/>
  <c r="BL64" i="5"/>
  <c r="BL95" i="5"/>
  <c r="BN95" i="5" s="1"/>
  <c r="BL3" i="5"/>
  <c r="Q3" i="5" s="1"/>
  <c r="BL6" i="5"/>
  <c r="BN6" i="5" s="1"/>
  <c r="BL7" i="5"/>
  <c r="Q7" i="5" s="1"/>
  <c r="BL10" i="5"/>
  <c r="BN10" i="5" s="1"/>
  <c r="BL37" i="5"/>
  <c r="Q37" i="5" s="1"/>
  <c r="BL65" i="5"/>
  <c r="BL66" i="5"/>
  <c r="BN66" i="5" s="1"/>
  <c r="BL67" i="5"/>
  <c r="Q67" i="5" s="1"/>
  <c r="BL68" i="5"/>
  <c r="BL62" i="5"/>
  <c r="BL69" i="5"/>
  <c r="BL105" i="5"/>
  <c r="BL128" i="5"/>
  <c r="Q128" i="5" s="1"/>
  <c r="BL137" i="5"/>
  <c r="BL194" i="5"/>
  <c r="BN194" i="5" s="1"/>
  <c r="BL195" i="5"/>
  <c r="BN195" i="5" s="1"/>
  <c r="BL196" i="5"/>
  <c r="BL83" i="5"/>
  <c r="Q83" i="5" s="1"/>
  <c r="BL84" i="5"/>
  <c r="BL97" i="5"/>
  <c r="BL98" i="5"/>
  <c r="Q98" i="5" s="1"/>
  <c r="BL99" i="5"/>
  <c r="Q99" i="5" s="1"/>
  <c r="BL100" i="5"/>
  <c r="Q100" i="5" s="1"/>
  <c r="BL111" i="5"/>
  <c r="BN111" i="5" s="1"/>
  <c r="BL112" i="5"/>
  <c r="BL189" i="5"/>
  <c r="BL190" i="5"/>
  <c r="BN190" i="5" s="1"/>
  <c r="BL191" i="5"/>
  <c r="Q191" i="5" s="1"/>
  <c r="BL193" i="5"/>
  <c r="Q193" i="5" s="1"/>
  <c r="BL212" i="5"/>
  <c r="BL213" i="5"/>
  <c r="BL234" i="5"/>
  <c r="BN234" i="5" s="1"/>
  <c r="BL235" i="5"/>
  <c r="BL236" i="5"/>
  <c r="BL315" i="5"/>
  <c r="BL218" i="5"/>
  <c r="BL219" i="5"/>
  <c r="BN219" i="5" s="1"/>
  <c r="BL237" i="5"/>
  <c r="BL319" i="5"/>
  <c r="Q319" i="5" s="1"/>
  <c r="BL321" i="5"/>
  <c r="BN321" i="5" s="1"/>
  <c r="BL322" i="5"/>
  <c r="BN322" i="5" s="1"/>
  <c r="BL325" i="5"/>
  <c r="BL118" i="5"/>
  <c r="BL176" i="5"/>
  <c r="BL177" i="5"/>
  <c r="Q177" i="5" s="1"/>
  <c r="BL240" i="5"/>
  <c r="BN240" i="5" s="1"/>
  <c r="BL323" i="5"/>
  <c r="BL11" i="5"/>
  <c r="Q11" i="5" s="1"/>
  <c r="BL14" i="5"/>
  <c r="BN14" i="5" s="1"/>
  <c r="BL15" i="5"/>
  <c r="Q15" i="5" s="1"/>
  <c r="BL18" i="5"/>
  <c r="BN18" i="5" s="1"/>
  <c r="BL19" i="5"/>
  <c r="Q19" i="5" s="1"/>
  <c r="BL23" i="5"/>
  <c r="Q23" i="5" s="1"/>
  <c r="BL26" i="5"/>
  <c r="BN26" i="5" s="1"/>
  <c r="BL27" i="5"/>
  <c r="Q27" i="5" s="1"/>
  <c r="BL31" i="5"/>
  <c r="Q31" i="5" s="1"/>
  <c r="BL34" i="5"/>
  <c r="BN34" i="5" s="1"/>
  <c r="BL35" i="5"/>
  <c r="Q35" i="5" s="1"/>
  <c r="BL36" i="5"/>
  <c r="BL54" i="5"/>
  <c r="Q54" i="5" s="1"/>
  <c r="BL56" i="5"/>
  <c r="Q56" i="5" s="1"/>
  <c r="BL75" i="5"/>
  <c r="Q75" i="5" s="1"/>
  <c r="BL76" i="5"/>
  <c r="Q76" i="5" s="1"/>
  <c r="BL91" i="5"/>
  <c r="Q91" i="5" s="1"/>
  <c r="BL92" i="5"/>
  <c r="BL119" i="5"/>
  <c r="BL120" i="5"/>
  <c r="BL138" i="5"/>
  <c r="BL139" i="5"/>
  <c r="BN139" i="5" s="1"/>
  <c r="BL140" i="5"/>
  <c r="BL141" i="5"/>
  <c r="BN141" i="5" s="1"/>
  <c r="BL143" i="5"/>
  <c r="BN143" i="5" s="1"/>
  <c r="BL180" i="5"/>
  <c r="BL204" i="5"/>
  <c r="BL205" i="5"/>
  <c r="BL221" i="5"/>
  <c r="BL241" i="5"/>
  <c r="Q241" i="5" s="1"/>
  <c r="BL242" i="5"/>
  <c r="BL243" i="5"/>
  <c r="BL245" i="5"/>
  <c r="BN245" i="5" s="1"/>
  <c r="BL246" i="5"/>
  <c r="BL247" i="5"/>
  <c r="BL249" i="5"/>
  <c r="BL250" i="5"/>
  <c r="BL251" i="5"/>
  <c r="BN251" i="5" s="1"/>
  <c r="BL253" i="5"/>
  <c r="BL254" i="5"/>
  <c r="BL255" i="5"/>
  <c r="Q255" i="5" s="1"/>
  <c r="BL257" i="5"/>
  <c r="BL258" i="5"/>
  <c r="BL259" i="5"/>
  <c r="BL261" i="5"/>
  <c r="BL262" i="5"/>
  <c r="BN262" i="5" s="1"/>
  <c r="BL263" i="5"/>
  <c r="BL265" i="5"/>
  <c r="BL266" i="5"/>
  <c r="BN266" i="5" s="1"/>
  <c r="BL267" i="5"/>
  <c r="BL269" i="5"/>
  <c r="BL270" i="5"/>
  <c r="BL271" i="5"/>
  <c r="BL273" i="5"/>
  <c r="BN273" i="5" s="1"/>
  <c r="BL274" i="5"/>
  <c r="BL275" i="5"/>
  <c r="Q275" i="5" s="1"/>
  <c r="BL277" i="5"/>
  <c r="Q277" i="5" s="1"/>
  <c r="BL278" i="5"/>
  <c r="BL279" i="5"/>
  <c r="BL281" i="5"/>
  <c r="BL282" i="5"/>
  <c r="BL283" i="5"/>
  <c r="BN283" i="5" s="1"/>
  <c r="BL285" i="5"/>
  <c r="BL286" i="5"/>
  <c r="BN286" i="5" s="1"/>
  <c r="BL287" i="5"/>
  <c r="Q287" i="5" s="1"/>
  <c r="BL289" i="5"/>
  <c r="BL290" i="5"/>
  <c r="BL291" i="5"/>
  <c r="BL293" i="5"/>
  <c r="BL294" i="5"/>
  <c r="BN294" i="5" s="1"/>
  <c r="BL295" i="5"/>
  <c r="BL297" i="5"/>
  <c r="BL298" i="5"/>
  <c r="BN298" i="5" s="1"/>
  <c r="BL57" i="5"/>
  <c r="BL58" i="5"/>
  <c r="BL59" i="5"/>
  <c r="Q59" i="5" s="1"/>
  <c r="BL60" i="5"/>
  <c r="BL77" i="5"/>
  <c r="Q77" i="5" s="1"/>
  <c r="BL106" i="5"/>
  <c r="BL107" i="5"/>
  <c r="Q107" i="5" s="1"/>
  <c r="BL108" i="5"/>
  <c r="BN108" i="5" s="1"/>
  <c r="BL121" i="5"/>
  <c r="BL124" i="5"/>
  <c r="BL145" i="5"/>
  <c r="BL146" i="5"/>
  <c r="BN146" i="5" s="1"/>
  <c r="BL147" i="5"/>
  <c r="Q147" i="5" s="1"/>
  <c r="BL148" i="5"/>
  <c r="BL149" i="5"/>
  <c r="Q149" i="5" s="1"/>
  <c r="BL151" i="5"/>
  <c r="BN151" i="5" s="1"/>
  <c r="BL181" i="5"/>
  <c r="BL185" i="5"/>
  <c r="BL206" i="5"/>
  <c r="BL222" i="5"/>
  <c r="Q222" i="5" s="1"/>
  <c r="BL223" i="5"/>
  <c r="Q223" i="5" s="1"/>
  <c r="BL299" i="5"/>
  <c r="BL301" i="5"/>
  <c r="Q301" i="5" s="1"/>
  <c r="BL302" i="5"/>
  <c r="BN302" i="5" s="1"/>
  <c r="BL38" i="5"/>
  <c r="BL40" i="5"/>
  <c r="BL61" i="5"/>
  <c r="BL78" i="5"/>
  <c r="BL79" i="5"/>
  <c r="Q79" i="5" s="1"/>
  <c r="BL80" i="5"/>
  <c r="BL94" i="5"/>
  <c r="Q94" i="5" s="1"/>
  <c r="BL153" i="5"/>
  <c r="BN153" i="5" s="1"/>
  <c r="BL154" i="5"/>
  <c r="BL155" i="5"/>
  <c r="BL156" i="5"/>
  <c r="BL157" i="5"/>
  <c r="Q157" i="5" s="1"/>
  <c r="BL158" i="5"/>
  <c r="BN158" i="5" s="1"/>
  <c r="BL186" i="5"/>
  <c r="BN186" i="5" s="1"/>
  <c r="BL207" i="5"/>
  <c r="Q207" i="5" s="1"/>
  <c r="BL226" i="5"/>
  <c r="BN226" i="5" s="1"/>
  <c r="BL227" i="5"/>
  <c r="BL303" i="5"/>
  <c r="BL305" i="5"/>
  <c r="BL306" i="5"/>
  <c r="BN306" i="5" s="1"/>
  <c r="Q41" i="5"/>
  <c r="BN41" i="5"/>
  <c r="Q62" i="5"/>
  <c r="BN62" i="5"/>
  <c r="Q81" i="5"/>
  <c r="BN81" i="5"/>
  <c r="Q110" i="5"/>
  <c r="BN110" i="5"/>
  <c r="Q65" i="5"/>
  <c r="BN65" i="5"/>
  <c r="Q97" i="5"/>
  <c r="BN97" i="5"/>
  <c r="Q46" i="5"/>
  <c r="BN46" i="5"/>
  <c r="Q113" i="5"/>
  <c r="BN113" i="5"/>
  <c r="Q49" i="5"/>
  <c r="BN49" i="5"/>
  <c r="Q70" i="5"/>
  <c r="BN70" i="5"/>
  <c r="Q86" i="5"/>
  <c r="BN86" i="5"/>
  <c r="Q102" i="5"/>
  <c r="BN102" i="5"/>
  <c r="Q129" i="5"/>
  <c r="BN129" i="5"/>
  <c r="Q197" i="5"/>
  <c r="BN197" i="5"/>
  <c r="Q73" i="5"/>
  <c r="BN73" i="5"/>
  <c r="Q89" i="5"/>
  <c r="BN89" i="5"/>
  <c r="Q118" i="5"/>
  <c r="BN118" i="5"/>
  <c r="Q279" i="5"/>
  <c r="BN279" i="5"/>
  <c r="Q283" i="5"/>
  <c r="Q57" i="5"/>
  <c r="BN57" i="5"/>
  <c r="Q121" i="5"/>
  <c r="BN121" i="5"/>
  <c r="BN145" i="5"/>
  <c r="Q145" i="5"/>
  <c r="Q38" i="5"/>
  <c r="BN38" i="5"/>
  <c r="Q78" i="5"/>
  <c r="BN78" i="5"/>
  <c r="Q66" i="5"/>
  <c r="Q74" i="5"/>
  <c r="BN74" i="5"/>
  <c r="BN138" i="5"/>
  <c r="Q138" i="5"/>
  <c r="Q141" i="5"/>
  <c r="BN164" i="5"/>
  <c r="Q167" i="5"/>
  <c r="BN167" i="5"/>
  <c r="BN168" i="5"/>
  <c r="BN206" i="5"/>
  <c r="Q206" i="5"/>
  <c r="Q315" i="5"/>
  <c r="BN315" i="5"/>
  <c r="Q36" i="5"/>
  <c r="BN36" i="5"/>
  <c r="Q44" i="5"/>
  <c r="BN44" i="5"/>
  <c r="Q52" i="5"/>
  <c r="BN52" i="5"/>
  <c r="Q60" i="5"/>
  <c r="BN60" i="5"/>
  <c r="Q68" i="5"/>
  <c r="BN68" i="5"/>
  <c r="BN76" i="5"/>
  <c r="Q84" i="5"/>
  <c r="BN84" i="5"/>
  <c r="Q92" i="5"/>
  <c r="BN92" i="5"/>
  <c r="BN99" i="5"/>
  <c r="Q106" i="5"/>
  <c r="BN106" i="5"/>
  <c r="Q119" i="5"/>
  <c r="BN119" i="5"/>
  <c r="Q120" i="5"/>
  <c r="BN120" i="5"/>
  <c r="Q169" i="5"/>
  <c r="Q247" i="5"/>
  <c r="BN247" i="5"/>
  <c r="Q251" i="5"/>
  <c r="BN255" i="5"/>
  <c r="Q259" i="5"/>
  <c r="BN259" i="5"/>
  <c r="Q263" i="5"/>
  <c r="BN263" i="5"/>
  <c r="Q267" i="5"/>
  <c r="BN267" i="5"/>
  <c r="Q271" i="5"/>
  <c r="BN271" i="5"/>
  <c r="BN278" i="5"/>
  <c r="Q278" i="5"/>
  <c r="Q82" i="5"/>
  <c r="BN82" i="5"/>
  <c r="Q103" i="5"/>
  <c r="BN103" i="5"/>
  <c r="Q219" i="5"/>
  <c r="BN19" i="5"/>
  <c r="BN35" i="5"/>
  <c r="BN126" i="5"/>
  <c r="Q187" i="5"/>
  <c r="BN187" i="5"/>
  <c r="BL4" i="5"/>
  <c r="BL5" i="5"/>
  <c r="Q6" i="5"/>
  <c r="BL12" i="5"/>
  <c r="BL13" i="5"/>
  <c r="Q14" i="5"/>
  <c r="BL20" i="5"/>
  <c r="BL21" i="5"/>
  <c r="BL28" i="5"/>
  <c r="BL29" i="5"/>
  <c r="BN37" i="5"/>
  <c r="Q45" i="5"/>
  <c r="BN45" i="5"/>
  <c r="Q53" i="5"/>
  <c r="Q61" i="5"/>
  <c r="BN61" i="5"/>
  <c r="Q69" i="5"/>
  <c r="BN69" i="5"/>
  <c r="BL85" i="5"/>
  <c r="BL93" i="5"/>
  <c r="BN107" i="5"/>
  <c r="BL114" i="5"/>
  <c r="BL127" i="5"/>
  <c r="BN128" i="5"/>
  <c r="BN149" i="5"/>
  <c r="Q151" i="5"/>
  <c r="Q171" i="5"/>
  <c r="BN171" i="5"/>
  <c r="Q173" i="5"/>
  <c r="BN173" i="5"/>
  <c r="Q281" i="5"/>
  <c r="BN281" i="5"/>
  <c r="BN282" i="5"/>
  <c r="Q282" i="5"/>
  <c r="Q58" i="5"/>
  <c r="BN58" i="5"/>
  <c r="BN27" i="5"/>
  <c r="BN67" i="5"/>
  <c r="BN75" i="5"/>
  <c r="BL101" i="5"/>
  <c r="Q108" i="5"/>
  <c r="BN115" i="5"/>
  <c r="BL122" i="5"/>
  <c r="BN176" i="5"/>
  <c r="Q176" i="5"/>
  <c r="Q104" i="5"/>
  <c r="BN104" i="5"/>
  <c r="BN51" i="5"/>
  <c r="BN59" i="5"/>
  <c r="BN7" i="5"/>
  <c r="BN15" i="5"/>
  <c r="BL22" i="5"/>
  <c r="BL30" i="5"/>
  <c r="BL109" i="5"/>
  <c r="Q116" i="5"/>
  <c r="BN116" i="5"/>
  <c r="BL123" i="5"/>
  <c r="BL130" i="5"/>
  <c r="BN154" i="5"/>
  <c r="Q154" i="5"/>
  <c r="BN155" i="5"/>
  <c r="Q155" i="5"/>
  <c r="BN157" i="5"/>
  <c r="Q230" i="5"/>
  <c r="BN230" i="5"/>
  <c r="BN137" i="5"/>
  <c r="Q137" i="5"/>
  <c r="BN204" i="5"/>
  <c r="Q204" i="5"/>
  <c r="Q237" i="5"/>
  <c r="BN237" i="5"/>
  <c r="Q111" i="5"/>
  <c r="BL39" i="5"/>
  <c r="Q40" i="5"/>
  <c r="BN40" i="5"/>
  <c r="BL47" i="5"/>
  <c r="Q48" i="5"/>
  <c r="BN48" i="5"/>
  <c r="BL55" i="5"/>
  <c r="BL63" i="5"/>
  <c r="Q64" i="5"/>
  <c r="BN64" i="5"/>
  <c r="BL71" i="5"/>
  <c r="Q72" i="5"/>
  <c r="BN72" i="5"/>
  <c r="Q80" i="5"/>
  <c r="BN80" i="5"/>
  <c r="Q87" i="5"/>
  <c r="BN87" i="5"/>
  <c r="BN88" i="5"/>
  <c r="BL117" i="5"/>
  <c r="Q124" i="5"/>
  <c r="BN124" i="5"/>
  <c r="BL131" i="5"/>
  <c r="BN160" i="5"/>
  <c r="Q160" i="5"/>
  <c r="Q161" i="5"/>
  <c r="BN161" i="5"/>
  <c r="Q201" i="5"/>
  <c r="BN201" i="5"/>
  <c r="Q235" i="5"/>
  <c r="BN235" i="5"/>
  <c r="Q303" i="5"/>
  <c r="BN303" i="5"/>
  <c r="Q42" i="5"/>
  <c r="BN42" i="5"/>
  <c r="BN43" i="5"/>
  <c r="BN83" i="5"/>
  <c r="Q105" i="5"/>
  <c r="BN105" i="5"/>
  <c r="Q112" i="5"/>
  <c r="BN112" i="5"/>
  <c r="BL8" i="5"/>
  <c r="BL9" i="5"/>
  <c r="Q10" i="5"/>
  <c r="BL16" i="5"/>
  <c r="BL17" i="5"/>
  <c r="Q18" i="5"/>
  <c r="BL24" i="5"/>
  <c r="BL25" i="5"/>
  <c r="Q26" i="5"/>
  <c r="BL32" i="5"/>
  <c r="BL33" i="5"/>
  <c r="Q34" i="5"/>
  <c r="Q95" i="5"/>
  <c r="BN96" i="5"/>
  <c r="BL125" i="5"/>
  <c r="BN133" i="5"/>
  <c r="Q133" i="5"/>
  <c r="BN135" i="5"/>
  <c r="Q135" i="5"/>
  <c r="Q181" i="5"/>
  <c r="BN181" i="5"/>
  <c r="Q185" i="5"/>
  <c r="BN185" i="5"/>
  <c r="BN136" i="5"/>
  <c r="Q136" i="5"/>
  <c r="BL144" i="5"/>
  <c r="BL152" i="5"/>
  <c r="BL159" i="5"/>
  <c r="BL175" i="5"/>
  <c r="Q195" i="5"/>
  <c r="Q196" i="5"/>
  <c r="BN196" i="5"/>
  <c r="Q205" i="5"/>
  <c r="BN205" i="5"/>
  <c r="Q215" i="5"/>
  <c r="BN215" i="5"/>
  <c r="BN216" i="5"/>
  <c r="Q249" i="5"/>
  <c r="BN249" i="5"/>
  <c r="BN250" i="5"/>
  <c r="Q250" i="5"/>
  <c r="Q311" i="5"/>
  <c r="BN311" i="5"/>
  <c r="BN132" i="5"/>
  <c r="Q170" i="5"/>
  <c r="Q198" i="5"/>
  <c r="BN198" i="5"/>
  <c r="BN200" i="5"/>
  <c r="Q291" i="5"/>
  <c r="BN291" i="5"/>
  <c r="Q295" i="5"/>
  <c r="BN295" i="5"/>
  <c r="BN140" i="5"/>
  <c r="Q140" i="5"/>
  <c r="BN148" i="5"/>
  <c r="Q148" i="5"/>
  <c r="BN156" i="5"/>
  <c r="Q156" i="5"/>
  <c r="BL162" i="5"/>
  <c r="BL163" i="5"/>
  <c r="BN172" i="5"/>
  <c r="Q172" i="5"/>
  <c r="BL178" i="5"/>
  <c r="BL179" i="5"/>
  <c r="Q180" i="5"/>
  <c r="BN180" i="5"/>
  <c r="Q190" i="5"/>
  <c r="Q221" i="5"/>
  <c r="BN221" i="5"/>
  <c r="Q299" i="5"/>
  <c r="BN299" i="5"/>
  <c r="Q323" i="5"/>
  <c r="BN323" i="5"/>
  <c r="BL188" i="5"/>
  <c r="Q189" i="5"/>
  <c r="BN189" i="5"/>
  <c r="BN222" i="5"/>
  <c r="BL134" i="5"/>
  <c r="BL142" i="5"/>
  <c r="BL150" i="5"/>
  <c r="BL165" i="5"/>
  <c r="BL182" i="5"/>
  <c r="BN193" i="5"/>
  <c r="Q194" i="5"/>
  <c r="BL203" i="5"/>
  <c r="Q212" i="5"/>
  <c r="BN212" i="5"/>
  <c r="Q305" i="5"/>
  <c r="BN305" i="5"/>
  <c r="Q158" i="5"/>
  <c r="BN174" i="5"/>
  <c r="Q174" i="5"/>
  <c r="BL183" i="5"/>
  <c r="BN214" i="5"/>
  <c r="Q228" i="5"/>
  <c r="BN228" i="5"/>
  <c r="Q229" i="5"/>
  <c r="BN229" i="5"/>
  <c r="Q243" i="5"/>
  <c r="BN243" i="5"/>
  <c r="Q245" i="5"/>
  <c r="BN246" i="5"/>
  <c r="Q246" i="5"/>
  <c r="Q307" i="5"/>
  <c r="BN307" i="5"/>
  <c r="BL192" i="5"/>
  <c r="BN236" i="5"/>
  <c r="Q236" i="5"/>
  <c r="BN242" i="5"/>
  <c r="Q242" i="5"/>
  <c r="Q273" i="5"/>
  <c r="BN274" i="5"/>
  <c r="Q274" i="5"/>
  <c r="Q317" i="5"/>
  <c r="BN317" i="5"/>
  <c r="BL184" i="5"/>
  <c r="BL208" i="5"/>
  <c r="BL209" i="5"/>
  <c r="Q217" i="5"/>
  <c r="BN217" i="5"/>
  <c r="Q253" i="5"/>
  <c r="BN253" i="5"/>
  <c r="BN254" i="5"/>
  <c r="Q254" i="5"/>
  <c r="Q285" i="5"/>
  <c r="BN285" i="5"/>
  <c r="BN218" i="5"/>
  <c r="Q218" i="5"/>
  <c r="BL231" i="5"/>
  <c r="BN232" i="5"/>
  <c r="BL238" i="5"/>
  <c r="Q257" i="5"/>
  <c r="BN257" i="5"/>
  <c r="BN258" i="5"/>
  <c r="Q258" i="5"/>
  <c r="Q289" i="5"/>
  <c r="BN289" i="5"/>
  <c r="BN290" i="5"/>
  <c r="Q290" i="5"/>
  <c r="Q309" i="5"/>
  <c r="BN309" i="5"/>
  <c r="BL202" i="5"/>
  <c r="BL210" i="5"/>
  <c r="BL211" i="5"/>
  <c r="BL224" i="5"/>
  <c r="BL225" i="5"/>
  <c r="Q233" i="5"/>
  <c r="BN233" i="5"/>
  <c r="BL239" i="5"/>
  <c r="Q240" i="5"/>
  <c r="Q261" i="5"/>
  <c r="BN261" i="5"/>
  <c r="Q293" i="5"/>
  <c r="BN293" i="5"/>
  <c r="BN191" i="5"/>
  <c r="BL220" i="5"/>
  <c r="Q265" i="5"/>
  <c r="BN265" i="5"/>
  <c r="Q297" i="5"/>
  <c r="BN297" i="5"/>
  <c r="Q313" i="5"/>
  <c r="BN313" i="5"/>
  <c r="BL199" i="5"/>
  <c r="Q213" i="5"/>
  <c r="BN213" i="5"/>
  <c r="Q227" i="5"/>
  <c r="BN227" i="5"/>
  <c r="Q269" i="5"/>
  <c r="BN269" i="5"/>
  <c r="BN270" i="5"/>
  <c r="Q270" i="5"/>
  <c r="BL324" i="5"/>
  <c r="Q325" i="5"/>
  <c r="BN325" i="5"/>
  <c r="BL244" i="5"/>
  <c r="BL248" i="5"/>
  <c r="BL252" i="5"/>
  <c r="BL256" i="5"/>
  <c r="BL260" i="5"/>
  <c r="BL264" i="5"/>
  <c r="BL268" i="5"/>
  <c r="BL272" i="5"/>
  <c r="BL276" i="5"/>
  <c r="BL280" i="5"/>
  <c r="BL284" i="5"/>
  <c r="BL288" i="5"/>
  <c r="BL292" i="5"/>
  <c r="BL296" i="5"/>
  <c r="BL300" i="5"/>
  <c r="BL304" i="5"/>
  <c r="BL308" i="5"/>
  <c r="BL312" i="5"/>
  <c r="BL316" i="5"/>
  <c r="BL320" i="5"/>
  <c r="Q306" i="5"/>
  <c r="Q310" i="5"/>
  <c r="Q314" i="5"/>
  <c r="Q318" i="5"/>
  <c r="Q322" i="5"/>
  <c r="BL329" i="1"/>
  <c r="BL287" i="1"/>
  <c r="BL310" i="1"/>
  <c r="BL190" i="1"/>
  <c r="BL187" i="1"/>
  <c r="BL72" i="1"/>
  <c r="BL312" i="1"/>
  <c r="BL298" i="1"/>
  <c r="BL335" i="1"/>
  <c r="BL216" i="1"/>
  <c r="BL235" i="1"/>
  <c r="BL68" i="1"/>
  <c r="BL192" i="1"/>
  <c r="BL71" i="1"/>
  <c r="BL9" i="1"/>
  <c r="BL204" i="1"/>
  <c r="BL181" i="1"/>
  <c r="BL276" i="1"/>
  <c r="Q343" i="1"/>
  <c r="BN343" i="1"/>
  <c r="BN342" i="1"/>
  <c r="Q342" i="1"/>
  <c r="BN341" i="1"/>
  <c r="Q341" i="1"/>
  <c r="Q340" i="1"/>
  <c r="BN340" i="1"/>
  <c r="Q339" i="1"/>
  <c r="BN339" i="1"/>
  <c r="BN338" i="1"/>
  <c r="Q338" i="1"/>
  <c r="BN337" i="1"/>
  <c r="Q337" i="1"/>
  <c r="BN336" i="1"/>
  <c r="Q336" i="1"/>
  <c r="BN335" i="1"/>
  <c r="Q335" i="1"/>
  <c r="BN334" i="1"/>
  <c r="Q334" i="1"/>
  <c r="BN333" i="1"/>
  <c r="Q333" i="1"/>
  <c r="BN332" i="1"/>
  <c r="Q332" i="1"/>
  <c r="Q331" i="1"/>
  <c r="BN331" i="1"/>
  <c r="Q330" i="1"/>
  <c r="BN330" i="1"/>
  <c r="Q329" i="1"/>
  <c r="BN329" i="1"/>
  <c r="BN328" i="1"/>
  <c r="Q328" i="1"/>
  <c r="Q327" i="1"/>
  <c r="BN327" i="1"/>
  <c r="BN326" i="1"/>
  <c r="Q326" i="1"/>
  <c r="Q325" i="1"/>
  <c r="BN325" i="1"/>
  <c r="BN324" i="1"/>
  <c r="Q324" i="1"/>
  <c r="BN323" i="1"/>
  <c r="Q323" i="1"/>
  <c r="BN322" i="1"/>
  <c r="Q322" i="1"/>
  <c r="BN321" i="1"/>
  <c r="Q321" i="1"/>
  <c r="BN320" i="1"/>
  <c r="Q320" i="1"/>
  <c r="Q319" i="1"/>
  <c r="BN319" i="1"/>
  <c r="BN318" i="1"/>
  <c r="Q318" i="1"/>
  <c r="BN317" i="1"/>
  <c r="Q317" i="1"/>
  <c r="BN316" i="1"/>
  <c r="Q316" i="1"/>
  <c r="Q315" i="1"/>
  <c r="BN315" i="1"/>
  <c r="BN314" i="1"/>
  <c r="Q314" i="1"/>
  <c r="BN313" i="1"/>
  <c r="Q313" i="1"/>
  <c r="Q312" i="1"/>
  <c r="BN312" i="1"/>
  <c r="BN311" i="1"/>
  <c r="Q311" i="1"/>
  <c r="BN310" i="1"/>
  <c r="Q310" i="1"/>
  <c r="BN309" i="1"/>
  <c r="Q309" i="1"/>
  <c r="Q308" i="1"/>
  <c r="BN308" i="1"/>
  <c r="BN307" i="1"/>
  <c r="Q307" i="1"/>
  <c r="Q306" i="1"/>
  <c r="BN306" i="1"/>
  <c r="BN305" i="1"/>
  <c r="Q305" i="1"/>
  <c r="Q304" i="1"/>
  <c r="BN304" i="1"/>
  <c r="BN303" i="1"/>
  <c r="Q303" i="1"/>
  <c r="BN302" i="1"/>
  <c r="Q302" i="1"/>
  <c r="Q301" i="1"/>
  <c r="BN301" i="1"/>
  <c r="BN300" i="1"/>
  <c r="Q300" i="1"/>
  <c r="BN299" i="1"/>
  <c r="Q299" i="1"/>
  <c r="BN297" i="1"/>
  <c r="Q297" i="1"/>
  <c r="BN296" i="1"/>
  <c r="Q296" i="1"/>
  <c r="BN295" i="1"/>
  <c r="Q295" i="1"/>
  <c r="Q294" i="1"/>
  <c r="BN294" i="1"/>
  <c r="BN293" i="1"/>
  <c r="Q293" i="1"/>
  <c r="BN292" i="1"/>
  <c r="Q292" i="1"/>
  <c r="BN291" i="1"/>
  <c r="Q291" i="1"/>
  <c r="BN290" i="1"/>
  <c r="Q290" i="1"/>
  <c r="BN289" i="1"/>
  <c r="Q289" i="1"/>
  <c r="Q288" i="1"/>
  <c r="BN288" i="1"/>
  <c r="BN287" i="1"/>
  <c r="Q287" i="1"/>
  <c r="BN286" i="1"/>
  <c r="Q286" i="1"/>
  <c r="Q285" i="1"/>
  <c r="BN285" i="1"/>
  <c r="BN284" i="1"/>
  <c r="Q284" i="1"/>
  <c r="Q283" i="1"/>
  <c r="BN283" i="1"/>
  <c r="Q282" i="1"/>
  <c r="BN282" i="1"/>
  <c r="BN281" i="1"/>
  <c r="Q281" i="1"/>
  <c r="BN280" i="1"/>
  <c r="Q280" i="1"/>
  <c r="Q279" i="1"/>
  <c r="BN279" i="1"/>
  <c r="Q278" i="1"/>
  <c r="BN278" i="1"/>
  <c r="BN277" i="1"/>
  <c r="Q277" i="1"/>
  <c r="BN275" i="1"/>
  <c r="Q275" i="1"/>
  <c r="BN274" i="1"/>
  <c r="Q274" i="1"/>
  <c r="Q273" i="1"/>
  <c r="BN273" i="1"/>
  <c r="BN272" i="1"/>
  <c r="Q272" i="1"/>
  <c r="Q271" i="1"/>
  <c r="BN271" i="1"/>
  <c r="BN270" i="1"/>
  <c r="Q270" i="1"/>
  <c r="Q269" i="1"/>
  <c r="BN269" i="1"/>
  <c r="Q268" i="1"/>
  <c r="BN268" i="1"/>
  <c r="Q267" i="1"/>
  <c r="BN267" i="1"/>
  <c r="BN266" i="1"/>
  <c r="Q266" i="1"/>
  <c r="Q265" i="1"/>
  <c r="BN265" i="1"/>
  <c r="BN264" i="1"/>
  <c r="Q264" i="1"/>
  <c r="BN263" i="1"/>
  <c r="Q263" i="1"/>
  <c r="BN262" i="1"/>
  <c r="Q262" i="1"/>
  <c r="Q261" i="1"/>
  <c r="BN261" i="1"/>
  <c r="BN260" i="1"/>
  <c r="Q260" i="1"/>
  <c r="Q259" i="1"/>
  <c r="BN259" i="1"/>
  <c r="BN258" i="1"/>
  <c r="Q258" i="1"/>
  <c r="Q257" i="1"/>
  <c r="BN257" i="1"/>
  <c r="Q256" i="1"/>
  <c r="BN256" i="1"/>
  <c r="BN255" i="1"/>
  <c r="Q255" i="1"/>
  <c r="BN254" i="1"/>
  <c r="Q254" i="1"/>
  <c r="BN253" i="1"/>
  <c r="Q253" i="1"/>
  <c r="Q252" i="1"/>
  <c r="BN252" i="1"/>
  <c r="BN251" i="1"/>
  <c r="Q251" i="1"/>
  <c r="BN250" i="1"/>
  <c r="Q250" i="1"/>
  <c r="Q249" i="1"/>
  <c r="BN249" i="1"/>
  <c r="BN248" i="1"/>
  <c r="Q248" i="1"/>
  <c r="BN247" i="1"/>
  <c r="Q247" i="1"/>
  <c r="Q246" i="1"/>
  <c r="BN246" i="1"/>
  <c r="BN245" i="1"/>
  <c r="Q245" i="1"/>
  <c r="BN244" i="1"/>
  <c r="Q244" i="1"/>
  <c r="BN243" i="1"/>
  <c r="Q243" i="1"/>
  <c r="Q242" i="1"/>
  <c r="BN242" i="1"/>
  <c r="Q241" i="1"/>
  <c r="BN241" i="1"/>
  <c r="BN240" i="1"/>
  <c r="Q240" i="1"/>
  <c r="Q239" i="1"/>
  <c r="BN239" i="1"/>
  <c r="BN238" i="1"/>
  <c r="Q238" i="1"/>
  <c r="BN237" i="1"/>
  <c r="Q237" i="1"/>
  <c r="BN236" i="1"/>
  <c r="Q236" i="1"/>
  <c r="Q235" i="1"/>
  <c r="BN235" i="1"/>
  <c r="BN234" i="1"/>
  <c r="Q234" i="1"/>
  <c r="Q233" i="1"/>
  <c r="BN233" i="1"/>
  <c r="BN232" i="1"/>
  <c r="Q232" i="1"/>
  <c r="BN231" i="1"/>
  <c r="Q231" i="1"/>
  <c r="BN230" i="1"/>
  <c r="Q230" i="1"/>
  <c r="Q229" i="1"/>
  <c r="BN229" i="1"/>
  <c r="Q228" i="1"/>
  <c r="BN228" i="1"/>
  <c r="Q227" i="1"/>
  <c r="BN227" i="1"/>
  <c r="BN226" i="1"/>
  <c r="Q226" i="1"/>
  <c r="Q225" i="1"/>
  <c r="BN225" i="1"/>
  <c r="Q224" i="1"/>
  <c r="BN224" i="1"/>
  <c r="BN223" i="1"/>
  <c r="Q223" i="1"/>
  <c r="Q222" i="1"/>
  <c r="BN222" i="1"/>
  <c r="BN221" i="1"/>
  <c r="Q221" i="1"/>
  <c r="Q220" i="1"/>
  <c r="BN220" i="1"/>
  <c r="BN219" i="1"/>
  <c r="Q219" i="1"/>
  <c r="BN218" i="1"/>
  <c r="Q218" i="1"/>
  <c r="Q217" i="1"/>
  <c r="BN217" i="1"/>
  <c r="BN215" i="1"/>
  <c r="Q215" i="1"/>
  <c r="Q214" i="1"/>
  <c r="BN214" i="1"/>
  <c r="Q213" i="1"/>
  <c r="BN213" i="1"/>
  <c r="Q212" i="1"/>
  <c r="BN212" i="1"/>
  <c r="Q211" i="1"/>
  <c r="BN211" i="1"/>
  <c r="BN210" i="1"/>
  <c r="Q210" i="1"/>
  <c r="Q209" i="1"/>
  <c r="BN209" i="1"/>
  <c r="BN208" i="1"/>
  <c r="Q208" i="1"/>
  <c r="Q207" i="1"/>
  <c r="BN207" i="1"/>
  <c r="Q206" i="1"/>
  <c r="BN206" i="1"/>
  <c r="Q205" i="1"/>
  <c r="BN205" i="1"/>
  <c r="Q203" i="1"/>
  <c r="BN203" i="1"/>
  <c r="Q202" i="1"/>
  <c r="BN202" i="1"/>
  <c r="BN201" i="1"/>
  <c r="Q201" i="1"/>
  <c r="BN200" i="1"/>
  <c r="Q200" i="1"/>
  <c r="BN199" i="1"/>
  <c r="Q199" i="1"/>
  <c r="Q198" i="1"/>
  <c r="BN198" i="1"/>
  <c r="Q197" i="1"/>
  <c r="BN197" i="1"/>
  <c r="BN196" i="1"/>
  <c r="Q196" i="1"/>
  <c r="BN195" i="1"/>
  <c r="Q195" i="1"/>
  <c r="BN194" i="1"/>
  <c r="Q194" i="1"/>
  <c r="BN193" i="1"/>
  <c r="Q193" i="1"/>
  <c r="BN192" i="1"/>
  <c r="Q192" i="1"/>
  <c r="BN191" i="1"/>
  <c r="Q191" i="1"/>
  <c r="BN190" i="1"/>
  <c r="Q190" i="1"/>
  <c r="Q189" i="1"/>
  <c r="BN189" i="1"/>
  <c r="BN188" i="1"/>
  <c r="Q188" i="1"/>
  <c r="Q187" i="1"/>
  <c r="BN187" i="1"/>
  <c r="BN186" i="1"/>
  <c r="Q186" i="1"/>
  <c r="BN185" i="1"/>
  <c r="Q185" i="1"/>
  <c r="BN184" i="1"/>
  <c r="Q184" i="1"/>
  <c r="BN183" i="1"/>
  <c r="Q183" i="1"/>
  <c r="BN182" i="1"/>
  <c r="Q182" i="1"/>
  <c r="Q181" i="1"/>
  <c r="BN181" i="1"/>
  <c r="Q180" i="1"/>
  <c r="BN180" i="1"/>
  <c r="BN179" i="1"/>
  <c r="Q179" i="1"/>
  <c r="Q178" i="1"/>
  <c r="BN178" i="1"/>
  <c r="Q177" i="1"/>
  <c r="BN177" i="1"/>
  <c r="BN176" i="1"/>
  <c r="Q176" i="1"/>
  <c r="BN175" i="1"/>
  <c r="Q175" i="1"/>
  <c r="BN174" i="1"/>
  <c r="Q174" i="1"/>
  <c r="BN173" i="1"/>
  <c r="Q173" i="1"/>
  <c r="Q172" i="1"/>
  <c r="BN172" i="1"/>
  <c r="BN171" i="1"/>
  <c r="Q171" i="1"/>
  <c r="Q170" i="1"/>
  <c r="BN170" i="1"/>
  <c r="Q169" i="1"/>
  <c r="BN169" i="1"/>
  <c r="Q168" i="1"/>
  <c r="BN168" i="1"/>
  <c r="Q167" i="1"/>
  <c r="BN167" i="1"/>
  <c r="Q166" i="1"/>
  <c r="BN166" i="1"/>
  <c r="Q165" i="1"/>
  <c r="BN165" i="1"/>
  <c r="BN164" i="1"/>
  <c r="Q164" i="1"/>
  <c r="BN163" i="1"/>
  <c r="Q163" i="1"/>
  <c r="Q162" i="1"/>
  <c r="BN162" i="1"/>
  <c r="BN161" i="1"/>
  <c r="Q161" i="1"/>
  <c r="Q160" i="1"/>
  <c r="BN160" i="1"/>
  <c r="Q159" i="1"/>
  <c r="BN159" i="1"/>
  <c r="Q158" i="1"/>
  <c r="BN158" i="1"/>
  <c r="BN157" i="1"/>
  <c r="Q157" i="1"/>
  <c r="BN156" i="1"/>
  <c r="Q156" i="1"/>
  <c r="Q155" i="1"/>
  <c r="BN155" i="1"/>
  <c r="Q154" i="1"/>
  <c r="BN154" i="1"/>
  <c r="BN153" i="1"/>
  <c r="Q153" i="1"/>
  <c r="Q152" i="1"/>
  <c r="BN152" i="1"/>
  <c r="BN151" i="1"/>
  <c r="Q151" i="1"/>
  <c r="Q150" i="1"/>
  <c r="BN150" i="1"/>
  <c r="Q149" i="1"/>
  <c r="BN149" i="1"/>
  <c r="Q148" i="1"/>
  <c r="BN148" i="1"/>
  <c r="Q147" i="1"/>
  <c r="BN147" i="1"/>
  <c r="BN146" i="1"/>
  <c r="Q146" i="1"/>
  <c r="Q145" i="1"/>
  <c r="BN145" i="1"/>
  <c r="BN144" i="1"/>
  <c r="Q144" i="1"/>
  <c r="Q143" i="1"/>
  <c r="BN143" i="1"/>
  <c r="BN142" i="1"/>
  <c r="Q142" i="1"/>
  <c r="BN141" i="1"/>
  <c r="Q141" i="1"/>
  <c r="BN140" i="1"/>
  <c r="Q140" i="1"/>
  <c r="BN139" i="1"/>
  <c r="Q139" i="1"/>
  <c r="Q138" i="1"/>
  <c r="BN138" i="1"/>
  <c r="BN137" i="1"/>
  <c r="Q137" i="1"/>
  <c r="BN136" i="1"/>
  <c r="Q136" i="1"/>
  <c r="Q135" i="1"/>
  <c r="BN135" i="1"/>
  <c r="BN134" i="1"/>
  <c r="Q134" i="1"/>
  <c r="BN133" i="1"/>
  <c r="Q133" i="1"/>
  <c r="BN132" i="1"/>
  <c r="Q132" i="1"/>
  <c r="BN131" i="1"/>
  <c r="Q131" i="1"/>
  <c r="Q130" i="1"/>
  <c r="BN130" i="1"/>
  <c r="Q129" i="1"/>
  <c r="BN129" i="1"/>
  <c r="BN128" i="1"/>
  <c r="Q128" i="1"/>
  <c r="BN127" i="1"/>
  <c r="Q127" i="1"/>
  <c r="Q126" i="1"/>
  <c r="BN126" i="1"/>
  <c r="Q125" i="1"/>
  <c r="BN125" i="1"/>
  <c r="Q124" i="1"/>
  <c r="BN124" i="1"/>
  <c r="BN123" i="1"/>
  <c r="Q123" i="1"/>
  <c r="BN122" i="1"/>
  <c r="Q122" i="1"/>
  <c r="BN121" i="1"/>
  <c r="Q121" i="1"/>
  <c r="Q120" i="1"/>
  <c r="BN120" i="1"/>
  <c r="BN119" i="1"/>
  <c r="Q119" i="1"/>
  <c r="BN118" i="1"/>
  <c r="Q118" i="1"/>
  <c r="Q117" i="1"/>
  <c r="BN117" i="1"/>
  <c r="BN116" i="1"/>
  <c r="Q116" i="1"/>
  <c r="BN115" i="1"/>
  <c r="Q115" i="1"/>
  <c r="Q114" i="1"/>
  <c r="BN114" i="1"/>
  <c r="BN113" i="1"/>
  <c r="Q113" i="1"/>
  <c r="BN112" i="1"/>
  <c r="Q112" i="1"/>
  <c r="Q111" i="1"/>
  <c r="BN111" i="1"/>
  <c r="BN110" i="1"/>
  <c r="Q110" i="1"/>
  <c r="BN109" i="1"/>
  <c r="Q109" i="1"/>
  <c r="Q108" i="1"/>
  <c r="BN108" i="1"/>
  <c r="BN107" i="1"/>
  <c r="Q107" i="1"/>
  <c r="BN106" i="1"/>
  <c r="Q106" i="1"/>
  <c r="Q105" i="1"/>
  <c r="BN105" i="1"/>
  <c r="Q104" i="1"/>
  <c r="BN104" i="1"/>
  <c r="BN103" i="1"/>
  <c r="Q103" i="1"/>
  <c r="Q102" i="1"/>
  <c r="BN102" i="1"/>
  <c r="Q101" i="1"/>
  <c r="BN101" i="1"/>
  <c r="Q100" i="1"/>
  <c r="BN100" i="1"/>
  <c r="BN99" i="1"/>
  <c r="Q99" i="1"/>
  <c r="Q98" i="1"/>
  <c r="BN98" i="1"/>
  <c r="Q97" i="1"/>
  <c r="BN97" i="1"/>
  <c r="Q96" i="1"/>
  <c r="BN96" i="1"/>
  <c r="BN95" i="1"/>
  <c r="Q95" i="1"/>
  <c r="BN94" i="1"/>
  <c r="Q94" i="1"/>
  <c r="BN93" i="1"/>
  <c r="Q93" i="1"/>
  <c r="Q92" i="1"/>
  <c r="BN92" i="1"/>
  <c r="Q91" i="1"/>
  <c r="BN91" i="1"/>
  <c r="BN90" i="1"/>
  <c r="Q90" i="1"/>
  <c r="Q89" i="1"/>
  <c r="BN89" i="1"/>
  <c r="Q88" i="1"/>
  <c r="BN88" i="1"/>
  <c r="Q87" i="1"/>
  <c r="BN87" i="1"/>
  <c r="Q86" i="1"/>
  <c r="BN86" i="1"/>
  <c r="BN85" i="1"/>
  <c r="Q85" i="1"/>
  <c r="Q84" i="1"/>
  <c r="BN84" i="1"/>
  <c r="BN83" i="1"/>
  <c r="Q83" i="1"/>
  <c r="Q82" i="1"/>
  <c r="BN82" i="1"/>
  <c r="BN81" i="1"/>
  <c r="Q81" i="1"/>
  <c r="Q80" i="1"/>
  <c r="BN80" i="1"/>
  <c r="Q79" i="1"/>
  <c r="BN79" i="1"/>
  <c r="Q78" i="1"/>
  <c r="BN78" i="1"/>
  <c r="BN77" i="1"/>
  <c r="Q77" i="1"/>
  <c r="Q76" i="1"/>
  <c r="BN76" i="1"/>
  <c r="BN75" i="1"/>
  <c r="Q75" i="1"/>
  <c r="BN74" i="1"/>
  <c r="Q74" i="1"/>
  <c r="BN73" i="1"/>
  <c r="Q73" i="1"/>
  <c r="BN72" i="1"/>
  <c r="Q72" i="1"/>
  <c r="BN70" i="1"/>
  <c r="Q70" i="1"/>
  <c r="BN69" i="1"/>
  <c r="Q69" i="1"/>
  <c r="BN67" i="1"/>
  <c r="Q67" i="1"/>
  <c r="BN66" i="1"/>
  <c r="Q66" i="1"/>
  <c r="BN65" i="1"/>
  <c r="Q65" i="1"/>
  <c r="BN64" i="1"/>
  <c r="Q64" i="1"/>
  <c r="BN63" i="1"/>
  <c r="Q63" i="1"/>
  <c r="BN62" i="1"/>
  <c r="Q62" i="1"/>
  <c r="BN61" i="1"/>
  <c r="Q61" i="1"/>
  <c r="BN60" i="1"/>
  <c r="Q60" i="1"/>
  <c r="BN59" i="1"/>
  <c r="Q59" i="1"/>
  <c r="BN58" i="1"/>
  <c r="Q58" i="1"/>
  <c r="BN57" i="1"/>
  <c r="Q57" i="1"/>
  <c r="BN56" i="1"/>
  <c r="Q56" i="1"/>
  <c r="BN55" i="1"/>
  <c r="Q55" i="1"/>
  <c r="BN54" i="1"/>
  <c r="Q54" i="1"/>
  <c r="BN53" i="1"/>
  <c r="Q53" i="1"/>
  <c r="BN52" i="1"/>
  <c r="Q52" i="1"/>
  <c r="BN51" i="1"/>
  <c r="Q51" i="1"/>
  <c r="BN50" i="1"/>
  <c r="Q50" i="1"/>
  <c r="BN49" i="1"/>
  <c r="Q49" i="1"/>
  <c r="BN48" i="1"/>
  <c r="Q48" i="1"/>
  <c r="BN47" i="1"/>
  <c r="Q47" i="1"/>
  <c r="BN46" i="1"/>
  <c r="Q46" i="1"/>
  <c r="BN45" i="1"/>
  <c r="Q45" i="1"/>
  <c r="BN44" i="1"/>
  <c r="Q44" i="1"/>
  <c r="BN43" i="1"/>
  <c r="Q43" i="1"/>
  <c r="BN42" i="1"/>
  <c r="Q42" i="1"/>
  <c r="BN41" i="1"/>
  <c r="Q41" i="1"/>
  <c r="BN40" i="1"/>
  <c r="Q40" i="1"/>
  <c r="BN39" i="1"/>
  <c r="Q39" i="1"/>
  <c r="BN38" i="1"/>
  <c r="Q38" i="1"/>
  <c r="BN37" i="1"/>
  <c r="Q37" i="1"/>
  <c r="BN36" i="1"/>
  <c r="Q36" i="1"/>
  <c r="BN35" i="1"/>
  <c r="Q35" i="1"/>
  <c r="BN34" i="1"/>
  <c r="Q34" i="1"/>
  <c r="BN33" i="1"/>
  <c r="Q33" i="1"/>
  <c r="BN32" i="1"/>
  <c r="Q32" i="1"/>
  <c r="BN31" i="1"/>
  <c r="Q31" i="1"/>
  <c r="BN30" i="1"/>
  <c r="Q30" i="1"/>
  <c r="Q29" i="1"/>
  <c r="BN29" i="1"/>
  <c r="BN28" i="1"/>
  <c r="Q28" i="1"/>
  <c r="Q27" i="1"/>
  <c r="BN27" i="1"/>
  <c r="Q26" i="1"/>
  <c r="BN26" i="1"/>
  <c r="Q25" i="1"/>
  <c r="BN25" i="1"/>
  <c r="Q24" i="1"/>
  <c r="BN24" i="1"/>
  <c r="Q23" i="1"/>
  <c r="BN23" i="1"/>
  <c r="BN22" i="1"/>
  <c r="Q22" i="1"/>
  <c r="Q21" i="1"/>
  <c r="BN21" i="1"/>
  <c r="Q20" i="1"/>
  <c r="BN20" i="1"/>
  <c r="BN19" i="1"/>
  <c r="Q19" i="1"/>
  <c r="BN18" i="1"/>
  <c r="Q18" i="1"/>
  <c r="Q17" i="1"/>
  <c r="BN17" i="1"/>
  <c r="Q16" i="1"/>
  <c r="BN16" i="1"/>
  <c r="BN15" i="1"/>
  <c r="Q15" i="1"/>
  <c r="Q14" i="1"/>
  <c r="BN14" i="1"/>
  <c r="Q13" i="1"/>
  <c r="BN13" i="1"/>
  <c r="BN12" i="1"/>
  <c r="Q12" i="1"/>
  <c r="Q11" i="1"/>
  <c r="BN11" i="1"/>
  <c r="BN10" i="1"/>
  <c r="Q10" i="1"/>
  <c r="Q9" i="1"/>
  <c r="BN9" i="1"/>
  <c r="Q8" i="1"/>
  <c r="BN8" i="1"/>
  <c r="Q7" i="1"/>
  <c r="BN7" i="1"/>
  <c r="BN6" i="1"/>
  <c r="Q6" i="1"/>
  <c r="Q5" i="1"/>
  <c r="BN5" i="1"/>
  <c r="Q4" i="1"/>
  <c r="BN4" i="1"/>
  <c r="Q3" i="1"/>
  <c r="BN3" i="1"/>
  <c r="BN3" i="5" l="1"/>
  <c r="Q298" i="5"/>
  <c r="Q262" i="5"/>
  <c r="BN50" i="5"/>
  <c r="BN79" i="5"/>
  <c r="BN56" i="5"/>
  <c r="BN23" i="5"/>
  <c r="BN177" i="5"/>
  <c r="BN77" i="5"/>
  <c r="BN166" i="5"/>
  <c r="Q234" i="5"/>
  <c r="Q226" i="5"/>
  <c r="BN287" i="5"/>
  <c r="Q143" i="5"/>
  <c r="BN98" i="5"/>
  <c r="BN277" i="5"/>
  <c r="Q153" i="5"/>
  <c r="Q266" i="5"/>
  <c r="Q294" i="5"/>
  <c r="Q321" i="5"/>
  <c r="BN11" i="5"/>
  <c r="BN147" i="5"/>
  <c r="BN100" i="5"/>
  <c r="Q139" i="5"/>
  <c r="Q302" i="5"/>
  <c r="Q286" i="5"/>
  <c r="BN223" i="5"/>
  <c r="BN301" i="5"/>
  <c r="BN241" i="5"/>
  <c r="BN91" i="5"/>
  <c r="Q146" i="5"/>
  <c r="BN90" i="5"/>
  <c r="BN275" i="5"/>
  <c r="BN207" i="5"/>
  <c r="Q186" i="5"/>
  <c r="BN94" i="5"/>
  <c r="BN54" i="5"/>
  <c r="BN319" i="5"/>
  <c r="BN31" i="5"/>
  <c r="BN178" i="5"/>
  <c r="Q178" i="5"/>
  <c r="Q47" i="5"/>
  <c r="BN47" i="5"/>
  <c r="BN320" i="5"/>
  <c r="Q320" i="5"/>
  <c r="BN316" i="5"/>
  <c r="Q316" i="5"/>
  <c r="BN252" i="5"/>
  <c r="Q252" i="5"/>
  <c r="BN142" i="5"/>
  <c r="Q142" i="5"/>
  <c r="BN8" i="5"/>
  <c r="Q8" i="5"/>
  <c r="BN312" i="5"/>
  <c r="Q312" i="5"/>
  <c r="BN280" i="5"/>
  <c r="Q280" i="5"/>
  <c r="BN248" i="5"/>
  <c r="Q248" i="5"/>
  <c r="BN238" i="5"/>
  <c r="Q238" i="5"/>
  <c r="Q209" i="5"/>
  <c r="BN209" i="5"/>
  <c r="Q203" i="5"/>
  <c r="BN203" i="5"/>
  <c r="BN134" i="5"/>
  <c r="Q134" i="5"/>
  <c r="Q179" i="5"/>
  <c r="BN179" i="5"/>
  <c r="Q25" i="5"/>
  <c r="BN25" i="5"/>
  <c r="Q71" i="5"/>
  <c r="BN71" i="5"/>
  <c r="Q114" i="5"/>
  <c r="BN114" i="5"/>
  <c r="BN12" i="5"/>
  <c r="Q12" i="5"/>
  <c r="BN308" i="5"/>
  <c r="Q308" i="5"/>
  <c r="Q192" i="5"/>
  <c r="BN192" i="5"/>
  <c r="BN24" i="5"/>
  <c r="Q24" i="5"/>
  <c r="BN220" i="5"/>
  <c r="Q220" i="5"/>
  <c r="BN184" i="5"/>
  <c r="Q184" i="5"/>
  <c r="Q131" i="5"/>
  <c r="BN131" i="5"/>
  <c r="Q122" i="5"/>
  <c r="BN122" i="5"/>
  <c r="Q5" i="5"/>
  <c r="BN5" i="5"/>
  <c r="BN300" i="5"/>
  <c r="Q300" i="5"/>
  <c r="BN268" i="5"/>
  <c r="Q268" i="5"/>
  <c r="Q211" i="5"/>
  <c r="BN211" i="5"/>
  <c r="BN152" i="5"/>
  <c r="Q152" i="5"/>
  <c r="Q17" i="5"/>
  <c r="BN17" i="5"/>
  <c r="Q63" i="5"/>
  <c r="BN63" i="5"/>
  <c r="BN30" i="5"/>
  <c r="Q30" i="5"/>
  <c r="BN28" i="5"/>
  <c r="Q28" i="5"/>
  <c r="BN4" i="5"/>
  <c r="Q4" i="5"/>
  <c r="Q109" i="5"/>
  <c r="BN109" i="5"/>
  <c r="BN272" i="5"/>
  <c r="Q272" i="5"/>
  <c r="Q231" i="5"/>
  <c r="BN231" i="5"/>
  <c r="Q159" i="5"/>
  <c r="BN159" i="5"/>
  <c r="BN296" i="5"/>
  <c r="Q296" i="5"/>
  <c r="BN264" i="5"/>
  <c r="Q264" i="5"/>
  <c r="BN324" i="5"/>
  <c r="Q324" i="5"/>
  <c r="BN210" i="5"/>
  <c r="Q210" i="5"/>
  <c r="Q182" i="5"/>
  <c r="BN182" i="5"/>
  <c r="Q163" i="5"/>
  <c r="BN163" i="5"/>
  <c r="BN144" i="5"/>
  <c r="Q144" i="5"/>
  <c r="BN16" i="5"/>
  <c r="Q16" i="5"/>
  <c r="Q39" i="5"/>
  <c r="BN39" i="5"/>
  <c r="Q93" i="5"/>
  <c r="BN93" i="5"/>
  <c r="Q21" i="5"/>
  <c r="BN21" i="5"/>
  <c r="BN276" i="5"/>
  <c r="Q276" i="5"/>
  <c r="Q175" i="5"/>
  <c r="BN175" i="5"/>
  <c r="BN304" i="5"/>
  <c r="Q304" i="5"/>
  <c r="BN224" i="5"/>
  <c r="Q224" i="5"/>
  <c r="Q29" i="5"/>
  <c r="BN29" i="5"/>
  <c r="BN292" i="5"/>
  <c r="Q292" i="5"/>
  <c r="BN260" i="5"/>
  <c r="Q260" i="5"/>
  <c r="Q199" i="5"/>
  <c r="BN199" i="5"/>
  <c r="Q239" i="5"/>
  <c r="BN239" i="5"/>
  <c r="BN202" i="5"/>
  <c r="Q202" i="5"/>
  <c r="Q165" i="5"/>
  <c r="BN165" i="5"/>
  <c r="BN188" i="5"/>
  <c r="Q188" i="5"/>
  <c r="BN162" i="5"/>
  <c r="Q162" i="5"/>
  <c r="Q33" i="5"/>
  <c r="BN33" i="5"/>
  <c r="Q117" i="5"/>
  <c r="BN117" i="5"/>
  <c r="Q130" i="5"/>
  <c r="BN130" i="5"/>
  <c r="BN22" i="5"/>
  <c r="Q22" i="5"/>
  <c r="Q85" i="5"/>
  <c r="BN85" i="5"/>
  <c r="BN20" i="5"/>
  <c r="Q20" i="5"/>
  <c r="Q225" i="5"/>
  <c r="BN225" i="5"/>
  <c r="BN288" i="5"/>
  <c r="Q288" i="5"/>
  <c r="BN256" i="5"/>
  <c r="Q256" i="5"/>
  <c r="BN150" i="5"/>
  <c r="Q150" i="5"/>
  <c r="BN32" i="5"/>
  <c r="Q32" i="5"/>
  <c r="Q9" i="5"/>
  <c r="BN9" i="5"/>
  <c r="Q55" i="5"/>
  <c r="BN55" i="5"/>
  <c r="Q123" i="5"/>
  <c r="BN123" i="5"/>
  <c r="Q101" i="5"/>
  <c r="BN101" i="5"/>
  <c r="BN244" i="5"/>
  <c r="Q244" i="5"/>
  <c r="BN208" i="5"/>
  <c r="Q208" i="5"/>
  <c r="BN284" i="5"/>
  <c r="Q284" i="5"/>
  <c r="Q183" i="5"/>
  <c r="BN183" i="5"/>
  <c r="Q125" i="5"/>
  <c r="BN125" i="5"/>
  <c r="Q127" i="5"/>
  <c r="BN127" i="5"/>
  <c r="Q13" i="5"/>
  <c r="BN13" i="5"/>
  <c r="Q298" i="1"/>
  <c r="BN298" i="1"/>
  <c r="Q216" i="1"/>
  <c r="BN216" i="1"/>
  <c r="BN68" i="1"/>
  <c r="Q68" i="1"/>
  <c r="BN71" i="1"/>
  <c r="Q71" i="1"/>
  <c r="BN204" i="1"/>
  <c r="Q204" i="1"/>
  <c r="Q276" i="1"/>
  <c r="BN27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E6E38F-E08C-4B74-93F9-75ED3AF865F6}" keepAlive="1" name="Consulta - BD_Cod" description="Conexión a la consulta 'BD_Cod' en el libro." type="5" refreshedVersion="8" background="1" saveData="1">
    <dbPr connection="Provider=Microsoft.Mashup.OleDb.1;Data Source=$Workbook$;Location=BD_Cod;Extended Properties=&quot;&quot;" command="SELECT * FROM [BD_Cod]"/>
  </connection>
</connections>
</file>

<file path=xl/sharedStrings.xml><?xml version="1.0" encoding="utf-8"?>
<sst xmlns="http://schemas.openxmlformats.org/spreadsheetml/2006/main" count="9036" uniqueCount="919">
  <si>
    <t>SKU</t>
  </si>
  <si>
    <t>Descripción</t>
  </si>
  <si>
    <t>Especie</t>
  </si>
  <si>
    <t>Variedad</t>
  </si>
  <si>
    <t>Manejo</t>
  </si>
  <si>
    <t>Calibre</t>
  </si>
  <si>
    <t>Calidad</t>
  </si>
  <si>
    <t>Familia Calidad</t>
  </si>
  <si>
    <t>Formato</t>
  </si>
  <si>
    <t>Envase</t>
  </si>
  <si>
    <t>PSP/PTT</t>
  </si>
  <si>
    <t>Agrupa</t>
  </si>
  <si>
    <t>PRODUCTO</t>
  </si>
  <si>
    <t>Precio Odoo</t>
  </si>
  <si>
    <t>AR HB Conv. &gt;12 mm IQF A 13,61 kg en Caja</t>
  </si>
  <si>
    <t>Arándano</t>
  </si>
  <si>
    <t>HB</t>
  </si>
  <si>
    <t>Conv.</t>
  </si>
  <si>
    <t>&gt;12 mm</t>
  </si>
  <si>
    <t>IQF A</t>
  </si>
  <si>
    <t>PTT</t>
  </si>
  <si>
    <t>13,61 kg</t>
  </si>
  <si>
    <t>Caja</t>
  </si>
  <si>
    <t>Arándano HB Conv. PPT</t>
  </si>
  <si>
    <t>AR HB Conv.</t>
  </si>
  <si>
    <t>AR HB Conv. &gt;12 mm IQF B 13,61 kg en Caja</t>
  </si>
  <si>
    <t>&gt;11 mm</t>
  </si>
  <si>
    <t>IQF B</t>
  </si>
  <si>
    <t>AR RY Conv. &gt;12 mm IQF A 13,61 kg en Caja</t>
  </si>
  <si>
    <t>RY</t>
  </si>
  <si>
    <t>Arándano RY Conv. PPT</t>
  </si>
  <si>
    <t>AR RY Conv.</t>
  </si>
  <si>
    <t>AR RY Conv. &gt;12 mm IQF B 13,61 kg en Caja</t>
  </si>
  <si>
    <t>AR HB Org. &gt;12 mm IQF A 13,61 kg en Caja</t>
  </si>
  <si>
    <t>Org.</t>
  </si>
  <si>
    <t>Arándano HB Org. PPT</t>
  </si>
  <si>
    <t>AR HB Org.</t>
  </si>
  <si>
    <t>AR HB Org. &gt;12 mm IQF B 13,61 kg en Caja</t>
  </si>
  <si>
    <t>AR RY Org. &gt;12 mm IQF A 13,61 kg en Caja</t>
  </si>
  <si>
    <t>Arándano RY Org. PPT</t>
  </si>
  <si>
    <t>AR RY Org.</t>
  </si>
  <si>
    <t>AR RY Org. &gt;11 mm IQF B 13,61 kg en Caja</t>
  </si>
  <si>
    <t>FB MK Conv. &gt;12 mm IQF A 4x2,5 kg en Caja</t>
  </si>
  <si>
    <t>Frambuesa</t>
  </si>
  <si>
    <t>MK</t>
  </si>
  <si>
    <t>4x2,5 kg</t>
  </si>
  <si>
    <t>Frambuesa MK Conv. PPT</t>
  </si>
  <si>
    <t>FB MK Conv.</t>
  </si>
  <si>
    <t>FB WF Conv. &gt;12 mm IQF A 4x2,5 kg en Caja</t>
  </si>
  <si>
    <t>WF</t>
  </si>
  <si>
    <t>FB WF Conv.</t>
  </si>
  <si>
    <t>FB MK Org. &gt;12 mm IQF A 4x2,5 kg en Caja</t>
  </si>
  <si>
    <t>FB MK Org.</t>
  </si>
  <si>
    <t>FB WF Org. &gt;12 mm IQF A 4x2,5 kg en Caja</t>
  </si>
  <si>
    <t>Frambuesa WF Org. PPT</t>
  </si>
  <si>
    <t>FB WF Org.</t>
  </si>
  <si>
    <t>FB MK Conv. &gt;12 mm IQF A 1x10 kg en Caja</t>
  </si>
  <si>
    <t>1x10 kg</t>
  </si>
  <si>
    <t>FB WF Conv. &gt;12 mm IQF A 1x10 kg en Caja</t>
  </si>
  <si>
    <t>FB MK Conv. &gt;12 mm IQF B 1x10 kg en Caja</t>
  </si>
  <si>
    <t>FB MK Conv. &lt;12 mm IQF A 1x10 kg en Caja</t>
  </si>
  <si>
    <t>&lt;12 mm</t>
  </si>
  <si>
    <t>FB MK Conv. &lt;12 mm IQF B 1x10 kg en Caja</t>
  </si>
  <si>
    <t>MORA S/V Conv. S/C IQF A 1x10 kg en Caja</t>
  </si>
  <si>
    <t>Mora</t>
  </si>
  <si>
    <t>S/V</t>
  </si>
  <si>
    <t>S/C</t>
  </si>
  <si>
    <t>Mora SV Conv. PPT</t>
  </si>
  <si>
    <t>MORA S/V Conv.</t>
  </si>
  <si>
    <t>MORA S/V Conv. S/C IQF B 1x10 kg en Caja</t>
  </si>
  <si>
    <t>AR HB Conv. &gt;11 mm IQF STANDARD 13,61 kg en Caja</t>
  </si>
  <si>
    <t>IQF STANDARD</t>
  </si>
  <si>
    <t>AR HB Conv. 11 a 15mm IQF A 13,61 kg en Caja</t>
  </si>
  <si>
    <t>11 a 15mm</t>
  </si>
  <si>
    <t>AR HB Org. 11 a 15mm IQF A 13,61 kg en Caja</t>
  </si>
  <si>
    <t>AR HB Org. &gt;11 mm IQF STANDARD 13,61 kg en Caja</t>
  </si>
  <si>
    <t>AR RY Conv. &gt;11 mm IQF STANDARD 13,61 kg en Caja</t>
  </si>
  <si>
    <t>FB S/V Conv. S/C Crumble Limpio 13,61 kg en Caja</t>
  </si>
  <si>
    <t>Crumble Limpio</t>
  </si>
  <si>
    <t>AR HB Conv. 10-15 mm IQF A 13,61 kg en Caja</t>
  </si>
  <si>
    <t>10-15 mm</t>
  </si>
  <si>
    <t>AR HB Conv. &lt;10 mm IQF A 13,61 kg en Caja</t>
  </si>
  <si>
    <t>&lt;10 mm</t>
  </si>
  <si>
    <t>AR HB Conv. &gt;15 mm IQF A 13,61 kg en Caja</t>
  </si>
  <si>
    <t>&gt;15 mm</t>
  </si>
  <si>
    <t>AR HB Org. &lt;10 mm IQF A 13,61 kg en Caja</t>
  </si>
  <si>
    <t>AR HB Org. &gt;15 mm IQF A 13,61 kg en Caja</t>
  </si>
  <si>
    <t>FB WF Org. &gt;12 mm IQF A 1x10 kg en Caja</t>
  </si>
  <si>
    <t>FB HE Org. &gt;12 mm IQF A 4x2,5 kg en Caja</t>
  </si>
  <si>
    <t>HE</t>
  </si>
  <si>
    <t>Frambuesa HE Org. PPT</t>
  </si>
  <si>
    <t>FB HE Org.</t>
  </si>
  <si>
    <t>Creative Gourmet Blueberries 8x300 g</t>
  </si>
  <si>
    <t>Creative Gourmet</t>
  </si>
  <si>
    <t>Blueberries</t>
  </si>
  <si>
    <t>Retail</t>
  </si>
  <si>
    <t>8x300 g</t>
  </si>
  <si>
    <t>Retail AR Conv.</t>
  </si>
  <si>
    <t>Entyce Blueberries Cultivated 1x10 kg</t>
  </si>
  <si>
    <t>Entyce Blueberries Cultivated</t>
  </si>
  <si>
    <t>Creative Gourmet Blueberries 10x900 g</t>
  </si>
  <si>
    <t>10x900g</t>
  </si>
  <si>
    <t>FB WH Conv. &gt;12 mm IQF A 1x10 Kg en Caja</t>
  </si>
  <si>
    <t>WH</t>
  </si>
  <si>
    <t>1x10 Kg</t>
  </si>
  <si>
    <t>Frambuesa WH Conv. PPT</t>
  </si>
  <si>
    <t>FB WH Conv.</t>
  </si>
  <si>
    <t>FB WH Org. &gt;12 mm IQF A 1x10 Kg en Caja</t>
  </si>
  <si>
    <t>Frambuesa WH Org. PPT</t>
  </si>
  <si>
    <t>FB WH Org.</t>
  </si>
  <si>
    <t>MORA S/V Org. S/C IQF A 1x10 kg en Caja</t>
  </si>
  <si>
    <t>Mora SV Org. PSP</t>
  </si>
  <si>
    <t xml:space="preserve">Blueberry Retail 1Kg </t>
  </si>
  <si>
    <t>Blueberries Retail</t>
  </si>
  <si>
    <t>10x1 Kg</t>
  </si>
  <si>
    <t>Triple Berry Mix Retail</t>
  </si>
  <si>
    <t>Triple Berry Mix</t>
  </si>
  <si>
    <t>Berries</t>
  </si>
  <si>
    <t>15x0,5kg</t>
  </si>
  <si>
    <t>Mix Conv. PPT</t>
  </si>
  <si>
    <t>Triple Berry Mix.</t>
  </si>
  <si>
    <t>Triple Berries Block</t>
  </si>
  <si>
    <t>Block</t>
  </si>
  <si>
    <t>Mix Conv. PSP</t>
  </si>
  <si>
    <t>Triple Berry Mix Retail por Borrar</t>
  </si>
  <si>
    <t>Por Borrar</t>
  </si>
  <si>
    <t>AR HB Conv. 12-16 mm IQF A 13,61 kg en Caja</t>
  </si>
  <si>
    <t>12-16 mm</t>
  </si>
  <si>
    <t>FRUTILLA S/V Conv. S/C IQF A 13,61 kg en Caja</t>
  </si>
  <si>
    <t>Frutilla</t>
  </si>
  <si>
    <t>FT SV Conv. PPT</t>
  </si>
  <si>
    <t>Frutilla Conv.</t>
  </si>
  <si>
    <t>MORA S/V Conv. S/C IQF A 13,61 kg en Caja</t>
  </si>
  <si>
    <t>PPT</t>
  </si>
  <si>
    <t xml:space="preserve">13,61 kg </t>
  </si>
  <si>
    <t>AR HB Conv. &lt;13 mm IQF A 13,61 kg en Caja</t>
  </si>
  <si>
    <t>&lt;13 mm</t>
  </si>
  <si>
    <t>Arándano HB Conv. PSP</t>
  </si>
  <si>
    <t>AR HB Org. &lt;12 mm PSP 13,61 kg en Caja</t>
  </si>
  <si>
    <t>PSP</t>
  </si>
  <si>
    <t>AR HB Conv. &lt;12 mm PSP 13,61 kg en Caja</t>
  </si>
  <si>
    <t>AR HB Org. &gt;11 mm PSP 13,61 kg en Caja</t>
  </si>
  <si>
    <t>Arándano HB Org. PSP</t>
  </si>
  <si>
    <t>AR HB Conv. &gt;12 mm IQF A+ 13,61 kg en Caja</t>
  </si>
  <si>
    <t>IQF A+</t>
  </si>
  <si>
    <t>AR RY Conv. &gt;15 mm IQF A 13,61 kg en Caja</t>
  </si>
  <si>
    <t>AR RY Org. &gt;15 mm IQF A 13,61 kg en Caja</t>
  </si>
  <si>
    <t>AR RY Conv. 10-15 mm IQF A 13,61 kg en Caja</t>
  </si>
  <si>
    <t>Tropical Maria Special Selection 25x400g</t>
  </si>
  <si>
    <t>Tropical MArándanoia</t>
  </si>
  <si>
    <t>DUKE</t>
  </si>
  <si>
    <t>&gt;14 mm</t>
  </si>
  <si>
    <t>25X400G</t>
  </si>
  <si>
    <t>AR HB Conv. &gt;14 mm IQF A 13,61 kg en Caja</t>
  </si>
  <si>
    <t>AR HB Conv. 10-13 mm IQF A 13,61 kg en Caja</t>
  </si>
  <si>
    <t>10-13 mm</t>
  </si>
  <si>
    <t>AR RY Conv. &gt;14 mm IQF A 13,61 kg en Caja</t>
  </si>
  <si>
    <t>AR RY Conv. 10-13 mm IQF A 13,61 kg en Caja</t>
  </si>
  <si>
    <t>Tropical Maria 25x400g X BAJO PESO</t>
  </si>
  <si>
    <t>Bajo Peso</t>
  </si>
  <si>
    <t>Blueberry Retail Patagon Foods 10x1 kg</t>
  </si>
  <si>
    <t>&gt;12</t>
  </si>
  <si>
    <t>Mix Berries Retail Patagon Foods 10x1 kg</t>
  </si>
  <si>
    <t>Mora IQF-A para retail</t>
  </si>
  <si>
    <t>MORA S/V Conv. PSP</t>
  </si>
  <si>
    <t>AR HB Conv. &gt;12 mm IQF A 10 kg en Caja</t>
  </si>
  <si>
    <t>10KG</t>
  </si>
  <si>
    <t>Frambuesa Retail Best Chef 20x500grs</t>
  </si>
  <si>
    <t>20x500g</t>
  </si>
  <si>
    <t>Frambuesa Retail Greenfield 20x500grs</t>
  </si>
  <si>
    <t>Frambuesa Retail Tropical Maria 20x500grs</t>
  </si>
  <si>
    <t>Arandano Retail Best Chef 20x500grs</t>
  </si>
  <si>
    <t>FB HE Conv. &gt;12 mm IQF A 4x2,5 kg en Caja</t>
  </si>
  <si>
    <t>Frambuesa HE Conv. PPT</t>
  </si>
  <si>
    <t>FB HE Conv.</t>
  </si>
  <si>
    <t>FRUTILLA S/V Org. S/C IQF A 13,61 kg en Caja</t>
  </si>
  <si>
    <t>FT SV Org. PPT</t>
  </si>
  <si>
    <t>Frutilla Org.</t>
  </si>
  <si>
    <t>MORA S/V Org. S/C IQF A 13,61 kg en Caja</t>
  </si>
  <si>
    <t>Mora SV Org. PPT</t>
  </si>
  <si>
    <t>MORA S/V Org.</t>
  </si>
  <si>
    <t>MORA S/V Org. S/C IQF B 12 kg en Caja</t>
  </si>
  <si>
    <t xml:space="preserve">12 kg </t>
  </si>
  <si>
    <t>FB S/V Org. &gt;12 mm IQF B 1x10 kg en Caja</t>
  </si>
  <si>
    <t>10 KG</t>
  </si>
  <si>
    <t>CAJA</t>
  </si>
  <si>
    <t>Frambuesa MK Org. PPT</t>
  </si>
  <si>
    <t>MORA S/V Conv. S/C IQF B 13,61 kg en Caja</t>
  </si>
  <si>
    <t>FB HE Org. &gt;12 mm IQF A 10 kg en Caja</t>
  </si>
  <si>
    <t>10 kg</t>
  </si>
  <si>
    <t>Frambuesa HE Org.PPT</t>
  </si>
  <si>
    <t>AR HB DUKE Conv. &gt;12 mm IQF A 13,61 kg en Caja</t>
  </si>
  <si>
    <t>Duke</t>
  </si>
  <si>
    <t>Arándano HB DUKE Conv. PPT</t>
  </si>
  <si>
    <t>AR HB DUKE Conv.</t>
  </si>
  <si>
    <t>AR HB DUKE Conv. &gt;12 mm IQF B 13,61 kg en Caja</t>
  </si>
  <si>
    <t>AR HB DUKE Org. &gt;12 mm IQF A 13,61 kg en Caja</t>
  </si>
  <si>
    <t>Arándano HB DUKE Org. PPT</t>
  </si>
  <si>
    <t>AR HB DUKE Org.</t>
  </si>
  <si>
    <t>AR HB DUKE Org. &gt;12 mm IQF B 13,61 kg en Caja</t>
  </si>
  <si>
    <t>AR HB DUKE Conv. &lt;11 mm IQF A 13,61 kg en Caja</t>
  </si>
  <si>
    <t>&lt;11 mm</t>
  </si>
  <si>
    <t>AR HB DUKE Conv. &lt;11 mm IQF B 13,61 kg en Caja</t>
  </si>
  <si>
    <t>Arándano HB DUKE Conv. PSP</t>
  </si>
  <si>
    <t>AR HB DUKE Org. &lt;11 mm IQF A 13,61 kg en Caja</t>
  </si>
  <si>
    <t>Arándano HB DUKE Org. PSP</t>
  </si>
  <si>
    <t>AR HB DUKE Org. &lt;11 mm IQF B 13,61 kg en Caja</t>
  </si>
  <si>
    <t>Creative Gourmet Raspberries 8x300 g</t>
  </si>
  <si>
    <t>Raspberries</t>
  </si>
  <si>
    <t>Creative Gourmet Mixed Berries 10x900 g</t>
  </si>
  <si>
    <t>Mix Frutos Rojos Greenfarms</t>
  </si>
  <si>
    <t>Mix</t>
  </si>
  <si>
    <t>Frutos Rojos</t>
  </si>
  <si>
    <t>AR HB CONV. 10-13mm IQF B 13,61kg en Caja</t>
  </si>
  <si>
    <t>10-13mm</t>
  </si>
  <si>
    <t>AR HB Org. 10-13mm IQF B 13,61kg en Caja</t>
  </si>
  <si>
    <t>AR HB Conv. &gt;12 mm IQF A 13 kg en Caja</t>
  </si>
  <si>
    <t>13 KG</t>
  </si>
  <si>
    <t>AR HB Conv. &gt;12 mm IQF B 13 kg en Caja</t>
  </si>
  <si>
    <t>AR HB Conv. &lt;12 mm PSP 13 kg en Caja</t>
  </si>
  <si>
    <t>AR RY Conv. 10-13 mm IQF B 13,61kg en Caja</t>
  </si>
  <si>
    <t>FB WF Org. &gt;12 mm IQF B 4x2,5 kg en Caja</t>
  </si>
  <si>
    <t>AR HB Conv. &gt;12 mm IQF A 13,61 kg en Caja LVR</t>
  </si>
  <si>
    <t>AR HB Org. 10-13mm IQF A 13,61kg en Caja</t>
  </si>
  <si>
    <t>AR RY Org. 10-13mm IQF A 13,61kg En Caja</t>
  </si>
  <si>
    <t>AR RY Org. 10-13mm IQF B 13,61kg En Caja</t>
  </si>
  <si>
    <t>AR HB DUKE Org. 10-13mm IQF A 13,61 kg en Caja</t>
  </si>
  <si>
    <t>Arándano HB DUKE Org. PTT</t>
  </si>
  <si>
    <t>AR HB DUKE Org. 10-13mm IQF B 13,61 kg en Caja</t>
  </si>
  <si>
    <t>AR HB DUKE Conv. 10-13mm IQF A 13,61 kg en Caja</t>
  </si>
  <si>
    <t>AR HB DUKE Conv. 10-13mm IQF B 13,61 kg en Caja</t>
  </si>
  <si>
    <t>AR HB DUKE Org. &gt;14 IQF A 13,61 kg en Caja</t>
  </si>
  <si>
    <t>&gt;14</t>
  </si>
  <si>
    <t>AR HB DUKE Conv. &gt;14 IQF A 13,61 kg en Caja</t>
  </si>
  <si>
    <t>Bueno Farms Blueberry Retail 100grs</t>
  </si>
  <si>
    <t>100x10grs</t>
  </si>
  <si>
    <t>Bueno Farms Raspberry Retail 100grs</t>
  </si>
  <si>
    <t>Chocolate dipped Conventional raspberries - white and milk chocolate</t>
  </si>
  <si>
    <t>Chocolate dipped Conventional raspberries - white and dark chocolate</t>
  </si>
  <si>
    <t>Arandano Retail GreenFarms 10x1kg</t>
  </si>
  <si>
    <t>Frambuesa entera GreenFarms 10x1kg</t>
  </si>
  <si>
    <t>frambuesa</t>
  </si>
  <si>
    <t>Triple Mix Berries Conv. Alto Trading 1x10</t>
  </si>
  <si>
    <t>IQF</t>
  </si>
  <si>
    <t>N/A</t>
  </si>
  <si>
    <t>AR Retail Alto Trading 10x1kg</t>
  </si>
  <si>
    <t>CR S/V Conv. 18 &gt;mm IQF A 1Kg</t>
  </si>
  <si>
    <t>Cereza</t>
  </si>
  <si>
    <t>&gt;18mm</t>
  </si>
  <si>
    <t>1kg</t>
  </si>
  <si>
    <t>AR RY Org. &gt;12 mm IQF A 10 kg en Caja</t>
  </si>
  <si>
    <t>MORA S/V Org. S/C IQF A 12 kg en Caja</t>
  </si>
  <si>
    <t>FB S/V  Org.  IQF A 4x2,5 kg en Caja</t>
  </si>
  <si>
    <t>AR HB Conv. &lt;11 mm IQF A 13,61 kg en Caja</t>
  </si>
  <si>
    <t>AR HB Conv. &lt;11 mm IQF B 13,61 kg en Caja</t>
  </si>
  <si>
    <t>AR HB Conv. &lt;11 mm PSP 13,61 kg en Caja</t>
  </si>
  <si>
    <t>CR S/V Conv. 18 &gt;mm IQF B 1Kg</t>
  </si>
  <si>
    <t>1KG</t>
  </si>
  <si>
    <t>Triple Mix Berries Convencional 20x500grs</t>
  </si>
  <si>
    <t>MIX</t>
  </si>
  <si>
    <t>TRIPLE MIX S/V CONV. PTT</t>
  </si>
  <si>
    <t>Triple mix</t>
  </si>
  <si>
    <t>Blueberries Convencional 20x500grs</t>
  </si>
  <si>
    <t>Arándano Conv. PPT</t>
  </si>
  <si>
    <t>AR HB Conv. &gt;11 mm PSP 13,61 kg en Caja</t>
  </si>
  <si>
    <t>AR RY Conv. &lt;11 mm IQF A 13,61 kg en Caja</t>
  </si>
  <si>
    <t>Arándano RY Conv. PSP</t>
  </si>
  <si>
    <t>AR RY Conv. &lt;11 mm IQF B 13,61 kg en Caja</t>
  </si>
  <si>
    <t>AR RY Conv. &lt;11 mm PSP 13,61 kg en Caja</t>
  </si>
  <si>
    <t>AR RY Conv. &gt;11 mm PSP 13,61 kg en Caja</t>
  </si>
  <si>
    <t>AR HB Org. &lt;11 mm IQF A 13,61 kg en Caja</t>
  </si>
  <si>
    <t>AR HB Org. &lt;11 mm IQF B 13,61 kg en Caja</t>
  </si>
  <si>
    <t>AR HB Org. &lt;11 mm PSP 13,61 kg en Caja</t>
  </si>
  <si>
    <t>FB HE CONV. &gt;12mm IQF A 10 kg en Caja</t>
  </si>
  <si>
    <t>iqF A</t>
  </si>
  <si>
    <t>AR HB Org. &gt;12 mm PSP 13,61 kg en Caja</t>
  </si>
  <si>
    <t>AR RY Org. &lt;11 mm IQF A 13,61 kg en Caja</t>
  </si>
  <si>
    <t>Arándano RY Org. PSP</t>
  </si>
  <si>
    <t>AR RY Org. &lt;11 mm IQF B 13,61 kg en Caja</t>
  </si>
  <si>
    <t>AR RY Org. &lt;12 mm PSP 13,61 kg en Caja</t>
  </si>
  <si>
    <t>AR RY Org. &gt;11 mm PSP 13,61 kg en Caja</t>
  </si>
  <si>
    <t>FB MK Conv. S/C PSP 10 kg en Caja</t>
  </si>
  <si>
    <t>Frambuesa MK Conv. PSP</t>
  </si>
  <si>
    <t>FB MK Org. S/C PSP 10 kg en Caja</t>
  </si>
  <si>
    <t>Frambuesa MK Org. PSP</t>
  </si>
  <si>
    <t>FB WF Conv. S/C PSP 10 kg en Caja</t>
  </si>
  <si>
    <t>Frambuesa WF Conv. PSP</t>
  </si>
  <si>
    <t>FB WF Org. S/C PSP 10 kg en Caja</t>
  </si>
  <si>
    <t>Frambuesa WF Org. PSP</t>
  </si>
  <si>
    <t>FB HE Conv. S/C PSP 10 kg en Caja</t>
  </si>
  <si>
    <t>Frambuesa HE Conv .PSP</t>
  </si>
  <si>
    <t>FB HE Org. S/C PSP 10 kg en Caja</t>
  </si>
  <si>
    <t>Frambuesa HE Org.PSP</t>
  </si>
  <si>
    <t>FB MK Conv. S/C IQF A 10 kg en Caja</t>
  </si>
  <si>
    <t>FB MK Org. S/C IQF A 10 kg en Caja</t>
  </si>
  <si>
    <t>FB WF Conv. S/C IQF A 10 kg en Caja</t>
  </si>
  <si>
    <t>FB WF Org. S/C IQF A 10 kg en Caja</t>
  </si>
  <si>
    <t>FB HE Conv. S/C IQF A 10 kg en Caja</t>
  </si>
  <si>
    <t>FB MK Conv. S/C IQF Congelado en Bandeja</t>
  </si>
  <si>
    <t>Congelado</t>
  </si>
  <si>
    <t>Bandeja</t>
  </si>
  <si>
    <t>FB HE Conv. S/C IQF Congelado en Bandeja</t>
  </si>
  <si>
    <t>Frambuesa HE Conv. PSP</t>
  </si>
  <si>
    <t>AR HB Conv. S/C IQF Congelado en Bandeja</t>
  </si>
  <si>
    <t>AR RY Conv. S/C IQF Congelado en Bandeja</t>
  </si>
  <si>
    <t>FB MK Org. S/C IQF Congelado en Bandeja</t>
  </si>
  <si>
    <t>FB HE Org. S/C IQF Congelado en Bandeja</t>
  </si>
  <si>
    <t>Frambuesa HE Org. PSP</t>
  </si>
  <si>
    <t>AR HB Org. S/C IQF Congelado en Bandeja</t>
  </si>
  <si>
    <t>AR RY Org. S/C IQF Congelado en Bandeja</t>
  </si>
  <si>
    <t>FB MK Conv. S/C Block Congelado en Bandeja</t>
  </si>
  <si>
    <t>FB HE Conv. S/C Block Congelado en Bandeja</t>
  </si>
  <si>
    <t>AR HB Conv. S/C Block Congelado en Bandeja</t>
  </si>
  <si>
    <t>AR RY Conv. S/C Block Congelado en Bandeja</t>
  </si>
  <si>
    <t>FB MK Org. S/C Block Congelado en Bandeja</t>
  </si>
  <si>
    <t>FB HE Org. S/C Block Congelado en Bandeja</t>
  </si>
  <si>
    <t>AR HB Org. S/C Block Congelado en Bandeja</t>
  </si>
  <si>
    <t>AR RY Org. S/C Block Congelado en Bandeja</t>
  </si>
  <si>
    <t>FB WF Org. S/C IQF Congelado en Bandeja</t>
  </si>
  <si>
    <t>FB WF Org. S/C Block Congelado en Bandeja</t>
  </si>
  <si>
    <t>FB WF Conv. S/C IQF Congelado en Bandeja</t>
  </si>
  <si>
    <t>FB WF Conv. S/C Block Congelado en Bandeja</t>
  </si>
  <si>
    <t>FB WF Conv. S/C IQF B 10 kg en Caja</t>
  </si>
  <si>
    <t>MORA S/V Conv. S/C IQF Congelado en Bandeja</t>
  </si>
  <si>
    <t>Mora SV Conv. PSP</t>
  </si>
  <si>
    <t>FB MK Conv. S/C IQF B 10 kg en Caja</t>
  </si>
  <si>
    <t>FB WH Conv. S/C IQF Congelado en Bandeja</t>
  </si>
  <si>
    <t>Frambuesa WH Conv. PSP</t>
  </si>
  <si>
    <t>FB WH Conv. S/C PSP 10 Kg en Caja</t>
  </si>
  <si>
    <t>10 Kg</t>
  </si>
  <si>
    <t>FB WH Org. S/C IQF Congelado en Bandeja</t>
  </si>
  <si>
    <t>Frambuesa WH Org.. PSP</t>
  </si>
  <si>
    <t>FB WH Org. S/C PSP 10 Kg en Caja</t>
  </si>
  <si>
    <t>MORA S/V Org. S/C Block 10 kg en Caja</t>
  </si>
  <si>
    <t>Subproducto</t>
  </si>
  <si>
    <t>MORA S/V Org. S/C IQF Congelado en Bandeja</t>
  </si>
  <si>
    <t>FB S/V ORG S/C Hongos Y Restos Vegetales 10KG en caja</t>
  </si>
  <si>
    <t>RESTOS</t>
  </si>
  <si>
    <t>Frambuesa S/V Org. PSP</t>
  </si>
  <si>
    <t>Mora S/V Org. S/C PSP 12 Kg en Caja</t>
  </si>
  <si>
    <t>12 Kg</t>
  </si>
  <si>
    <t>MORA S/V Org. PSP</t>
  </si>
  <si>
    <t>Mora S/V Org. S/C PSP 10 Kg en Caja</t>
  </si>
  <si>
    <t>Mora S/V Conv. S/C PSP 10 Kg en Caja</t>
  </si>
  <si>
    <t>MORA S/V Conv. S/C Block 12 kg en Caja</t>
  </si>
  <si>
    <t>12 kg</t>
  </si>
  <si>
    <t>MORA S/V Conv. S/C Block Sortex 12 kg en Caja</t>
  </si>
  <si>
    <t>MORA S/V Conv. S/C Pulpa piso</t>
  </si>
  <si>
    <t>AR HB DUKE Conv. S/C IQF Congelado en Bandeja</t>
  </si>
  <si>
    <t>AR HB DUKE Org. S/C IQF Congelado en Bandeja</t>
  </si>
  <si>
    <t>AR HB DUKE Conv. S/C Block Congelado en Bandeja</t>
  </si>
  <si>
    <t>AR HB DUKE Org. S/C Block Congelado en Bandeja</t>
  </si>
  <si>
    <t>AR HB Conv. 10-13 mm PSP 13,61 kg en Caja</t>
  </si>
  <si>
    <t>AR HB Org. 10-13 mm PSP 13,61 kg en Caja</t>
  </si>
  <si>
    <t>Mora S/V Conv. S/C PSP 13,61 Kg en Caja</t>
  </si>
  <si>
    <t>AR HB Conv. 10-13 mm PSP 13 kg en Caja</t>
  </si>
  <si>
    <t>AR HB Conv. PSP FSJ 13,61 kg en Caja</t>
  </si>
  <si>
    <t>AR RY Conv. PSP FSJ 13,61 kg en Caja</t>
  </si>
  <si>
    <t>AR HB DUKE Org. &gt;11 mm PSP 13,61 kg en Caja</t>
  </si>
  <si>
    <t>AR HB DUKE Conv. &gt;11 mm PSP 13,61 kg en Caja</t>
  </si>
  <si>
    <t>MORA S/V Org. S/C Block 13,61 kg en Caja</t>
  </si>
  <si>
    <t>MORA S/V Org. S/C Pulpa piso 12 kg en Caja</t>
  </si>
  <si>
    <t>MORA S/V Org. S/C Block Sortex 13,61kg en Caja</t>
  </si>
  <si>
    <t>MORA S/V Conv. S/C Block Sortex 13,61kg en Caja</t>
  </si>
  <si>
    <t>MORA S/V Conv. S/C Block 13,61 kg en Caja</t>
  </si>
  <si>
    <t>MORA S/V Conv. S/C PSP 12 Kg en Caja</t>
  </si>
  <si>
    <t>AR S/V Conv. S/C Block 13,61 kg en Caja</t>
  </si>
  <si>
    <t>AR S/V Conv. S/C Block Bins en Bins</t>
  </si>
  <si>
    <t>Bins</t>
  </si>
  <si>
    <t>AR S/V Org. S/C Block 13,61 kg en Caja</t>
  </si>
  <si>
    <t>AR S/V Org. S/C Block Bins en Bins</t>
  </si>
  <si>
    <t>FB S/V Conv. S/C Crumble 10 kg en Caja</t>
  </si>
  <si>
    <t>Crumble</t>
  </si>
  <si>
    <t>FB S/V Conv. S/C Block 10 kg en Caja</t>
  </si>
  <si>
    <t>FB S/V Conv. S/C Block Bins en Bins</t>
  </si>
  <si>
    <t>FB S/V Org. S/C Crumble 10 kg en Caja</t>
  </si>
  <si>
    <t>FB S/V Org. S/C Block 10 kg en Caja</t>
  </si>
  <si>
    <t>FB S/V Org. S/C Block Bins en Bins</t>
  </si>
  <si>
    <t>MORA S/V Conv. S/C Block 10 kg en Caja</t>
  </si>
  <si>
    <t>AR S/V N/A S/C Jugo Bins en Bins</t>
  </si>
  <si>
    <t>Jugo</t>
  </si>
  <si>
    <t>AR Pulpa Piso Conv. S/C N/A Caja en Caja</t>
  </si>
  <si>
    <t>Pulpa Piso</t>
  </si>
  <si>
    <t>AR Pulpa Piso Org. S/C N/A Caja en Caja</t>
  </si>
  <si>
    <t>FB Pulpa Piso Conv. S/C N/A Caja en Caja</t>
  </si>
  <si>
    <t>FB Pulpa Piso Org. S/C N/A Caja en Caja</t>
  </si>
  <si>
    <t>FB MK Conv. S/C Whole and Broken 10 kg en Caja</t>
  </si>
  <si>
    <t>Whole and Broken</t>
  </si>
  <si>
    <t>FB WF Org. S/C Whole and Broken 10 kg en Caja</t>
  </si>
  <si>
    <t>AR HB Conv. S/C Pulpa 13,61 kg en Caja</t>
  </si>
  <si>
    <t>AR HB Org. S/C Pulpa 13,61 kg en Caja</t>
  </si>
  <si>
    <t>AR S/V Org. S/C Calidad Jugo 13,61 kg en Caja</t>
  </si>
  <si>
    <t>Calidad Jugo</t>
  </si>
  <si>
    <t>AR S/V Conv. S/C Calidad Jugo 13,61 kg en Caja</t>
  </si>
  <si>
    <t>AR S/V Conv. S/C Block Sortex 13,61 kg en Caja</t>
  </si>
  <si>
    <t>FB S/V CONV. S/C HONGOS Y RESTOS VEGETALES 10KG EN CAJA</t>
  </si>
  <si>
    <t>Frambuesa S/V Conv. PSP</t>
  </si>
  <si>
    <t>Mora S/V Conv. S/C Hongos y Restos Vegetales 10kg en caja</t>
  </si>
  <si>
    <t>Mora S/V Org. S/C Hongos y Restos Vegetales 10kg en caja</t>
  </si>
  <si>
    <t>Pulpa Piso Mix Berries Retail Patagon Foods 10x1 kg</t>
  </si>
  <si>
    <t>AR S/V Org. S/C Block Sortex 13,61 kg en Caja</t>
  </si>
  <si>
    <t>FB S/V Conv. S/C Calidad Jugo 13,61 kg en Caja</t>
  </si>
  <si>
    <t>FB MK Conv. S/C Whole and Broken 13,61 kg en Caja</t>
  </si>
  <si>
    <t>FB S/V Conv. S/C Block Sortex 10 kg en Caja</t>
  </si>
  <si>
    <t>AR S/V Org. S/C Block Limpio 13,61 kg en Caja</t>
  </si>
  <si>
    <t>AR S/V CONV. S/C HONGOS Y RESTOS VEGETALES 13,61KG EN CAJA</t>
  </si>
  <si>
    <t>Desecho Vegetal</t>
  </si>
  <si>
    <t>Arándano HB Conv. Kg S/P</t>
  </si>
  <si>
    <t>AR HB DUKE Conv. S/C Pulpa 13,61 kg en Caja</t>
  </si>
  <si>
    <t>AR HB DUKE Org. S/C Pulpa 13,61 kg en Caja</t>
  </si>
  <si>
    <t>AR HB DUKE Conv. S/C Block 13,61 kg en Caja</t>
  </si>
  <si>
    <t>AR HB DUKE Org. S/C Block 13,61 kg en Caja</t>
  </si>
  <si>
    <t>AR HB DUKE Conv. S/C Block Sortex 13,61 kg en Caja</t>
  </si>
  <si>
    <t>AR HB DUKE Org. S/C Block Sortex 13,61 kg en Caja</t>
  </si>
  <si>
    <t>AR S/V Org. S/C HONGOS Y RESTOS VEGETALES 13,61KG EN CAJA</t>
  </si>
  <si>
    <t>Arándano HB Org. Kg S/P</t>
  </si>
  <si>
    <t>AR S/V Conv. S/C Block Sortex 13 kg en Caja</t>
  </si>
  <si>
    <t>AR S/V Conv. S/C Block 13 kg en Caja</t>
  </si>
  <si>
    <t>AR S/V Conv. S/C Calidad Jugo 13 kg en Caja</t>
  </si>
  <si>
    <t>AR S/V CONV. S/C HONGOS Y RESTOS VEGETALES 13 KG EN CAJA</t>
  </si>
  <si>
    <t>FB MK Conv. IQF en Bandeja</t>
  </si>
  <si>
    <t>MP</t>
  </si>
  <si>
    <t>Frambuesa MK Conv. Kg S/P</t>
  </si>
  <si>
    <t>FB HE Conv. IQF en Bandeja</t>
  </si>
  <si>
    <t>Frambuesa HE Conv. Kg S/P</t>
  </si>
  <si>
    <t>AR HB Conv. IQF en Bandeja</t>
  </si>
  <si>
    <t>AR RY Conv. IQF en Bandeja</t>
  </si>
  <si>
    <t>Arándano RY Conv. Kg S/P</t>
  </si>
  <si>
    <t>FB MK Org. IQF en Bandeja</t>
  </si>
  <si>
    <t>Frambuesa MK Org. Kg S/P</t>
  </si>
  <si>
    <t>FB HE Org. IQF en Bandeja</t>
  </si>
  <si>
    <t>Frambuesa HE Org. Kg S/P</t>
  </si>
  <si>
    <t>AR HB Org. IQF en Bandeja</t>
  </si>
  <si>
    <t>AR RY Org. IQF en Bandeja</t>
  </si>
  <si>
    <t>Arándano RY Org. Kg S/P</t>
  </si>
  <si>
    <t>FB MK Conv. Block en Bandeja</t>
  </si>
  <si>
    <t>FB HE Conv. Block en Bandeja</t>
  </si>
  <si>
    <t>AR HB Conv. Block en Bandeja</t>
  </si>
  <si>
    <t>AR RY Conv. Block en Bandeja</t>
  </si>
  <si>
    <t>FB MK Org. Block en Bandeja</t>
  </si>
  <si>
    <t>FB HE Org. Block en Bandeja</t>
  </si>
  <si>
    <t>AR HB Org. Block en Bandeja</t>
  </si>
  <si>
    <t>AR RY Org. Block en Bandeja</t>
  </si>
  <si>
    <t>AR HB Conv. IQF en Bandeja Lavado</t>
  </si>
  <si>
    <t>Bandeja Lavado</t>
  </si>
  <si>
    <t>Arándano Lavado PSP</t>
  </si>
  <si>
    <t>AR RY Conv. IQF en Bandeja Lavado</t>
  </si>
  <si>
    <t>AR HB Org. IQF en Bandeja Lavado</t>
  </si>
  <si>
    <t>AR RY Org. IQF en Bandeja Lavado</t>
  </si>
  <si>
    <t>Arándano RY Org. Kg Lavado</t>
  </si>
  <si>
    <t>AR HB Conv. Block en Bandeja Lavado</t>
  </si>
  <si>
    <t>Arándano HB Org. Kg Lavado</t>
  </si>
  <si>
    <t>AR RY Conv. Block en Bandeja Lavado</t>
  </si>
  <si>
    <t>Arándano RY Conv. Kg Lavado</t>
  </si>
  <si>
    <t>AR HB Org. Block en Bandeja Lavado</t>
  </si>
  <si>
    <t>AR RY Org. Block en Bandeja Lavado</t>
  </si>
  <si>
    <t>FB WF Org. IQF en Bandeja</t>
  </si>
  <si>
    <t>Frambuesa WF Org. Kg S/P</t>
  </si>
  <si>
    <t>FB WF Org. Block en Bandeja</t>
  </si>
  <si>
    <t>FB WF Conv. IQF en Bandeja</t>
  </si>
  <si>
    <t>Frambuesa WF Conv. Kg S/P</t>
  </si>
  <si>
    <t>FB WF Conv. Block en Bandeja</t>
  </si>
  <si>
    <t>MORA S/V Conv. IQF en Bandeja</t>
  </si>
  <si>
    <t>Mora SV Conv. Kg S/P</t>
  </si>
  <si>
    <t>Merma Lavado AR Organico</t>
  </si>
  <si>
    <t xml:space="preserve">Merma </t>
  </si>
  <si>
    <t>Merma Lavado AR Convencional</t>
  </si>
  <si>
    <t>Merma Congelado AR Organico</t>
  </si>
  <si>
    <t>Merma Congelado AR Convencional</t>
  </si>
  <si>
    <t>Merma Congelado FB Organica</t>
  </si>
  <si>
    <t>Merma Congelado FB Convencional</t>
  </si>
  <si>
    <t>Merma Vaciado AR Organico</t>
  </si>
  <si>
    <t>Merma Vaciado AR Convencional</t>
  </si>
  <si>
    <t>Merma Vaciado FB Organica</t>
  </si>
  <si>
    <t>Merma Vaciado FB Convencional</t>
  </si>
  <si>
    <t>Merma Retail AR Organico</t>
  </si>
  <si>
    <t>Merma Retail AR Convencional</t>
  </si>
  <si>
    <t>Merma Retail FB Organica</t>
  </si>
  <si>
    <t>Merma Retail FB Convencional</t>
  </si>
  <si>
    <t>FB WH Conv. IQF en Bandeja</t>
  </si>
  <si>
    <t>Frambuesa WH Conv. S/P</t>
  </si>
  <si>
    <t>Merma Vaciado Mora Conv</t>
  </si>
  <si>
    <t>Merma Vaciado Mora ORG</t>
  </si>
  <si>
    <t>Merma Retail Mix Berries</t>
  </si>
  <si>
    <t>FB WH Org. IQF en Bandeja</t>
  </si>
  <si>
    <t>Frambuesa WH Org. S/P</t>
  </si>
  <si>
    <t>MORA S/V Org. IQF en Bandeja</t>
  </si>
  <si>
    <t>Mora SV Org. Kg S/P</t>
  </si>
  <si>
    <t>AR HB DUKE Conv. IQF en Bandeja</t>
  </si>
  <si>
    <t>AR HB DUKE Org. IQF en Bandeja</t>
  </si>
  <si>
    <t>AR HB DUKE Conv. Block en Bandeja</t>
  </si>
  <si>
    <t>BLOCK</t>
  </si>
  <si>
    <t>AR HB DUKE Org. Block en Bandeja</t>
  </si>
  <si>
    <t>Frutilla ORG. IQF-A en bandeja</t>
  </si>
  <si>
    <t>mp</t>
  </si>
  <si>
    <t>bandeja</t>
  </si>
  <si>
    <t>Creative Gourmet Blueberries por Borrar 24x300 g</t>
  </si>
  <si>
    <t>24x300 g</t>
  </si>
  <si>
    <t>Creative Gourmet Mixed Berries Pulpa Piso</t>
  </si>
  <si>
    <t>Creative Gourmet Mixed Berries Block</t>
  </si>
  <si>
    <t>Desecho Vegetal S/V Conv. S/C N/A Bins en Bins</t>
  </si>
  <si>
    <t>Desecho Vegetal S/V Org. S/C N/A Bins en Bins</t>
  </si>
  <si>
    <t>Altex Retail 1kg Org Blueberries</t>
  </si>
  <si>
    <t>Retail AR Org.</t>
  </si>
  <si>
    <t>Altex Retail Mixed Berries 10x1 kg</t>
  </si>
  <si>
    <t>Berries Mix</t>
  </si>
  <si>
    <t>Mix Org. PPT</t>
  </si>
  <si>
    <t>Cuatro Berry Mix.</t>
  </si>
  <si>
    <t>Mixed Berries Block 13,61 kg</t>
  </si>
  <si>
    <t>mix berries</t>
  </si>
  <si>
    <t>Mix Org. PSP</t>
  </si>
  <si>
    <t>Mixed Berries Pulpa Piso 13,61 kg</t>
  </si>
  <si>
    <t>Altex Retail Raspberries 10x1 kg</t>
  </si>
  <si>
    <t>Retail FB Org.</t>
  </si>
  <si>
    <t>Frutilla entera GreenFarms 10x1kg</t>
  </si>
  <si>
    <t>Frutilla conv. PPT</t>
  </si>
  <si>
    <t>Frutilla S/V Conv.</t>
  </si>
  <si>
    <t>Frutilla S/V Conv. S/C Block 10 kg en Caja</t>
  </si>
  <si>
    <t>Frutilla Conv. PSP</t>
  </si>
  <si>
    <t>Frutilla S/V Conv. S/C Pulpa Piso 10 kg en Caja</t>
  </si>
  <si>
    <t>Frutilla S/V Conv. PSP</t>
  </si>
  <si>
    <t>Frutilla Sobre Calibre Conv  IQF A 10kg</t>
  </si>
  <si>
    <t>10kg</t>
  </si>
  <si>
    <t>AR S/V ORG. S/C Calidad jugo C 13,61 kg</t>
  </si>
  <si>
    <t xml:space="preserve">ORG </t>
  </si>
  <si>
    <t>13,61kg</t>
  </si>
  <si>
    <t>AR S/V ORG. PSP</t>
  </si>
  <si>
    <t>AR S/V Org.</t>
  </si>
  <si>
    <t>AR S/V ORG. S/C Calidad jugo D 13,61 kg</t>
  </si>
  <si>
    <t>ORG.</t>
  </si>
  <si>
    <t>Arándano Conv. Bueno Farms 300gr</t>
  </si>
  <si>
    <t>300gr</t>
  </si>
  <si>
    <t>AR S/V Conv. PTT</t>
  </si>
  <si>
    <t>AR S/V Conv.</t>
  </si>
  <si>
    <t>Frambuesa Conv. Bueno Farms 300gr</t>
  </si>
  <si>
    <t>FR S/V Conv. PTT</t>
  </si>
  <si>
    <t xml:space="preserve">FR S/V Conv. </t>
  </si>
  <si>
    <t>Frutilla Conv. Bueno Farms 300gr</t>
  </si>
  <si>
    <t>FRUTILLA S/V Conv. PTT</t>
  </si>
  <si>
    <t>Mora Conv. Bueno Farms 300gr</t>
  </si>
  <si>
    <t>MORA S/V Conv. PTT</t>
  </si>
  <si>
    <t>Cereza Conv. Bueno Farms 300gr</t>
  </si>
  <si>
    <t>CEREZA S/V Conv. PTT</t>
  </si>
  <si>
    <t>Cereza S/V Conv</t>
  </si>
  <si>
    <t>Cuatro Mix Conv. Bueno Farms 300gr</t>
  </si>
  <si>
    <t>Cuatro Mix</t>
  </si>
  <si>
    <t>CUATRO MIX S/V Conv. PTT</t>
  </si>
  <si>
    <t>Cuatro mix</t>
  </si>
  <si>
    <t>Tres Mix Frutilla, Arándano, Cereza Conv. Bueno Farms 300gr</t>
  </si>
  <si>
    <t xml:space="preserve">Tres Mix </t>
  </si>
  <si>
    <t>Tres Mix Ar, Fb, Mora Org. Bueno Farms 300gr</t>
  </si>
  <si>
    <t>Tres Mix</t>
  </si>
  <si>
    <t>Cereza Conv. IQF A 13,61 kg en caja</t>
  </si>
  <si>
    <t>IQFA</t>
  </si>
  <si>
    <t>13,61 Kg</t>
  </si>
  <si>
    <t>Cereza Conv. PPT</t>
  </si>
  <si>
    <t>Cereza S/V Conv.</t>
  </si>
  <si>
    <t>Frutilla Conv. &lt; 25mm 13,61 Kg en caja</t>
  </si>
  <si>
    <t>Frutilla Conv. PPT</t>
  </si>
  <si>
    <t>Frutilla Slice Conv. 13,61 Kg en caja</t>
  </si>
  <si>
    <t>Frutilla S/V Org. S/C IQF A 12 kg en Caja</t>
  </si>
  <si>
    <t>Frutilla Org. PPT</t>
  </si>
  <si>
    <t>Frutilla S/V Org.</t>
  </si>
  <si>
    <t>Frutilla S/V Org. S/C Block 12 kg en Caja</t>
  </si>
  <si>
    <t>Frutilla Org. PSP</t>
  </si>
  <si>
    <t>Frutilla S/V Org. S/C Pulpa Piso 12 kg en Caja</t>
  </si>
  <si>
    <t>AR RY Conv. &lt;12 mm PSP 13,61 kg en Caja</t>
  </si>
  <si>
    <t>AR S/V Conv. S/C Calidad jugo C 13,61 kg</t>
  </si>
  <si>
    <t>AR S/V Conv. PSP</t>
  </si>
  <si>
    <t>AR S/V Conv. S/C Calidad jugo D 13,61 kg</t>
  </si>
  <si>
    <t>FB S/V  Conv. &gt;12 mm IQF A 1x10 kg en Caja</t>
  </si>
  <si>
    <t xml:space="preserve">FB S/V Conv. </t>
  </si>
  <si>
    <t>FB S/V Conv. &gt;12 mm IQF A 4x2,5 kg en Caja</t>
  </si>
  <si>
    <t>AR S/V Conv. S/C IQF B 13,61 kg en Caja</t>
  </si>
  <si>
    <t>AR RY Org. IQF B 13,61 kg en Caja</t>
  </si>
  <si>
    <t>AR RY Org. PTT</t>
  </si>
  <si>
    <t>AR RY S/V  &gt;12 mm IQF B 13,61 kg en Caja</t>
  </si>
  <si>
    <t>AR RY S/V PTT</t>
  </si>
  <si>
    <t>FB S/V ORG. S/C Calidad jugo C 10 kg</t>
  </si>
  <si>
    <t>FB S/V ORG. PSP</t>
  </si>
  <si>
    <t xml:space="preserve">FR S/V Org. </t>
  </si>
  <si>
    <t>FB S/V ORG. S/C Calidad jugo D 10 kg</t>
  </si>
  <si>
    <t>FB S/V CONV. S/C Calidad jugo C 10 kg</t>
  </si>
  <si>
    <t>FB S/V CONV. PSP</t>
  </si>
  <si>
    <t>FB S/V CONV. S/C Calidad jugo D 10 kg</t>
  </si>
  <si>
    <t>FB S/V CONV. S/C Calidad jugo 10 kg</t>
  </si>
  <si>
    <t>FB S/V  Org. &gt;12 mm IQF A 1x10 kg en Caja</t>
  </si>
  <si>
    <t>FR S/V Org. PTT</t>
  </si>
  <si>
    <t>FB S/V ORG. S/C Calidad jugo 10 kg</t>
  </si>
  <si>
    <t>FB S/V Org. PSP</t>
  </si>
  <si>
    <t>Arandano Retail ATO 10x1kg</t>
  </si>
  <si>
    <t>Triple Mix Berries ATO 10X1kg</t>
  </si>
  <si>
    <t>10x1kg</t>
  </si>
  <si>
    <t>Arándano Retail Conv. Camerican 16x0,68kg</t>
  </si>
  <si>
    <t>16x0,68kg</t>
  </si>
  <si>
    <t>Arándano S/V Conv. PPT</t>
  </si>
  <si>
    <t>Mora S/V Conv. S/C Calidad Jugo C 13,61 kg</t>
  </si>
  <si>
    <t xml:space="preserve">MORA S/V Conv. </t>
  </si>
  <si>
    <t>Mora S/V Conv. S/C Calidad Jugo D 13,61 kg</t>
  </si>
  <si>
    <t>Mora S/V Conv. S/C Calidad Jugo 13,61 kg</t>
  </si>
  <si>
    <t>AR S/V Conv. &gt;12 mm IQF A 13,61 kg en Caja</t>
  </si>
  <si>
    <t>13,61 KG</t>
  </si>
  <si>
    <t>AR S/V Conv PTT</t>
  </si>
  <si>
    <t>AR S/V Org. &gt;12 mm IQF A 13,61 kg en Caja</t>
  </si>
  <si>
    <t>AR S/V Org PTT</t>
  </si>
  <si>
    <t>AR S/V Org..</t>
  </si>
  <si>
    <t>FT S/V Conv. Pulpa Piso 13,61Kg en Caja</t>
  </si>
  <si>
    <t>FT S/V Conv. PSP</t>
  </si>
  <si>
    <t>AR S/V ORG. S/C Calidad jugo C-D 13,61 kg</t>
  </si>
  <si>
    <t>FB S/V Org. IQF A 1x10 kg en Caja</t>
  </si>
  <si>
    <t xml:space="preserve">FB S/V Org. </t>
  </si>
  <si>
    <t>AR Org. Retail Naturen 10x0,3 kg</t>
  </si>
  <si>
    <t>10X0,3 Kg</t>
  </si>
  <si>
    <t>MIX Org. Retail Naturen 10x0,3 kg</t>
  </si>
  <si>
    <t>Triple Mix Berries Org. Pulpa Piso 10 kg</t>
  </si>
  <si>
    <t>FT AB Conv. Calibre L 13,61Kg en caja.</t>
  </si>
  <si>
    <t>AB</t>
  </si>
  <si>
    <t>FT AB Conv. PTT</t>
  </si>
  <si>
    <t>FT AB CONV.</t>
  </si>
  <si>
    <t>Triple Mix Berries Org. Block</t>
  </si>
  <si>
    <t>AR DK Conv. IQF en Bandeja</t>
  </si>
  <si>
    <t>Arándano DUKE Conv. Kg S/P</t>
  </si>
  <si>
    <t>AR DK Conv.</t>
  </si>
  <si>
    <t>AR DK Conv. Block en Bandeja</t>
  </si>
  <si>
    <t>AR DK Org. IQF en Bandeja</t>
  </si>
  <si>
    <t>Arándano DUKE Org. Kg S/P</t>
  </si>
  <si>
    <t>AR DK Org.</t>
  </si>
  <si>
    <t>AR DK Org. Block en Bandeja</t>
  </si>
  <si>
    <t>Frambuesa MK Conv.</t>
  </si>
  <si>
    <t>FB S/V Conv. IQF en Bandeja</t>
  </si>
  <si>
    <t>Frambuesa S/V Conv. Kg S/P</t>
  </si>
  <si>
    <t>Frambuesa S/V Conv.</t>
  </si>
  <si>
    <t>Frambuesa WF Conv.</t>
  </si>
  <si>
    <t>FB S/V Conv. Block en Bandeja</t>
  </si>
  <si>
    <t>FB S/V Org. IQF en Bandeja</t>
  </si>
  <si>
    <t>Frambuesa S/V Org. Kg S/P</t>
  </si>
  <si>
    <t>Frambuesa S/V Org.</t>
  </si>
  <si>
    <t>Frambuesa MK Org.</t>
  </si>
  <si>
    <t>Frambuesa WF Org.</t>
  </si>
  <si>
    <t>FB S/V Org. Block en Bandeja</t>
  </si>
  <si>
    <t>FT AB Conv. IQF en Bandeja</t>
  </si>
  <si>
    <t>Frutilla AB Conv. Kg S/P</t>
  </si>
  <si>
    <t>Frutilla AB Conv.</t>
  </si>
  <si>
    <t>FT S/V Conv. IQF en Bandeja</t>
  </si>
  <si>
    <t>Frutilla S/V Conv. Kg S/P</t>
  </si>
  <si>
    <t>FT S/V Conv. Block en Bandeja</t>
  </si>
  <si>
    <t>FT AB Conv. Block en Bandeja</t>
  </si>
  <si>
    <t>FT S/V Org. IQF en Bandeja</t>
  </si>
  <si>
    <t>Frutilla S/V Org. Kg S/P</t>
  </si>
  <si>
    <t>FT AB Org. IQF en Bandeja</t>
  </si>
  <si>
    <t>Frutilla AB Org. Kg S/P</t>
  </si>
  <si>
    <t>Frutilla AB Org.</t>
  </si>
  <si>
    <t>FT S/V Org. Block en Bandeja</t>
  </si>
  <si>
    <t>FT AB Org. Block en Bandeja</t>
  </si>
  <si>
    <t>MO S/V Conv. IQF en Bandeja</t>
  </si>
  <si>
    <t>Mora S/V Conv. Kg S/P</t>
  </si>
  <si>
    <t>MO S/V Conv. Block en Bandeja</t>
  </si>
  <si>
    <t>MO S/V Org. IQF en Bandeja</t>
  </si>
  <si>
    <t>Mora S/V Org. Kg S/P</t>
  </si>
  <si>
    <t>MO S/V Org. Block en Bandeja</t>
  </si>
  <si>
    <t>AR HB Conv. IQF Congelado en Bandeja</t>
  </si>
  <si>
    <t>AR RY Conv. IQF Congelado en Bandeja</t>
  </si>
  <si>
    <t>AR DK Conv. IQF Congelado en Bandeja</t>
  </si>
  <si>
    <t>Arándano DUKE Conv. PSP</t>
  </si>
  <si>
    <t>AR HB Conv. Block Congelado en Bandeja</t>
  </si>
  <si>
    <t>AR RY Conv. Block Congelado en Bandeja</t>
  </si>
  <si>
    <t>AR DK Conv. Block Congelado en Bandeja</t>
  </si>
  <si>
    <t>AR HB Org. IQF Congelado en Bandeja</t>
  </si>
  <si>
    <t>AR RY Org. IQF Congelado en Bandeja</t>
  </si>
  <si>
    <t>AR DK Org. IQF Congelado en Bandeja</t>
  </si>
  <si>
    <t>Arándano DUKE Org. PSP</t>
  </si>
  <si>
    <t>AR HB Org. Block Congelado en Bandeja</t>
  </si>
  <si>
    <t>AR RY Org. Block Congelado en Bandeja</t>
  </si>
  <si>
    <t>AR DK Org. Block Congelado en Bandeja</t>
  </si>
  <si>
    <t>FB MK Conv. IQF Congelado en Bandeja</t>
  </si>
  <si>
    <t>FB S/V Conv. IQF Congelado en Bandeja</t>
  </si>
  <si>
    <t>Frambuesa S/V V Conv. PSP</t>
  </si>
  <si>
    <t>FB S/V Conv.</t>
  </si>
  <si>
    <t>FB WF Conv. IQF Congelado en Bandeja</t>
  </si>
  <si>
    <t>FB S/V Conv. Block Congelado en Bandeja</t>
  </si>
  <si>
    <t>FB MK Conv. Block Congelado en Bandeja</t>
  </si>
  <si>
    <t>FB WF Conv. Block Congelado en Bandeja</t>
  </si>
  <si>
    <t>FB S/V Org. IQF Congelado en Bandeja</t>
  </si>
  <si>
    <t>Frambuesa S/V V Org. PSP</t>
  </si>
  <si>
    <t>FB S/V Org.</t>
  </si>
  <si>
    <t>FB MK Org. IQF Congelado en Bandeja</t>
  </si>
  <si>
    <t>FB WF Org. IQF Congelado en Bandeja</t>
  </si>
  <si>
    <t>FB S/V Org. Block Congelado en Bandeja</t>
  </si>
  <si>
    <t>FB MK Org. Block Congelado en Bandeja</t>
  </si>
  <si>
    <t>FB WF Org. Block Congelado en Bandeja</t>
  </si>
  <si>
    <t>FT AB Conv. IQF Congelado en Bandeja</t>
  </si>
  <si>
    <t>Frutilla AB Conv. PSP</t>
  </si>
  <si>
    <t>FT AB Conv.</t>
  </si>
  <si>
    <t>FT S/V Conv. IQF Congelado en Bandeja</t>
  </si>
  <si>
    <t>Frutilla S/V V Conv. PSP</t>
  </si>
  <si>
    <t>FT S/V Conv.</t>
  </si>
  <si>
    <t>FT S/V Conv. Block Congelado en Bandeja</t>
  </si>
  <si>
    <t>FT AB Conv. Block Congelado en Bandeja</t>
  </si>
  <si>
    <t>FT S/V Org. IQF Congelado en Bandeja</t>
  </si>
  <si>
    <t>Frutilla S/V V Org. PSP</t>
  </si>
  <si>
    <t>FT S/V Org.</t>
  </si>
  <si>
    <t>FT AB Org. IQF Congelado en Bandeja</t>
  </si>
  <si>
    <t>Frutilla AB Org. PSP</t>
  </si>
  <si>
    <t>FT AB Org.</t>
  </si>
  <si>
    <t>FT S/V Org. Block Congelado en Bandeja</t>
  </si>
  <si>
    <t>FT AB Org. Block Congelado en Bandeja</t>
  </si>
  <si>
    <t>MO S/V Conv. IQF Congelado en Bandeja</t>
  </si>
  <si>
    <t>Mora S/V V Conv. PSP</t>
  </si>
  <si>
    <t>MO S/V Conv.</t>
  </si>
  <si>
    <t>MO S/V Conv. Block Congelado en Bandeja</t>
  </si>
  <si>
    <t>MO S/V Org. IQF Congelado en Bandeja</t>
  </si>
  <si>
    <t>Mora S/V V Org. PSP</t>
  </si>
  <si>
    <t>MO S/V Org.</t>
  </si>
  <si>
    <t>MO S/V Org. Block Congelado en Bandeja</t>
  </si>
  <si>
    <t>FB S/V Conv. S/C PSP 12 kg en Caja</t>
  </si>
  <si>
    <t>FB S/V CONV.</t>
  </si>
  <si>
    <t>FB MK Conv. S/C PSP 12 kg en Caja</t>
  </si>
  <si>
    <t>FB MK CONV.</t>
  </si>
  <si>
    <t>FB WF Conv. S/C PSP 12 kg en Caja</t>
  </si>
  <si>
    <t>FB WF CONV.</t>
  </si>
  <si>
    <t>FB S/V Org. S/C PSP 12 kg en Caja</t>
  </si>
  <si>
    <t xml:space="preserve">Frambuesa S/V Org. </t>
  </si>
  <si>
    <t>FB S/V ORG.</t>
  </si>
  <si>
    <t>FB MK Org. S/C PSP 12 kg en Caja</t>
  </si>
  <si>
    <t>FB MK ORG.</t>
  </si>
  <si>
    <t>FB WF Org. S/C PSP 12 kg en Caja</t>
  </si>
  <si>
    <t>FB WF ORG.</t>
  </si>
  <si>
    <t>FB S/V Conv. IQF A 10 kg en Caja</t>
  </si>
  <si>
    <t>Frambuesa S/V Conv. PTT</t>
  </si>
  <si>
    <t>FB MK Conv. IQF A 10 kg en Caja</t>
  </si>
  <si>
    <t>Frambuesa MK Conv. PTT</t>
  </si>
  <si>
    <t>FB WF Conv. IQF A 10 kg en Caja</t>
  </si>
  <si>
    <t>Frambuesa WF Conv. PTT</t>
  </si>
  <si>
    <t>FB S/V Conv. IQF Retail 10 kg en Caja</t>
  </si>
  <si>
    <t>FB MK Conv. IQF Retail 10 kg en Caja</t>
  </si>
  <si>
    <t>FB WF Conv. IQF Retail 10 kg en Caja</t>
  </si>
  <si>
    <t>FB S/V Org. IQF A 10 kg en Caja</t>
  </si>
  <si>
    <t>Frambuesa S/V Org. PTT</t>
  </si>
  <si>
    <t>FB MK Org. IQF A 10 kg en Caja</t>
  </si>
  <si>
    <t>Frambuesa MK Org. PTT</t>
  </si>
  <si>
    <t>FB WF Org. IQF A 10 kg en Caja</t>
  </si>
  <si>
    <t>Frambuesa WF Org. PTT</t>
  </si>
  <si>
    <t>FB S/V Org. IQF Retail 10 kg en Caja</t>
  </si>
  <si>
    <t>FB MK Org. IQF Retail 10 kg en Caja</t>
  </si>
  <si>
    <t>FB WF Org. IQF Retail 10 kg en Caja</t>
  </si>
  <si>
    <t>FB S/V Conv. S/C Whole and Broken 12 kg en Caja</t>
  </si>
  <si>
    <t>FB S/V Conv. S/C Calidad Jugo 12 kg en Caja</t>
  </si>
  <si>
    <t>FB S/V Org. S/C Whole and Broken 12 kg en Caja</t>
  </si>
  <si>
    <t>FB S/V Org. S/C Calidad Jugo 12 kg en Caja</t>
  </si>
  <si>
    <t>FT AB Conv. S/C PSP 13,61 kg en Caja</t>
  </si>
  <si>
    <t>FT S/V Conv. S/C PSP 13,61 kg en Caja</t>
  </si>
  <si>
    <t>FT AB Conv. C/M IQF A 13,61 kg en Caja</t>
  </si>
  <si>
    <t>Frutilla AB Conv. PTT</t>
  </si>
  <si>
    <t>FT AB Conv. C/S IQF Retail 13,61 kg en Caja</t>
  </si>
  <si>
    <t>FT S/V Conv. C/M IQF A 13,61 kg en Caja</t>
  </si>
  <si>
    <t>Frutilla S/V Conv. PTT</t>
  </si>
  <si>
    <t>FT S/V Conv. C/L IQF A 13,61 kg en Caja</t>
  </si>
  <si>
    <t>FT S/V Conv. C/S IQF Retail 13,61 kg en Caja</t>
  </si>
  <si>
    <t>FT S/V Conv. S/C Calidad Jugo 13,61 kg en Caja</t>
  </si>
  <si>
    <t>FT AB Org. S/C PSP 13,61 kg en Caja</t>
  </si>
  <si>
    <t>FT S/V Org. S/C PSP 13,61 kg en Caja</t>
  </si>
  <si>
    <t>Frutilla S/V Org. PSP</t>
  </si>
  <si>
    <t>FT AB Org. C/M IQF A 13,61 kg en Caja</t>
  </si>
  <si>
    <t>Frutilla AB Org. PTT</t>
  </si>
  <si>
    <t>FT AB Org. C/S IQF Retail 13,61 kg en Caja</t>
  </si>
  <si>
    <t>FT S/V Org. C/M IQF A 13,61 kg en Caja</t>
  </si>
  <si>
    <t>Frutilla S/V Org. PTT</t>
  </si>
  <si>
    <t>FT S/V Org. C/L IQF A 13,61 kg en Caja</t>
  </si>
  <si>
    <t>FT S/V Org. C/S IQF Retail 13,61 kg en Caja</t>
  </si>
  <si>
    <t>FT S/V Org. S/C Calidad Jugo 13,61 kg en Caja</t>
  </si>
  <si>
    <t>AR HB Conv. S/C PSP 13,61 kg en Caja</t>
  </si>
  <si>
    <t>AR HB Conv. PSP</t>
  </si>
  <si>
    <t>AR RY Conv. S/C PSP 13,61 kg en Caja</t>
  </si>
  <si>
    <t>AR RY Conv. PSP</t>
  </si>
  <si>
    <t>AR DK Conv. S/C PSP 13,61 kg en Caja</t>
  </si>
  <si>
    <t>DK</t>
  </si>
  <si>
    <t>AR DK Conv. PSP</t>
  </si>
  <si>
    <t>AR HB Org. S/C PSP 13,61 kg en Caja</t>
  </si>
  <si>
    <t>AR HB Org. PSP</t>
  </si>
  <si>
    <t>AR RY Org. S/C PSP 13,61 kg en Caja</t>
  </si>
  <si>
    <t>AR RY Org. PSP</t>
  </si>
  <si>
    <t>AR DK Org. S/C PSP 13,61 kg en Caja</t>
  </si>
  <si>
    <t>AR DK Org. PSP</t>
  </si>
  <si>
    <t>AR HB Conv. IQF AA 13,61 kg en Caja</t>
  </si>
  <si>
    <t>IQF AA</t>
  </si>
  <si>
    <t>AR HB Conv. PTT</t>
  </si>
  <si>
    <t>AR RY Conv. IQF AA 13,61 kg en Caja</t>
  </si>
  <si>
    <t>AR RY Conv. PTT</t>
  </si>
  <si>
    <t>AR DK Conv. IQF AA 13,61 kg en Caja</t>
  </si>
  <si>
    <t>AR DK Conv. PTT</t>
  </si>
  <si>
    <t>AR HB Conv. IQF A 13,61 kg en Caja</t>
  </si>
  <si>
    <t>AR RY Conv. IQF A 13,61 kg en Caja</t>
  </si>
  <si>
    <t>AR DK Conv. IQF A 13,61 kg en Caja</t>
  </si>
  <si>
    <t>AR HB Conv. IQF Retail 13,61 kg en Caja</t>
  </si>
  <si>
    <t>AR RY Conv. IQF Retail 13,61 kg en Caja</t>
  </si>
  <si>
    <t>AR DK Conv. IQF Retail 13,61 kg en Caja</t>
  </si>
  <si>
    <t>AR HB Org. IQF AA 13,61 kg en Caja</t>
  </si>
  <si>
    <t>AR HB Org. PTT</t>
  </si>
  <si>
    <t>AR RY Org. IQF AA 13,61 kg en Caja</t>
  </si>
  <si>
    <t>AR DK Org. IQF AA 13,61 kg en Caja</t>
  </si>
  <si>
    <t>AR DK Org. PTT</t>
  </si>
  <si>
    <t>AR HB Org. IQF A 13,61 kg en Caja</t>
  </si>
  <si>
    <t>AR RY Org. IQF A 13,61 kg en Caja</t>
  </si>
  <si>
    <t>AR DK Org. IQF A 13,61 kg en Caja</t>
  </si>
  <si>
    <t>AR HB Org. IQF Retail 13,61 kg en Caja</t>
  </si>
  <si>
    <t>AR RY Org. IQF Retail 13,61 kg en Caja</t>
  </si>
  <si>
    <t>AR DK Org. IQF Retail 13,61 kg en Caja</t>
  </si>
  <si>
    <t>AR S/V Conv. S/C Calidad Jugo 13.61 kg en Caja</t>
  </si>
  <si>
    <t>AR S/V Org. S/C Calidad Jugo 13.61 kg en Caja</t>
  </si>
  <si>
    <t>AR S/V Org. PSP</t>
  </si>
  <si>
    <t>ENTYCE Creative Gourmet Blueberries 8x300 gr</t>
  </si>
  <si>
    <t>MO S/V Org. S/C PSP 12 kg en Caja</t>
  </si>
  <si>
    <t>12 KG</t>
  </si>
  <si>
    <t>MO S/V Org. PSP</t>
  </si>
  <si>
    <t>MO S/V Org. S/C Calidad Jugo 12 kg en Caja</t>
  </si>
  <si>
    <t>MO S/V Org. IQF Retail 12 kg en Caja</t>
  </si>
  <si>
    <t>MO S/V Org. PTT</t>
  </si>
  <si>
    <t>FB MK Conv. IQF A 4x2.5 kg en Caja</t>
  </si>
  <si>
    <t>4x2,5kg</t>
  </si>
  <si>
    <t>FB MK Conv. IQF Retail 4x2.5 kg en Caja</t>
  </si>
  <si>
    <t>TRIPLE MIX S/V CONV.</t>
  </si>
  <si>
    <t>DESECHO VEGETAL</t>
  </si>
  <si>
    <t>Triple Mix Berries Conv. Calidad Jugo</t>
  </si>
  <si>
    <t>&gt;8</t>
  </si>
  <si>
    <t>Fecha</t>
  </si>
  <si>
    <t>Semana</t>
  </si>
  <si>
    <t>Turno</t>
  </si>
  <si>
    <t>Sala</t>
  </si>
  <si>
    <t>Código</t>
  </si>
  <si>
    <t>Descripción del producto</t>
  </si>
  <si>
    <t>N° de Pallet</t>
  </si>
  <si>
    <t>N° de Lote</t>
  </si>
  <si>
    <t>Muestra</t>
  </si>
  <si>
    <t>Hora de monitoreo</t>
  </si>
  <si>
    <t>Peso bolsa</t>
  </si>
  <si>
    <t>Peso caja</t>
  </si>
  <si>
    <t>Temperatura°</t>
  </si>
  <si>
    <t>Sellado Bolsa</t>
  </si>
  <si>
    <t>Sellado Caja</t>
  </si>
  <si>
    <t>% de IQF</t>
  </si>
  <si>
    <t>Inmadura</t>
  </si>
  <si>
    <t>% Inmadura (4%)</t>
  </si>
  <si>
    <t>Partidas</t>
  </si>
  <si>
    <t>% Partidas</t>
  </si>
  <si>
    <t>Daño Insecto</t>
  </si>
  <si>
    <t>% Daño Insecto</t>
  </si>
  <si>
    <t>Sobremadura</t>
  </si>
  <si>
    <t>% Sobremadura</t>
  </si>
  <si>
    <t>Deforme</t>
  </si>
  <si>
    <t>% Deforme</t>
  </si>
  <si>
    <t>Descripción Extra 1</t>
  </si>
  <si>
    <t>Valor Extra 1</t>
  </si>
  <si>
    <t>% Extra 1</t>
  </si>
  <si>
    <t>Descripción Extra 2</t>
  </si>
  <si>
    <t>Valor Extra 2</t>
  </si>
  <si>
    <t>% Extra 2</t>
  </si>
  <si>
    <t>Hongos</t>
  </si>
  <si>
    <t>% Hongos</t>
  </si>
  <si>
    <t>% Block</t>
  </si>
  <si>
    <t>Caliz (Und.)</t>
  </si>
  <si>
    <t>Larvas (Und.)</t>
  </si>
  <si>
    <t>Fuera de calibre &lt;12mm</t>
  </si>
  <si>
    <t>% Fue. De Cal. &lt;12mm</t>
  </si>
  <si>
    <t>Calibre &lt;25</t>
  </si>
  <si>
    <t>% &lt;25</t>
  </si>
  <si>
    <t>Calibre &gt;12</t>
  </si>
  <si>
    <t>% &gt;12</t>
  </si>
  <si>
    <t>Calibre &lt;14</t>
  </si>
  <si>
    <t>%  &lt;14</t>
  </si>
  <si>
    <t>Calibre &gt;14</t>
  </si>
  <si>
    <t>% &gt;14</t>
  </si>
  <si>
    <t>Calibre &lt;10</t>
  </si>
  <si>
    <t>% &lt;10</t>
  </si>
  <si>
    <t>Calibre &gt;13</t>
  </si>
  <si>
    <t>% &gt;13</t>
  </si>
  <si>
    <t>Hoja (Un.)</t>
  </si>
  <si>
    <t>Pedicelo Caja</t>
  </si>
  <si>
    <t>Larvas Caja</t>
  </si>
  <si>
    <t>Vidrios</t>
  </si>
  <si>
    <t>Madera</t>
  </si>
  <si>
    <t>Plástico</t>
  </si>
  <si>
    <t>°Brix</t>
  </si>
  <si>
    <t>Sabor</t>
  </si>
  <si>
    <t>Olor</t>
  </si>
  <si>
    <t>Defectos Totales</t>
  </si>
  <si>
    <t>% Defectos</t>
  </si>
  <si>
    <t>Observaciones</t>
  </si>
  <si>
    <t>% de IQF2</t>
  </si>
  <si>
    <t>Nombre del/la analista</t>
  </si>
  <si>
    <t>Mat. Extr. Endo.</t>
  </si>
  <si>
    <t>Mat. Extr. Exo.</t>
  </si>
  <si>
    <t>Filtro Producto</t>
  </si>
  <si>
    <t>Filtro Lote</t>
  </si>
  <si>
    <t>Filtro Pallet</t>
  </si>
  <si>
    <t>C</t>
  </si>
  <si>
    <t>Daño Mécanico</t>
  </si>
  <si>
    <t>Mat. Vegetal (Und.)</t>
  </si>
  <si>
    <t>S/A</t>
  </si>
  <si>
    <t>Raul Soto</t>
  </si>
  <si>
    <t>S/O</t>
  </si>
  <si>
    <t>Joaquin Flores</t>
  </si>
  <si>
    <t>Fernanda Jara</t>
  </si>
  <si>
    <t>(Varios elementos)</t>
  </si>
  <si>
    <t>Etiquetas de fila</t>
  </si>
  <si>
    <t>Promedio de % de IQF</t>
  </si>
  <si>
    <t>Promedio de % Inmadura (4%)</t>
  </si>
  <si>
    <t>Promedio de % Partidas</t>
  </si>
  <si>
    <t>Promedio de % Daño Insecto</t>
  </si>
  <si>
    <t>Promedio de % Sobremadura</t>
  </si>
  <si>
    <t>Promedio de % Deforme</t>
  </si>
  <si>
    <t>Promedio de % Hongos</t>
  </si>
  <si>
    <t>Promedio de % Block</t>
  </si>
  <si>
    <t>Promedio de Caliz (Und.)</t>
  </si>
  <si>
    <t>Promedio de Larvas (Und.)</t>
  </si>
  <si>
    <t>Promedio de Mat. Extr. Endo.</t>
  </si>
  <si>
    <t>Promedio de Mat. Extr. Exo.</t>
  </si>
  <si>
    <t>Total general</t>
  </si>
  <si>
    <t>Hojas (Und.)</t>
  </si>
  <si>
    <t>Tonka Irarrazabal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</si>
</sst>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;\-0;&quot;-&quot;"/>
    <numFmt numFmtId="167" formatCode="0.0;\-0.0;&quot;-&quot;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1" applyNumberFormat="1" applyFont="1" applyFill="1" applyBorder="1" applyAlignment="1">
      <alignment horizontal="center"/>
    </xf>
    <xf numFmtId="3" fontId="2" fillId="2" borderId="0" xfId="1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5" fontId="2" fillId="2" borderId="0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166" fontId="2" fillId="2" borderId="0" xfId="1" applyNumberFormat="1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1" applyNumberFormat="1" applyFont="1" applyFill="1" applyBorder="1" applyAlignment="1">
      <alignment horizontal="left"/>
    </xf>
    <xf numFmtId="0" fontId="3" fillId="2" borderId="0" xfId="1" applyNumberFormat="1" applyFont="1" applyFill="1" applyBorder="1" applyAlignment="1">
      <alignment horizontal="left"/>
    </xf>
    <xf numFmtId="3" fontId="4" fillId="2" borderId="0" xfId="1" applyNumberFormat="1" applyFont="1" applyFill="1" applyBorder="1" applyAlignment="1">
      <alignment horizontal="left"/>
    </xf>
    <xf numFmtId="3" fontId="4" fillId="2" borderId="0" xfId="0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165" fontId="3" fillId="2" borderId="0" xfId="1" applyNumberFormat="1" applyFont="1" applyFill="1" applyAlignment="1">
      <alignment horizontal="left"/>
    </xf>
    <xf numFmtId="166" fontId="4" fillId="2" borderId="0" xfId="0" applyNumberFormat="1" applyFont="1" applyFill="1" applyAlignment="1">
      <alignment horizontal="left"/>
    </xf>
    <xf numFmtId="165" fontId="4" fillId="2" borderId="0" xfId="1" applyNumberFormat="1" applyFont="1" applyFill="1" applyBorder="1" applyAlignment="1">
      <alignment horizontal="left"/>
    </xf>
    <xf numFmtId="165" fontId="4" fillId="2" borderId="0" xfId="1" applyNumberFormat="1" applyFont="1" applyFill="1" applyAlignment="1">
      <alignment horizontal="left"/>
    </xf>
    <xf numFmtId="166" fontId="4" fillId="2" borderId="0" xfId="1" applyNumberFormat="1" applyFont="1" applyFill="1" applyBorder="1" applyAlignment="1">
      <alignment horizontal="left"/>
    </xf>
    <xf numFmtId="166" fontId="4" fillId="3" borderId="0" xfId="0" applyNumberFormat="1" applyFont="1" applyFill="1" applyAlignment="1">
      <alignment horizontal="left"/>
    </xf>
    <xf numFmtId="167" fontId="4" fillId="2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1" applyNumberFormat="1" applyFont="1" applyBorder="1" applyAlignment="1">
      <alignment horizontal="center"/>
    </xf>
    <xf numFmtId="3" fontId="4" fillId="0" borderId="0" xfId="1" applyNumberFormat="1" applyFont="1" applyBorder="1" applyAlignment="1">
      <alignment horizontal="center"/>
    </xf>
    <xf numFmtId="20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3" fillId="4" borderId="3" xfId="1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165" fontId="3" fillId="4" borderId="4" xfId="1" applyNumberFormat="1" applyFont="1" applyFill="1" applyBorder="1" applyAlignment="1">
      <alignment horizontal="center"/>
    </xf>
    <xf numFmtId="166" fontId="4" fillId="0" borderId="0" xfId="1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167" fontId="4" fillId="0" borderId="6" xfId="0" applyNumberFormat="1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65" fontId="3" fillId="4" borderId="5" xfId="0" applyNumberFormat="1" applyFont="1" applyFill="1" applyBorder="1" applyAlignment="1">
      <alignment horizontal="center"/>
    </xf>
    <xf numFmtId="165" fontId="3" fillId="4" borderId="9" xfId="1" applyNumberFormat="1" applyFont="1" applyFill="1" applyBorder="1" applyAlignment="1">
      <alignment horizontal="center"/>
    </xf>
    <xf numFmtId="165" fontId="3" fillId="4" borderId="10" xfId="1" applyNumberFormat="1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165" fontId="3" fillId="4" borderId="11" xfId="0" applyNumberFormat="1" applyFont="1" applyFill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4" fillId="0" borderId="0" xfId="1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2" fillId="5" borderId="8" xfId="0" applyFont="1" applyFill="1" applyBorder="1" applyAlignment="1">
      <alignment horizontal="left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1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3" tint="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0.0;\-0.0;&quot;-&quot;"/>
      <alignment horizontal="center" vertical="bottom" textRotation="0" wrapText="0" indent="0" justifyLastLine="0" shrinkToFit="0" readingOrder="0"/>
      <border diagonalUp="0" diagonalDown="0" outline="0">
        <left style="slantDashDot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/>
        <right style="slantDashDot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/>
        <right style="slantDashDot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outline="0">
        <left style="thin">
          <color indexed="64"/>
        </left>
        <right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double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double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3" tint="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0.0;\-0.0;&quot;-&quot;"/>
      <alignment horizontal="center" vertical="bottom" textRotation="0" wrapText="0" indent="0" justifyLastLine="0" shrinkToFit="0" readingOrder="0"/>
      <border diagonalUp="0" diagonalDown="0" outline="0">
        <left style="slantDashDot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/>
        <right style="slantDashDot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/>
        <right style="slantDashDot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outline="0">
        <left style="thin">
          <color indexed="64"/>
        </left>
        <right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double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double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2061210</xdr:colOff>
      <xdr:row>7</xdr:row>
      <xdr:rowOff>97155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">
              <a:extLst>
                <a:ext uri="{FF2B5EF4-FFF2-40B4-BE49-F238E27FC236}">
                  <a16:creationId xmlns:a16="http://schemas.microsoft.com/office/drawing/2014/main" id="{3C44EC5D-C1F7-AFB5-1408-486B75DF91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3341370" cy="1360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76.504283796297" createdVersion="8" refreshedVersion="8" minRefreshableVersion="3" recordCount="341" xr:uid="{BD229DD7-545F-4866-90B8-6DDF07A1EC59}">
  <cacheSource type="worksheet">
    <worksheetSource name="FT_RF_26"/>
  </cacheSource>
  <cacheFields count="72">
    <cacheField name="Fecha" numFmtId="0">
      <sharedItems containsNonDate="0" containsDate="1" containsString="0" containsBlank="1" minDate="2026-01-02T00:00:00" maxDate="2026-01-17T00:00:00" count="4">
        <d v="2026-01-02T00:00:00"/>
        <d v="2026-01-15T00:00:00"/>
        <d v="2026-01-16T00:00:00"/>
        <m/>
      </sharedItems>
    </cacheField>
    <cacheField name="Semana" numFmtId="0">
      <sharedItems containsSemiMixedTypes="0" containsString="0" containsNumber="1" containsInteger="1" minValue="1" maxValue="52"/>
    </cacheField>
    <cacheField name="Turno" numFmtId="0">
      <sharedItems containsString="0" containsBlank="1" containsNumber="1" containsInteger="1" minValue="1" maxValue="2"/>
    </cacheField>
    <cacheField name="Sala" numFmtId="0">
      <sharedItems containsString="0" containsBlank="1" containsNumber="1" containsInteger="1" minValue="1" maxValue="3"/>
    </cacheField>
    <cacheField name="Código" numFmtId="0">
      <sharedItems containsString="0" containsBlank="1" containsNumber="1" containsInteger="1" minValue="302132000" maxValue="303231000"/>
    </cacheField>
    <cacheField name="Descripción del producto" numFmtId="0">
      <sharedItems count="4">
        <s v="FT S/V Org. S/C PSP 13,61 kg en Caja"/>
        <s v="FT AB Conv. S/C PSP 13,61 kg en Caja"/>
        <s v="FB MK Conv. S/C PSP 12 kg en Caja"/>
        <s v=""/>
      </sharedItems>
    </cacheField>
    <cacheField name="Familia Calidad" numFmtId="0">
      <sharedItems/>
    </cacheField>
    <cacheField name="N° de Pallet" numFmtId="0">
      <sharedItems containsString="0" containsBlank="1" containsNumber="1" containsInteger="1" minValue="13712" maxValue="49403" count="15">
        <n v="13712"/>
        <n v="13713"/>
        <n v="13714"/>
        <n v="13715"/>
        <n v="13771"/>
        <n v="49391"/>
        <n v="49392"/>
        <n v="49393"/>
        <n v="49394"/>
        <n v="49395"/>
        <n v="49396"/>
        <n v="49397"/>
        <n v="49402"/>
        <n v="49403"/>
        <m/>
      </sharedItems>
    </cacheField>
    <cacheField name="N° de Lote" numFmtId="0">
      <sharedItems containsString="0" containsBlank="1" containsNumber="1" containsInteger="1" minValue="5540" maxValue="304896" count="5">
        <n v="5540"/>
        <n v="5546"/>
        <n v="304895"/>
        <n v="304896"/>
        <m/>
      </sharedItems>
    </cacheField>
    <cacheField name="Muestra" numFmtId="3">
      <sharedItems containsSemiMixedTypes="0" containsString="0" containsNumber="1" containsInteger="1" minValue="1000" maxValue="1000"/>
    </cacheField>
    <cacheField name="Hora de monitoreo" numFmtId="0">
      <sharedItems containsNonDate="0" containsDate="1" containsString="0" containsBlank="1" minDate="1899-12-30T09:35:00" maxDate="1899-12-30T23:56:00"/>
    </cacheField>
    <cacheField name="Peso bolsa" numFmtId="0">
      <sharedItems/>
    </cacheField>
    <cacheField name="Peso caja" numFmtId="3">
      <sharedItems containsString="0" containsBlank="1" containsNumber="1" containsInteger="1" minValue="10180" maxValue="14260"/>
    </cacheField>
    <cacheField name="Temperatura°" numFmtId="164">
      <sharedItems containsString="0" containsBlank="1" containsNumber="1" minValue="-18.600000000000001" maxValue="-3.5"/>
    </cacheField>
    <cacheField name="Sellado Bolsa" numFmtId="0">
      <sharedItems/>
    </cacheField>
    <cacheField name="Sellado Caja" numFmtId="0">
      <sharedItems/>
    </cacheField>
    <cacheField name="% de IQF" numFmtId="165">
      <sharedItems containsSemiMixedTypes="0" containsString="0" containsNumber="1" minValue="0.31499999999999995" maxValue="1"/>
    </cacheField>
    <cacheField name="Inmadura" numFmtId="166">
      <sharedItems containsSemiMixedTypes="0" containsString="0" containsNumber="1" containsInteger="1" minValue="0" maxValue="41"/>
    </cacheField>
    <cacheField name="% Inmadura (4%)" numFmtId="165">
      <sharedItems containsSemiMixedTypes="0" containsString="0" containsNumber="1" minValue="0" maxValue="4.1000000000000002E-2"/>
    </cacheField>
    <cacheField name="Partidas" numFmtId="166">
      <sharedItems containsSemiMixedTypes="0" containsString="0" containsNumber="1" containsInteger="1" minValue="0" maxValue="45"/>
    </cacheField>
    <cacheField name="% Partidas" numFmtId="165">
      <sharedItems containsSemiMixedTypes="0" containsString="0" containsNumber="1" minValue="0" maxValue="4.4999999999999998E-2"/>
    </cacheField>
    <cacheField name="Daño Insecto" numFmtId="166">
      <sharedItems containsSemiMixedTypes="0" containsString="0" containsNumber="1" containsInteger="1" minValue="0" maxValue="99"/>
    </cacheField>
    <cacheField name="% Daño Insecto" numFmtId="165">
      <sharedItems containsSemiMixedTypes="0" containsString="0" containsNumber="1" minValue="0" maxValue="9.9000000000000005E-2"/>
    </cacheField>
    <cacheField name="Sobremadura" numFmtId="166">
      <sharedItems containsSemiMixedTypes="0" containsString="0" containsNumber="1" containsInteger="1" minValue="0" maxValue="171"/>
    </cacheField>
    <cacheField name="% Sobremadura" numFmtId="165">
      <sharedItems containsSemiMixedTypes="0" containsString="0" containsNumber="1" minValue="0" maxValue="0.17100000000000001"/>
    </cacheField>
    <cacheField name="Deforme" numFmtId="166">
      <sharedItems containsSemiMixedTypes="0" containsString="0" containsNumber="1" containsInteger="1" minValue="0" maxValue="415"/>
    </cacheField>
    <cacheField name="% Deforme" numFmtId="165">
      <sharedItems containsSemiMixedTypes="0" containsString="0" containsNumber="1" minValue="0" maxValue="0.41499999999999998"/>
    </cacheField>
    <cacheField name="Descripción Extra 1" numFmtId="0">
      <sharedItems containsBlank="1"/>
    </cacheField>
    <cacheField name="Valor Extra 1" numFmtId="166">
      <sharedItems containsSemiMixedTypes="0" containsString="0" containsNumber="1" containsInteger="1" minValue="0" maxValue="162"/>
    </cacheField>
    <cacheField name="% Extra 1" numFmtId="165">
      <sharedItems containsSemiMixedTypes="0" containsString="0" containsNumber="1" minValue="0" maxValue="0.16200000000000001"/>
    </cacheField>
    <cacheField name="Descripción Extra 2" numFmtId="0">
      <sharedItems containsBlank="1"/>
    </cacheField>
    <cacheField name="Valor Extra 2" numFmtId="0">
      <sharedItems containsSemiMixedTypes="0" containsString="0" containsNumber="1" containsInteger="1" minValue="0" maxValue="26"/>
    </cacheField>
    <cacheField name="% Extra 2" numFmtId="165">
      <sharedItems containsString="0" containsBlank="1" containsNumber="1" containsInteger="1" minValue="0" maxValue="0"/>
    </cacheField>
    <cacheField name="Hongos" numFmtId="166">
      <sharedItems containsSemiMixedTypes="0" containsString="0" containsNumber="1" containsInteger="1" minValue="0" maxValue="126"/>
    </cacheField>
    <cacheField name="% Hongos" numFmtId="165">
      <sharedItems containsSemiMixedTypes="0" containsString="0" containsNumber="1" minValue="0" maxValue="0.126"/>
    </cacheField>
    <cacheField name="Block" numFmtId="166">
      <sharedItems containsSemiMixedTypes="0" containsString="0" containsNumber="1" containsInteger="1" minValue="0" maxValue="315"/>
    </cacheField>
    <cacheField name="% Block" numFmtId="165">
      <sharedItems containsSemiMixedTypes="0" containsString="0" containsNumber="1" minValue="0" maxValue="0.315"/>
    </cacheField>
    <cacheField name="Caliz (Und.)" numFmtId="166">
      <sharedItems containsSemiMixedTypes="0" containsString="0" containsNumber="1" containsInteger="1" minValue="0" maxValue="0"/>
    </cacheField>
    <cacheField name="Larvas (Und.)" numFmtId="166">
      <sharedItems containsSemiMixedTypes="0" containsString="0" containsNumber="1" containsInteger="1" minValue="0" maxValue="0"/>
    </cacheField>
    <cacheField name="Fuera de calibre &lt;12mm" numFmtId="166">
      <sharedItems containsSemiMixedTypes="0" containsString="0" containsNumber="1" containsInteger="1" minValue="0" maxValue="0"/>
    </cacheField>
    <cacheField name="% Fue. De Cal. &lt;12mm" numFmtId="165">
      <sharedItems containsSemiMixedTypes="0" containsString="0" containsNumber="1" containsInteger="1" minValue="0" maxValue="0"/>
    </cacheField>
    <cacheField name="Calibre &lt;25" numFmtId="166">
      <sharedItems containsSemiMixedTypes="0" containsString="0" containsNumber="1" containsInteger="1" minValue="0" maxValue="0"/>
    </cacheField>
    <cacheField name="% &lt;25" numFmtId="165">
      <sharedItems containsSemiMixedTypes="0" containsString="0" containsNumber="1" containsInteger="1" minValue="0" maxValue="0"/>
    </cacheField>
    <cacheField name="Calibre &gt;12" numFmtId="166">
      <sharedItems containsSemiMixedTypes="0" containsString="0" containsNumber="1" containsInteger="1" minValue="0" maxValue="0"/>
    </cacheField>
    <cacheField name="% &gt;12" numFmtId="165">
      <sharedItems containsSemiMixedTypes="0" containsString="0" containsNumber="1" containsInteger="1" minValue="0" maxValue="0"/>
    </cacheField>
    <cacheField name="Calibre &lt;14" numFmtId="166">
      <sharedItems containsSemiMixedTypes="0" containsString="0" containsNumber="1" containsInteger="1" minValue="0" maxValue="0"/>
    </cacheField>
    <cacheField name="%  &lt;14" numFmtId="165">
      <sharedItems containsSemiMixedTypes="0" containsString="0" containsNumber="1" containsInteger="1" minValue="0" maxValue="0"/>
    </cacheField>
    <cacheField name="Calibre &gt;14" numFmtId="166">
      <sharedItems containsSemiMixedTypes="0" containsString="0" containsNumber="1" containsInteger="1" minValue="0" maxValue="0"/>
    </cacheField>
    <cacheField name="% &gt;14" numFmtId="165">
      <sharedItems containsSemiMixedTypes="0" containsString="0" containsNumber="1" containsInteger="1" minValue="0" maxValue="0"/>
    </cacheField>
    <cacheField name="Calibre &lt;10" numFmtId="166">
      <sharedItems containsSemiMixedTypes="0" containsString="0" containsNumber="1" containsInteger="1" minValue="0" maxValue="0"/>
    </cacheField>
    <cacheField name="% &lt;10" numFmtId="165">
      <sharedItems containsSemiMixedTypes="0" containsString="0" containsNumber="1" containsInteger="1" minValue="0" maxValue="0"/>
    </cacheField>
    <cacheField name="Calibre &gt;13" numFmtId="166">
      <sharedItems containsSemiMixedTypes="0" containsString="0" containsNumber="1" containsInteger="1" minValue="0" maxValue="0"/>
    </cacheField>
    <cacheField name="% &gt;13" numFmtId="165">
      <sharedItems containsSemiMixedTypes="0" containsString="0" containsNumber="1" containsInteger="1" minValue="0" maxValue="0"/>
    </cacheField>
    <cacheField name="Hoja (Un.)" numFmtId="166">
      <sharedItems containsBlank="1" containsMixedTypes="1" containsNumber="1" containsInteger="1" minValue="0" maxValue="0"/>
    </cacheField>
    <cacheField name="Pedicelo Caja" numFmtId="166">
      <sharedItems containsBlank="1" containsMixedTypes="1" containsNumber="1" containsInteger="1" minValue="0" maxValue="0"/>
    </cacheField>
    <cacheField name="Larvas Caja" numFmtId="166">
      <sharedItems containsBlank="1" containsMixedTypes="1" containsNumber="1" containsInteger="1" minValue="0" maxValue="0"/>
    </cacheField>
    <cacheField name="Vidrios" numFmtId="166">
      <sharedItems containsBlank="1" containsMixedTypes="1" containsNumber="1" containsInteger="1" minValue="0" maxValue="0"/>
    </cacheField>
    <cacheField name="Madera" numFmtId="166">
      <sharedItems containsBlank="1" containsMixedTypes="1" containsNumber="1" containsInteger="1" minValue="0" maxValue="0"/>
    </cacheField>
    <cacheField name="Plástico" numFmtId="166">
      <sharedItems containsBlank="1" containsMixedTypes="1" containsNumber="1" containsInteger="1" minValue="0" maxValue="0"/>
    </cacheField>
    <cacheField name="°Brix" numFmtId="167">
      <sharedItems containsSemiMixedTypes="0" containsString="0" containsNumber="1" containsInteger="1" minValue="0" maxValue="0"/>
    </cacheField>
    <cacheField name="Sabor" numFmtId="0">
      <sharedItems/>
    </cacheField>
    <cacheField name="Olor" numFmtId="0">
      <sharedItems/>
    </cacheField>
    <cacheField name="Defectos Totales" numFmtId="0">
      <sharedItems containsSemiMixedTypes="0" containsString="0" containsNumber="1" containsInteger="1" minValue="0" maxValue="685"/>
    </cacheField>
    <cacheField name="% Defectos" numFmtId="165">
      <sharedItems containsSemiMixedTypes="0" containsString="0" containsNumber="1" minValue="0" maxValue="0.68500000000000005"/>
    </cacheField>
    <cacheField name="Observaciones" numFmtId="0">
      <sharedItems containsBlank="1"/>
    </cacheField>
    <cacheField name="% de IQF2" numFmtId="165">
      <sharedItems containsSemiMixedTypes="0" containsString="0" containsNumber="1" minValue="0.31499999999999995" maxValue="1"/>
    </cacheField>
    <cacheField name="Nombre del/la analista" numFmtId="0">
      <sharedItems containsBlank="1"/>
    </cacheField>
    <cacheField name="Mat. Extr. Endo." numFmtId="0">
      <sharedItems containsSemiMixedTypes="0" containsString="0" containsNumber="1" containsInteger="1" minValue="0" maxValue="0"/>
    </cacheField>
    <cacheField name="Mat. Extr. Exo." numFmtId="0">
      <sharedItems containsSemiMixedTypes="0" containsString="0" containsNumber="1" containsInteger="1" minValue="0" maxValue="0"/>
    </cacheField>
    <cacheField name="Filtro Producto" numFmtId="0">
      <sharedItems count="4">
        <s v="FT S/V Org. S/C PSP 13,61 kg en Caja"/>
        <s v="FT AB Conv. S/C PSP 13,61 kg en Caja"/>
        <s v="FB MK Conv. S/C PSP 12 kg en Caja"/>
        <s v=""/>
      </sharedItems>
    </cacheField>
    <cacheField name="Filtro Lote" numFmtId="0">
      <sharedItems containsMixedTypes="1" containsNumber="1" containsInteger="1" minValue="5540" maxValue="304896" count="5">
        <n v="5540"/>
        <n v="5546"/>
        <n v="304895"/>
        <n v="304896"/>
        <s v=""/>
      </sharedItems>
    </cacheField>
    <cacheField name="Filtro Pallet" numFmtId="0">
      <sharedItems containsMixedTypes="1" containsNumber="1" containsInteger="1" minValue="13712" maxValue="49403" count="15">
        <n v="13712"/>
        <n v="13713"/>
        <n v="13714"/>
        <n v="13715"/>
        <n v="13771"/>
        <n v="49391"/>
        <n v="49392"/>
        <n v="49393"/>
        <n v="49394"/>
        <n v="49395"/>
        <n v="49396"/>
        <n v="49397"/>
        <n v="49402"/>
        <n v="49403"/>
        <s v=""/>
      </sharedItems>
    </cacheField>
  </cacheFields>
  <extLst>
    <ext xmlns:x14="http://schemas.microsoft.com/office/spreadsheetml/2009/9/main" uri="{725AE2AE-9491-48be-B2B4-4EB974FC3084}">
      <x14:pivotCacheDefinition pivotCacheId="17384131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x v="0"/>
    <n v="1"/>
    <n v="1"/>
    <n v="1"/>
    <n v="303231000"/>
    <x v="0"/>
    <s v="PSP"/>
    <x v="0"/>
    <x v="0"/>
    <n v="1000"/>
    <d v="1899-12-30T09:35:00"/>
    <s v="N/A"/>
    <n v="10180"/>
    <m/>
    <s v="C"/>
    <s v="C"/>
    <n v="0.82000000000000006"/>
    <n v="20"/>
    <n v="0.02"/>
    <n v="0"/>
    <n v="0"/>
    <n v="0"/>
    <n v="0"/>
    <n v="0"/>
    <n v="0"/>
    <n v="0"/>
    <n v="0"/>
    <s v="Daño Mécanico"/>
    <n v="160"/>
    <n v="0.16"/>
    <s v="Mat. Vegetal (Und.)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206"/>
    <n v="0.18"/>
    <m/>
    <n v="0.82000000000000006"/>
    <s v="Raul Soto"/>
    <n v="0"/>
    <n v="0"/>
    <x v="0"/>
    <x v="0"/>
    <x v="0"/>
  </r>
  <r>
    <x v="0"/>
    <n v="1"/>
    <n v="1"/>
    <n v="1"/>
    <n v="303231000"/>
    <x v="0"/>
    <s v="PSP"/>
    <x v="0"/>
    <x v="0"/>
    <n v="1000"/>
    <d v="1899-12-30T10:40:00"/>
    <s v="N/A"/>
    <n v="14150"/>
    <n v="-7.3"/>
    <s v="C"/>
    <s v="C"/>
    <n v="0.83499999999999996"/>
    <n v="41"/>
    <n v="4.1000000000000002E-2"/>
    <n v="10"/>
    <n v="0.01"/>
    <n v="9"/>
    <n v="8.9999999999999993E-3"/>
    <n v="0"/>
    <n v="0"/>
    <n v="0"/>
    <n v="0"/>
    <s v="Daño Mécanico"/>
    <n v="105"/>
    <n v="0.105"/>
    <s v="Mat. Vegetal (Und.)"/>
    <n v="1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178"/>
    <n v="0.16500000000000001"/>
    <m/>
    <n v="0.83499999999999996"/>
    <s v="Raul Soto"/>
    <n v="0"/>
    <n v="0"/>
    <x v="0"/>
    <x v="0"/>
    <x v="0"/>
  </r>
  <r>
    <x v="0"/>
    <n v="1"/>
    <n v="1"/>
    <n v="1"/>
    <n v="303231000"/>
    <x v="0"/>
    <s v="PSP"/>
    <x v="1"/>
    <x v="0"/>
    <n v="1000"/>
    <d v="1899-12-30T11:07:00"/>
    <s v="N/A"/>
    <n v="14135"/>
    <n v="-3.5"/>
    <s v="C"/>
    <s v="C"/>
    <n v="0.93700000000000006"/>
    <n v="0"/>
    <n v="0"/>
    <n v="0"/>
    <n v="0"/>
    <n v="0"/>
    <n v="0"/>
    <n v="48"/>
    <n v="4.8000000000000001E-2"/>
    <n v="0"/>
    <n v="0"/>
    <s v="Daño Mécanico"/>
    <n v="15"/>
    <n v="1.4999999999999999E-2"/>
    <s v="Mat. Vegetal (Und.)"/>
    <n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85"/>
    <n v="6.3E-2"/>
    <m/>
    <n v="0.93700000000000006"/>
    <s v="Raul Soto"/>
    <n v="0"/>
    <n v="0"/>
    <x v="0"/>
    <x v="0"/>
    <x v="1"/>
  </r>
  <r>
    <x v="0"/>
    <n v="1"/>
    <n v="1"/>
    <n v="1"/>
    <n v="303231000"/>
    <x v="0"/>
    <s v="PSP"/>
    <x v="1"/>
    <x v="0"/>
    <n v="1000"/>
    <d v="1899-12-30T11:28:00"/>
    <s v="N/A"/>
    <n v="14145"/>
    <n v="-5"/>
    <s v="C"/>
    <s v="C"/>
    <n v="0.878"/>
    <n v="15"/>
    <n v="1.4999999999999999E-2"/>
    <n v="10"/>
    <n v="0.01"/>
    <n v="13"/>
    <n v="1.2999999999999999E-2"/>
    <n v="35"/>
    <n v="3.5000000000000003E-2"/>
    <n v="0"/>
    <n v="0"/>
    <s v="Daño Mécanico"/>
    <n v="30"/>
    <n v="0.03"/>
    <s v="Mat. Vegetal (Und.)"/>
    <n v="17"/>
    <m/>
    <n v="19"/>
    <n v="1.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139"/>
    <n v="0.12200000000000001"/>
    <m/>
    <n v="0.878"/>
    <s v="Raul Soto"/>
    <n v="0"/>
    <n v="0"/>
    <x v="0"/>
    <x v="0"/>
    <x v="1"/>
  </r>
  <r>
    <x v="0"/>
    <n v="1"/>
    <n v="1"/>
    <n v="1"/>
    <n v="303231000"/>
    <x v="0"/>
    <s v="PSP"/>
    <x v="2"/>
    <x v="0"/>
    <n v="1000"/>
    <d v="1899-12-30T11:57:00"/>
    <s v="N/A"/>
    <n v="14145"/>
    <n v="-12.3"/>
    <s v="C"/>
    <s v="C"/>
    <n v="0.85799999999999998"/>
    <n v="0"/>
    <n v="0"/>
    <n v="0"/>
    <n v="0"/>
    <n v="0"/>
    <n v="0"/>
    <n v="37"/>
    <n v="3.6999999999999998E-2"/>
    <n v="0"/>
    <n v="0"/>
    <s v="Daño Mécanico"/>
    <n v="28"/>
    <n v="2.8000000000000001E-2"/>
    <s v="Mat. Vegetal (Und.)"/>
    <n v="22"/>
    <m/>
    <n v="77"/>
    <n v="7.699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164"/>
    <n v="0.14200000000000002"/>
    <m/>
    <n v="0.85799999999999998"/>
    <s v="Raul Soto"/>
    <n v="0"/>
    <n v="0"/>
    <x v="0"/>
    <x v="0"/>
    <x v="2"/>
  </r>
  <r>
    <x v="0"/>
    <n v="1"/>
    <n v="1"/>
    <n v="1"/>
    <n v="303231000"/>
    <x v="0"/>
    <s v="PSP"/>
    <x v="2"/>
    <x v="0"/>
    <n v="1000"/>
    <d v="1899-12-30T12:14:00"/>
    <s v="N/A"/>
    <n v="14130"/>
    <n v="-15.2"/>
    <s v="C"/>
    <s v="C"/>
    <n v="0.76600000000000001"/>
    <n v="37"/>
    <n v="3.6999999999999998E-2"/>
    <n v="0"/>
    <n v="0"/>
    <n v="71"/>
    <n v="7.0999999999999994E-2"/>
    <n v="21"/>
    <n v="2.1000000000000001E-2"/>
    <n v="0"/>
    <n v="0"/>
    <s v="Daño Mécanico"/>
    <n v="75"/>
    <n v="7.4999999999999997E-2"/>
    <s v="Mat. Vegetal (Und.)"/>
    <n v="9"/>
    <m/>
    <n v="30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"/>
    <s v="C"/>
    <n v="243"/>
    <n v="0.23399999999999996"/>
    <m/>
    <n v="0.76600000000000001"/>
    <s v="Raul Soto"/>
    <n v="0"/>
    <n v="0"/>
    <x v="0"/>
    <x v="0"/>
    <x v="2"/>
  </r>
  <r>
    <x v="0"/>
    <n v="1"/>
    <n v="1"/>
    <n v="1"/>
    <n v="303231000"/>
    <x v="0"/>
    <s v="PSP"/>
    <x v="3"/>
    <x v="0"/>
    <n v="1000"/>
    <d v="1899-12-30T13:26:00"/>
    <s v="N/A"/>
    <n v="14170"/>
    <n v="-12.3"/>
    <s v="C"/>
    <s v="C"/>
    <n v="0.83799999999999997"/>
    <n v="0"/>
    <n v="0"/>
    <n v="0"/>
    <n v="0"/>
    <n v="0"/>
    <n v="0"/>
    <n v="0"/>
    <n v="0"/>
    <n v="0"/>
    <n v="0"/>
    <s v="Daño Mécanico"/>
    <n v="162"/>
    <n v="0.16200000000000001"/>
    <s v="Mat. Vegetal (Und.)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"/>
    <s v="C"/>
    <n v="169"/>
    <n v="0.16200000000000001"/>
    <m/>
    <n v="0.83799999999999997"/>
    <s v="Raul Soto"/>
    <n v="0"/>
    <n v="0"/>
    <x v="0"/>
    <x v="0"/>
    <x v="3"/>
  </r>
  <r>
    <x v="0"/>
    <n v="1"/>
    <n v="1"/>
    <n v="1"/>
    <n v="303231000"/>
    <x v="0"/>
    <s v="PSP"/>
    <x v="3"/>
    <x v="0"/>
    <n v="1000"/>
    <d v="1899-12-30T12:42:00"/>
    <s v="N/A"/>
    <n v="14190"/>
    <n v="-8.8000000000000007"/>
    <s v="C"/>
    <s v="C"/>
    <n v="0.86699999999999999"/>
    <n v="0"/>
    <n v="0"/>
    <n v="0"/>
    <n v="0"/>
    <n v="0"/>
    <n v="0"/>
    <n v="0"/>
    <n v="0"/>
    <n v="0"/>
    <n v="0"/>
    <s v="Daño Mécanico"/>
    <n v="133"/>
    <n v="0.13300000000000001"/>
    <s v="Mat. Vegetal (Und.)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"/>
    <s v="C"/>
    <n v="139"/>
    <n v="0.13300000000000001"/>
    <m/>
    <n v="0.86699999999999999"/>
    <s v="Raul Soto"/>
    <n v="0"/>
    <n v="0"/>
    <x v="0"/>
    <x v="0"/>
    <x v="3"/>
  </r>
  <r>
    <x v="0"/>
    <n v="1"/>
    <n v="1"/>
    <n v="1"/>
    <n v="303231000"/>
    <x v="0"/>
    <s v="PSP"/>
    <x v="4"/>
    <x v="1"/>
    <n v="1000"/>
    <d v="1899-12-30T14:01:00"/>
    <s v="N/A"/>
    <n v="14150"/>
    <n v="-14.1"/>
    <s v="C"/>
    <s v="C"/>
    <n v="0.85199999999999998"/>
    <n v="0"/>
    <n v="0"/>
    <n v="0"/>
    <n v="0"/>
    <n v="0"/>
    <n v="0"/>
    <n v="0"/>
    <n v="0"/>
    <n v="0"/>
    <n v="0"/>
    <s v="Daño Mécanico"/>
    <n v="127"/>
    <n v="0.127"/>
    <s v="Mat. Vegetal (Und.)"/>
    <n v="12"/>
    <m/>
    <n v="21"/>
    <n v="2.1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"/>
    <s v="C"/>
    <n v="160"/>
    <n v="0.14799999999999999"/>
    <m/>
    <n v="0.85199999999999998"/>
    <s v="Raul Soto"/>
    <n v="0"/>
    <n v="0"/>
    <x v="0"/>
    <x v="1"/>
    <x v="4"/>
  </r>
  <r>
    <x v="1"/>
    <n v="3"/>
    <n v="2"/>
    <n v="3"/>
    <n v="303132000"/>
    <x v="1"/>
    <s v="PSP"/>
    <x v="5"/>
    <x v="2"/>
    <n v="1000"/>
    <d v="1899-12-30T20:39:00"/>
    <s v="N/A"/>
    <n v="14145"/>
    <n v="-18.600000000000001"/>
    <s v="C"/>
    <s v="C"/>
    <n v="0.86299999999999999"/>
    <n v="0"/>
    <n v="0"/>
    <n v="0"/>
    <n v="0"/>
    <n v="37"/>
    <n v="3.6999999999999998E-2"/>
    <n v="43"/>
    <n v="4.2999999999999997E-2"/>
    <n v="0"/>
    <n v="0"/>
    <m/>
    <n v="0"/>
    <n v="0"/>
    <m/>
    <n v="0"/>
    <n v="0"/>
    <n v="57"/>
    <n v="5.70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137"/>
    <n v="0.13699999999999998"/>
    <s v="S/O"/>
    <n v="0.86299999999999999"/>
    <s v="Joaquin Flores"/>
    <n v="0"/>
    <n v="0"/>
    <x v="1"/>
    <x v="2"/>
    <x v="5"/>
  </r>
  <r>
    <x v="1"/>
    <n v="3"/>
    <n v="2"/>
    <n v="3"/>
    <n v="303132000"/>
    <x v="1"/>
    <s v="PSP"/>
    <x v="6"/>
    <x v="2"/>
    <n v="1000"/>
    <d v="1899-12-30T22:51:00"/>
    <s v="N/A"/>
    <n v="14200"/>
    <n v="-16.600000000000001"/>
    <s v="C"/>
    <s v="C"/>
    <n v="0.81400000000000006"/>
    <n v="0"/>
    <n v="0"/>
    <n v="0"/>
    <n v="0"/>
    <n v="0"/>
    <n v="0"/>
    <n v="91"/>
    <n v="9.0999999999999998E-2"/>
    <n v="9"/>
    <n v="8.9999999999999993E-3"/>
    <m/>
    <n v="0"/>
    <n v="0"/>
    <m/>
    <n v="0"/>
    <n v="0"/>
    <n v="86"/>
    <n v="8.599999999999999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186"/>
    <n v="0.186"/>
    <s v="S/O"/>
    <n v="0.81400000000000006"/>
    <s v="Joaquin Flores"/>
    <n v="0"/>
    <n v="0"/>
    <x v="1"/>
    <x v="2"/>
    <x v="6"/>
  </r>
  <r>
    <x v="1"/>
    <n v="3"/>
    <n v="2"/>
    <n v="3"/>
    <n v="303132000"/>
    <x v="1"/>
    <s v="PSP"/>
    <x v="7"/>
    <x v="2"/>
    <n v="1000"/>
    <d v="1899-12-30T23:00:00"/>
    <s v="N/A"/>
    <n v="14180"/>
    <n v="-16.2"/>
    <s v="C"/>
    <s v="C"/>
    <n v="0.77800000000000002"/>
    <n v="0"/>
    <n v="0"/>
    <n v="0"/>
    <n v="0"/>
    <n v="16"/>
    <n v="1.6E-2"/>
    <n v="164"/>
    <n v="0.16400000000000001"/>
    <n v="11"/>
    <n v="1.0999999999999999E-2"/>
    <m/>
    <n v="0"/>
    <n v="0"/>
    <m/>
    <n v="0"/>
    <n v="0"/>
    <n v="31"/>
    <n v="3.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222"/>
    <n v="0.222"/>
    <s v="S/O"/>
    <n v="0.77800000000000002"/>
    <s v="Joaquin Flores"/>
    <n v="0"/>
    <n v="0"/>
    <x v="1"/>
    <x v="2"/>
    <x v="7"/>
  </r>
  <r>
    <x v="1"/>
    <n v="3"/>
    <n v="2"/>
    <n v="3"/>
    <n v="303132000"/>
    <x v="1"/>
    <s v="PSP"/>
    <x v="8"/>
    <x v="2"/>
    <n v="1000"/>
    <d v="1899-12-30T23:16:00"/>
    <s v="N/A"/>
    <n v="14255"/>
    <n v="-17.899999999999999"/>
    <s v="C"/>
    <s v="C"/>
    <n v="0.76600000000000001"/>
    <n v="0"/>
    <n v="0"/>
    <n v="0"/>
    <n v="0"/>
    <n v="0"/>
    <n v="0"/>
    <n v="98"/>
    <n v="9.8000000000000004E-2"/>
    <n v="10"/>
    <n v="0.01"/>
    <m/>
    <n v="0"/>
    <n v="0"/>
    <m/>
    <n v="0"/>
    <n v="0"/>
    <n v="126"/>
    <n v="0.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234"/>
    <n v="0.23399999999999999"/>
    <s v="S/O"/>
    <n v="0.76600000000000001"/>
    <s v="Joaquin Flores"/>
    <n v="0"/>
    <n v="0"/>
    <x v="1"/>
    <x v="2"/>
    <x v="8"/>
  </r>
  <r>
    <x v="1"/>
    <n v="3"/>
    <n v="2"/>
    <n v="3"/>
    <n v="303132000"/>
    <x v="1"/>
    <s v="PSP"/>
    <x v="9"/>
    <x v="2"/>
    <n v="1000"/>
    <d v="1899-12-30T23:26:00"/>
    <s v="N/A"/>
    <n v="14175"/>
    <n v="-17.3"/>
    <s v="C"/>
    <s v="C"/>
    <n v="0.65900000000000003"/>
    <n v="0"/>
    <n v="0"/>
    <n v="45"/>
    <n v="4.4999999999999998E-2"/>
    <n v="99"/>
    <n v="9.9000000000000005E-2"/>
    <n v="156"/>
    <n v="0.156"/>
    <n v="0"/>
    <n v="0"/>
    <m/>
    <n v="0"/>
    <n v="0"/>
    <m/>
    <n v="0"/>
    <n v="0"/>
    <n v="41"/>
    <n v="4.10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341"/>
    <n v="0.34100000000000003"/>
    <s v="S/O"/>
    <n v="0.65900000000000003"/>
    <s v="Joaquin Flores"/>
    <n v="0"/>
    <n v="0"/>
    <x v="1"/>
    <x v="2"/>
    <x v="9"/>
  </r>
  <r>
    <x v="1"/>
    <n v="3"/>
    <n v="2"/>
    <n v="3"/>
    <n v="303132000"/>
    <x v="1"/>
    <s v="PSP"/>
    <x v="10"/>
    <x v="2"/>
    <n v="1000"/>
    <d v="1899-12-30T23:41:00"/>
    <s v="N/A"/>
    <n v="14260"/>
    <n v="-16.7"/>
    <s v="C"/>
    <s v="C"/>
    <n v="0.82899999999999996"/>
    <n v="0"/>
    <n v="0"/>
    <n v="0"/>
    <n v="0"/>
    <n v="0"/>
    <n v="0"/>
    <n v="171"/>
    <n v="0.17100000000000001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171"/>
    <n v="0.17100000000000001"/>
    <s v="S/O"/>
    <n v="0.82899999999999996"/>
    <s v="Joaquin Flores"/>
    <n v="0"/>
    <n v="0"/>
    <x v="1"/>
    <x v="2"/>
    <x v="10"/>
  </r>
  <r>
    <x v="1"/>
    <n v="3"/>
    <n v="2"/>
    <n v="3"/>
    <n v="303132000"/>
    <x v="1"/>
    <s v="PSP"/>
    <x v="11"/>
    <x v="2"/>
    <n v="1000"/>
    <d v="1899-12-30T23:56:00"/>
    <s v="N/A"/>
    <n v="14225"/>
    <n v="-16.600000000000001"/>
    <s v="C"/>
    <s v="C"/>
    <n v="0.71199999999999997"/>
    <n v="0"/>
    <n v="0"/>
    <n v="0"/>
    <n v="0"/>
    <n v="44"/>
    <n v="4.3999999999999997E-2"/>
    <n v="160"/>
    <n v="0.16"/>
    <n v="0"/>
    <n v="0"/>
    <m/>
    <n v="0"/>
    <n v="0"/>
    <m/>
    <n v="0"/>
    <n v="0"/>
    <n v="84"/>
    <n v="8.400000000000000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288"/>
    <n v="0.28800000000000003"/>
    <s v="S/O"/>
    <n v="0.71199999999999997"/>
    <s v="Joaquin Flores"/>
    <n v="0"/>
    <n v="0"/>
    <x v="1"/>
    <x v="2"/>
    <x v="11"/>
  </r>
  <r>
    <x v="2"/>
    <n v="3"/>
    <n v="2"/>
    <n v="3"/>
    <n v="303132000"/>
    <x v="1"/>
    <s v="PSP"/>
    <x v="12"/>
    <x v="3"/>
    <n v="1000"/>
    <d v="1899-12-30T21:51:00"/>
    <s v="N/A"/>
    <n v="14123"/>
    <n v="-16.7"/>
    <s v="C"/>
    <s v="C"/>
    <n v="0.46499999999999997"/>
    <n v="0"/>
    <n v="0"/>
    <n v="0"/>
    <n v="0"/>
    <n v="0"/>
    <n v="0"/>
    <n v="0"/>
    <n v="0"/>
    <n v="180"/>
    <n v="0.18"/>
    <m/>
    <n v="0"/>
    <n v="0"/>
    <m/>
    <n v="0"/>
    <n v="0"/>
    <n v="40"/>
    <n v="0.04"/>
    <n v="315"/>
    <n v="0.315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535"/>
    <n v="0.53500000000000003"/>
    <s v="S/O"/>
    <n v="0.46499999999999997"/>
    <s v="Fernanda Jara"/>
    <n v="0"/>
    <n v="0"/>
    <x v="1"/>
    <x v="3"/>
    <x v="12"/>
  </r>
  <r>
    <x v="2"/>
    <n v="3"/>
    <n v="2"/>
    <n v="3"/>
    <n v="302132000"/>
    <x v="2"/>
    <s v="PSP"/>
    <x v="13"/>
    <x v="3"/>
    <n v="1000"/>
    <d v="1899-12-30T22:12:00"/>
    <s v="N/A"/>
    <n v="14115"/>
    <n v="-11.2"/>
    <s v="C"/>
    <s v="C"/>
    <n v="0.31499999999999995"/>
    <n v="0"/>
    <n v="0"/>
    <n v="0"/>
    <n v="0"/>
    <n v="50"/>
    <n v="0.05"/>
    <n v="0"/>
    <n v="0"/>
    <n v="415"/>
    <n v="0.41499999999999998"/>
    <m/>
    <n v="0"/>
    <n v="0"/>
    <m/>
    <n v="0"/>
    <n v="0"/>
    <n v="20"/>
    <n v="0.02"/>
    <n v="200"/>
    <n v="0.2"/>
    <n v="0"/>
    <n v="0"/>
    <n v="0"/>
    <n v="0"/>
    <n v="0"/>
    <n v="0"/>
    <n v="0"/>
    <n v="0"/>
    <n v="0"/>
    <n v="0"/>
    <n v="0"/>
    <n v="0"/>
    <n v="0"/>
    <n v="0"/>
    <n v="0"/>
    <n v="0"/>
    <s v="S/A"/>
    <s v="S/A"/>
    <s v="S/A"/>
    <s v="S/A"/>
    <s v="S/A"/>
    <s v="S/A"/>
    <n v="0"/>
    <s v="C"/>
    <s v="C"/>
    <n v="685"/>
    <n v="0.68500000000000005"/>
    <s v="S/O"/>
    <n v="0.31499999999999995"/>
    <s v="Fernanda Jara"/>
    <n v="0"/>
    <n v="0"/>
    <x v="2"/>
    <x v="3"/>
    <x v="13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  <r>
    <x v="3"/>
    <n v="52"/>
    <m/>
    <m/>
    <m/>
    <x v="3"/>
    <s v=""/>
    <x v="14"/>
    <x v="4"/>
    <n v="1000"/>
    <m/>
    <s v="N/A"/>
    <m/>
    <m/>
    <s v="C"/>
    <s v="C"/>
    <n v="1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s v="C"/>
    <s v="C"/>
    <n v="0"/>
    <n v="0"/>
    <m/>
    <n v="1"/>
    <m/>
    <n v="0"/>
    <n v="0"/>
    <x v="3"/>
    <x v="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D28DD-CADC-4C3D-B2A3-0D9C79424A91}" name="TablaDinámica1" cacheId="226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3:P28" firstHeaderRow="0" firstDataRow="1" firstDataCol="4" rowPageCount="3" colPageCount="1"/>
  <pivotFields count="72">
    <pivotField axis="axisRow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axis="axisRow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showAll="0"/>
    <pivotField numFmtId="166" showAll="0"/>
    <pivotField numFmtId="165" showAll="0"/>
    <pivotField showAll="0"/>
    <pivotField showAll="0"/>
    <pivotField showAll="0"/>
    <pivotField numFmtId="166" showAll="0"/>
    <pivotField dataField="1" numFmtId="165" showAll="0"/>
    <pivotField numFmtId="166" showAll="0"/>
    <pivotField dataField="1" numFmtId="165" showAll="0"/>
    <pivotField dataField="1" numFmtId="166" showAll="0"/>
    <pivotField dataField="1" numFmtId="166" showAll="0"/>
    <pivotField numFmtId="166" showAll="0"/>
    <pivotField numFmtId="165" showAll="0"/>
    <pivotField numFmtId="166" showAll="0"/>
    <pivotField numFmtId="165" showAll="0"/>
    <pivotField numFmtId="166" showAll="0"/>
    <pivotField numFmtId="165" showAll="0"/>
    <pivotField numFmtId="166" showAll="0"/>
    <pivotField numFmtId="165" showAll="0"/>
    <pivotField numFmtId="166" showAll="0"/>
    <pivotField numFmtId="165" showAll="0"/>
    <pivotField numFmtId="166" showAll="0"/>
    <pivotField numFmtId="165" showAll="0"/>
    <pivotField numFmtId="166" showAll="0"/>
    <pivotField numFmtId="165"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numFmtId="165" showAll="0"/>
    <pivotField showAll="0"/>
    <pivotField numFmtId="165" showAll="0"/>
    <pivotField showAll="0"/>
    <pivotField dataField="1" showAll="0"/>
    <pivotField dataField="1" showAll="0"/>
    <pivotField axis="axisPage" multipleItemSelectionAllowed="1" showAll="0">
      <items count="5">
        <item h="1" x="3"/>
        <item x="2"/>
        <item x="1"/>
        <item x="0"/>
        <item t="default"/>
      </items>
    </pivotField>
    <pivotField axis="axisPage" multipleItemSelectionAllowed="1" showAll="0">
      <items count="6">
        <item x="0"/>
        <item x="1"/>
        <item x="2"/>
        <item x="3"/>
        <item h="1" x="4"/>
        <item t="default"/>
      </items>
    </pivotField>
    <pivotField axis="axisPage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  <item t="default"/>
      </items>
    </pivotField>
  </pivotFields>
  <rowFields count="4">
    <field x="0"/>
    <field x="5"/>
    <field x="8"/>
    <field x="7"/>
  </rowFields>
  <rowItems count="15">
    <i>
      <x/>
      <x v="3"/>
      <x/>
      <x/>
    </i>
    <i r="3">
      <x v="1"/>
    </i>
    <i r="3">
      <x v="2"/>
    </i>
    <i r="3">
      <x v="3"/>
    </i>
    <i r="2">
      <x v="1"/>
      <x v="4"/>
    </i>
    <i>
      <x v="1"/>
      <x v="2"/>
      <x v="2"/>
      <x v="5"/>
    </i>
    <i r="3">
      <x v="6"/>
    </i>
    <i r="3">
      <x v="7"/>
    </i>
    <i r="3">
      <x v="8"/>
    </i>
    <i r="3">
      <x v="9"/>
    </i>
    <i r="3">
      <x v="10"/>
    </i>
    <i r="3">
      <x v="11"/>
    </i>
    <i>
      <x v="2"/>
      <x v="1"/>
      <x v="3"/>
      <x v="13"/>
    </i>
    <i r="1">
      <x v="2"/>
      <x v="3"/>
      <x v="1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3">
    <pageField fld="69" hier="-1"/>
    <pageField fld="70" hier="-1"/>
    <pageField fld="71" hier="-1"/>
  </pageFields>
  <dataFields count="12">
    <dataField name="Promedio de % de IQF" fld="16" subtotal="average" baseField="0" baseItem="0" numFmtId="165"/>
    <dataField name="Promedio de % Inmadura (4%)" fld="18" subtotal="average" baseField="7" baseItem="0" numFmtId="165"/>
    <dataField name="Promedio de % Partidas" fld="20" subtotal="average" baseField="0" baseItem="0" numFmtId="165"/>
    <dataField name="Promedio de % Daño Insecto" fld="22" subtotal="average" baseField="0" baseItem="0" numFmtId="165"/>
    <dataField name="Promedio de % Sobremadura" fld="24" subtotal="average" baseField="0" baseItem="0" numFmtId="165"/>
    <dataField name="Promedio de % Deforme" fld="26" subtotal="average" baseField="0" baseItem="0" numFmtId="165"/>
    <dataField name="Promedio de % Hongos" fld="34" subtotal="average" baseField="0" baseItem="0" numFmtId="165"/>
    <dataField name="Promedio de % Block" fld="36" subtotal="average" baseField="0" baseItem="0" numFmtId="165"/>
    <dataField name="Promedio de Caliz (Und.)" fld="37" subtotal="average" baseField="0" baseItem="0" numFmtId="166"/>
    <dataField name="Promedio de Larvas (Und.)" fld="38" subtotal="average" baseField="0" baseItem="0" numFmtId="166"/>
    <dataField name="Promedio de Mat. Extr. Endo." fld="67" subtotal="average" baseField="0" baseItem="0"/>
    <dataField name="Promedio de Mat. Extr. Exo." fld="6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EBEFCE1-FA92-4548-A6BC-A9881B85CA49}" autoFormatId="16" applyNumberFormats="0" applyBorderFormats="0" applyFontFormats="0" applyPatternFormats="0" applyAlignmentFormats="0" applyWidthHeightFormats="0">
  <queryTableRefresh nextId="15">
    <queryTableFields count="14">
      <queryTableField id="1" name="SKU" tableColumnId="1"/>
      <queryTableField id="2" name="Descripción" tableColumnId="2"/>
      <queryTableField id="3" name="Especie" tableColumnId="3"/>
      <queryTableField id="4" name="Variedad" tableColumnId="4"/>
      <queryTableField id="5" name="Manejo" tableColumnId="5"/>
      <queryTableField id="6" name="Calibre" tableColumnId="6"/>
      <queryTableField id="7" name="Calidad" tableColumnId="7"/>
      <queryTableField id="8" name="Familia Calidad" tableColumnId="8"/>
      <queryTableField id="9" name="Formato" tableColumnId="9"/>
      <queryTableField id="10" name="Envase" tableColumnId="10"/>
      <queryTableField id="11" name="PSP/PTT" tableColumnId="11"/>
      <queryTableField id="12" name="Agrupa" tableColumnId="12"/>
      <queryTableField id="13" name="PRODUCTO" tableColumnId="13"/>
      <queryTableField id="14" name="Precio Odo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7A5986-CDE1-4C16-9721-72317D0D640C}" name="BD_Cod" displayName="BD_Cod" ref="A1:N598" tableType="queryTable" totalsRowShown="0">
  <autoFilter ref="A1:N598" xr:uid="{777A5986-CDE1-4C16-9721-72317D0D640C}"/>
  <tableColumns count="14">
    <tableColumn id="1" xr3:uid="{2131818F-6C28-4AE0-9608-19B50CB02D3C}" uniqueName="1" name="SKU" queryTableFieldId="1"/>
    <tableColumn id="2" xr3:uid="{49E2F79E-C13F-4988-95C3-02D94342960A}" uniqueName="2" name="Descripción" queryTableFieldId="2" dataDxfId="160"/>
    <tableColumn id="3" xr3:uid="{E9E48548-D9E4-44A8-9F95-F81D11032230}" uniqueName="3" name="Especie" queryTableFieldId="3" dataDxfId="159"/>
    <tableColumn id="4" xr3:uid="{1155C192-B924-43FF-87FE-9512D2648E1D}" uniqueName="4" name="Variedad" queryTableFieldId="4" dataDxfId="158"/>
    <tableColumn id="5" xr3:uid="{9BBE7DAA-6CE0-47F8-A84D-B5308DD334DE}" uniqueName="5" name="Manejo" queryTableFieldId="5" dataDxfId="157"/>
    <tableColumn id="6" xr3:uid="{40C518A5-59FE-43ED-8B1D-13FD13953375}" uniqueName="6" name="Calibre" queryTableFieldId="6" dataDxfId="156"/>
    <tableColumn id="7" xr3:uid="{FC7AA237-D7E9-432D-ABC4-3CC5C2A7D64B}" uniqueName="7" name="Calidad" queryTableFieldId="7" dataDxfId="155"/>
    <tableColumn id="8" xr3:uid="{5C5829AD-4208-40BB-9074-8F4AAC9DD82D}" uniqueName="8" name="Familia Calidad" queryTableFieldId="8" dataDxfId="154"/>
    <tableColumn id="9" xr3:uid="{EB2114AE-5105-49E4-94E3-3F4C226529CF}" uniqueName="9" name="Formato" queryTableFieldId="9" dataDxfId="153"/>
    <tableColumn id="10" xr3:uid="{4190BB61-1F07-4EFB-946A-1439B59EEC3D}" uniqueName="10" name="Envase" queryTableFieldId="10" dataDxfId="152"/>
    <tableColumn id="11" xr3:uid="{55C64E9F-FBF1-47A4-B656-7A9E7A57E15A}" uniqueName="11" name="PSP/PTT" queryTableFieldId="11" dataDxfId="151"/>
    <tableColumn id="12" xr3:uid="{F0B31C28-ACDB-47C5-8EE2-B1E6C3E35430}" uniqueName="12" name="Agrupa" queryTableFieldId="12" dataDxfId="150"/>
    <tableColumn id="13" xr3:uid="{A9B643F8-D044-4D76-BF66-EA01DF78A1F1}" uniqueName="13" name="PRODUCTO" queryTableFieldId="13"/>
    <tableColumn id="14" xr3:uid="{17981741-373E-4956-9433-49AB4E0ED890}" uniqueName="14" name="Precio Odoo" queryTableField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A92C4-9C92-431A-B939-3EB81875B21C}" name="FT_RF_26" displayName="FT_RF_26" ref="A2:BT343" totalsRowShown="0" headerRowDxfId="148" dataDxfId="147">
  <autoFilter ref="A2:BT343" xr:uid="{14CD3CD9-D28D-4A38-82DD-A456A1B411BF}"/>
  <sortState xmlns:xlrd2="http://schemas.microsoft.com/office/spreadsheetml/2017/richdata2" ref="A3:BT343">
    <sortCondition ref="A2:A343"/>
  </sortState>
  <tableColumns count="72">
    <tableColumn id="1" xr3:uid="{F7A03413-98FF-4D5B-8C44-4AA6B043C2CF}" name="Fecha" dataDxfId="146"/>
    <tableColumn id="2" xr3:uid="{8614CE47-BCB6-4016-8841-1A39F2D8235D}" name="Semana" dataDxfId="145">
      <calculatedColumnFormula>+_xlfn.ISOWEEKNUM(FT_RF_26[[#This Row],[Fecha]])</calculatedColumnFormula>
    </tableColumn>
    <tableColumn id="3" xr3:uid="{20833BB3-3F5A-49A7-9A32-8E51EA3EECCE}" name="Turno" dataDxfId="144" dataCellStyle="Porcentaje"/>
    <tableColumn id="4" xr3:uid="{0AFC0F99-2FF9-4FA9-9D2B-73C9269566A7}" name="Sala" dataDxfId="143"/>
    <tableColumn id="5" xr3:uid="{92A8DE14-023F-4E0F-986D-4C140D94DD54}" name="Código" dataDxfId="142"/>
    <tableColumn id="6" xr3:uid="{1A18AC56-A9BB-4A5C-9E59-4E10FBB5617C}" name="Descripción del producto" dataDxfId="141">
      <calculatedColumnFormula>IFERROR(""&amp;_xlfn.XLOOKUP(FT_RF_26[[#This Row],[Código]],BD_Cod[SKU],BD_Cod[Descripción]),"")</calculatedColumnFormula>
    </tableColumn>
    <tableColumn id="7" xr3:uid="{D4675D5B-C3BA-4935-9CF7-C59EB2055493}" name="Familia Calidad" dataDxfId="140" dataCellStyle="Porcentaje">
      <calculatedColumnFormula>IFERROR(""&amp;_xlfn.XLOOKUP(FT_RF_26[[#This Row],[Código]],BD_Cod[SKU],BD_Cod[Familia Calidad]),"")</calculatedColumnFormula>
    </tableColumn>
    <tableColumn id="8" xr3:uid="{15007094-F4B9-4453-B1C2-9082B86D5BE1}" name="N° de Pallet" dataDxfId="139"/>
    <tableColumn id="9" xr3:uid="{47DF18BD-FB5B-4591-B0D2-D49633559C76}" name="N° de Lote" dataDxfId="138"/>
    <tableColumn id="10" xr3:uid="{D6591186-7772-4398-A4BD-9CD63E605056}" name="Muestra" dataDxfId="137" dataCellStyle="Porcentaje"/>
    <tableColumn id="11" xr3:uid="{AFF1C93C-6EEF-41B5-9C49-5974CD2C415D}" name="Hora de monitoreo" dataDxfId="136"/>
    <tableColumn id="12" xr3:uid="{0363ED09-7D28-46B7-B243-966330D75C4F}" name="Peso bolsa" dataDxfId="135" dataCellStyle="Porcentaje"/>
    <tableColumn id="13" xr3:uid="{7DD56782-2E76-4AB9-AA0B-FCDD74970E75}" name="Peso caja" dataDxfId="134"/>
    <tableColumn id="70" xr3:uid="{FC54E186-FA76-46AC-97D7-8F8D7BA2DC61}" name="Temperatura°" dataDxfId="133"/>
    <tableColumn id="14" xr3:uid="{22271F05-7C1C-4F4B-BD7D-1D4BE03A93B3}" name="Sellado Bolsa" dataDxfId="132" dataCellStyle="Porcentaje"/>
    <tableColumn id="15" xr3:uid="{A664469E-ACF7-45B5-9126-9B7D8EB6FCD2}" name="Sellado Caja" dataDxfId="131"/>
    <tableColumn id="16" xr3:uid="{2E3575D1-6825-45B6-B14B-5BE358FA934B}" name="% de IQF" dataDxfId="130" dataCellStyle="Porcentaje">
      <calculatedColumnFormula>1-FT_RF_26[[#This Row],[% Defectos]]</calculatedColumnFormula>
    </tableColumn>
    <tableColumn id="17" xr3:uid="{5B66F138-AA45-479D-AD40-9E2B34FA4B7C}" name="Inmadura" dataDxfId="129"/>
    <tableColumn id="18" xr3:uid="{86E8DD8B-F31F-4548-910D-9CE517A4030D}" name="% Inmadura (4%)" dataDxfId="128" dataCellStyle="Porcentaje">
      <calculatedColumnFormula>+IFERROR((FT_RF_26[[#This Row],[Inmadura]]/FT_RF_26[[#This Row],[Muestra]]),"0")</calculatedColumnFormula>
    </tableColumn>
    <tableColumn id="19" xr3:uid="{77BA1205-A3BC-4DDD-A7D7-9EAA606D83BC}" name="Partidas" dataDxfId="127"/>
    <tableColumn id="20" xr3:uid="{A8017B96-FC99-4DCE-9F28-ED614C6456E6}" name="% Partidas" dataDxfId="126" dataCellStyle="Porcentaje">
      <calculatedColumnFormula>+IFERROR((FT_RF_26[[#This Row],[Partidas]]/FT_RF_26[[#This Row],[Muestra]]),"0")</calculatedColumnFormula>
    </tableColumn>
    <tableColumn id="21" xr3:uid="{77326B9D-2E85-425F-A8DF-94DCCBC0940C}" name="Daño Insecto" dataDxfId="125"/>
    <tableColumn id="22" xr3:uid="{26454373-FB19-4B3C-9F69-6D533BD3652B}" name="% Daño Insecto" dataDxfId="124" dataCellStyle="Porcentaje">
      <calculatedColumnFormula>+IFERROR((FT_RF_26[[#This Row],[Daño Insecto]]/FT_RF_26[[#This Row],[Muestra]]),"0")</calculatedColumnFormula>
    </tableColumn>
    <tableColumn id="23" xr3:uid="{D216C793-D7D8-4198-AFD0-076B5C18997B}" name="Sobremadura" dataDxfId="123"/>
    <tableColumn id="24" xr3:uid="{2D7D8CFC-BED5-44D8-8F3B-A40A5ABB458D}" name="% Sobremadura" dataDxfId="122" dataCellStyle="Porcentaje">
      <calculatedColumnFormula>+IFERROR((FT_RF_26[[#This Row],[Sobremadura]]/FT_RF_26[[#This Row],[Muestra]]),"0")</calculatedColumnFormula>
    </tableColumn>
    <tableColumn id="25" xr3:uid="{A6277C00-2E38-4C77-B03D-5B9B7BED874B}" name="Deforme" dataDxfId="121"/>
    <tableColumn id="26" xr3:uid="{CD93CF67-CF3E-4244-ABCB-64847D522E1D}" name="% Deforme" dataDxfId="120" dataCellStyle="Porcentaje">
      <calculatedColumnFormula>+IFERROR((FT_RF_26[[#This Row],[Deforme]]/FT_RF_26[[#This Row],[Muestra]]),"0")</calculatedColumnFormula>
    </tableColumn>
    <tableColumn id="27" xr3:uid="{66F0D216-6949-4CEC-8F6A-C27CE990F427}" name="Descripción Extra 1" dataDxfId="119"/>
    <tableColumn id="28" xr3:uid="{308B7FDC-A77F-4EA2-A595-300E48117586}" name="Valor Extra 1" dataDxfId="118"/>
    <tableColumn id="29" xr3:uid="{9094EFD7-3196-4753-BE52-18F17AE11DB1}" name="% Extra 1" dataDxfId="117" dataCellStyle="Porcentaje">
      <calculatedColumnFormula>+IFERROR((FT_RF_26[[#This Row],[Valor Extra 1]]/FT_RF_26[[#This Row],[Muestra]]),"0")</calculatedColumnFormula>
    </tableColumn>
    <tableColumn id="30" xr3:uid="{9814EF1B-DA5C-4E77-8B5D-165729D6B319}" name="Descripción Extra 2" dataDxfId="116"/>
    <tableColumn id="31" xr3:uid="{8705E039-C442-4B20-B719-50C613914015}" name="Valor Extra 2" dataDxfId="115"/>
    <tableColumn id="32" xr3:uid="{C78A8102-6979-4C3F-8FC1-F0CE9EF92563}" name="% Extra 2" dataDxfId="114" dataCellStyle="Porcentaje">
      <calculatedColumnFormula>+IFERROR((FT_RF_26[[#This Row],[Valor Extra 2]]/FT_RF_26[[#This Row],[Muestra]]),"0")</calculatedColumnFormula>
    </tableColumn>
    <tableColumn id="33" xr3:uid="{C5D21184-BFF5-4FA8-86CE-2D21DB982F6E}" name="Hongos" dataDxfId="113" dataCellStyle="Porcentaje"/>
    <tableColumn id="34" xr3:uid="{CC01EF39-C8B9-403A-9DBF-7A4AFE97E9F3}" name="% Hongos" dataDxfId="112" dataCellStyle="Porcentaje">
      <calculatedColumnFormula>+IFERROR((FT_RF_26[[#This Row],[Hongos]]/FT_RF_26[[#This Row],[Muestra]]),"0")</calculatedColumnFormula>
    </tableColumn>
    <tableColumn id="35" xr3:uid="{7B257768-4D5A-40EB-9571-DCC94C6ED410}" name="Block" dataDxfId="111"/>
    <tableColumn id="36" xr3:uid="{FFD1CFDF-5B44-48AC-A880-6A5004A1051F}" name="% Block" dataDxfId="110" dataCellStyle="Porcentaje">
      <calculatedColumnFormula>+IFERROR((FT_RF_26[[#This Row],[Block]]/FT_RF_26[[#This Row],[Muestra]]),"0")</calculatedColumnFormula>
    </tableColumn>
    <tableColumn id="37" xr3:uid="{481AD87E-85AF-4953-B882-F4FAA9AC17C7}" name="Caliz (Und.)" dataDxfId="109"/>
    <tableColumn id="38" xr3:uid="{A450FA13-4291-42DC-9B19-02FB7549F93B}" name="Larvas (Und.)" dataDxfId="108"/>
    <tableColumn id="39" xr3:uid="{1B44B33F-EF89-41B7-AD43-FA58299D400E}" name="Fuera de calibre &lt;12mm" dataDxfId="107"/>
    <tableColumn id="40" xr3:uid="{6BC3CFD8-490E-40C9-8906-9ACAA20B8938}" name="% Fue. De Cal. &lt;12mm" dataDxfId="106" dataCellStyle="Porcentaje">
      <calculatedColumnFormula>+IFERROR((FT_RF_26[[#This Row],[Fuera de calibre &lt;12mm]]/FT_RF_26[[#This Row],[Muestra]]),"0")</calculatedColumnFormula>
    </tableColumn>
    <tableColumn id="41" xr3:uid="{1D7B4458-ADA8-46B1-9466-ABC410683F20}" name="Calibre &lt;25" dataDxfId="105"/>
    <tableColumn id="42" xr3:uid="{183BA66F-5B8E-42F1-BDCB-2177D58355D9}" name="% &lt;25" dataDxfId="104" dataCellStyle="Porcentaje">
      <calculatedColumnFormula>+IFERROR((FT_RF_26[[#This Row],[Calibre &lt;25]]/FT_RF_26[[#This Row],[Muestra]]),"0")</calculatedColumnFormula>
    </tableColumn>
    <tableColumn id="43" xr3:uid="{6D0F35FC-8621-4652-9401-8E71E974F1CF}" name="Calibre &gt;12" dataDxfId="103"/>
    <tableColumn id="44" xr3:uid="{74F839CD-6D93-4741-948C-3889AB6B137B}" name="% &gt;12" dataDxfId="102" dataCellStyle="Porcentaje">
      <calculatedColumnFormula>+IFERROR((FT_RF_26[[#This Row],[Calibre &gt;12]]/FT_RF_26[[#This Row],[Muestra]]),"0")</calculatedColumnFormula>
    </tableColumn>
    <tableColumn id="45" xr3:uid="{D70AF360-8CFB-4CC2-8130-60AAA640B2BE}" name="Calibre &lt;14" dataDxfId="101"/>
    <tableColumn id="46" xr3:uid="{D9CDC686-9798-4386-9621-5918913B0C39}" name="%  &lt;14" dataDxfId="100" dataCellStyle="Porcentaje">
      <calculatedColumnFormula>+IFERROR((FT_RF_26[[#This Row],[Calibre &lt;14]]/FT_RF_26[[#This Row],[Muestra]]),"0")</calculatedColumnFormula>
    </tableColumn>
    <tableColumn id="47" xr3:uid="{F11AB595-A8E8-497D-82BD-013C0428A23B}" name="Calibre &gt;14" dataDxfId="99"/>
    <tableColumn id="48" xr3:uid="{9EE1DF3D-7A33-47FE-B121-5F923F594640}" name="% &gt;14" dataDxfId="98" dataCellStyle="Porcentaje">
      <calculatedColumnFormula>+IFERROR((FT_RF_26[[#This Row],[Calibre &gt;14]]/FT_RF_26[[#This Row],[Muestra]]),"0")</calculatedColumnFormula>
    </tableColumn>
    <tableColumn id="49" xr3:uid="{AD37DB30-4C52-4D6F-B9C6-6F7ACF18EAF0}" name="Calibre &lt;10" dataDxfId="97"/>
    <tableColumn id="50" xr3:uid="{08608580-DF8C-4C12-AEF9-34818ECDDF0B}" name="% &lt;10" dataDxfId="96" dataCellStyle="Porcentaje">
      <calculatedColumnFormula>+IFERROR((FT_RF_26[[#This Row],[Calibre &lt;10]]/FT_RF_26[[#This Row],[Muestra]]),"0")</calculatedColumnFormula>
    </tableColumn>
    <tableColumn id="51" xr3:uid="{7796A7F4-4311-4CCC-A6B0-B6060434A56B}" name="Calibre &gt;13" dataDxfId="95"/>
    <tableColumn id="52" xr3:uid="{EA33C0DA-D86B-480D-9ECD-8D1E1AB374B2}" name="% &gt;13" dataDxfId="94" dataCellStyle="Porcentaje">
      <calculatedColumnFormula>+IFERROR((FT_RF_26[[#This Row],[Calibre &gt;13]]/FT_RF_26[[#This Row],[Muestra]]),"0")</calculatedColumnFormula>
    </tableColumn>
    <tableColumn id="53" xr3:uid="{FB5ED2C6-AAD2-4899-A95E-C84F7ABBFA1C}" name="Hoja (Un.)" dataDxfId="93"/>
    <tableColumn id="54" xr3:uid="{23F91128-E08D-45BC-ACCF-5774EF9EB0F3}" name="Pedicelo Caja" dataDxfId="92"/>
    <tableColumn id="55" xr3:uid="{AF8F9DC3-077D-4F4F-9F57-29B618E37F7F}" name="Larvas Caja" dataDxfId="91"/>
    <tableColumn id="56" xr3:uid="{D7412041-A51E-4CA8-98D9-C373B4741E79}" name="Vidrios" dataDxfId="90"/>
    <tableColumn id="57" xr3:uid="{4DC02894-24B9-4111-A621-7B92B2E027BE}" name="Madera" dataDxfId="89"/>
    <tableColumn id="58" xr3:uid="{9EA30484-C871-48B9-8F94-FBE0B161E160}" name="Plástico" dataDxfId="88"/>
    <tableColumn id="59" xr3:uid="{EC13191E-3F7D-4651-A7C6-09EF69B403FE}" name="°Brix" dataDxfId="87"/>
    <tableColumn id="60" xr3:uid="{AC8374A2-DA05-4219-B51C-D69DA2062561}" name="Sabor" dataDxfId="86"/>
    <tableColumn id="61" xr3:uid="{39F0C81A-B210-4881-8053-CF11A3AC26B7}" name="Olor" dataDxfId="85"/>
    <tableColumn id="62" xr3:uid="{5AC7A7A6-EBFB-4806-94D9-CD9757D145F6}" name="Defectos Totales" dataDxfId="84">
      <calculatedColumnFormula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calculatedColumnFormula>
    </tableColumn>
    <tableColumn id="63" xr3:uid="{F1E74DF8-8162-4EEF-83FE-7EA97EF1A881}" name="% Defectos" dataDxfId="83" dataCellStyle="Porcentaje">
      <calculatedColumnFormula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calculatedColumnFormula>
    </tableColumn>
    <tableColumn id="64" xr3:uid="{58FB6D9D-8C87-4041-B368-46D7AA984E35}" name="Observaciones" dataDxfId="82"/>
    <tableColumn id="65" xr3:uid="{72ACB0F5-30BA-4584-8A96-EFEB6AC91226}" name="% de IQF2" dataDxfId="81">
      <calculatedColumnFormula>1-FT_RF_26[[#This Row],[% Defectos]]</calculatedColumnFormula>
    </tableColumn>
    <tableColumn id="66" xr3:uid="{BC447B58-7C28-4270-85C8-70031D610FAF}" name="Nombre del/la analista" dataDxfId="80"/>
    <tableColumn id="72" xr3:uid="{B46757B4-EB48-497F-B41C-5DD47B43D135}" name="Mat. Extr. Endo." dataDxfId="79">
      <calculatedColumnFormula>SUM(FT_RF_26[[#This Row],[Hoja (Un.)]:[Larvas Caja]])</calculatedColumnFormula>
    </tableColumn>
    <tableColumn id="73" xr3:uid="{BFE4CE69-13EC-4E46-9DBC-74D917262E5A}" name="Mat. Extr. Exo." dataDxfId="78">
      <calculatedColumnFormula>SUM(FT_RF_26[[#This Row],[Vidrios]:[Plástico]])</calculatedColumnFormula>
    </tableColumn>
    <tableColumn id="67" xr3:uid="{85F5714F-72F2-4614-A8B7-AB1A17D95588}" name="Filtro Producto" dataDxfId="77">
      <calculatedColumnFormula>IF(ISBLANK(FT_RF_26[[#This Row],[Descripción del producto]]),"",FT_RF_26[[#This Row],[Descripción del producto]])</calculatedColumnFormula>
    </tableColumn>
    <tableColumn id="68" xr3:uid="{AFE41588-B37A-49ED-B6FC-9545B1CEE81E}" name="Filtro Lote" dataDxfId="76">
      <calculatedColumnFormula>IF(ISBLANK(FT_RF_26[[#This Row],[N° de Lote]]),"",FT_RF_26[[#This Row],[N° de Lote]])</calculatedColumnFormula>
    </tableColumn>
    <tableColumn id="69" xr3:uid="{2806C109-6544-413B-8C39-A065A8063199}" name="Filtro Pallet" dataDxfId="75">
      <calculatedColumnFormula>IF(ISBLANK(FT_RF_26[[#This Row],[N° de Pallet]]),"",FT_RF_26[[#This Row],[N° de Pallet]])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F090E7-9C93-4E14-9728-70195413C4A7}" name="FT_RF_264" displayName="FT_RF_264" ref="A2:BT325" totalsRowShown="0" headerRowDxfId="73" dataDxfId="72">
  <autoFilter ref="A2:BT325" xr:uid="{14CD3CD9-D28D-4A38-82DD-A456A1B411BF}"/>
  <sortState xmlns:xlrd2="http://schemas.microsoft.com/office/spreadsheetml/2017/richdata2" ref="A3:BT325">
    <sortCondition ref="A2:A325"/>
  </sortState>
  <tableColumns count="72">
    <tableColumn id="1" xr3:uid="{90822506-5471-43A7-9497-D1CFD6CD6881}" name="Fecha" dataDxfId="71"/>
    <tableColumn id="2" xr3:uid="{8BE647BB-272F-4FC4-BC4E-0026428A387A}" name="Semana" dataDxfId="70">
      <calculatedColumnFormula>+_xlfn.ISOWEEKNUM(FT_RF_264[[#This Row],[Fecha]])</calculatedColumnFormula>
    </tableColumn>
    <tableColumn id="3" xr3:uid="{7318F8D1-89EA-49B1-BD72-04723CC3CF27}" name="Turno" dataDxfId="69" dataCellStyle="Porcentaje"/>
    <tableColumn id="4" xr3:uid="{AE0D9F17-27A0-4FA6-9DC4-DB262573C528}" name="Sala" dataDxfId="68"/>
    <tableColumn id="5" xr3:uid="{D86AE8D9-4B7A-4B0F-8B06-F0F8EA58C8E4}" name="Código" dataDxfId="67"/>
    <tableColumn id="6" xr3:uid="{30FC9CF4-EA1A-4D34-9CA8-3AC401B2D2E2}" name="Descripción del producto" dataDxfId="66">
      <calculatedColumnFormula>IFERROR(""&amp;_xlfn.XLOOKUP(FT_RF_264[[#This Row],[Código]],BD_Cod[SKU],BD_Cod[Descripción]),"")</calculatedColumnFormula>
    </tableColumn>
    <tableColumn id="7" xr3:uid="{28D5793B-3736-4403-831D-57C6842DBF37}" name="Familia Calidad" dataDxfId="65" dataCellStyle="Porcentaje">
      <calculatedColumnFormula>IFERROR(""&amp;_xlfn.XLOOKUP(FT_RF_264[[#This Row],[Código]],BD_Cod[SKU],BD_Cod[Familia Calidad]),"")</calculatedColumnFormula>
    </tableColumn>
    <tableColumn id="8" xr3:uid="{9D60CF67-E70D-4E58-8E77-B453DA32DD63}" name="N° de Pallet" dataDxfId="64"/>
    <tableColumn id="9" xr3:uid="{1BDF70C3-52F1-4AB2-8A16-F4473C1F6E2D}" name="N° de Lote" dataDxfId="63"/>
    <tableColumn id="10" xr3:uid="{10B8BC11-DE3A-4B85-9948-799D717F036B}" name="Muestra" dataDxfId="62" dataCellStyle="Porcentaje"/>
    <tableColumn id="11" xr3:uid="{E314D11F-ED3F-4830-978B-9584AB24BA9C}" name="Hora de monitoreo" dataDxfId="61"/>
    <tableColumn id="12" xr3:uid="{29C08537-E354-4F77-95F7-B7E8E99D3483}" name="Peso bolsa" dataDxfId="60" dataCellStyle="Porcentaje"/>
    <tableColumn id="13" xr3:uid="{0A0F814C-6AAB-4BE5-AD61-243881CB40F2}" name="Peso caja" dataDxfId="59"/>
    <tableColumn id="70" xr3:uid="{B7FCD9E7-C1E0-4E29-9231-256F5C2A2851}" name="Temperatura°" dataDxfId="58"/>
    <tableColumn id="14" xr3:uid="{C08D09AD-F2DB-42D0-B687-2A722364DDDB}" name="Sellado Bolsa" dataDxfId="57" dataCellStyle="Porcentaje"/>
    <tableColumn id="15" xr3:uid="{5CD9B047-281E-421C-A088-0D07FCDD7A97}" name="Sellado Caja" dataDxfId="56"/>
    <tableColumn id="16" xr3:uid="{079B9181-A0BD-4ABF-96B3-B4EBBCA0B724}" name="% de IQF" dataDxfId="55" dataCellStyle="Porcentaje">
      <calculatedColumnFormula>1-FT_RF_264[[#This Row],[% Defectos]]</calculatedColumnFormula>
    </tableColumn>
    <tableColumn id="17" xr3:uid="{97B5564B-811A-45D8-BF5B-A4497FCBB2AA}" name="Inmadura" dataDxfId="54"/>
    <tableColumn id="18" xr3:uid="{9B19AE7C-335F-4E5B-9682-71EEC026ECB5}" name="% Inmadura (4%)" dataDxfId="53" dataCellStyle="Porcentaje">
      <calculatedColumnFormula>+IFERROR((FT_RF_264[[#This Row],[Inmadura]]/FT_RF_264[[#This Row],[Muestra]]),"0")</calculatedColumnFormula>
    </tableColumn>
    <tableColumn id="19" xr3:uid="{BDC7343E-528E-410B-A6F3-9F34788ADA44}" name="Partidas" dataDxfId="52"/>
    <tableColumn id="20" xr3:uid="{CC474098-A888-47E2-B584-943D14BD886A}" name="% Partidas" dataDxfId="51" dataCellStyle="Porcentaje">
      <calculatedColumnFormula>+IFERROR((FT_RF_264[[#This Row],[Partidas]]/FT_RF_264[[#This Row],[Muestra]]),"0")</calculatedColumnFormula>
    </tableColumn>
    <tableColumn id="21" xr3:uid="{DE36E8E0-92E7-4712-BB26-929D5C9224D5}" name="Daño Insecto" dataDxfId="50"/>
    <tableColumn id="22" xr3:uid="{1714D731-14CD-4246-8624-5BCB48AF19BC}" name="% Daño Insecto" dataDxfId="49" dataCellStyle="Porcentaje">
      <calculatedColumnFormula>+IFERROR((FT_RF_264[[#This Row],[Daño Insecto]]/FT_RF_264[[#This Row],[Muestra]]),"0")</calculatedColumnFormula>
    </tableColumn>
    <tableColumn id="23" xr3:uid="{51E20421-4AF9-4E2B-A87E-059D050C42F7}" name="Sobremadura" dataDxfId="48"/>
    <tableColumn id="24" xr3:uid="{C387D638-1BCA-41A0-8314-BEDB3A9CD7AC}" name="% Sobremadura" dataDxfId="47" dataCellStyle="Porcentaje">
      <calculatedColumnFormula>+IFERROR((FT_RF_264[[#This Row],[Sobremadura]]/FT_RF_264[[#This Row],[Muestra]]),"0")</calculatedColumnFormula>
    </tableColumn>
    <tableColumn id="25" xr3:uid="{88B7B674-3EE2-4B94-A416-871D20653636}" name="Deforme" dataDxfId="46"/>
    <tableColumn id="26" xr3:uid="{5DA5FDAD-056D-47D6-899D-5BB32D94DE7B}" name="% Deforme" dataDxfId="45" dataCellStyle="Porcentaje">
      <calculatedColumnFormula>+IFERROR((FT_RF_264[[#This Row],[Deforme]]/FT_RF_264[[#This Row],[Muestra]]),"0")</calculatedColumnFormula>
    </tableColumn>
    <tableColumn id="27" xr3:uid="{68E008F6-3042-4A94-A163-CD248761A533}" name="Descripción Extra 1" dataDxfId="44"/>
    <tableColumn id="28" xr3:uid="{FD547A54-F1CD-4F5D-AC26-265F00DBD593}" name="Valor Extra 1" dataDxfId="43"/>
    <tableColumn id="29" xr3:uid="{72A787D9-6272-4842-B155-EF1FA84F4121}" name="% Extra 1" dataDxfId="42" dataCellStyle="Porcentaje">
      <calculatedColumnFormula>+IFERROR((FT_RF_264[[#This Row],[Valor Extra 1]]/FT_RF_264[[#This Row],[Muestra]]),"0")</calculatedColumnFormula>
    </tableColumn>
    <tableColumn id="30" xr3:uid="{747856EF-7B23-4527-9893-3D878ED1A621}" name="Descripción Extra 2" dataDxfId="41"/>
    <tableColumn id="31" xr3:uid="{E7774ACC-2C59-4D0C-928B-60B8A2191386}" name="Valor Extra 2" dataDxfId="40"/>
    <tableColumn id="32" xr3:uid="{8BBB302D-F1E6-4E74-B93A-866BC9D3D20D}" name="% Extra 2" dataDxfId="39" dataCellStyle="Porcentaje">
      <calculatedColumnFormula>+IFERROR((FT_RF_264[[#This Row],[Valor Extra 2]]/FT_RF_264[[#This Row],[Muestra]]),"0")</calculatedColumnFormula>
    </tableColumn>
    <tableColumn id="33" xr3:uid="{15CC3BAE-73D7-42E1-8BD3-364226C94136}" name="Hongos" dataDxfId="38" dataCellStyle="Porcentaje"/>
    <tableColumn id="34" xr3:uid="{7CE197AE-22D9-4CFB-BB24-E69FAA42B6EF}" name="% Hongos" dataDxfId="37" dataCellStyle="Porcentaje">
      <calculatedColumnFormula>+IFERROR((FT_RF_264[[#This Row],[Hongos]]/FT_RF_264[[#This Row],[Muestra]]),"0")</calculatedColumnFormula>
    </tableColumn>
    <tableColumn id="35" xr3:uid="{FE37BF08-6AB1-4E50-9ED1-8A009230EBA4}" name="Block" dataDxfId="36"/>
    <tableColumn id="36" xr3:uid="{D18C8799-AAFB-4B71-ABEE-7B14865EC4FF}" name="% Block" dataDxfId="35" dataCellStyle="Porcentaje">
      <calculatedColumnFormula>+IFERROR((FT_RF_264[[#This Row],[Block]]/FT_RF_264[[#This Row],[Muestra]]),"0")</calculatedColumnFormula>
    </tableColumn>
    <tableColumn id="37" xr3:uid="{0BD49099-DC03-4712-8F23-2D675EA34774}" name="Caliz (Und.)" dataDxfId="34"/>
    <tableColumn id="38" xr3:uid="{C0EDDA1C-7BE8-4E19-BB6C-01EF0EF54C3A}" name="Larvas (Und.)" dataDxfId="33"/>
    <tableColumn id="39" xr3:uid="{C449DEEC-82CD-402C-9E79-7BFBB18B75F1}" name="Fuera de calibre &lt;12mm" dataDxfId="32"/>
    <tableColumn id="40" xr3:uid="{99B11F90-314E-4383-8161-8D72D6D0304A}" name="% Fue. De Cal. &lt;12mm" dataDxfId="31" dataCellStyle="Porcentaje">
      <calculatedColumnFormula>+IFERROR((FT_RF_264[[#This Row],[Fuera de calibre &lt;12mm]]/FT_RF_264[[#This Row],[Muestra]]),"0")</calculatedColumnFormula>
    </tableColumn>
    <tableColumn id="41" xr3:uid="{B9F8BF63-0E34-4578-BECB-D5E0C3DAD92D}" name="Calibre &lt;25" dataDxfId="30"/>
    <tableColumn id="42" xr3:uid="{370D27C3-F2AD-4710-BC79-61745F739F25}" name="% &lt;25" dataDxfId="29" dataCellStyle="Porcentaje">
      <calculatedColumnFormula>+IFERROR((FT_RF_264[[#This Row],[Calibre &lt;25]]/FT_RF_264[[#This Row],[Muestra]]),"0")</calculatedColumnFormula>
    </tableColumn>
    <tableColumn id="43" xr3:uid="{F2A90A40-E0E9-4149-9FFC-724B93E056EC}" name="Calibre &gt;12" dataDxfId="28"/>
    <tableColumn id="44" xr3:uid="{9A3C5897-1C44-4364-B87B-CFBD77BEF737}" name="% &gt;12" dataDxfId="27" dataCellStyle="Porcentaje">
      <calculatedColumnFormula>+IFERROR((FT_RF_264[[#This Row],[Calibre &gt;12]]/FT_RF_264[[#This Row],[Muestra]]),"0")</calculatedColumnFormula>
    </tableColumn>
    <tableColumn id="45" xr3:uid="{039ABFD9-4FDA-4625-80F1-25BD69091A8D}" name="Calibre &lt;14" dataDxfId="26"/>
    <tableColumn id="46" xr3:uid="{9448D33F-15EE-4EF7-9028-258EF08476E6}" name="%  &lt;14" dataDxfId="25" dataCellStyle="Porcentaje">
      <calculatedColumnFormula>+IFERROR((FT_RF_264[[#This Row],[Calibre &lt;14]]/FT_RF_264[[#This Row],[Muestra]]),"0")</calculatedColumnFormula>
    </tableColumn>
    <tableColumn id="47" xr3:uid="{64596995-0D25-43BC-BFB3-D25F41EE2CC5}" name="Calibre &gt;14" dataDxfId="24"/>
    <tableColumn id="48" xr3:uid="{8496EB07-055C-4837-BA3D-626E4AECAA28}" name="% &gt;14" dataDxfId="23" dataCellStyle="Porcentaje">
      <calculatedColumnFormula>+IFERROR((FT_RF_264[[#This Row],[Calibre &gt;14]]/FT_RF_264[[#This Row],[Muestra]]),"0")</calculatedColumnFormula>
    </tableColumn>
    <tableColumn id="49" xr3:uid="{22610B05-E637-44B3-A69C-BEB216973F7B}" name="Calibre &lt;10" dataDxfId="22"/>
    <tableColumn id="50" xr3:uid="{433B0D06-A35D-46C3-973D-D6D0068EA76A}" name="% &lt;10" dataDxfId="21" dataCellStyle="Porcentaje">
      <calculatedColumnFormula>+IFERROR((FT_RF_264[[#This Row],[Calibre &lt;10]]/FT_RF_264[[#This Row],[Muestra]]),"0")</calculatedColumnFormula>
    </tableColumn>
    <tableColumn id="51" xr3:uid="{A07F5824-ED9C-4C56-A165-E65957D23329}" name="Calibre &gt;13" dataDxfId="20"/>
    <tableColumn id="52" xr3:uid="{A172F2DE-C5CE-4EED-A15E-811D709D4369}" name="% &gt;13" dataDxfId="19" dataCellStyle="Porcentaje">
      <calculatedColumnFormula>+IFERROR((FT_RF_264[[#This Row],[Calibre &gt;13]]/FT_RF_264[[#This Row],[Muestra]]),"0")</calculatedColumnFormula>
    </tableColumn>
    <tableColumn id="53" xr3:uid="{B6FC93A6-EBC9-44A2-A47D-837D192F4953}" name="Hoja (Un.)" dataDxfId="18"/>
    <tableColumn id="54" xr3:uid="{CEE43464-8691-44AA-8980-2CDB17E1A7A4}" name="Pedicelo Caja" dataDxfId="17"/>
    <tableColumn id="55" xr3:uid="{26352F79-003B-4043-A59B-025F61B968E7}" name="Larvas Caja" dataDxfId="16"/>
    <tableColumn id="56" xr3:uid="{FB464751-6E90-4B57-86E0-7B86B33A27E1}" name="Vidrios" dataDxfId="15"/>
    <tableColumn id="57" xr3:uid="{C8DF88F7-AE27-4F22-B4C0-8E1E81DDCC1A}" name="Madera" dataDxfId="14"/>
    <tableColumn id="58" xr3:uid="{FF262B93-3686-4060-92EB-E507C0389BA0}" name="Plástico" dataDxfId="13"/>
    <tableColumn id="59" xr3:uid="{0172E80C-BF07-4885-875D-0C7D55451E30}" name="°Brix" dataDxfId="12"/>
    <tableColumn id="60" xr3:uid="{AE50876E-FE50-4375-8F5C-05F0530B4712}" name="Sabor" dataDxfId="11"/>
    <tableColumn id="61" xr3:uid="{9B10F3E9-373B-465A-B326-FC3FEC33B80A}" name="Olor" dataDxfId="10"/>
    <tableColumn id="62" xr3:uid="{853E03C7-78C9-4181-8152-245C69E51FCF}" name="Defectos Totales" dataDxfId="9">
      <calculatedColumnFormula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calculatedColumnFormula>
    </tableColumn>
    <tableColumn id="63" xr3:uid="{92A21AEA-B74D-40B8-A3F4-C26F478EE8AE}" name="% Defectos" dataDxfId="8" dataCellStyle="Porcentaje">
      <calculatedColumnFormula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calculatedColumnFormula>
    </tableColumn>
    <tableColumn id="64" xr3:uid="{F9ED821B-CD0A-4BAB-B0DA-B838FE9A7227}" name="Observaciones" dataDxfId="7"/>
    <tableColumn id="65" xr3:uid="{10EDB2B6-E1F4-4CFD-B9E3-C54EB62A3069}" name="% de IQF2" dataDxfId="6">
      <calculatedColumnFormula>1-FT_RF_264[[#This Row],[% Defectos]]</calculatedColumnFormula>
    </tableColumn>
    <tableColumn id="66" xr3:uid="{41130D5A-A8B5-4B1D-88C3-8AB21102C330}" name="Nombre del/la analista" dataDxfId="5"/>
    <tableColumn id="72" xr3:uid="{37C163B9-BA6C-487D-98EF-5C760BE04596}" name="Mat. Extr. Endo." dataDxfId="4">
      <calculatedColumnFormula>SUM(FT_RF_264[[#This Row],[Hoja (Un.)]:[Larvas Caja]])</calculatedColumnFormula>
    </tableColumn>
    <tableColumn id="73" xr3:uid="{408F88B6-B918-42C6-99CD-B0C555BEA685}" name="Mat. Extr. Exo." dataDxfId="3">
      <calculatedColumnFormula>SUM(FT_RF_264[[#This Row],[Vidrios]:[Plástico]])</calculatedColumnFormula>
    </tableColumn>
    <tableColumn id="67" xr3:uid="{BD9B9553-7A00-43F7-8ED6-977E89AECE36}" name="Filtro Producto" dataDxfId="2">
      <calculatedColumnFormula>IF(ISBLANK(FT_RF_264[[#This Row],[Descripción del producto]]),"",FT_RF_264[[#This Row],[Descripción del producto]])</calculatedColumnFormula>
    </tableColumn>
    <tableColumn id="68" xr3:uid="{FEDAEB78-97B2-4F20-8F05-FC35C009BB83}" name="Filtro Lote" dataDxfId="1">
      <calculatedColumnFormula>IF(ISBLANK(FT_RF_264[[#This Row],[N° de Lote]]),"",FT_RF_264[[#This Row],[N° de Lote]])</calculatedColumnFormula>
    </tableColumn>
    <tableColumn id="69" xr3:uid="{F1699EA7-7504-4991-A37D-1DAFE195E8D0}" name="Filtro Pallet" dataDxfId="0">
      <calculatedColumnFormula>IF(ISBLANK(FT_RF_264[[#This Row],[N° de Pallet]]),"",FT_RF_264[[#This Row],[N° de Pallet]])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85BBA637-3C19-4115-91BA-F7A20AEA1BA3}" sourceName="Fecha">
  <pivotTables>
    <pivotTable tabId="3" name="TablaDinámica1"/>
  </pivotTables>
  <state minimalRefreshVersion="6" lastRefreshVersion="6" pivotCacheId="1738413184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4CF9EB4C-3437-4AC7-9E52-26C08653B84E}" cache="NativeTimeline_Fecha" caption="Fecha" level="2" selectionLevel="2" scrollPosition="2026-05-28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8469-DDD0-48AD-8AB9-3E7D9C5C69BF}">
  <dimension ref="A1:N509"/>
  <sheetViews>
    <sheetView workbookViewId="0">
      <selection activeCell="C18" sqref="C18"/>
    </sheetView>
  </sheetViews>
  <sheetFormatPr defaultColWidth="11.42578125" defaultRowHeight="14.45"/>
  <cols>
    <col min="1" max="1" width="10" bestFit="1" customWidth="1"/>
    <col min="2" max="2" width="62.28515625" bestFit="1" customWidth="1"/>
    <col min="3" max="3" width="25.7109375" bestFit="1" customWidth="1"/>
    <col min="4" max="4" width="11.7109375" bestFit="1" customWidth="1"/>
    <col min="5" max="5" width="9.5703125" bestFit="1" customWidth="1"/>
    <col min="6" max="6" width="10.140625" bestFit="1" customWidth="1"/>
    <col min="7" max="7" width="16.7109375" bestFit="1" customWidth="1"/>
    <col min="8" max="8" width="16.5703125" bestFit="1" customWidth="1"/>
    <col min="9" max="9" width="14.5703125" bestFit="1" customWidth="1"/>
    <col min="10" max="10" width="9.42578125" bestFit="1" customWidth="1"/>
    <col min="11" max="11" width="26.5703125" bestFit="1" customWidth="1"/>
    <col min="12" max="12" width="19.42578125" bestFit="1" customWidth="1"/>
    <col min="13" max="13" width="13.28515625" bestFit="1" customWidth="1"/>
    <col min="14" max="14" width="13.8554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100001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4">
      <c r="A3">
        <v>100002</v>
      </c>
      <c r="B3" t="s">
        <v>25</v>
      </c>
      <c r="C3" t="s">
        <v>15</v>
      </c>
      <c r="D3" t="s">
        <v>16</v>
      </c>
      <c r="E3" t="s">
        <v>17</v>
      </c>
      <c r="F3" t="s">
        <v>26</v>
      </c>
      <c r="G3" t="s">
        <v>27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 spans="1:14">
      <c r="A4">
        <v>100003</v>
      </c>
      <c r="B4" t="s">
        <v>28</v>
      </c>
      <c r="C4" t="s">
        <v>15</v>
      </c>
      <c r="D4" t="s">
        <v>29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30</v>
      </c>
      <c r="L4" t="s">
        <v>31</v>
      </c>
    </row>
    <row r="5" spans="1:14">
      <c r="A5">
        <v>100004</v>
      </c>
      <c r="B5" t="s">
        <v>32</v>
      </c>
      <c r="C5" t="s">
        <v>15</v>
      </c>
      <c r="D5" t="s">
        <v>29</v>
      </c>
      <c r="E5" t="s">
        <v>17</v>
      </c>
      <c r="F5" t="s">
        <v>18</v>
      </c>
      <c r="G5" t="s">
        <v>27</v>
      </c>
      <c r="H5" t="s">
        <v>20</v>
      </c>
      <c r="I5" t="s">
        <v>21</v>
      </c>
      <c r="J5" t="s">
        <v>22</v>
      </c>
      <c r="K5" t="s">
        <v>30</v>
      </c>
      <c r="L5" t="s">
        <v>31</v>
      </c>
    </row>
    <row r="6" spans="1:14">
      <c r="A6">
        <v>100005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35</v>
      </c>
      <c r="L6" t="s">
        <v>36</v>
      </c>
    </row>
    <row r="7" spans="1:14">
      <c r="A7">
        <v>100006</v>
      </c>
      <c r="B7" t="s">
        <v>37</v>
      </c>
      <c r="C7" t="s">
        <v>15</v>
      </c>
      <c r="D7" t="s">
        <v>16</v>
      </c>
      <c r="E7" t="s">
        <v>34</v>
      </c>
      <c r="F7" t="s">
        <v>18</v>
      </c>
      <c r="G7" t="s">
        <v>27</v>
      </c>
      <c r="H7" t="s">
        <v>20</v>
      </c>
      <c r="I7" t="s">
        <v>21</v>
      </c>
      <c r="J7" t="s">
        <v>22</v>
      </c>
      <c r="K7" t="s">
        <v>35</v>
      </c>
      <c r="L7" t="s">
        <v>36</v>
      </c>
    </row>
    <row r="8" spans="1:14">
      <c r="A8">
        <v>100007</v>
      </c>
      <c r="B8" t="s">
        <v>38</v>
      </c>
      <c r="C8" t="s">
        <v>15</v>
      </c>
      <c r="D8" t="s">
        <v>29</v>
      </c>
      <c r="E8" t="s">
        <v>34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39</v>
      </c>
      <c r="L8" t="s">
        <v>40</v>
      </c>
    </row>
    <row r="9" spans="1:14">
      <c r="A9">
        <v>100008</v>
      </c>
      <c r="B9" t="s">
        <v>41</v>
      </c>
      <c r="C9" t="s">
        <v>15</v>
      </c>
      <c r="D9" t="s">
        <v>29</v>
      </c>
      <c r="E9" t="s">
        <v>34</v>
      </c>
      <c r="F9" t="s">
        <v>26</v>
      </c>
      <c r="G9" t="s">
        <v>27</v>
      </c>
      <c r="H9" t="s">
        <v>20</v>
      </c>
      <c r="I9" t="s">
        <v>21</v>
      </c>
      <c r="J9" t="s">
        <v>22</v>
      </c>
      <c r="K9" t="s">
        <v>39</v>
      </c>
      <c r="L9" t="s">
        <v>40</v>
      </c>
    </row>
    <row r="10" spans="1:14">
      <c r="A10">
        <v>100009</v>
      </c>
      <c r="B10" t="s">
        <v>42</v>
      </c>
      <c r="C10" t="s">
        <v>43</v>
      </c>
      <c r="D10" t="s">
        <v>44</v>
      </c>
      <c r="E10" t="s">
        <v>17</v>
      </c>
      <c r="F10" t="s">
        <v>18</v>
      </c>
      <c r="G10" t="s">
        <v>19</v>
      </c>
      <c r="H10" t="s">
        <v>20</v>
      </c>
      <c r="I10" t="s">
        <v>45</v>
      </c>
      <c r="J10" t="s">
        <v>22</v>
      </c>
      <c r="K10" t="s">
        <v>46</v>
      </c>
      <c r="L10" t="s">
        <v>47</v>
      </c>
    </row>
    <row r="11" spans="1:14">
      <c r="A11">
        <v>100010</v>
      </c>
      <c r="B11" t="s">
        <v>48</v>
      </c>
      <c r="C11" t="s">
        <v>43</v>
      </c>
      <c r="D11" t="s">
        <v>49</v>
      </c>
      <c r="E11" t="s">
        <v>17</v>
      </c>
      <c r="F11" t="s">
        <v>18</v>
      </c>
      <c r="G11" t="s">
        <v>19</v>
      </c>
      <c r="H11" t="s">
        <v>20</v>
      </c>
      <c r="I11" t="s">
        <v>45</v>
      </c>
      <c r="J11" t="s">
        <v>22</v>
      </c>
      <c r="K11" t="s">
        <v>46</v>
      </c>
      <c r="L11" t="s">
        <v>50</v>
      </c>
    </row>
    <row r="12" spans="1:14">
      <c r="A12">
        <v>100011</v>
      </c>
      <c r="B12" t="s">
        <v>51</v>
      </c>
      <c r="C12" t="s">
        <v>43</v>
      </c>
      <c r="D12" t="s">
        <v>44</v>
      </c>
      <c r="E12" t="s">
        <v>34</v>
      </c>
      <c r="F12" t="s">
        <v>18</v>
      </c>
      <c r="G12" t="s">
        <v>19</v>
      </c>
      <c r="H12" t="s">
        <v>20</v>
      </c>
      <c r="I12" t="s">
        <v>45</v>
      </c>
      <c r="J12" t="s">
        <v>22</v>
      </c>
      <c r="K12" t="s">
        <v>46</v>
      </c>
      <c r="L12" t="s">
        <v>52</v>
      </c>
    </row>
    <row r="13" spans="1:14">
      <c r="A13">
        <v>100012</v>
      </c>
      <c r="B13" t="s">
        <v>53</v>
      </c>
      <c r="C13" t="s">
        <v>43</v>
      </c>
      <c r="D13" t="s">
        <v>49</v>
      </c>
      <c r="E13" t="s">
        <v>34</v>
      </c>
      <c r="F13" t="s">
        <v>18</v>
      </c>
      <c r="G13" t="s">
        <v>19</v>
      </c>
      <c r="H13" t="s">
        <v>20</v>
      </c>
      <c r="I13" t="s">
        <v>45</v>
      </c>
      <c r="J13" t="s">
        <v>22</v>
      </c>
      <c r="K13" t="s">
        <v>54</v>
      </c>
      <c r="L13" t="s">
        <v>55</v>
      </c>
    </row>
    <row r="14" spans="1:14">
      <c r="A14">
        <v>100013</v>
      </c>
      <c r="B14" t="s">
        <v>56</v>
      </c>
      <c r="C14" t="s">
        <v>43</v>
      </c>
      <c r="D14" t="s">
        <v>44</v>
      </c>
      <c r="E14" t="s">
        <v>17</v>
      </c>
      <c r="F14" t="s">
        <v>18</v>
      </c>
      <c r="G14" t="s">
        <v>19</v>
      </c>
      <c r="H14" t="s">
        <v>20</v>
      </c>
      <c r="I14" t="s">
        <v>57</v>
      </c>
      <c r="J14" t="s">
        <v>22</v>
      </c>
      <c r="K14" t="s">
        <v>46</v>
      </c>
      <c r="L14" t="s">
        <v>47</v>
      </c>
    </row>
    <row r="15" spans="1:14">
      <c r="A15">
        <v>100014</v>
      </c>
      <c r="B15" t="s">
        <v>58</v>
      </c>
      <c r="C15" t="s">
        <v>43</v>
      </c>
      <c r="D15" t="s">
        <v>49</v>
      </c>
      <c r="E15" t="s">
        <v>17</v>
      </c>
      <c r="F15" t="s">
        <v>18</v>
      </c>
      <c r="G15" t="s">
        <v>19</v>
      </c>
      <c r="H15" t="s">
        <v>20</v>
      </c>
      <c r="I15" t="s">
        <v>57</v>
      </c>
      <c r="J15" t="s">
        <v>22</v>
      </c>
      <c r="K15" t="s">
        <v>46</v>
      </c>
      <c r="L15" t="s">
        <v>50</v>
      </c>
    </row>
    <row r="16" spans="1:14">
      <c r="A16">
        <v>100015</v>
      </c>
      <c r="B16" t="s">
        <v>59</v>
      </c>
      <c r="C16" t="s">
        <v>43</v>
      </c>
      <c r="D16" t="s">
        <v>44</v>
      </c>
      <c r="E16" t="s">
        <v>17</v>
      </c>
      <c r="F16" t="s">
        <v>18</v>
      </c>
      <c r="G16" t="s">
        <v>27</v>
      </c>
      <c r="H16" t="s">
        <v>20</v>
      </c>
      <c r="I16" t="s">
        <v>57</v>
      </c>
      <c r="J16" t="s">
        <v>22</v>
      </c>
      <c r="K16" t="s">
        <v>46</v>
      </c>
      <c r="L16" t="s">
        <v>47</v>
      </c>
    </row>
    <row r="17" spans="1:12">
      <c r="A17">
        <v>100016</v>
      </c>
      <c r="B17" t="s">
        <v>60</v>
      </c>
      <c r="C17" t="s">
        <v>43</v>
      </c>
      <c r="D17" t="s">
        <v>44</v>
      </c>
      <c r="E17" t="s">
        <v>17</v>
      </c>
      <c r="F17" t="s">
        <v>61</v>
      </c>
      <c r="G17" t="s">
        <v>19</v>
      </c>
      <c r="H17" t="s">
        <v>20</v>
      </c>
      <c r="I17" t="s">
        <v>57</v>
      </c>
      <c r="J17" t="s">
        <v>22</v>
      </c>
      <c r="K17" t="s">
        <v>46</v>
      </c>
      <c r="L17" t="s">
        <v>47</v>
      </c>
    </row>
    <row r="18" spans="1:12">
      <c r="A18">
        <v>100017</v>
      </c>
      <c r="B18" t="s">
        <v>62</v>
      </c>
      <c r="C18" t="s">
        <v>43</v>
      </c>
      <c r="D18" t="s">
        <v>44</v>
      </c>
      <c r="E18" t="s">
        <v>17</v>
      </c>
      <c r="F18" t="s">
        <v>61</v>
      </c>
      <c r="G18" t="s">
        <v>27</v>
      </c>
      <c r="H18" t="s">
        <v>20</v>
      </c>
      <c r="I18" t="s">
        <v>57</v>
      </c>
      <c r="J18" t="s">
        <v>22</v>
      </c>
      <c r="K18" t="s">
        <v>46</v>
      </c>
      <c r="L18" t="s">
        <v>47</v>
      </c>
    </row>
    <row r="19" spans="1:12">
      <c r="A19">
        <v>100018</v>
      </c>
      <c r="B19" t="s">
        <v>63</v>
      </c>
      <c r="C19" t="s">
        <v>64</v>
      </c>
      <c r="D19" t="s">
        <v>65</v>
      </c>
      <c r="E19" t="s">
        <v>17</v>
      </c>
      <c r="F19" t="s">
        <v>66</v>
      </c>
      <c r="G19" t="s">
        <v>19</v>
      </c>
      <c r="H19" t="s">
        <v>20</v>
      </c>
      <c r="I19" t="s">
        <v>57</v>
      </c>
      <c r="J19" t="s">
        <v>22</v>
      </c>
      <c r="K19" t="s">
        <v>67</v>
      </c>
      <c r="L19" t="s">
        <v>68</v>
      </c>
    </row>
    <row r="20" spans="1:12">
      <c r="A20">
        <v>100019</v>
      </c>
      <c r="B20" t="s">
        <v>69</v>
      </c>
      <c r="C20" t="s">
        <v>64</v>
      </c>
      <c r="D20" t="s">
        <v>65</v>
      </c>
      <c r="E20" t="s">
        <v>17</v>
      </c>
      <c r="F20" t="s">
        <v>66</v>
      </c>
      <c r="G20" t="s">
        <v>27</v>
      </c>
      <c r="H20" t="s">
        <v>20</v>
      </c>
      <c r="I20" t="s">
        <v>57</v>
      </c>
      <c r="J20" t="s">
        <v>22</v>
      </c>
      <c r="K20" t="s">
        <v>67</v>
      </c>
      <c r="L20" t="s">
        <v>68</v>
      </c>
    </row>
    <row r="21" spans="1:12">
      <c r="A21">
        <v>100020</v>
      </c>
      <c r="B21" t="s">
        <v>70</v>
      </c>
      <c r="C21" t="s">
        <v>15</v>
      </c>
      <c r="D21" t="s">
        <v>16</v>
      </c>
      <c r="E21" t="s">
        <v>17</v>
      </c>
      <c r="F21" t="s">
        <v>26</v>
      </c>
      <c r="G21" t="s">
        <v>71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</row>
    <row r="22" spans="1:12">
      <c r="A22">
        <v>100021</v>
      </c>
      <c r="B22" t="s">
        <v>72</v>
      </c>
      <c r="C22" t="s">
        <v>15</v>
      </c>
      <c r="D22" t="s">
        <v>16</v>
      </c>
      <c r="E22" t="s">
        <v>17</v>
      </c>
      <c r="F22" t="s">
        <v>73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</row>
    <row r="23" spans="1:12">
      <c r="A23">
        <v>100022</v>
      </c>
      <c r="B23" t="s">
        <v>74</v>
      </c>
      <c r="C23" t="s">
        <v>15</v>
      </c>
      <c r="D23" t="s">
        <v>16</v>
      </c>
      <c r="E23" t="s">
        <v>34</v>
      </c>
      <c r="F23" t="s">
        <v>73</v>
      </c>
      <c r="G23" t="s">
        <v>19</v>
      </c>
      <c r="H23" t="s">
        <v>20</v>
      </c>
      <c r="I23" t="s">
        <v>21</v>
      </c>
      <c r="J23" t="s">
        <v>22</v>
      </c>
      <c r="K23" t="s">
        <v>35</v>
      </c>
      <c r="L23" t="s">
        <v>36</v>
      </c>
    </row>
    <row r="24" spans="1:12">
      <c r="A24">
        <v>100023</v>
      </c>
      <c r="B24" t="s">
        <v>75</v>
      </c>
      <c r="C24" t="s">
        <v>15</v>
      </c>
      <c r="D24" t="s">
        <v>16</v>
      </c>
      <c r="E24" t="s">
        <v>34</v>
      </c>
      <c r="F24" t="s">
        <v>26</v>
      </c>
      <c r="G24" t="s">
        <v>71</v>
      </c>
      <c r="H24" t="s">
        <v>20</v>
      </c>
      <c r="I24" t="s">
        <v>21</v>
      </c>
      <c r="J24" t="s">
        <v>22</v>
      </c>
      <c r="K24" t="s">
        <v>35</v>
      </c>
      <c r="L24" t="s">
        <v>36</v>
      </c>
    </row>
    <row r="25" spans="1:12">
      <c r="A25">
        <v>100024</v>
      </c>
      <c r="B25" t="s">
        <v>76</v>
      </c>
      <c r="C25" t="s">
        <v>15</v>
      </c>
      <c r="D25" t="s">
        <v>29</v>
      </c>
      <c r="E25" t="s">
        <v>17</v>
      </c>
      <c r="F25" t="s">
        <v>26</v>
      </c>
      <c r="G25" t="s">
        <v>71</v>
      </c>
      <c r="H25" t="s">
        <v>20</v>
      </c>
      <c r="I25" t="s">
        <v>21</v>
      </c>
      <c r="J25" t="s">
        <v>22</v>
      </c>
      <c r="K25" t="s">
        <v>30</v>
      </c>
      <c r="L25" t="s">
        <v>31</v>
      </c>
    </row>
    <row r="26" spans="1:12">
      <c r="A26">
        <v>100025</v>
      </c>
      <c r="B26" t="s">
        <v>77</v>
      </c>
      <c r="C26" t="s">
        <v>43</v>
      </c>
      <c r="D26" t="s">
        <v>65</v>
      </c>
      <c r="E26" t="s">
        <v>17</v>
      </c>
      <c r="F26" t="s">
        <v>66</v>
      </c>
      <c r="G26" t="s">
        <v>78</v>
      </c>
      <c r="H26" t="s">
        <v>20</v>
      </c>
      <c r="I26" t="s">
        <v>21</v>
      </c>
      <c r="J26" t="s">
        <v>22</v>
      </c>
      <c r="K26" t="s">
        <v>46</v>
      </c>
      <c r="L26" t="s">
        <v>47</v>
      </c>
    </row>
    <row r="27" spans="1:12">
      <c r="A27">
        <v>100026</v>
      </c>
      <c r="B27" t="s">
        <v>79</v>
      </c>
      <c r="C27" t="s">
        <v>15</v>
      </c>
      <c r="D27" t="s">
        <v>16</v>
      </c>
      <c r="E27" t="s">
        <v>17</v>
      </c>
      <c r="F27" t="s">
        <v>80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</row>
    <row r="28" spans="1:12">
      <c r="A28">
        <v>100027</v>
      </c>
      <c r="B28" t="s">
        <v>81</v>
      </c>
      <c r="C28" t="s">
        <v>15</v>
      </c>
      <c r="D28" t="s">
        <v>16</v>
      </c>
      <c r="E28" t="s">
        <v>17</v>
      </c>
      <c r="F28" t="s">
        <v>82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</row>
    <row r="29" spans="1:12">
      <c r="A29">
        <v>100028</v>
      </c>
      <c r="B29" t="s">
        <v>83</v>
      </c>
      <c r="C29" t="s">
        <v>15</v>
      </c>
      <c r="D29" t="s">
        <v>16</v>
      </c>
      <c r="E29" t="s">
        <v>17</v>
      </c>
      <c r="F29" t="s">
        <v>84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</row>
    <row r="30" spans="1:12">
      <c r="A30">
        <v>100029</v>
      </c>
      <c r="B30" t="s">
        <v>85</v>
      </c>
      <c r="C30" t="s">
        <v>15</v>
      </c>
      <c r="D30" t="s">
        <v>16</v>
      </c>
      <c r="E30" t="s">
        <v>34</v>
      </c>
      <c r="F30" t="s">
        <v>82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</row>
    <row r="31" spans="1:12">
      <c r="A31">
        <v>100030</v>
      </c>
      <c r="B31" t="s">
        <v>86</v>
      </c>
      <c r="C31" t="s">
        <v>15</v>
      </c>
      <c r="D31" t="s">
        <v>16</v>
      </c>
      <c r="E31" t="s">
        <v>34</v>
      </c>
      <c r="F31" t="s">
        <v>84</v>
      </c>
      <c r="G31" t="s">
        <v>19</v>
      </c>
      <c r="H31" t="s">
        <v>20</v>
      </c>
      <c r="I31" t="s">
        <v>21</v>
      </c>
      <c r="J31" t="s">
        <v>22</v>
      </c>
      <c r="K31" t="s">
        <v>35</v>
      </c>
      <c r="L31" t="s">
        <v>36</v>
      </c>
    </row>
    <row r="32" spans="1:12">
      <c r="A32">
        <v>100031</v>
      </c>
      <c r="B32" t="s">
        <v>87</v>
      </c>
      <c r="C32" t="s">
        <v>43</v>
      </c>
      <c r="D32" t="s">
        <v>49</v>
      </c>
      <c r="E32" t="s">
        <v>34</v>
      </c>
      <c r="F32" t="s">
        <v>18</v>
      </c>
      <c r="G32" t="s">
        <v>19</v>
      </c>
      <c r="H32" t="s">
        <v>20</v>
      </c>
      <c r="I32" t="s">
        <v>57</v>
      </c>
      <c r="J32" t="s">
        <v>22</v>
      </c>
      <c r="K32" t="s">
        <v>54</v>
      </c>
      <c r="L32" t="s">
        <v>55</v>
      </c>
    </row>
    <row r="33" spans="1:12">
      <c r="A33">
        <v>100032</v>
      </c>
      <c r="B33" t="s">
        <v>88</v>
      </c>
      <c r="C33" t="s">
        <v>43</v>
      </c>
      <c r="D33" t="s">
        <v>89</v>
      </c>
      <c r="E33" t="s">
        <v>34</v>
      </c>
      <c r="F33" t="s">
        <v>18</v>
      </c>
      <c r="G33" t="s">
        <v>19</v>
      </c>
      <c r="H33" t="s">
        <v>20</v>
      </c>
      <c r="I33" t="s">
        <v>45</v>
      </c>
      <c r="J33" t="s">
        <v>22</v>
      </c>
      <c r="K33" t="s">
        <v>90</v>
      </c>
      <c r="L33" t="s">
        <v>91</v>
      </c>
    </row>
    <row r="34" spans="1:12">
      <c r="A34">
        <v>100033</v>
      </c>
      <c r="B34" t="s">
        <v>92</v>
      </c>
      <c r="C34" t="s">
        <v>93</v>
      </c>
      <c r="D34" t="s">
        <v>94</v>
      </c>
      <c r="E34" t="s">
        <v>17</v>
      </c>
      <c r="F34" t="s">
        <v>18</v>
      </c>
      <c r="G34" t="s">
        <v>19</v>
      </c>
      <c r="H34" t="s">
        <v>95</v>
      </c>
      <c r="I34" t="s">
        <v>96</v>
      </c>
      <c r="J34" t="s">
        <v>22</v>
      </c>
      <c r="K34" t="s">
        <v>23</v>
      </c>
      <c r="L34" t="s">
        <v>97</v>
      </c>
    </row>
    <row r="35" spans="1:12">
      <c r="A35">
        <v>100034</v>
      </c>
      <c r="B35" t="s">
        <v>98</v>
      </c>
      <c r="C35" t="s">
        <v>99</v>
      </c>
      <c r="D35" t="s">
        <v>94</v>
      </c>
      <c r="E35" t="s">
        <v>17</v>
      </c>
      <c r="F35" t="s">
        <v>18</v>
      </c>
      <c r="G35" t="s">
        <v>19</v>
      </c>
      <c r="H35" t="s">
        <v>20</v>
      </c>
      <c r="I35" t="s">
        <v>57</v>
      </c>
      <c r="J35" t="s">
        <v>22</v>
      </c>
      <c r="K35" t="s">
        <v>23</v>
      </c>
      <c r="L35" t="s">
        <v>24</v>
      </c>
    </row>
    <row r="36" spans="1:12">
      <c r="A36">
        <v>100035</v>
      </c>
      <c r="B36" t="s">
        <v>100</v>
      </c>
      <c r="C36" t="s">
        <v>93</v>
      </c>
      <c r="D36" t="s">
        <v>94</v>
      </c>
      <c r="E36" t="s">
        <v>17</v>
      </c>
      <c r="F36" t="s">
        <v>18</v>
      </c>
      <c r="G36" t="s">
        <v>19</v>
      </c>
      <c r="H36" t="s">
        <v>95</v>
      </c>
      <c r="I36" t="s">
        <v>101</v>
      </c>
      <c r="J36" t="s">
        <v>22</v>
      </c>
      <c r="K36" t="s">
        <v>23</v>
      </c>
      <c r="L36" t="s">
        <v>97</v>
      </c>
    </row>
    <row r="37" spans="1:12">
      <c r="A37">
        <v>100036</v>
      </c>
      <c r="B37" t="s">
        <v>102</v>
      </c>
      <c r="C37" t="s">
        <v>43</v>
      </c>
      <c r="D37" t="s">
        <v>103</v>
      </c>
      <c r="E37" t="s">
        <v>17</v>
      </c>
      <c r="F37" t="s">
        <v>18</v>
      </c>
      <c r="G37" t="s">
        <v>19</v>
      </c>
      <c r="H37" t="s">
        <v>20</v>
      </c>
      <c r="I37" t="s">
        <v>104</v>
      </c>
      <c r="J37" t="s">
        <v>22</v>
      </c>
      <c r="K37" t="s">
        <v>105</v>
      </c>
      <c r="L37" t="s">
        <v>106</v>
      </c>
    </row>
    <row r="38" spans="1:12">
      <c r="A38">
        <v>100037</v>
      </c>
      <c r="B38" t="s">
        <v>107</v>
      </c>
      <c r="C38" t="s">
        <v>43</v>
      </c>
      <c r="D38" t="s">
        <v>103</v>
      </c>
      <c r="E38" t="s">
        <v>34</v>
      </c>
      <c r="F38" t="s">
        <v>18</v>
      </c>
      <c r="G38" t="s">
        <v>19</v>
      </c>
      <c r="H38" t="s">
        <v>20</v>
      </c>
      <c r="I38" t="s">
        <v>104</v>
      </c>
      <c r="J38" t="s">
        <v>22</v>
      </c>
      <c r="K38" t="s">
        <v>108</v>
      </c>
      <c r="L38" t="s">
        <v>109</v>
      </c>
    </row>
    <row r="39" spans="1:12">
      <c r="A39">
        <v>100038</v>
      </c>
      <c r="B39" t="s">
        <v>110</v>
      </c>
      <c r="C39" t="s">
        <v>64</v>
      </c>
      <c r="D39" t="s">
        <v>65</v>
      </c>
      <c r="E39" t="s">
        <v>34</v>
      </c>
      <c r="F39" t="s">
        <v>66</v>
      </c>
      <c r="G39" t="s">
        <v>19</v>
      </c>
      <c r="H39" t="s">
        <v>20</v>
      </c>
      <c r="I39" t="s">
        <v>57</v>
      </c>
      <c r="J39" t="s">
        <v>22</v>
      </c>
      <c r="K39" t="s">
        <v>111</v>
      </c>
      <c r="L39" t="s">
        <v>68</v>
      </c>
    </row>
    <row r="40" spans="1:12">
      <c r="A40">
        <v>100039</v>
      </c>
      <c r="B40" t="s">
        <v>112</v>
      </c>
      <c r="C40" t="s">
        <v>113</v>
      </c>
      <c r="D40" t="s">
        <v>94</v>
      </c>
      <c r="E40" t="s">
        <v>17</v>
      </c>
      <c r="F40" t="s">
        <v>18</v>
      </c>
      <c r="G40" t="s">
        <v>19</v>
      </c>
      <c r="H40" t="s">
        <v>95</v>
      </c>
      <c r="I40" t="s">
        <v>114</v>
      </c>
      <c r="J40" t="s">
        <v>22</v>
      </c>
      <c r="K40" t="s">
        <v>23</v>
      </c>
      <c r="L40" t="s">
        <v>97</v>
      </c>
    </row>
    <row r="41" spans="1:12">
      <c r="A41">
        <v>100040</v>
      </c>
      <c r="B41" t="s">
        <v>115</v>
      </c>
      <c r="C41" t="s">
        <v>116</v>
      </c>
      <c r="D41" t="s">
        <v>117</v>
      </c>
      <c r="E41" t="s">
        <v>17</v>
      </c>
      <c r="F41" t="s">
        <v>66</v>
      </c>
      <c r="G41" t="s">
        <v>19</v>
      </c>
      <c r="H41" t="s">
        <v>95</v>
      </c>
      <c r="I41" t="s">
        <v>118</v>
      </c>
      <c r="K41" t="s">
        <v>119</v>
      </c>
      <c r="L41" t="s">
        <v>120</v>
      </c>
    </row>
    <row r="42" spans="1:12">
      <c r="A42">
        <v>100041</v>
      </c>
      <c r="B42" t="s">
        <v>121</v>
      </c>
      <c r="C42" t="s">
        <v>116</v>
      </c>
      <c r="D42" t="s">
        <v>117</v>
      </c>
      <c r="E42" t="s">
        <v>17</v>
      </c>
      <c r="F42" t="s">
        <v>66</v>
      </c>
      <c r="G42" t="s">
        <v>122</v>
      </c>
      <c r="H42" t="s">
        <v>20</v>
      </c>
      <c r="I42" t="s">
        <v>114</v>
      </c>
      <c r="J42" t="s">
        <v>22</v>
      </c>
      <c r="K42" t="s">
        <v>123</v>
      </c>
      <c r="L42" t="s">
        <v>120</v>
      </c>
    </row>
    <row r="43" spans="1:12">
      <c r="A43">
        <v>100042</v>
      </c>
      <c r="B43" t="s">
        <v>124</v>
      </c>
      <c r="C43" t="s">
        <v>116</v>
      </c>
      <c r="D43" t="s">
        <v>125</v>
      </c>
      <c r="E43" t="s">
        <v>17</v>
      </c>
      <c r="F43" t="s">
        <v>66</v>
      </c>
      <c r="G43" t="s">
        <v>19</v>
      </c>
      <c r="H43" t="s">
        <v>95</v>
      </c>
      <c r="I43" t="s">
        <v>118</v>
      </c>
      <c r="J43" t="s">
        <v>22</v>
      </c>
      <c r="K43" t="s">
        <v>119</v>
      </c>
      <c r="L43" t="s">
        <v>120</v>
      </c>
    </row>
    <row r="44" spans="1:12">
      <c r="A44">
        <v>100043</v>
      </c>
      <c r="B44" t="s">
        <v>126</v>
      </c>
      <c r="C44" t="s">
        <v>15</v>
      </c>
      <c r="D44" t="s">
        <v>16</v>
      </c>
      <c r="E44" t="s">
        <v>17</v>
      </c>
      <c r="F44" t="s">
        <v>127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</row>
    <row r="45" spans="1:12">
      <c r="A45">
        <v>100044</v>
      </c>
      <c r="B45" t="s">
        <v>128</v>
      </c>
      <c r="C45" t="s">
        <v>129</v>
      </c>
      <c r="D45" t="s">
        <v>65</v>
      </c>
      <c r="E45" t="s">
        <v>17</v>
      </c>
      <c r="F45" t="s">
        <v>66</v>
      </c>
      <c r="G45" t="s">
        <v>19</v>
      </c>
      <c r="H45" t="s">
        <v>20</v>
      </c>
      <c r="I45" t="s">
        <v>21</v>
      </c>
      <c r="J45" t="s">
        <v>22</v>
      </c>
      <c r="K45" t="s">
        <v>130</v>
      </c>
      <c r="L45" t="s">
        <v>131</v>
      </c>
    </row>
    <row r="46" spans="1:12">
      <c r="A46">
        <v>100045</v>
      </c>
      <c r="B46" t="s">
        <v>132</v>
      </c>
      <c r="C46" t="s">
        <v>64</v>
      </c>
      <c r="D46" t="s">
        <v>65</v>
      </c>
      <c r="E46" t="s">
        <v>17</v>
      </c>
      <c r="F46" t="s">
        <v>66</v>
      </c>
      <c r="G46" t="s">
        <v>19</v>
      </c>
      <c r="H46" t="s">
        <v>133</v>
      </c>
      <c r="I46" t="s">
        <v>134</v>
      </c>
      <c r="J46" t="s">
        <v>22</v>
      </c>
      <c r="K46" t="s">
        <v>67</v>
      </c>
      <c r="L46" t="s">
        <v>68</v>
      </c>
    </row>
    <row r="47" spans="1:12">
      <c r="A47">
        <v>100046</v>
      </c>
      <c r="B47" t="s">
        <v>135</v>
      </c>
      <c r="C47" t="s">
        <v>15</v>
      </c>
      <c r="D47" t="s">
        <v>16</v>
      </c>
      <c r="E47" t="s">
        <v>17</v>
      </c>
      <c r="F47" t="s">
        <v>136</v>
      </c>
      <c r="G47" t="s">
        <v>19</v>
      </c>
      <c r="H47" t="s">
        <v>20</v>
      </c>
      <c r="I47" t="s">
        <v>21</v>
      </c>
      <c r="J47" t="s">
        <v>22</v>
      </c>
      <c r="K47" t="s">
        <v>137</v>
      </c>
      <c r="L47" t="s">
        <v>24</v>
      </c>
    </row>
    <row r="48" spans="1:12">
      <c r="A48">
        <v>100047</v>
      </c>
      <c r="B48" t="s">
        <v>138</v>
      </c>
      <c r="C48" t="s">
        <v>15</v>
      </c>
      <c r="D48" t="s">
        <v>16</v>
      </c>
      <c r="E48" t="s">
        <v>34</v>
      </c>
      <c r="F48" t="s">
        <v>61</v>
      </c>
      <c r="G48" t="s">
        <v>19</v>
      </c>
      <c r="H48" t="s">
        <v>139</v>
      </c>
      <c r="I48" t="s">
        <v>21</v>
      </c>
      <c r="J48" t="s">
        <v>22</v>
      </c>
      <c r="K48" t="s">
        <v>137</v>
      </c>
      <c r="L48" t="s">
        <v>24</v>
      </c>
    </row>
    <row r="49" spans="1:12">
      <c r="A49">
        <v>100048</v>
      </c>
      <c r="B49" t="s">
        <v>140</v>
      </c>
      <c r="C49" t="s">
        <v>15</v>
      </c>
      <c r="D49" t="s">
        <v>16</v>
      </c>
      <c r="E49" t="s">
        <v>17</v>
      </c>
      <c r="F49" t="s">
        <v>61</v>
      </c>
      <c r="G49" t="s">
        <v>139</v>
      </c>
      <c r="H49" t="s">
        <v>139</v>
      </c>
      <c r="I49" t="s">
        <v>21</v>
      </c>
      <c r="J49" t="s">
        <v>22</v>
      </c>
      <c r="K49" t="s">
        <v>137</v>
      </c>
      <c r="L49" t="s">
        <v>24</v>
      </c>
    </row>
    <row r="50" spans="1:12">
      <c r="A50">
        <v>100049</v>
      </c>
      <c r="B50" t="s">
        <v>37</v>
      </c>
      <c r="C50" t="s">
        <v>15</v>
      </c>
      <c r="D50" t="s">
        <v>16</v>
      </c>
      <c r="E50" t="s">
        <v>34</v>
      </c>
      <c r="F50" t="s">
        <v>18</v>
      </c>
      <c r="G50" t="s">
        <v>27</v>
      </c>
      <c r="H50" t="s">
        <v>20</v>
      </c>
      <c r="I50" t="s">
        <v>21</v>
      </c>
      <c r="J50" t="s">
        <v>22</v>
      </c>
      <c r="K50" t="s">
        <v>35</v>
      </c>
      <c r="L50" t="s">
        <v>36</v>
      </c>
    </row>
    <row r="51" spans="1:12">
      <c r="A51">
        <v>100050</v>
      </c>
      <c r="B51" t="s">
        <v>141</v>
      </c>
      <c r="C51" t="s">
        <v>15</v>
      </c>
      <c r="D51" t="s">
        <v>16</v>
      </c>
      <c r="E51" t="s">
        <v>34</v>
      </c>
      <c r="F51" t="s">
        <v>18</v>
      </c>
      <c r="G51" t="s">
        <v>139</v>
      </c>
      <c r="H51" t="s">
        <v>139</v>
      </c>
      <c r="I51" t="s">
        <v>21</v>
      </c>
      <c r="J51" t="s">
        <v>22</v>
      </c>
      <c r="K51" t="s">
        <v>142</v>
      </c>
      <c r="L51" t="s">
        <v>36</v>
      </c>
    </row>
    <row r="52" spans="1:12">
      <c r="A52">
        <v>100051</v>
      </c>
      <c r="B52" t="s">
        <v>143</v>
      </c>
      <c r="C52" t="s">
        <v>15</v>
      </c>
      <c r="D52" t="s">
        <v>16</v>
      </c>
      <c r="E52" t="s">
        <v>17</v>
      </c>
      <c r="F52" t="s">
        <v>18</v>
      </c>
      <c r="G52" t="s">
        <v>144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</row>
    <row r="53" spans="1:12">
      <c r="A53">
        <v>100052</v>
      </c>
      <c r="B53" t="s">
        <v>145</v>
      </c>
      <c r="C53" t="s">
        <v>15</v>
      </c>
      <c r="D53" t="s">
        <v>29</v>
      </c>
      <c r="E53" t="s">
        <v>17</v>
      </c>
      <c r="F53" t="s">
        <v>84</v>
      </c>
      <c r="G53" t="s">
        <v>19</v>
      </c>
      <c r="H53" t="s">
        <v>20</v>
      </c>
      <c r="I53" t="s">
        <v>21</v>
      </c>
      <c r="J53" t="s">
        <v>22</v>
      </c>
      <c r="K53" t="s">
        <v>30</v>
      </c>
      <c r="L53" t="s">
        <v>31</v>
      </c>
    </row>
    <row r="54" spans="1:12">
      <c r="A54">
        <v>100053</v>
      </c>
      <c r="B54" t="s">
        <v>146</v>
      </c>
      <c r="C54" t="s">
        <v>15</v>
      </c>
      <c r="D54" t="s">
        <v>29</v>
      </c>
      <c r="E54" t="s">
        <v>34</v>
      </c>
      <c r="F54" t="s">
        <v>84</v>
      </c>
      <c r="G54" t="s">
        <v>19</v>
      </c>
      <c r="H54" t="s">
        <v>20</v>
      </c>
      <c r="I54" t="s">
        <v>21</v>
      </c>
      <c r="J54" t="s">
        <v>22</v>
      </c>
      <c r="K54" t="s">
        <v>39</v>
      </c>
      <c r="L54" t="s">
        <v>31</v>
      </c>
    </row>
    <row r="55" spans="1:12">
      <c r="A55">
        <v>100054</v>
      </c>
      <c r="B55" t="s">
        <v>147</v>
      </c>
      <c r="C55" t="s">
        <v>15</v>
      </c>
      <c r="D55" t="s">
        <v>29</v>
      </c>
      <c r="E55" t="s">
        <v>17</v>
      </c>
      <c r="F55" t="s">
        <v>80</v>
      </c>
      <c r="G55" t="s">
        <v>19</v>
      </c>
      <c r="H55" t="s">
        <v>20</v>
      </c>
      <c r="I55" t="s">
        <v>21</v>
      </c>
      <c r="J55" t="s">
        <v>22</v>
      </c>
      <c r="K55" t="s">
        <v>30</v>
      </c>
      <c r="L55" t="s">
        <v>31</v>
      </c>
    </row>
    <row r="56" spans="1:12">
      <c r="A56">
        <v>100055</v>
      </c>
      <c r="B56" t="s">
        <v>148</v>
      </c>
      <c r="C56" t="s">
        <v>149</v>
      </c>
      <c r="D56" t="s">
        <v>150</v>
      </c>
      <c r="E56" t="s">
        <v>17</v>
      </c>
      <c r="F56" t="s">
        <v>151</v>
      </c>
      <c r="G56" t="s">
        <v>19</v>
      </c>
      <c r="H56" t="s">
        <v>95</v>
      </c>
      <c r="I56" t="s">
        <v>152</v>
      </c>
      <c r="J56" t="s">
        <v>22</v>
      </c>
      <c r="K56" t="s">
        <v>23</v>
      </c>
      <c r="L56" t="s">
        <v>97</v>
      </c>
    </row>
    <row r="57" spans="1:12">
      <c r="A57">
        <v>100056</v>
      </c>
      <c r="B57" t="s">
        <v>153</v>
      </c>
      <c r="C57" t="s">
        <v>15</v>
      </c>
      <c r="D57" t="s">
        <v>16</v>
      </c>
      <c r="E57" t="s">
        <v>17</v>
      </c>
      <c r="F57" t="s">
        <v>151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</row>
    <row r="58" spans="1:12">
      <c r="A58">
        <v>100057</v>
      </c>
      <c r="B58" t="s">
        <v>154</v>
      </c>
      <c r="C58" t="s">
        <v>15</v>
      </c>
      <c r="D58" t="s">
        <v>16</v>
      </c>
      <c r="E58" t="s">
        <v>17</v>
      </c>
      <c r="F58" t="s">
        <v>155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</row>
    <row r="59" spans="1:12">
      <c r="A59">
        <v>100058</v>
      </c>
      <c r="B59" t="s">
        <v>156</v>
      </c>
      <c r="C59" t="s">
        <v>15</v>
      </c>
      <c r="D59" t="s">
        <v>16</v>
      </c>
      <c r="E59" t="s">
        <v>17</v>
      </c>
      <c r="F59" t="s">
        <v>151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</row>
    <row r="60" spans="1:12">
      <c r="A60">
        <v>100059</v>
      </c>
      <c r="B60" t="s">
        <v>157</v>
      </c>
      <c r="C60" t="s">
        <v>15</v>
      </c>
      <c r="D60" t="s">
        <v>16</v>
      </c>
      <c r="E60" t="s">
        <v>17</v>
      </c>
      <c r="F60" t="s">
        <v>155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</row>
    <row r="61" spans="1:12">
      <c r="A61">
        <v>100063</v>
      </c>
      <c r="B61" t="s">
        <v>158</v>
      </c>
      <c r="C61" t="s">
        <v>149</v>
      </c>
      <c r="D61" t="s">
        <v>150</v>
      </c>
      <c r="E61" t="s">
        <v>17</v>
      </c>
      <c r="F61" t="s">
        <v>151</v>
      </c>
      <c r="G61" t="s">
        <v>159</v>
      </c>
      <c r="H61" t="s">
        <v>95</v>
      </c>
      <c r="I61" t="s">
        <v>152</v>
      </c>
      <c r="J61" t="s">
        <v>22</v>
      </c>
      <c r="K61" t="s">
        <v>23</v>
      </c>
      <c r="L61" t="s">
        <v>97</v>
      </c>
    </row>
    <row r="62" spans="1:12">
      <c r="A62">
        <v>100064</v>
      </c>
      <c r="B62" t="s">
        <v>160</v>
      </c>
      <c r="C62" t="s">
        <v>15</v>
      </c>
      <c r="D62" t="s">
        <v>16</v>
      </c>
      <c r="E62" t="s">
        <v>17</v>
      </c>
      <c r="F62" t="s">
        <v>161</v>
      </c>
      <c r="G62" t="s">
        <v>19</v>
      </c>
      <c r="H62" t="s">
        <v>95</v>
      </c>
      <c r="I62" t="s">
        <v>114</v>
      </c>
      <c r="J62" t="s">
        <v>22</v>
      </c>
      <c r="K62" t="s">
        <v>23</v>
      </c>
      <c r="L62" t="s">
        <v>97</v>
      </c>
    </row>
    <row r="63" spans="1:12">
      <c r="A63">
        <v>100065</v>
      </c>
      <c r="B63" t="s">
        <v>162</v>
      </c>
      <c r="C63" t="s">
        <v>116</v>
      </c>
      <c r="D63" t="s">
        <v>65</v>
      </c>
      <c r="E63" t="s">
        <v>17</v>
      </c>
      <c r="F63" t="s">
        <v>66</v>
      </c>
      <c r="G63" t="s">
        <v>19</v>
      </c>
      <c r="H63" t="s">
        <v>95</v>
      </c>
      <c r="I63" t="s">
        <v>114</v>
      </c>
      <c r="J63" t="s">
        <v>22</v>
      </c>
      <c r="K63" t="s">
        <v>119</v>
      </c>
      <c r="L63" t="s">
        <v>120</v>
      </c>
    </row>
    <row r="64" spans="1:12">
      <c r="A64">
        <v>100066</v>
      </c>
      <c r="B64" t="s">
        <v>163</v>
      </c>
      <c r="C64" t="s">
        <v>64</v>
      </c>
      <c r="D64" t="s">
        <v>65</v>
      </c>
      <c r="E64" t="s">
        <v>17</v>
      </c>
      <c r="F64" t="s">
        <v>66</v>
      </c>
      <c r="G64" t="s">
        <v>19</v>
      </c>
      <c r="H64" t="s">
        <v>20</v>
      </c>
      <c r="I64" t="s">
        <v>21</v>
      </c>
      <c r="J64" t="s">
        <v>22</v>
      </c>
      <c r="K64" t="s">
        <v>164</v>
      </c>
      <c r="L64" t="s">
        <v>68</v>
      </c>
    </row>
    <row r="65" spans="1:12">
      <c r="A65">
        <v>100067</v>
      </c>
      <c r="B65" t="s">
        <v>165</v>
      </c>
      <c r="C65" t="s">
        <v>15</v>
      </c>
      <c r="D65" t="s">
        <v>65</v>
      </c>
      <c r="E65" t="s">
        <v>17</v>
      </c>
      <c r="F65" t="s">
        <v>66</v>
      </c>
      <c r="G65" t="s">
        <v>19</v>
      </c>
      <c r="H65" t="s">
        <v>20</v>
      </c>
      <c r="I65" t="s">
        <v>166</v>
      </c>
      <c r="J65" t="s">
        <v>22</v>
      </c>
      <c r="K65" t="s">
        <v>23</v>
      </c>
      <c r="L65" t="s">
        <v>24</v>
      </c>
    </row>
    <row r="66" spans="1:12">
      <c r="A66">
        <v>100068</v>
      </c>
      <c r="B66" t="s">
        <v>167</v>
      </c>
      <c r="C66" t="s">
        <v>43</v>
      </c>
      <c r="D66" t="s">
        <v>44</v>
      </c>
      <c r="E66" t="s">
        <v>17</v>
      </c>
      <c r="F66" t="s">
        <v>161</v>
      </c>
      <c r="G66" t="s">
        <v>19</v>
      </c>
      <c r="H66" t="s">
        <v>95</v>
      </c>
      <c r="I66" t="s">
        <v>168</v>
      </c>
      <c r="J66" t="s">
        <v>22</v>
      </c>
      <c r="K66" t="s">
        <v>46</v>
      </c>
      <c r="L66" t="s">
        <v>47</v>
      </c>
    </row>
    <row r="67" spans="1:12">
      <c r="A67">
        <v>100069</v>
      </c>
      <c r="B67" t="s">
        <v>169</v>
      </c>
      <c r="C67" t="s">
        <v>43</v>
      </c>
      <c r="D67" t="s">
        <v>44</v>
      </c>
      <c r="E67" t="s">
        <v>17</v>
      </c>
      <c r="F67" t="s">
        <v>161</v>
      </c>
      <c r="G67" t="s">
        <v>19</v>
      </c>
      <c r="H67" t="s">
        <v>95</v>
      </c>
      <c r="I67" t="s">
        <v>168</v>
      </c>
      <c r="J67" t="s">
        <v>22</v>
      </c>
      <c r="K67" t="s">
        <v>46</v>
      </c>
      <c r="L67" t="s">
        <v>47</v>
      </c>
    </row>
    <row r="68" spans="1:12">
      <c r="A68">
        <v>100070</v>
      </c>
      <c r="B68" t="s">
        <v>170</v>
      </c>
      <c r="C68" t="s">
        <v>43</v>
      </c>
      <c r="D68" t="s">
        <v>44</v>
      </c>
      <c r="E68" t="s">
        <v>17</v>
      </c>
      <c r="F68" t="s">
        <v>161</v>
      </c>
      <c r="G68" t="s">
        <v>19</v>
      </c>
      <c r="H68" t="s">
        <v>95</v>
      </c>
      <c r="I68" t="s">
        <v>168</v>
      </c>
      <c r="J68" t="s">
        <v>22</v>
      </c>
      <c r="K68" t="s">
        <v>46</v>
      </c>
      <c r="L68" t="s">
        <v>47</v>
      </c>
    </row>
    <row r="69" spans="1:12">
      <c r="A69">
        <v>100071</v>
      </c>
      <c r="B69" t="s">
        <v>171</v>
      </c>
      <c r="C69" t="s">
        <v>15</v>
      </c>
      <c r="D69" t="s">
        <v>16</v>
      </c>
      <c r="E69" t="s">
        <v>17</v>
      </c>
      <c r="F69" t="s">
        <v>161</v>
      </c>
      <c r="G69" t="s">
        <v>19</v>
      </c>
      <c r="H69" t="s">
        <v>95</v>
      </c>
      <c r="I69" t="s">
        <v>168</v>
      </c>
      <c r="J69" t="s">
        <v>22</v>
      </c>
      <c r="K69" t="s">
        <v>23</v>
      </c>
      <c r="L69" t="s">
        <v>97</v>
      </c>
    </row>
    <row r="70" spans="1:12">
      <c r="A70">
        <v>100072</v>
      </c>
      <c r="B70" t="s">
        <v>172</v>
      </c>
      <c r="C70" t="s">
        <v>43</v>
      </c>
      <c r="D70" t="s">
        <v>89</v>
      </c>
      <c r="E70" t="s">
        <v>17</v>
      </c>
      <c r="F70" t="s">
        <v>18</v>
      </c>
      <c r="G70" t="s">
        <v>19</v>
      </c>
      <c r="H70" t="s">
        <v>20</v>
      </c>
      <c r="I70" t="s">
        <v>45</v>
      </c>
      <c r="J70" t="s">
        <v>22</v>
      </c>
      <c r="K70" t="s">
        <v>173</v>
      </c>
      <c r="L70" t="s">
        <v>174</v>
      </c>
    </row>
    <row r="71" spans="1:12">
      <c r="A71">
        <v>100073</v>
      </c>
      <c r="B71" t="s">
        <v>175</v>
      </c>
      <c r="C71" t="s">
        <v>129</v>
      </c>
      <c r="D71" t="s">
        <v>65</v>
      </c>
      <c r="E71" t="s">
        <v>34</v>
      </c>
      <c r="F71" t="s">
        <v>66</v>
      </c>
      <c r="G71" t="s">
        <v>19</v>
      </c>
      <c r="H71" t="s">
        <v>20</v>
      </c>
      <c r="I71" t="s">
        <v>21</v>
      </c>
      <c r="J71" t="s">
        <v>22</v>
      </c>
      <c r="K71" t="s">
        <v>176</v>
      </c>
      <c r="L71" t="s">
        <v>177</v>
      </c>
    </row>
    <row r="72" spans="1:12">
      <c r="A72">
        <v>100074</v>
      </c>
      <c r="B72" t="s">
        <v>178</v>
      </c>
      <c r="C72" t="s">
        <v>64</v>
      </c>
      <c r="D72" t="s">
        <v>65</v>
      </c>
      <c r="E72" t="s">
        <v>34</v>
      </c>
      <c r="F72" t="s">
        <v>66</v>
      </c>
      <c r="G72" t="s">
        <v>19</v>
      </c>
      <c r="H72" t="s">
        <v>133</v>
      </c>
      <c r="I72" t="s">
        <v>134</v>
      </c>
      <c r="J72" t="s">
        <v>22</v>
      </c>
      <c r="K72" t="s">
        <v>179</v>
      </c>
      <c r="L72" t="s">
        <v>180</v>
      </c>
    </row>
    <row r="73" spans="1:12">
      <c r="A73">
        <v>100075</v>
      </c>
      <c r="B73" t="s">
        <v>181</v>
      </c>
      <c r="C73" t="s">
        <v>64</v>
      </c>
      <c r="D73" t="s">
        <v>65</v>
      </c>
      <c r="E73" t="s">
        <v>34</v>
      </c>
      <c r="F73" t="s">
        <v>66</v>
      </c>
      <c r="G73" t="s">
        <v>27</v>
      </c>
      <c r="H73" t="s">
        <v>133</v>
      </c>
      <c r="I73" t="s">
        <v>182</v>
      </c>
      <c r="J73" t="s">
        <v>22</v>
      </c>
      <c r="K73" t="s">
        <v>179</v>
      </c>
      <c r="L73" t="s">
        <v>180</v>
      </c>
    </row>
    <row r="74" spans="1:12">
      <c r="A74">
        <v>100076</v>
      </c>
      <c r="B74" t="s">
        <v>183</v>
      </c>
      <c r="C74" t="s">
        <v>43</v>
      </c>
      <c r="D74" t="s">
        <v>65</v>
      </c>
      <c r="E74" t="s">
        <v>34</v>
      </c>
      <c r="F74" t="s">
        <v>18</v>
      </c>
      <c r="G74" t="s">
        <v>27</v>
      </c>
      <c r="H74" t="s">
        <v>20</v>
      </c>
      <c r="I74" t="s">
        <v>184</v>
      </c>
      <c r="J74" t="s">
        <v>185</v>
      </c>
      <c r="K74" t="s">
        <v>186</v>
      </c>
      <c r="L74" t="s">
        <v>52</v>
      </c>
    </row>
    <row r="75" spans="1:12">
      <c r="A75">
        <v>100077</v>
      </c>
      <c r="B75" t="s">
        <v>187</v>
      </c>
      <c r="C75" t="s">
        <v>64</v>
      </c>
      <c r="D75" t="s">
        <v>65</v>
      </c>
      <c r="E75" t="s">
        <v>17</v>
      </c>
      <c r="F75" t="s">
        <v>66</v>
      </c>
      <c r="G75" t="s">
        <v>27</v>
      </c>
      <c r="H75" t="s">
        <v>20</v>
      </c>
      <c r="I75" t="s">
        <v>21</v>
      </c>
      <c r="J75" t="s">
        <v>22</v>
      </c>
      <c r="K75" t="s">
        <v>67</v>
      </c>
      <c r="L75" t="s">
        <v>68</v>
      </c>
    </row>
    <row r="76" spans="1:12">
      <c r="A76">
        <v>100078</v>
      </c>
      <c r="B76" t="s">
        <v>188</v>
      </c>
      <c r="C76" t="s">
        <v>43</v>
      </c>
      <c r="D76" t="s">
        <v>89</v>
      </c>
      <c r="E76" t="s">
        <v>34</v>
      </c>
      <c r="F76" t="s">
        <v>18</v>
      </c>
      <c r="G76" t="s">
        <v>19</v>
      </c>
      <c r="H76" t="s">
        <v>20</v>
      </c>
      <c r="I76" t="s">
        <v>189</v>
      </c>
      <c r="J76" t="s">
        <v>22</v>
      </c>
      <c r="K76" t="s">
        <v>190</v>
      </c>
      <c r="L76" t="s">
        <v>91</v>
      </c>
    </row>
    <row r="77" spans="1:12">
      <c r="A77">
        <v>100079</v>
      </c>
      <c r="B77" t="s">
        <v>191</v>
      </c>
      <c r="C77" t="s">
        <v>15</v>
      </c>
      <c r="D77" t="s">
        <v>192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193</v>
      </c>
      <c r="L77" t="s">
        <v>194</v>
      </c>
    </row>
    <row r="78" spans="1:12">
      <c r="A78">
        <v>100080</v>
      </c>
      <c r="B78" t="s">
        <v>195</v>
      </c>
      <c r="C78" t="s">
        <v>15</v>
      </c>
      <c r="D78" t="s">
        <v>192</v>
      </c>
      <c r="E78" t="s">
        <v>17</v>
      </c>
      <c r="F78" t="s">
        <v>26</v>
      </c>
      <c r="G78" t="s">
        <v>27</v>
      </c>
      <c r="H78" t="s">
        <v>20</v>
      </c>
      <c r="I78" t="s">
        <v>21</v>
      </c>
      <c r="J78" t="s">
        <v>22</v>
      </c>
      <c r="K78" t="s">
        <v>193</v>
      </c>
      <c r="L78" t="s">
        <v>194</v>
      </c>
    </row>
    <row r="79" spans="1:12">
      <c r="A79">
        <v>100081</v>
      </c>
      <c r="B79" t="s">
        <v>196</v>
      </c>
      <c r="C79" t="s">
        <v>15</v>
      </c>
      <c r="D79" t="s">
        <v>192</v>
      </c>
      <c r="E79" t="s">
        <v>34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197</v>
      </c>
      <c r="L79" t="s">
        <v>198</v>
      </c>
    </row>
    <row r="80" spans="1:12">
      <c r="A80">
        <v>100082</v>
      </c>
      <c r="B80" t="s">
        <v>199</v>
      </c>
      <c r="C80" t="s">
        <v>15</v>
      </c>
      <c r="D80" t="s">
        <v>192</v>
      </c>
      <c r="E80" t="s">
        <v>34</v>
      </c>
      <c r="F80" t="s">
        <v>18</v>
      </c>
      <c r="G80" t="s">
        <v>27</v>
      </c>
      <c r="H80" t="s">
        <v>20</v>
      </c>
      <c r="I80" t="s">
        <v>21</v>
      </c>
      <c r="J80" t="s">
        <v>22</v>
      </c>
      <c r="K80" t="s">
        <v>197</v>
      </c>
      <c r="L80" t="s">
        <v>198</v>
      </c>
    </row>
    <row r="81" spans="1:12">
      <c r="A81">
        <v>100083</v>
      </c>
      <c r="B81" t="s">
        <v>200</v>
      </c>
      <c r="C81" t="s">
        <v>15</v>
      </c>
      <c r="D81" t="s">
        <v>192</v>
      </c>
      <c r="E81" t="s">
        <v>17</v>
      </c>
      <c r="F81" t="s">
        <v>201</v>
      </c>
      <c r="G81" t="s">
        <v>19</v>
      </c>
      <c r="H81" t="s">
        <v>20</v>
      </c>
      <c r="I81" t="s">
        <v>21</v>
      </c>
      <c r="J81" t="s">
        <v>22</v>
      </c>
      <c r="K81" t="s">
        <v>193</v>
      </c>
      <c r="L81" t="s">
        <v>194</v>
      </c>
    </row>
    <row r="82" spans="1:12">
      <c r="A82">
        <v>100084</v>
      </c>
      <c r="B82" t="s">
        <v>202</v>
      </c>
      <c r="C82" t="s">
        <v>15</v>
      </c>
      <c r="D82" t="s">
        <v>192</v>
      </c>
      <c r="E82" t="s">
        <v>17</v>
      </c>
      <c r="F82" t="s">
        <v>201</v>
      </c>
      <c r="G82" t="s">
        <v>27</v>
      </c>
      <c r="H82" t="s">
        <v>139</v>
      </c>
      <c r="I82" t="s">
        <v>21</v>
      </c>
      <c r="J82" t="s">
        <v>22</v>
      </c>
      <c r="K82" t="s">
        <v>203</v>
      </c>
      <c r="L82" t="s">
        <v>194</v>
      </c>
    </row>
    <row r="83" spans="1:12">
      <c r="A83">
        <v>100085</v>
      </c>
      <c r="B83" t="s">
        <v>204</v>
      </c>
      <c r="C83" t="s">
        <v>15</v>
      </c>
      <c r="D83" t="s">
        <v>192</v>
      </c>
      <c r="E83" t="s">
        <v>34</v>
      </c>
      <c r="F83" t="s">
        <v>201</v>
      </c>
      <c r="G83" t="s">
        <v>19</v>
      </c>
      <c r="H83" t="s">
        <v>139</v>
      </c>
      <c r="I83" t="s">
        <v>21</v>
      </c>
      <c r="J83" t="s">
        <v>22</v>
      </c>
      <c r="K83" t="s">
        <v>205</v>
      </c>
      <c r="L83" t="s">
        <v>198</v>
      </c>
    </row>
    <row r="84" spans="1:12">
      <c r="A84">
        <v>100086</v>
      </c>
      <c r="B84" t="s">
        <v>206</v>
      </c>
      <c r="C84" t="s">
        <v>15</v>
      </c>
      <c r="D84" t="s">
        <v>192</v>
      </c>
      <c r="E84" t="s">
        <v>34</v>
      </c>
      <c r="F84" t="s">
        <v>201</v>
      </c>
      <c r="G84" t="s">
        <v>27</v>
      </c>
      <c r="H84" t="s">
        <v>139</v>
      </c>
      <c r="I84" t="s">
        <v>21</v>
      </c>
      <c r="J84" t="s">
        <v>22</v>
      </c>
      <c r="K84" t="s">
        <v>205</v>
      </c>
      <c r="L84" t="s">
        <v>198</v>
      </c>
    </row>
    <row r="85" spans="1:12">
      <c r="A85">
        <v>100087</v>
      </c>
      <c r="B85" t="s">
        <v>207</v>
      </c>
      <c r="C85" t="s">
        <v>93</v>
      </c>
      <c r="D85" t="s">
        <v>208</v>
      </c>
      <c r="E85" t="s">
        <v>17</v>
      </c>
      <c r="F85" t="s">
        <v>84</v>
      </c>
      <c r="G85" t="s">
        <v>19</v>
      </c>
      <c r="H85" t="s">
        <v>95</v>
      </c>
      <c r="I85" t="s">
        <v>96</v>
      </c>
      <c r="J85" t="s">
        <v>22</v>
      </c>
      <c r="K85" t="s">
        <v>46</v>
      </c>
      <c r="L85" t="s">
        <v>47</v>
      </c>
    </row>
    <row r="86" spans="1:12">
      <c r="A86">
        <v>100088</v>
      </c>
      <c r="B86" t="s">
        <v>209</v>
      </c>
      <c r="C86" t="s">
        <v>93</v>
      </c>
      <c r="D86" t="s">
        <v>117</v>
      </c>
      <c r="E86" t="s">
        <v>17</v>
      </c>
      <c r="F86" t="s">
        <v>66</v>
      </c>
      <c r="G86" t="s">
        <v>19</v>
      </c>
      <c r="H86" t="s">
        <v>95</v>
      </c>
      <c r="I86" t="s">
        <v>101</v>
      </c>
      <c r="J86" t="s">
        <v>22</v>
      </c>
      <c r="K86" t="s">
        <v>119</v>
      </c>
      <c r="L86" t="s">
        <v>120</v>
      </c>
    </row>
    <row r="87" spans="1:12">
      <c r="A87">
        <v>100089</v>
      </c>
      <c r="B87" t="s">
        <v>210</v>
      </c>
      <c r="C87" t="s">
        <v>211</v>
      </c>
      <c r="D87" t="s">
        <v>212</v>
      </c>
      <c r="E87" t="s">
        <v>17</v>
      </c>
      <c r="F87" t="s">
        <v>66</v>
      </c>
      <c r="G87" t="s">
        <v>19</v>
      </c>
      <c r="H87" t="s">
        <v>95</v>
      </c>
      <c r="I87" t="s">
        <v>114</v>
      </c>
      <c r="J87" t="s">
        <v>22</v>
      </c>
      <c r="K87" t="s">
        <v>119</v>
      </c>
      <c r="L87" t="s">
        <v>120</v>
      </c>
    </row>
    <row r="88" spans="1:12">
      <c r="A88">
        <v>100090</v>
      </c>
      <c r="B88" t="s">
        <v>213</v>
      </c>
      <c r="C88" t="s">
        <v>15</v>
      </c>
      <c r="D88" t="s">
        <v>16</v>
      </c>
      <c r="E88" t="s">
        <v>17</v>
      </c>
      <c r="F88" t="s">
        <v>214</v>
      </c>
      <c r="G88" t="s">
        <v>27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</row>
    <row r="89" spans="1:12">
      <c r="A89">
        <v>100091</v>
      </c>
      <c r="B89" t="s">
        <v>215</v>
      </c>
      <c r="C89" t="s">
        <v>15</v>
      </c>
      <c r="D89" t="s">
        <v>16</v>
      </c>
      <c r="E89" t="s">
        <v>34</v>
      </c>
      <c r="F89" t="s">
        <v>214</v>
      </c>
      <c r="G89" t="s">
        <v>27</v>
      </c>
      <c r="H89" t="s">
        <v>20</v>
      </c>
      <c r="I89" t="s">
        <v>21</v>
      </c>
      <c r="J89" t="s">
        <v>22</v>
      </c>
      <c r="K89" t="s">
        <v>35</v>
      </c>
      <c r="L89" t="s">
        <v>36</v>
      </c>
    </row>
    <row r="90" spans="1:12">
      <c r="A90">
        <v>100092</v>
      </c>
      <c r="B90" t="s">
        <v>216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217</v>
      </c>
      <c r="J90" t="s">
        <v>22</v>
      </c>
      <c r="K90" t="s">
        <v>23</v>
      </c>
      <c r="L90" t="s">
        <v>24</v>
      </c>
    </row>
    <row r="91" spans="1:12">
      <c r="A91">
        <v>100093</v>
      </c>
      <c r="B91" t="s">
        <v>218</v>
      </c>
      <c r="C91" t="s">
        <v>15</v>
      </c>
      <c r="D91" t="s">
        <v>16</v>
      </c>
      <c r="E91" t="s">
        <v>17</v>
      </c>
      <c r="F91" t="s">
        <v>26</v>
      </c>
      <c r="G91" t="s">
        <v>27</v>
      </c>
      <c r="H91" t="s">
        <v>20</v>
      </c>
      <c r="I91" t="s">
        <v>217</v>
      </c>
      <c r="J91" t="s">
        <v>22</v>
      </c>
      <c r="K91" t="s">
        <v>23</v>
      </c>
      <c r="L91" t="s">
        <v>24</v>
      </c>
    </row>
    <row r="92" spans="1:12">
      <c r="A92">
        <v>100094</v>
      </c>
      <c r="B92" t="s">
        <v>219</v>
      </c>
      <c r="C92" t="s">
        <v>15</v>
      </c>
      <c r="D92" t="s">
        <v>16</v>
      </c>
      <c r="E92" t="s">
        <v>17</v>
      </c>
      <c r="F92" t="s">
        <v>61</v>
      </c>
      <c r="G92" t="s">
        <v>139</v>
      </c>
      <c r="H92" t="s">
        <v>139</v>
      </c>
      <c r="I92" t="s">
        <v>217</v>
      </c>
      <c r="J92" t="s">
        <v>22</v>
      </c>
      <c r="K92" t="s">
        <v>137</v>
      </c>
      <c r="L92" t="s">
        <v>24</v>
      </c>
    </row>
    <row r="93" spans="1:12">
      <c r="A93">
        <v>100095</v>
      </c>
      <c r="B93" t="s">
        <v>220</v>
      </c>
      <c r="C93" t="s">
        <v>15</v>
      </c>
      <c r="D93" t="s">
        <v>29</v>
      </c>
      <c r="E93" t="s">
        <v>17</v>
      </c>
      <c r="F93" t="s">
        <v>155</v>
      </c>
      <c r="G93" t="s">
        <v>27</v>
      </c>
      <c r="H93" t="s">
        <v>20</v>
      </c>
      <c r="I93" t="s">
        <v>21</v>
      </c>
      <c r="J93" t="s">
        <v>22</v>
      </c>
      <c r="K93" t="s">
        <v>23</v>
      </c>
      <c r="L93" t="s">
        <v>24</v>
      </c>
    </row>
    <row r="94" spans="1:12">
      <c r="A94">
        <v>100096</v>
      </c>
      <c r="B94" t="s">
        <v>221</v>
      </c>
      <c r="C94" t="s">
        <v>43</v>
      </c>
      <c r="D94" t="s">
        <v>49</v>
      </c>
      <c r="E94" t="s">
        <v>34</v>
      </c>
      <c r="F94" t="s">
        <v>18</v>
      </c>
      <c r="G94" t="s">
        <v>27</v>
      </c>
      <c r="H94" t="s">
        <v>20</v>
      </c>
      <c r="I94" t="s">
        <v>45</v>
      </c>
      <c r="J94" t="s">
        <v>22</v>
      </c>
      <c r="K94" t="s">
        <v>54</v>
      </c>
      <c r="L94" t="s">
        <v>55</v>
      </c>
    </row>
    <row r="95" spans="1:12">
      <c r="A95">
        <v>100097</v>
      </c>
      <c r="B95" t="s">
        <v>222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t="s">
        <v>24</v>
      </c>
    </row>
    <row r="96" spans="1:12">
      <c r="A96">
        <v>100098</v>
      </c>
      <c r="B96" t="s">
        <v>223</v>
      </c>
      <c r="C96" t="s">
        <v>15</v>
      </c>
      <c r="D96" t="s">
        <v>16</v>
      </c>
      <c r="E96" t="s">
        <v>34</v>
      </c>
      <c r="F96" t="s">
        <v>155</v>
      </c>
      <c r="G96" t="s">
        <v>19</v>
      </c>
      <c r="H96" t="s">
        <v>20</v>
      </c>
      <c r="I96" t="s">
        <v>21</v>
      </c>
      <c r="J96" t="s">
        <v>22</v>
      </c>
      <c r="K96" t="s">
        <v>35</v>
      </c>
      <c r="L96" t="s">
        <v>36</v>
      </c>
    </row>
    <row r="97" spans="1:12">
      <c r="A97">
        <v>100099</v>
      </c>
      <c r="B97" t="s">
        <v>224</v>
      </c>
      <c r="C97" t="s">
        <v>15</v>
      </c>
      <c r="D97" t="s">
        <v>29</v>
      </c>
      <c r="E97" t="s">
        <v>34</v>
      </c>
      <c r="F97" t="s">
        <v>155</v>
      </c>
      <c r="G97" t="s">
        <v>19</v>
      </c>
      <c r="H97" t="s">
        <v>20</v>
      </c>
      <c r="I97" t="s">
        <v>21</v>
      </c>
      <c r="J97" t="s">
        <v>22</v>
      </c>
      <c r="K97" t="s">
        <v>39</v>
      </c>
      <c r="L97" t="s">
        <v>40</v>
      </c>
    </row>
    <row r="98" spans="1:12">
      <c r="A98">
        <v>100100</v>
      </c>
      <c r="B98" t="s">
        <v>225</v>
      </c>
      <c r="C98" t="s">
        <v>15</v>
      </c>
      <c r="D98" t="s">
        <v>29</v>
      </c>
      <c r="E98" t="s">
        <v>34</v>
      </c>
      <c r="F98" t="s">
        <v>155</v>
      </c>
      <c r="G98" t="s">
        <v>27</v>
      </c>
      <c r="H98" t="s">
        <v>20</v>
      </c>
      <c r="I98" t="s">
        <v>21</v>
      </c>
      <c r="J98" t="s">
        <v>22</v>
      </c>
      <c r="K98" t="s">
        <v>39</v>
      </c>
      <c r="L98" t="s">
        <v>40</v>
      </c>
    </row>
    <row r="99" spans="1:12">
      <c r="A99">
        <v>100101</v>
      </c>
      <c r="B99" t="s">
        <v>226</v>
      </c>
      <c r="C99" t="s">
        <v>15</v>
      </c>
      <c r="D99" t="s">
        <v>192</v>
      </c>
      <c r="E99" t="s">
        <v>34</v>
      </c>
      <c r="F99" t="s">
        <v>155</v>
      </c>
      <c r="G99" t="s">
        <v>19</v>
      </c>
      <c r="H99" t="s">
        <v>20</v>
      </c>
      <c r="I99" t="s">
        <v>21</v>
      </c>
      <c r="J99" t="s">
        <v>22</v>
      </c>
      <c r="K99" t="s">
        <v>227</v>
      </c>
      <c r="L99" t="s">
        <v>198</v>
      </c>
    </row>
    <row r="100" spans="1:12">
      <c r="A100">
        <v>100102</v>
      </c>
      <c r="B100" t="s">
        <v>228</v>
      </c>
      <c r="C100" t="s">
        <v>15</v>
      </c>
      <c r="D100" t="s">
        <v>192</v>
      </c>
      <c r="E100" t="s">
        <v>34</v>
      </c>
      <c r="F100" t="s">
        <v>155</v>
      </c>
      <c r="G100" t="s">
        <v>27</v>
      </c>
      <c r="H100" t="s">
        <v>20</v>
      </c>
      <c r="I100" t="s">
        <v>21</v>
      </c>
      <c r="J100" t="s">
        <v>22</v>
      </c>
      <c r="K100" t="s">
        <v>227</v>
      </c>
      <c r="L100" t="s">
        <v>198</v>
      </c>
    </row>
    <row r="101" spans="1:12">
      <c r="A101">
        <v>100103</v>
      </c>
      <c r="B101" t="s">
        <v>229</v>
      </c>
      <c r="C101" t="s">
        <v>15</v>
      </c>
      <c r="D101" t="s">
        <v>192</v>
      </c>
      <c r="E101" t="s">
        <v>17</v>
      </c>
      <c r="F101" t="s">
        <v>155</v>
      </c>
      <c r="G101" t="s">
        <v>19</v>
      </c>
      <c r="H101" t="s">
        <v>20</v>
      </c>
      <c r="I101" t="s">
        <v>21</v>
      </c>
      <c r="J101" t="s">
        <v>22</v>
      </c>
      <c r="K101" t="s">
        <v>193</v>
      </c>
      <c r="L101" t="s">
        <v>194</v>
      </c>
    </row>
    <row r="102" spans="1:12">
      <c r="A102">
        <v>100104</v>
      </c>
      <c r="B102" t="s">
        <v>230</v>
      </c>
      <c r="C102" t="s">
        <v>15</v>
      </c>
      <c r="D102" t="s">
        <v>192</v>
      </c>
      <c r="E102" t="s">
        <v>17</v>
      </c>
      <c r="F102" t="s">
        <v>155</v>
      </c>
      <c r="G102" t="s">
        <v>27</v>
      </c>
      <c r="H102" t="s">
        <v>20</v>
      </c>
      <c r="I102" t="s">
        <v>21</v>
      </c>
      <c r="J102" t="s">
        <v>22</v>
      </c>
      <c r="K102" t="s">
        <v>193</v>
      </c>
      <c r="L102" t="s">
        <v>194</v>
      </c>
    </row>
    <row r="103" spans="1:12">
      <c r="A103">
        <v>100105</v>
      </c>
      <c r="B103" t="s">
        <v>163</v>
      </c>
      <c r="C103" t="s">
        <v>64</v>
      </c>
      <c r="D103" t="s">
        <v>65</v>
      </c>
      <c r="E103" t="s">
        <v>17</v>
      </c>
      <c r="F103" t="s">
        <v>66</v>
      </c>
      <c r="G103" t="s">
        <v>19</v>
      </c>
      <c r="H103" t="s">
        <v>20</v>
      </c>
      <c r="I103" t="s">
        <v>182</v>
      </c>
      <c r="J103" t="s">
        <v>22</v>
      </c>
      <c r="K103" t="s">
        <v>164</v>
      </c>
      <c r="L103" t="s">
        <v>68</v>
      </c>
    </row>
    <row r="104" spans="1:12">
      <c r="A104">
        <v>100106</v>
      </c>
      <c r="B104" t="s">
        <v>231</v>
      </c>
      <c r="C104" t="s">
        <v>15</v>
      </c>
      <c r="D104" t="s">
        <v>192</v>
      </c>
      <c r="E104" t="s">
        <v>34</v>
      </c>
      <c r="F104" t="s">
        <v>232</v>
      </c>
      <c r="G104" t="s">
        <v>19</v>
      </c>
      <c r="H104" t="s">
        <v>20</v>
      </c>
      <c r="I104" t="s">
        <v>21</v>
      </c>
      <c r="J104" t="s">
        <v>22</v>
      </c>
      <c r="K104" t="s">
        <v>227</v>
      </c>
      <c r="L104" t="s">
        <v>198</v>
      </c>
    </row>
    <row r="105" spans="1:12">
      <c r="A105">
        <v>100107</v>
      </c>
      <c r="B105" t="s">
        <v>233</v>
      </c>
      <c r="C105" t="s">
        <v>15</v>
      </c>
      <c r="D105" t="s">
        <v>192</v>
      </c>
      <c r="E105" t="s">
        <v>34</v>
      </c>
      <c r="F105" t="s">
        <v>232</v>
      </c>
      <c r="G105" t="s">
        <v>19</v>
      </c>
      <c r="H105" t="s">
        <v>20</v>
      </c>
      <c r="I105" t="s">
        <v>21</v>
      </c>
      <c r="J105" t="s">
        <v>22</v>
      </c>
      <c r="K105" t="s">
        <v>227</v>
      </c>
      <c r="L105" t="s">
        <v>198</v>
      </c>
    </row>
    <row r="106" spans="1:12">
      <c r="A106">
        <v>100108</v>
      </c>
      <c r="B106" t="s">
        <v>234</v>
      </c>
      <c r="C106" t="s">
        <v>15</v>
      </c>
      <c r="D106" t="s">
        <v>65</v>
      </c>
      <c r="E106" t="s">
        <v>17</v>
      </c>
      <c r="F106" t="s">
        <v>18</v>
      </c>
      <c r="G106" t="s">
        <v>19</v>
      </c>
      <c r="H106" t="s">
        <v>95</v>
      </c>
      <c r="I106" t="s">
        <v>235</v>
      </c>
      <c r="J106" t="s">
        <v>22</v>
      </c>
    </row>
    <row r="107" spans="1:12">
      <c r="A107">
        <v>100109</v>
      </c>
      <c r="B107" t="s">
        <v>236</v>
      </c>
      <c r="C107" t="s">
        <v>43</v>
      </c>
      <c r="D107" t="s">
        <v>65</v>
      </c>
      <c r="E107" t="s">
        <v>17</v>
      </c>
      <c r="F107" t="s">
        <v>18</v>
      </c>
      <c r="G107" t="s">
        <v>19</v>
      </c>
      <c r="H107" t="s">
        <v>95</v>
      </c>
      <c r="I107" t="s">
        <v>235</v>
      </c>
      <c r="J107" t="s">
        <v>22</v>
      </c>
    </row>
    <row r="108" spans="1:12">
      <c r="A108">
        <v>100110</v>
      </c>
      <c r="B108" t="s">
        <v>237</v>
      </c>
    </row>
    <row r="109" spans="1:12">
      <c r="A109">
        <v>100111</v>
      </c>
      <c r="B109" t="s">
        <v>238</v>
      </c>
    </row>
    <row r="110" spans="1:12">
      <c r="A110">
        <v>100112</v>
      </c>
      <c r="B110" t="s">
        <v>239</v>
      </c>
      <c r="C110" t="s">
        <v>15</v>
      </c>
      <c r="D110" t="s">
        <v>65</v>
      </c>
      <c r="E110" t="s">
        <v>17</v>
      </c>
      <c r="F110" t="s">
        <v>66</v>
      </c>
      <c r="G110" t="s">
        <v>19</v>
      </c>
      <c r="H110" t="s">
        <v>95</v>
      </c>
      <c r="I110" t="s">
        <v>114</v>
      </c>
      <c r="J110" t="s">
        <v>22</v>
      </c>
      <c r="K110" t="s">
        <v>23</v>
      </c>
      <c r="L110" t="s">
        <v>24</v>
      </c>
    </row>
    <row r="111" spans="1:12">
      <c r="A111">
        <v>100113</v>
      </c>
      <c r="B111" t="s">
        <v>240</v>
      </c>
      <c r="C111" t="s">
        <v>241</v>
      </c>
      <c r="D111" t="s">
        <v>65</v>
      </c>
      <c r="E111" t="s">
        <v>17</v>
      </c>
      <c r="F111" t="s">
        <v>66</v>
      </c>
      <c r="G111" t="s">
        <v>19</v>
      </c>
      <c r="H111" t="s">
        <v>95</v>
      </c>
      <c r="I111" t="s">
        <v>114</v>
      </c>
      <c r="J111" t="s">
        <v>22</v>
      </c>
    </row>
    <row r="112" spans="1:12">
      <c r="A112">
        <v>100114</v>
      </c>
      <c r="B112" t="s">
        <v>242</v>
      </c>
      <c r="C112" t="s">
        <v>116</v>
      </c>
      <c r="D112" t="s">
        <v>65</v>
      </c>
      <c r="E112" t="s">
        <v>17</v>
      </c>
      <c r="F112" t="s">
        <v>66</v>
      </c>
      <c r="G112" t="s">
        <v>243</v>
      </c>
      <c r="H112" t="s">
        <v>244</v>
      </c>
      <c r="I112" t="s">
        <v>114</v>
      </c>
      <c r="J112" t="s">
        <v>22</v>
      </c>
      <c r="L112" t="s">
        <v>120</v>
      </c>
    </row>
    <row r="113" spans="1:12">
      <c r="A113">
        <v>100115</v>
      </c>
      <c r="B113" t="s">
        <v>245</v>
      </c>
      <c r="C113" t="s">
        <v>15</v>
      </c>
      <c r="D113" t="s">
        <v>65</v>
      </c>
      <c r="E113" t="s">
        <v>17</v>
      </c>
      <c r="F113" t="s">
        <v>66</v>
      </c>
      <c r="G113" t="s">
        <v>243</v>
      </c>
      <c r="H113" t="s">
        <v>244</v>
      </c>
      <c r="I113" t="s">
        <v>114</v>
      </c>
      <c r="J113" t="s">
        <v>22</v>
      </c>
      <c r="L113" t="s">
        <v>97</v>
      </c>
    </row>
    <row r="114" spans="1:12">
      <c r="A114">
        <v>100116</v>
      </c>
      <c r="B114" t="s">
        <v>246</v>
      </c>
      <c r="C114" t="s">
        <v>247</v>
      </c>
      <c r="D114" t="s">
        <v>65</v>
      </c>
      <c r="E114" t="s">
        <v>17</v>
      </c>
      <c r="F114" t="s">
        <v>248</v>
      </c>
      <c r="G114" t="s">
        <v>19</v>
      </c>
      <c r="H114" t="s">
        <v>244</v>
      </c>
      <c r="I114" t="s">
        <v>249</v>
      </c>
    </row>
    <row r="115" spans="1:12">
      <c r="A115">
        <v>100117</v>
      </c>
      <c r="B115" t="s">
        <v>250</v>
      </c>
      <c r="C115" t="s">
        <v>15</v>
      </c>
      <c r="D115" t="s">
        <v>29</v>
      </c>
      <c r="E115" t="s">
        <v>34</v>
      </c>
      <c r="F115" t="s">
        <v>18</v>
      </c>
      <c r="G115" t="s">
        <v>19</v>
      </c>
      <c r="H115" t="s">
        <v>20</v>
      </c>
      <c r="I115" t="s">
        <v>189</v>
      </c>
      <c r="J115" t="s">
        <v>22</v>
      </c>
      <c r="K115" t="s">
        <v>39</v>
      </c>
      <c r="L115" t="s">
        <v>40</v>
      </c>
    </row>
    <row r="116" spans="1:12">
      <c r="A116">
        <v>100118</v>
      </c>
      <c r="B116" t="s">
        <v>251</v>
      </c>
      <c r="C116" t="s">
        <v>64</v>
      </c>
      <c r="D116" t="s">
        <v>65</v>
      </c>
      <c r="E116" t="s">
        <v>34</v>
      </c>
      <c r="F116" t="s">
        <v>66</v>
      </c>
      <c r="G116" t="s">
        <v>19</v>
      </c>
      <c r="H116" t="s">
        <v>133</v>
      </c>
      <c r="I116" t="s">
        <v>182</v>
      </c>
      <c r="J116" t="s">
        <v>22</v>
      </c>
      <c r="K116" t="s">
        <v>179</v>
      </c>
      <c r="L116" t="s">
        <v>180</v>
      </c>
    </row>
    <row r="117" spans="1:12">
      <c r="A117">
        <v>100130</v>
      </c>
      <c r="B117" t="s">
        <v>252</v>
      </c>
      <c r="C117" t="s">
        <v>43</v>
      </c>
      <c r="D117" t="s">
        <v>65</v>
      </c>
      <c r="E117" t="s">
        <v>34</v>
      </c>
      <c r="F117" t="s">
        <v>66</v>
      </c>
      <c r="G117" t="s">
        <v>19</v>
      </c>
      <c r="H117" t="s">
        <v>20</v>
      </c>
      <c r="I117" t="s">
        <v>45</v>
      </c>
      <c r="J117" t="s">
        <v>22</v>
      </c>
    </row>
    <row r="118" spans="1:12">
      <c r="A118">
        <v>200001</v>
      </c>
      <c r="B118" t="s">
        <v>253</v>
      </c>
      <c r="C118" t="s">
        <v>15</v>
      </c>
      <c r="D118" t="s">
        <v>16</v>
      </c>
      <c r="E118" t="s">
        <v>17</v>
      </c>
      <c r="F118" t="s">
        <v>201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</row>
    <row r="119" spans="1:12">
      <c r="A119">
        <v>200002</v>
      </c>
      <c r="B119" t="s">
        <v>254</v>
      </c>
      <c r="C119" t="s">
        <v>15</v>
      </c>
      <c r="D119" t="s">
        <v>16</v>
      </c>
      <c r="E119" t="s">
        <v>17</v>
      </c>
      <c r="F119" t="s">
        <v>201</v>
      </c>
      <c r="G119" t="s">
        <v>27</v>
      </c>
      <c r="H119" t="s">
        <v>139</v>
      </c>
      <c r="I119" t="s">
        <v>21</v>
      </c>
      <c r="J119" t="s">
        <v>22</v>
      </c>
      <c r="K119" t="s">
        <v>137</v>
      </c>
      <c r="L119" t="s">
        <v>24</v>
      </c>
    </row>
    <row r="120" spans="1:12">
      <c r="A120">
        <v>200003</v>
      </c>
      <c r="B120" t="s">
        <v>255</v>
      </c>
      <c r="C120" t="s">
        <v>15</v>
      </c>
      <c r="D120" t="s">
        <v>16</v>
      </c>
      <c r="E120" t="s">
        <v>17</v>
      </c>
      <c r="F120" t="s">
        <v>201</v>
      </c>
      <c r="G120" t="s">
        <v>139</v>
      </c>
      <c r="H120" t="s">
        <v>139</v>
      </c>
      <c r="I120" t="s">
        <v>21</v>
      </c>
      <c r="J120" t="s">
        <v>22</v>
      </c>
      <c r="K120" t="s">
        <v>137</v>
      </c>
      <c r="L120" t="s">
        <v>24</v>
      </c>
    </row>
    <row r="121" spans="1:12">
      <c r="A121">
        <v>100122</v>
      </c>
      <c r="B121" t="s">
        <v>256</v>
      </c>
      <c r="C121" t="s">
        <v>247</v>
      </c>
      <c r="D121" t="s">
        <v>65</v>
      </c>
      <c r="E121" t="s">
        <v>17</v>
      </c>
      <c r="F121" t="s">
        <v>66</v>
      </c>
      <c r="G121" t="s">
        <v>27</v>
      </c>
      <c r="H121" t="s">
        <v>20</v>
      </c>
      <c r="I121" t="s">
        <v>257</v>
      </c>
      <c r="J121" t="s">
        <v>22</v>
      </c>
    </row>
    <row r="122" spans="1:12">
      <c r="A122">
        <v>100156</v>
      </c>
      <c r="B122" t="s">
        <v>258</v>
      </c>
      <c r="C122" t="s">
        <v>259</v>
      </c>
      <c r="D122" t="s">
        <v>65</v>
      </c>
      <c r="E122" t="s">
        <v>17</v>
      </c>
      <c r="F122" t="s">
        <v>66</v>
      </c>
      <c r="G122" t="s">
        <v>19</v>
      </c>
      <c r="H122" t="s">
        <v>95</v>
      </c>
      <c r="I122" t="s">
        <v>168</v>
      </c>
      <c r="J122" t="s">
        <v>22</v>
      </c>
      <c r="K122" t="s">
        <v>260</v>
      </c>
      <c r="L122" t="s">
        <v>261</v>
      </c>
    </row>
    <row r="123" spans="1:12">
      <c r="A123">
        <v>100157</v>
      </c>
      <c r="B123" t="s">
        <v>262</v>
      </c>
      <c r="C123" t="s">
        <v>15</v>
      </c>
      <c r="D123" t="s">
        <v>65</v>
      </c>
      <c r="E123" t="s">
        <v>17</v>
      </c>
      <c r="F123" t="s">
        <v>66</v>
      </c>
      <c r="G123" t="s">
        <v>19</v>
      </c>
      <c r="H123" t="s">
        <v>95</v>
      </c>
      <c r="I123" t="s">
        <v>168</v>
      </c>
      <c r="J123" t="s">
        <v>22</v>
      </c>
      <c r="K123" t="s">
        <v>263</v>
      </c>
      <c r="L123" t="s">
        <v>97</v>
      </c>
    </row>
    <row r="124" spans="1:12">
      <c r="A124">
        <v>200004</v>
      </c>
      <c r="B124" t="s">
        <v>264</v>
      </c>
      <c r="C124" t="s">
        <v>15</v>
      </c>
      <c r="D124" t="s">
        <v>16</v>
      </c>
      <c r="E124" t="s">
        <v>17</v>
      </c>
      <c r="F124" t="s">
        <v>26</v>
      </c>
      <c r="G124" t="s">
        <v>139</v>
      </c>
      <c r="H124" t="s">
        <v>139</v>
      </c>
      <c r="I124" t="s">
        <v>21</v>
      </c>
      <c r="J124" t="s">
        <v>22</v>
      </c>
      <c r="K124" t="s">
        <v>137</v>
      </c>
      <c r="L124" t="s">
        <v>24</v>
      </c>
    </row>
    <row r="125" spans="1:12">
      <c r="A125">
        <v>200005</v>
      </c>
      <c r="B125" t="s">
        <v>265</v>
      </c>
      <c r="C125" t="s">
        <v>15</v>
      </c>
      <c r="D125" t="s">
        <v>29</v>
      </c>
      <c r="E125" t="s">
        <v>17</v>
      </c>
      <c r="F125" t="s">
        <v>201</v>
      </c>
      <c r="G125" t="s">
        <v>19</v>
      </c>
      <c r="H125" t="s">
        <v>139</v>
      </c>
      <c r="I125" t="s">
        <v>21</v>
      </c>
      <c r="J125" t="s">
        <v>22</v>
      </c>
      <c r="K125" t="s">
        <v>266</v>
      </c>
      <c r="L125" t="s">
        <v>31</v>
      </c>
    </row>
    <row r="126" spans="1:12">
      <c r="A126">
        <v>200006</v>
      </c>
      <c r="B126" t="s">
        <v>267</v>
      </c>
      <c r="C126" t="s">
        <v>15</v>
      </c>
      <c r="D126" t="s">
        <v>29</v>
      </c>
      <c r="E126" t="s">
        <v>17</v>
      </c>
      <c r="F126" t="s">
        <v>201</v>
      </c>
      <c r="G126" t="s">
        <v>27</v>
      </c>
      <c r="H126" t="s">
        <v>139</v>
      </c>
      <c r="I126" t="s">
        <v>21</v>
      </c>
      <c r="J126" t="s">
        <v>22</v>
      </c>
      <c r="K126" t="s">
        <v>266</v>
      </c>
      <c r="L126" t="s">
        <v>31</v>
      </c>
    </row>
    <row r="127" spans="1:12">
      <c r="A127">
        <v>200007</v>
      </c>
      <c r="B127" t="s">
        <v>268</v>
      </c>
      <c r="C127" t="s">
        <v>15</v>
      </c>
      <c r="D127" t="s">
        <v>29</v>
      </c>
      <c r="E127" t="s">
        <v>17</v>
      </c>
      <c r="F127" t="s">
        <v>201</v>
      </c>
      <c r="G127" t="s">
        <v>139</v>
      </c>
      <c r="H127" t="s">
        <v>139</v>
      </c>
      <c r="I127" t="s">
        <v>21</v>
      </c>
      <c r="J127" t="s">
        <v>22</v>
      </c>
      <c r="K127" t="s">
        <v>266</v>
      </c>
      <c r="L127" t="s">
        <v>31</v>
      </c>
    </row>
    <row r="128" spans="1:12">
      <c r="A128">
        <v>200008</v>
      </c>
      <c r="B128" t="s">
        <v>269</v>
      </c>
      <c r="C128" t="s">
        <v>15</v>
      </c>
      <c r="D128" t="s">
        <v>29</v>
      </c>
      <c r="E128" t="s">
        <v>17</v>
      </c>
      <c r="F128" t="s">
        <v>26</v>
      </c>
      <c r="G128" t="s">
        <v>139</v>
      </c>
      <c r="H128" t="s">
        <v>139</v>
      </c>
      <c r="I128" t="s">
        <v>21</v>
      </c>
      <c r="J128" t="s">
        <v>22</v>
      </c>
      <c r="K128" t="s">
        <v>266</v>
      </c>
      <c r="L128" t="s">
        <v>31</v>
      </c>
    </row>
    <row r="129" spans="1:12">
      <c r="A129">
        <v>200009</v>
      </c>
      <c r="B129" t="s">
        <v>270</v>
      </c>
      <c r="C129" t="s">
        <v>15</v>
      </c>
      <c r="D129" t="s">
        <v>16</v>
      </c>
      <c r="E129" t="s">
        <v>34</v>
      </c>
      <c r="F129" t="s">
        <v>201</v>
      </c>
      <c r="G129" t="s">
        <v>19</v>
      </c>
      <c r="H129" t="s">
        <v>139</v>
      </c>
      <c r="I129" t="s">
        <v>21</v>
      </c>
      <c r="J129" t="s">
        <v>22</v>
      </c>
      <c r="K129" t="s">
        <v>142</v>
      </c>
      <c r="L129" t="s">
        <v>36</v>
      </c>
    </row>
    <row r="130" spans="1:12">
      <c r="A130">
        <v>200010</v>
      </c>
      <c r="B130" t="s">
        <v>271</v>
      </c>
      <c r="C130" t="s">
        <v>15</v>
      </c>
      <c r="D130" t="s">
        <v>16</v>
      </c>
      <c r="E130" t="s">
        <v>34</v>
      </c>
      <c r="F130" t="s">
        <v>201</v>
      </c>
      <c r="G130" t="s">
        <v>27</v>
      </c>
      <c r="H130" t="s">
        <v>139</v>
      </c>
      <c r="I130" t="s">
        <v>21</v>
      </c>
      <c r="J130" t="s">
        <v>22</v>
      </c>
      <c r="K130" t="s">
        <v>142</v>
      </c>
      <c r="L130" t="s">
        <v>36</v>
      </c>
    </row>
    <row r="131" spans="1:12">
      <c r="A131">
        <v>200011</v>
      </c>
      <c r="B131" t="s">
        <v>272</v>
      </c>
      <c r="C131" t="s">
        <v>15</v>
      </c>
      <c r="D131" t="s">
        <v>16</v>
      </c>
      <c r="E131" t="s">
        <v>34</v>
      </c>
      <c r="F131" t="s">
        <v>201</v>
      </c>
      <c r="G131" t="s">
        <v>139</v>
      </c>
      <c r="H131" t="s">
        <v>139</v>
      </c>
      <c r="I131" t="s">
        <v>21</v>
      </c>
      <c r="J131" t="s">
        <v>22</v>
      </c>
      <c r="K131" t="s">
        <v>142</v>
      </c>
      <c r="L131" t="s">
        <v>36</v>
      </c>
    </row>
    <row r="132" spans="1:12">
      <c r="A132">
        <v>100133</v>
      </c>
      <c r="B132" t="s">
        <v>273</v>
      </c>
      <c r="C132" t="s">
        <v>43</v>
      </c>
      <c r="D132" t="s">
        <v>89</v>
      </c>
      <c r="E132" t="s">
        <v>17</v>
      </c>
      <c r="F132" t="s">
        <v>18</v>
      </c>
      <c r="G132" t="s">
        <v>274</v>
      </c>
      <c r="H132" t="s">
        <v>20</v>
      </c>
      <c r="I132" t="s">
        <v>189</v>
      </c>
      <c r="J132" t="s">
        <v>22</v>
      </c>
    </row>
    <row r="133" spans="1:12">
      <c r="A133">
        <v>200012</v>
      </c>
      <c r="B133" t="s">
        <v>275</v>
      </c>
      <c r="C133" t="s">
        <v>15</v>
      </c>
      <c r="D133" t="s">
        <v>16</v>
      </c>
      <c r="E133" t="s">
        <v>34</v>
      </c>
      <c r="F133" t="s">
        <v>18</v>
      </c>
      <c r="G133" t="s">
        <v>139</v>
      </c>
      <c r="H133" t="s">
        <v>139</v>
      </c>
      <c r="I133" t="s">
        <v>21</v>
      </c>
      <c r="J133" t="s">
        <v>22</v>
      </c>
      <c r="K133" t="s">
        <v>142</v>
      </c>
      <c r="L133" t="s">
        <v>36</v>
      </c>
    </row>
    <row r="134" spans="1:12">
      <c r="A134">
        <v>200013</v>
      </c>
      <c r="B134" t="s">
        <v>276</v>
      </c>
      <c r="C134" t="s">
        <v>15</v>
      </c>
      <c r="D134" t="s">
        <v>29</v>
      </c>
      <c r="E134" t="s">
        <v>34</v>
      </c>
      <c r="F134" t="s">
        <v>201</v>
      </c>
      <c r="G134" t="s">
        <v>19</v>
      </c>
      <c r="H134" t="s">
        <v>139</v>
      </c>
      <c r="I134" t="s">
        <v>21</v>
      </c>
      <c r="J134" t="s">
        <v>22</v>
      </c>
      <c r="K134" t="s">
        <v>277</v>
      </c>
      <c r="L134" t="s">
        <v>40</v>
      </c>
    </row>
    <row r="135" spans="1:12">
      <c r="A135">
        <v>200014</v>
      </c>
      <c r="B135" t="s">
        <v>278</v>
      </c>
      <c r="C135" t="s">
        <v>15</v>
      </c>
      <c r="D135" t="s">
        <v>29</v>
      </c>
      <c r="E135" t="s">
        <v>34</v>
      </c>
      <c r="F135" t="s">
        <v>201</v>
      </c>
      <c r="G135" t="s">
        <v>27</v>
      </c>
      <c r="H135" t="s">
        <v>139</v>
      </c>
      <c r="I135" t="s">
        <v>21</v>
      </c>
      <c r="J135" t="s">
        <v>22</v>
      </c>
      <c r="K135" t="s">
        <v>277</v>
      </c>
      <c r="L135" t="s">
        <v>40</v>
      </c>
    </row>
    <row r="136" spans="1:12">
      <c r="A136">
        <v>200015</v>
      </c>
      <c r="B136" t="s">
        <v>279</v>
      </c>
      <c r="C136" t="s">
        <v>15</v>
      </c>
      <c r="D136" t="s">
        <v>29</v>
      </c>
      <c r="E136" t="s">
        <v>34</v>
      </c>
      <c r="F136" t="s">
        <v>61</v>
      </c>
      <c r="G136" t="s">
        <v>139</v>
      </c>
      <c r="H136" t="s">
        <v>139</v>
      </c>
      <c r="I136" t="s">
        <v>21</v>
      </c>
      <c r="J136" t="s">
        <v>22</v>
      </c>
      <c r="K136" t="s">
        <v>277</v>
      </c>
      <c r="L136" t="s">
        <v>40</v>
      </c>
    </row>
    <row r="137" spans="1:12">
      <c r="A137">
        <v>200016</v>
      </c>
      <c r="B137" t="s">
        <v>280</v>
      </c>
      <c r="C137" t="s">
        <v>15</v>
      </c>
      <c r="D137" t="s">
        <v>29</v>
      </c>
      <c r="E137" t="s">
        <v>34</v>
      </c>
      <c r="F137" t="s">
        <v>26</v>
      </c>
      <c r="G137" t="s">
        <v>139</v>
      </c>
      <c r="H137" t="s">
        <v>139</v>
      </c>
      <c r="I137" t="s">
        <v>21</v>
      </c>
      <c r="J137" t="s">
        <v>22</v>
      </c>
      <c r="K137" t="s">
        <v>277</v>
      </c>
      <c r="L137" t="s">
        <v>40</v>
      </c>
    </row>
    <row r="138" spans="1:12">
      <c r="A138">
        <v>200017</v>
      </c>
      <c r="B138" t="s">
        <v>281</v>
      </c>
      <c r="C138" t="s">
        <v>43</v>
      </c>
      <c r="D138" t="s">
        <v>44</v>
      </c>
      <c r="E138" t="s">
        <v>17</v>
      </c>
      <c r="F138" t="s">
        <v>66</v>
      </c>
      <c r="G138" t="s">
        <v>139</v>
      </c>
      <c r="H138" t="s">
        <v>139</v>
      </c>
      <c r="I138" t="s">
        <v>189</v>
      </c>
      <c r="J138" t="s">
        <v>22</v>
      </c>
      <c r="K138" t="s">
        <v>282</v>
      </c>
      <c r="L138" t="s">
        <v>47</v>
      </c>
    </row>
    <row r="139" spans="1:12">
      <c r="A139">
        <v>200018</v>
      </c>
      <c r="B139" t="s">
        <v>283</v>
      </c>
      <c r="C139" t="s">
        <v>43</v>
      </c>
      <c r="D139" t="s">
        <v>44</v>
      </c>
      <c r="E139" t="s">
        <v>34</v>
      </c>
      <c r="F139" t="s">
        <v>66</v>
      </c>
      <c r="G139" t="s">
        <v>139</v>
      </c>
      <c r="H139" t="s">
        <v>139</v>
      </c>
      <c r="I139" t="s">
        <v>189</v>
      </c>
      <c r="J139" t="s">
        <v>22</v>
      </c>
      <c r="K139" t="s">
        <v>284</v>
      </c>
      <c r="L139" t="s">
        <v>47</v>
      </c>
    </row>
    <row r="140" spans="1:12">
      <c r="A140">
        <v>200019</v>
      </c>
      <c r="B140" t="s">
        <v>285</v>
      </c>
      <c r="C140" t="s">
        <v>43</v>
      </c>
      <c r="D140" t="s">
        <v>49</v>
      </c>
      <c r="E140" t="s">
        <v>17</v>
      </c>
      <c r="F140" t="s">
        <v>66</v>
      </c>
      <c r="G140" t="s">
        <v>139</v>
      </c>
      <c r="H140" t="s">
        <v>139</v>
      </c>
      <c r="I140" t="s">
        <v>189</v>
      </c>
      <c r="J140" t="s">
        <v>22</v>
      </c>
      <c r="K140" t="s">
        <v>286</v>
      </c>
      <c r="L140" t="s">
        <v>50</v>
      </c>
    </row>
    <row r="141" spans="1:12">
      <c r="A141">
        <v>200020</v>
      </c>
      <c r="B141" t="s">
        <v>287</v>
      </c>
      <c r="C141" t="s">
        <v>43</v>
      </c>
      <c r="D141" t="s">
        <v>49</v>
      </c>
      <c r="E141" t="s">
        <v>34</v>
      </c>
      <c r="F141" t="s">
        <v>66</v>
      </c>
      <c r="G141" t="s">
        <v>139</v>
      </c>
      <c r="H141" t="s">
        <v>139</v>
      </c>
      <c r="I141" t="s">
        <v>189</v>
      </c>
      <c r="J141" t="s">
        <v>22</v>
      </c>
      <c r="K141" t="s">
        <v>288</v>
      </c>
      <c r="L141" t="s">
        <v>55</v>
      </c>
    </row>
    <row r="142" spans="1:12">
      <c r="A142">
        <v>200021</v>
      </c>
      <c r="B142" t="s">
        <v>289</v>
      </c>
      <c r="C142" t="s">
        <v>43</v>
      </c>
      <c r="D142" t="s">
        <v>89</v>
      </c>
      <c r="E142" t="s">
        <v>17</v>
      </c>
      <c r="F142" t="s">
        <v>66</v>
      </c>
      <c r="G142" t="s">
        <v>139</v>
      </c>
      <c r="H142" t="s">
        <v>139</v>
      </c>
      <c r="I142" t="s">
        <v>189</v>
      </c>
      <c r="J142" t="s">
        <v>22</v>
      </c>
      <c r="K142" t="s">
        <v>290</v>
      </c>
      <c r="L142" t="s">
        <v>174</v>
      </c>
    </row>
    <row r="143" spans="1:12">
      <c r="A143">
        <v>200022</v>
      </c>
      <c r="B143" t="s">
        <v>291</v>
      </c>
      <c r="C143" t="s">
        <v>43</v>
      </c>
      <c r="D143" t="s">
        <v>89</v>
      </c>
      <c r="E143" t="s">
        <v>34</v>
      </c>
      <c r="F143" t="s">
        <v>66</v>
      </c>
      <c r="G143" t="s">
        <v>139</v>
      </c>
      <c r="H143" t="s">
        <v>139</v>
      </c>
      <c r="I143" t="s">
        <v>189</v>
      </c>
      <c r="J143" t="s">
        <v>22</v>
      </c>
      <c r="K143" t="s">
        <v>292</v>
      </c>
      <c r="L143" t="s">
        <v>91</v>
      </c>
    </row>
    <row r="144" spans="1:12">
      <c r="A144">
        <v>200023</v>
      </c>
      <c r="B144" t="s">
        <v>293</v>
      </c>
      <c r="C144" t="s">
        <v>43</v>
      </c>
      <c r="D144" t="s">
        <v>44</v>
      </c>
      <c r="E144" t="s">
        <v>17</v>
      </c>
      <c r="F144" t="s">
        <v>66</v>
      </c>
      <c r="G144" t="s">
        <v>19</v>
      </c>
      <c r="H144" t="s">
        <v>139</v>
      </c>
      <c r="I144" t="s">
        <v>189</v>
      </c>
      <c r="J144" t="s">
        <v>22</v>
      </c>
      <c r="K144" t="s">
        <v>46</v>
      </c>
      <c r="L144" t="s">
        <v>47</v>
      </c>
    </row>
    <row r="145" spans="1:12">
      <c r="A145">
        <v>200024</v>
      </c>
      <c r="B145" t="s">
        <v>294</v>
      </c>
      <c r="C145" t="s">
        <v>43</v>
      </c>
      <c r="D145" t="s">
        <v>44</v>
      </c>
      <c r="E145" t="s">
        <v>34</v>
      </c>
      <c r="F145" t="s">
        <v>66</v>
      </c>
      <c r="G145" t="s">
        <v>19</v>
      </c>
      <c r="H145" t="s">
        <v>139</v>
      </c>
      <c r="I145" t="s">
        <v>189</v>
      </c>
      <c r="J145" t="s">
        <v>22</v>
      </c>
      <c r="K145" t="s">
        <v>186</v>
      </c>
      <c r="L145" t="s">
        <v>52</v>
      </c>
    </row>
    <row r="146" spans="1:12">
      <c r="A146">
        <v>200025</v>
      </c>
      <c r="B146" t="s">
        <v>295</v>
      </c>
      <c r="C146" t="s">
        <v>43</v>
      </c>
      <c r="D146" t="s">
        <v>49</v>
      </c>
      <c r="E146" t="s">
        <v>17</v>
      </c>
      <c r="F146" t="s">
        <v>66</v>
      </c>
      <c r="G146" t="s">
        <v>19</v>
      </c>
      <c r="H146" t="s">
        <v>139</v>
      </c>
      <c r="I146" t="s">
        <v>189</v>
      </c>
      <c r="J146" t="s">
        <v>22</v>
      </c>
      <c r="K146" t="s">
        <v>286</v>
      </c>
      <c r="L146" t="s">
        <v>50</v>
      </c>
    </row>
    <row r="147" spans="1:12">
      <c r="A147">
        <v>200026</v>
      </c>
      <c r="B147" t="s">
        <v>296</v>
      </c>
      <c r="C147" t="s">
        <v>43</v>
      </c>
      <c r="D147" t="s">
        <v>49</v>
      </c>
      <c r="E147" t="s">
        <v>34</v>
      </c>
      <c r="F147" t="s">
        <v>66</v>
      </c>
      <c r="G147" t="s">
        <v>19</v>
      </c>
      <c r="H147" t="s">
        <v>139</v>
      </c>
      <c r="I147" t="s">
        <v>189</v>
      </c>
      <c r="J147" t="s">
        <v>22</v>
      </c>
      <c r="K147" t="s">
        <v>288</v>
      </c>
      <c r="L147" t="s">
        <v>55</v>
      </c>
    </row>
    <row r="148" spans="1:12">
      <c r="A148">
        <v>200027</v>
      </c>
      <c r="B148" t="s">
        <v>297</v>
      </c>
      <c r="C148" t="s">
        <v>43</v>
      </c>
      <c r="D148" t="s">
        <v>89</v>
      </c>
      <c r="E148" t="s">
        <v>17</v>
      </c>
      <c r="F148" t="s">
        <v>66</v>
      </c>
      <c r="G148" t="s">
        <v>19</v>
      </c>
      <c r="H148" t="s">
        <v>139</v>
      </c>
      <c r="I148" t="s">
        <v>189</v>
      </c>
      <c r="J148" t="s">
        <v>22</v>
      </c>
      <c r="K148" t="s">
        <v>173</v>
      </c>
      <c r="L148" t="s">
        <v>174</v>
      </c>
    </row>
    <row r="149" spans="1:12">
      <c r="A149">
        <v>200029</v>
      </c>
      <c r="B149" t="s">
        <v>298</v>
      </c>
      <c r="C149" t="s">
        <v>43</v>
      </c>
      <c r="D149" t="s">
        <v>44</v>
      </c>
      <c r="E149" t="s">
        <v>17</v>
      </c>
      <c r="F149" t="s">
        <v>66</v>
      </c>
      <c r="G149" t="s">
        <v>243</v>
      </c>
      <c r="H149" t="s">
        <v>139</v>
      </c>
      <c r="I149" t="s">
        <v>299</v>
      </c>
      <c r="J149" t="s">
        <v>300</v>
      </c>
      <c r="K149" t="s">
        <v>282</v>
      </c>
      <c r="L149" t="s">
        <v>47</v>
      </c>
    </row>
    <row r="150" spans="1:12">
      <c r="A150">
        <v>200030</v>
      </c>
      <c r="B150" t="s">
        <v>301</v>
      </c>
      <c r="C150" t="s">
        <v>43</v>
      </c>
      <c r="D150" t="s">
        <v>89</v>
      </c>
      <c r="E150" t="s">
        <v>17</v>
      </c>
      <c r="F150" t="s">
        <v>66</v>
      </c>
      <c r="G150" t="s">
        <v>243</v>
      </c>
      <c r="H150" t="s">
        <v>139</v>
      </c>
      <c r="I150" t="s">
        <v>299</v>
      </c>
      <c r="J150" t="s">
        <v>300</v>
      </c>
      <c r="K150" t="s">
        <v>302</v>
      </c>
      <c r="L150" t="s">
        <v>174</v>
      </c>
    </row>
    <row r="151" spans="1:12">
      <c r="A151">
        <v>200031</v>
      </c>
      <c r="B151" t="s">
        <v>303</v>
      </c>
      <c r="C151" t="s">
        <v>15</v>
      </c>
      <c r="D151" t="s">
        <v>16</v>
      </c>
      <c r="E151" t="s">
        <v>17</v>
      </c>
      <c r="F151" t="s">
        <v>66</v>
      </c>
      <c r="G151" t="s">
        <v>243</v>
      </c>
      <c r="H151" t="s">
        <v>139</v>
      </c>
      <c r="I151" t="s">
        <v>299</v>
      </c>
      <c r="J151" t="s">
        <v>300</v>
      </c>
      <c r="K151" t="s">
        <v>137</v>
      </c>
      <c r="L151" t="s">
        <v>24</v>
      </c>
    </row>
    <row r="152" spans="1:12">
      <c r="A152">
        <v>200032</v>
      </c>
      <c r="B152" t="s">
        <v>304</v>
      </c>
      <c r="C152" t="s">
        <v>15</v>
      </c>
      <c r="D152" t="s">
        <v>29</v>
      </c>
      <c r="E152" t="s">
        <v>17</v>
      </c>
      <c r="F152" t="s">
        <v>66</v>
      </c>
      <c r="G152" t="s">
        <v>243</v>
      </c>
      <c r="H152" t="s">
        <v>139</v>
      </c>
      <c r="I152" t="s">
        <v>299</v>
      </c>
      <c r="J152" t="s">
        <v>300</v>
      </c>
      <c r="K152" t="s">
        <v>266</v>
      </c>
      <c r="L152" t="s">
        <v>31</v>
      </c>
    </row>
    <row r="153" spans="1:12">
      <c r="A153">
        <v>200033</v>
      </c>
      <c r="B153" t="s">
        <v>305</v>
      </c>
      <c r="C153" t="s">
        <v>43</v>
      </c>
      <c r="D153" t="s">
        <v>44</v>
      </c>
      <c r="E153" t="s">
        <v>34</v>
      </c>
      <c r="F153" t="s">
        <v>66</v>
      </c>
      <c r="G153" t="s">
        <v>243</v>
      </c>
      <c r="H153" t="s">
        <v>139</v>
      </c>
      <c r="I153" t="s">
        <v>299</v>
      </c>
      <c r="J153" t="s">
        <v>300</v>
      </c>
      <c r="K153" t="s">
        <v>284</v>
      </c>
      <c r="L153" t="s">
        <v>47</v>
      </c>
    </row>
    <row r="154" spans="1:12">
      <c r="A154">
        <v>200034</v>
      </c>
      <c r="B154" t="s">
        <v>306</v>
      </c>
      <c r="C154" t="s">
        <v>43</v>
      </c>
      <c r="D154" t="s">
        <v>89</v>
      </c>
      <c r="E154" t="s">
        <v>34</v>
      </c>
      <c r="F154" t="s">
        <v>66</v>
      </c>
      <c r="G154" t="s">
        <v>243</v>
      </c>
      <c r="H154" t="s">
        <v>139</v>
      </c>
      <c r="I154" t="s">
        <v>299</v>
      </c>
      <c r="J154" t="s">
        <v>300</v>
      </c>
      <c r="K154" t="s">
        <v>307</v>
      </c>
      <c r="L154" t="s">
        <v>91</v>
      </c>
    </row>
    <row r="155" spans="1:12">
      <c r="A155">
        <v>200035</v>
      </c>
      <c r="B155" t="s">
        <v>308</v>
      </c>
      <c r="C155" t="s">
        <v>15</v>
      </c>
      <c r="D155" t="s">
        <v>16</v>
      </c>
      <c r="E155" t="s">
        <v>34</v>
      </c>
      <c r="F155" t="s">
        <v>66</v>
      </c>
      <c r="G155" t="s">
        <v>243</v>
      </c>
      <c r="H155" t="s">
        <v>139</v>
      </c>
      <c r="I155" t="s">
        <v>299</v>
      </c>
      <c r="J155" t="s">
        <v>300</v>
      </c>
      <c r="K155" t="s">
        <v>142</v>
      </c>
      <c r="L155" t="s">
        <v>36</v>
      </c>
    </row>
    <row r="156" spans="1:12">
      <c r="A156">
        <v>200036</v>
      </c>
      <c r="B156" t="s">
        <v>309</v>
      </c>
      <c r="C156" t="s">
        <v>15</v>
      </c>
      <c r="D156" t="s">
        <v>29</v>
      </c>
      <c r="E156" t="s">
        <v>34</v>
      </c>
      <c r="F156" t="s">
        <v>66</v>
      </c>
      <c r="G156" t="s">
        <v>243</v>
      </c>
      <c r="H156" t="s">
        <v>139</v>
      </c>
      <c r="I156" t="s">
        <v>299</v>
      </c>
      <c r="J156" t="s">
        <v>300</v>
      </c>
      <c r="K156" t="s">
        <v>277</v>
      </c>
      <c r="L156" t="s">
        <v>40</v>
      </c>
    </row>
    <row r="157" spans="1:12">
      <c r="A157">
        <v>200037</v>
      </c>
      <c r="B157" t="s">
        <v>310</v>
      </c>
      <c r="C157" t="s">
        <v>43</v>
      </c>
      <c r="D157" t="s">
        <v>44</v>
      </c>
      <c r="E157" t="s">
        <v>17</v>
      </c>
      <c r="F157" t="s">
        <v>66</v>
      </c>
      <c r="G157" t="s">
        <v>122</v>
      </c>
      <c r="H157" t="s">
        <v>139</v>
      </c>
      <c r="I157" t="s">
        <v>299</v>
      </c>
      <c r="J157" t="s">
        <v>300</v>
      </c>
      <c r="K157" t="s">
        <v>282</v>
      </c>
      <c r="L157" t="s">
        <v>47</v>
      </c>
    </row>
    <row r="158" spans="1:12">
      <c r="A158">
        <v>200038</v>
      </c>
      <c r="B158" t="s">
        <v>311</v>
      </c>
      <c r="C158" t="s">
        <v>43</v>
      </c>
      <c r="D158" t="s">
        <v>89</v>
      </c>
      <c r="E158" t="s">
        <v>17</v>
      </c>
      <c r="F158" t="s">
        <v>66</v>
      </c>
      <c r="G158" t="s">
        <v>122</v>
      </c>
      <c r="H158" t="s">
        <v>139</v>
      </c>
      <c r="I158" t="s">
        <v>299</v>
      </c>
      <c r="J158" t="s">
        <v>300</v>
      </c>
      <c r="K158" t="s">
        <v>302</v>
      </c>
      <c r="L158" t="s">
        <v>174</v>
      </c>
    </row>
    <row r="159" spans="1:12">
      <c r="A159">
        <v>200039</v>
      </c>
      <c r="B159" t="s">
        <v>312</v>
      </c>
      <c r="C159" t="s">
        <v>15</v>
      </c>
      <c r="D159" t="s">
        <v>16</v>
      </c>
      <c r="E159" t="s">
        <v>17</v>
      </c>
      <c r="F159" t="s">
        <v>66</v>
      </c>
      <c r="G159" t="s">
        <v>122</v>
      </c>
      <c r="H159" t="s">
        <v>139</v>
      </c>
      <c r="I159" t="s">
        <v>299</v>
      </c>
      <c r="J159" t="s">
        <v>300</v>
      </c>
      <c r="K159" t="s">
        <v>137</v>
      </c>
      <c r="L159" t="s">
        <v>24</v>
      </c>
    </row>
    <row r="160" spans="1:12">
      <c r="A160">
        <v>200040</v>
      </c>
      <c r="B160" t="s">
        <v>313</v>
      </c>
      <c r="C160" t="s">
        <v>15</v>
      </c>
      <c r="D160" t="s">
        <v>29</v>
      </c>
      <c r="E160" t="s">
        <v>17</v>
      </c>
      <c r="F160" t="s">
        <v>66</v>
      </c>
      <c r="G160" t="s">
        <v>122</v>
      </c>
      <c r="H160" t="s">
        <v>139</v>
      </c>
      <c r="I160" t="s">
        <v>299</v>
      </c>
      <c r="J160" t="s">
        <v>300</v>
      </c>
      <c r="K160" t="s">
        <v>266</v>
      </c>
      <c r="L160" t="s">
        <v>31</v>
      </c>
    </row>
    <row r="161" spans="1:12">
      <c r="A161">
        <v>200041</v>
      </c>
      <c r="B161" t="s">
        <v>314</v>
      </c>
      <c r="C161" t="s">
        <v>43</v>
      </c>
      <c r="D161" t="s">
        <v>44</v>
      </c>
      <c r="E161" t="s">
        <v>34</v>
      </c>
      <c r="F161" t="s">
        <v>66</v>
      </c>
      <c r="G161" t="s">
        <v>122</v>
      </c>
      <c r="H161" t="s">
        <v>139</v>
      </c>
      <c r="I161" t="s">
        <v>299</v>
      </c>
      <c r="J161" t="s">
        <v>300</v>
      </c>
      <c r="K161" t="s">
        <v>284</v>
      </c>
      <c r="L161" t="s">
        <v>52</v>
      </c>
    </row>
    <row r="162" spans="1:12">
      <c r="A162">
        <v>200042</v>
      </c>
      <c r="B162" t="s">
        <v>315</v>
      </c>
      <c r="C162" t="s">
        <v>43</v>
      </c>
      <c r="D162" t="s">
        <v>89</v>
      </c>
      <c r="E162" t="s">
        <v>34</v>
      </c>
      <c r="F162" t="s">
        <v>66</v>
      </c>
      <c r="G162" t="s">
        <v>122</v>
      </c>
      <c r="H162" t="s">
        <v>139</v>
      </c>
      <c r="I162" t="s">
        <v>299</v>
      </c>
      <c r="J162" t="s">
        <v>300</v>
      </c>
      <c r="K162" t="s">
        <v>307</v>
      </c>
      <c r="L162" t="s">
        <v>91</v>
      </c>
    </row>
    <row r="163" spans="1:12">
      <c r="A163">
        <v>200043</v>
      </c>
      <c r="B163" t="s">
        <v>316</v>
      </c>
      <c r="C163" t="s">
        <v>15</v>
      </c>
      <c r="D163" t="s">
        <v>16</v>
      </c>
      <c r="E163" t="s">
        <v>34</v>
      </c>
      <c r="F163" t="s">
        <v>66</v>
      </c>
      <c r="G163" t="s">
        <v>122</v>
      </c>
      <c r="H163" t="s">
        <v>139</v>
      </c>
      <c r="I163" t="s">
        <v>299</v>
      </c>
      <c r="J163" t="s">
        <v>300</v>
      </c>
      <c r="K163" t="s">
        <v>142</v>
      </c>
      <c r="L163" t="s">
        <v>36</v>
      </c>
    </row>
    <row r="164" spans="1:12">
      <c r="A164">
        <v>200044</v>
      </c>
      <c r="B164" t="s">
        <v>317</v>
      </c>
      <c r="C164" t="s">
        <v>15</v>
      </c>
      <c r="D164" t="s">
        <v>29</v>
      </c>
      <c r="E164" t="s">
        <v>34</v>
      </c>
      <c r="F164" t="s">
        <v>66</v>
      </c>
      <c r="G164" t="s">
        <v>122</v>
      </c>
      <c r="H164" t="s">
        <v>139</v>
      </c>
      <c r="I164" t="s">
        <v>299</v>
      </c>
      <c r="J164" t="s">
        <v>300</v>
      </c>
      <c r="K164" t="s">
        <v>277</v>
      </c>
      <c r="L164" t="s">
        <v>40</v>
      </c>
    </row>
    <row r="165" spans="1:12">
      <c r="A165">
        <v>200045</v>
      </c>
      <c r="B165" t="s">
        <v>318</v>
      </c>
      <c r="C165" t="s">
        <v>43</v>
      </c>
      <c r="D165" t="s">
        <v>49</v>
      </c>
      <c r="E165" t="s">
        <v>34</v>
      </c>
      <c r="F165" t="s">
        <v>66</v>
      </c>
      <c r="G165" t="s">
        <v>243</v>
      </c>
      <c r="H165" t="s">
        <v>139</v>
      </c>
      <c r="I165" t="s">
        <v>299</v>
      </c>
      <c r="J165" t="s">
        <v>300</v>
      </c>
      <c r="K165" t="s">
        <v>288</v>
      </c>
      <c r="L165" t="s">
        <v>55</v>
      </c>
    </row>
    <row r="166" spans="1:12">
      <c r="A166">
        <v>200046</v>
      </c>
      <c r="B166" t="s">
        <v>319</v>
      </c>
      <c r="C166" t="s">
        <v>43</v>
      </c>
      <c r="D166" t="s">
        <v>49</v>
      </c>
      <c r="E166" t="s">
        <v>34</v>
      </c>
      <c r="F166" t="s">
        <v>66</v>
      </c>
      <c r="G166" t="s">
        <v>122</v>
      </c>
      <c r="H166" t="s">
        <v>139</v>
      </c>
      <c r="I166" t="s">
        <v>299</v>
      </c>
      <c r="J166" t="s">
        <v>300</v>
      </c>
      <c r="K166" t="s">
        <v>288</v>
      </c>
      <c r="L166" t="s">
        <v>55</v>
      </c>
    </row>
    <row r="167" spans="1:12">
      <c r="A167">
        <v>200047</v>
      </c>
      <c r="B167" t="s">
        <v>320</v>
      </c>
      <c r="C167" t="s">
        <v>43</v>
      </c>
      <c r="D167" t="s">
        <v>49</v>
      </c>
      <c r="E167" t="s">
        <v>17</v>
      </c>
      <c r="F167" t="s">
        <v>66</v>
      </c>
      <c r="G167" t="s">
        <v>243</v>
      </c>
      <c r="H167" t="s">
        <v>139</v>
      </c>
      <c r="I167" t="s">
        <v>299</v>
      </c>
      <c r="J167" t="s">
        <v>300</v>
      </c>
      <c r="K167" t="s">
        <v>286</v>
      </c>
      <c r="L167" t="s">
        <v>50</v>
      </c>
    </row>
    <row r="168" spans="1:12">
      <c r="A168">
        <v>200048</v>
      </c>
      <c r="B168" t="s">
        <v>321</v>
      </c>
      <c r="C168" t="s">
        <v>43</v>
      </c>
      <c r="D168" t="s">
        <v>49</v>
      </c>
      <c r="E168" t="s">
        <v>17</v>
      </c>
      <c r="F168" t="s">
        <v>66</v>
      </c>
      <c r="G168" t="s">
        <v>122</v>
      </c>
      <c r="H168" t="s">
        <v>139</v>
      </c>
      <c r="I168" t="s">
        <v>299</v>
      </c>
      <c r="J168" t="s">
        <v>300</v>
      </c>
      <c r="K168" t="s">
        <v>286</v>
      </c>
      <c r="L168" t="s">
        <v>50</v>
      </c>
    </row>
    <row r="169" spans="1:12">
      <c r="A169">
        <v>200049</v>
      </c>
      <c r="B169" t="s">
        <v>322</v>
      </c>
      <c r="C169" t="s">
        <v>43</v>
      </c>
      <c r="D169" t="s">
        <v>49</v>
      </c>
      <c r="E169" t="s">
        <v>17</v>
      </c>
      <c r="F169" t="s">
        <v>66</v>
      </c>
      <c r="G169" t="s">
        <v>27</v>
      </c>
      <c r="H169" t="s">
        <v>139</v>
      </c>
      <c r="I169" t="s">
        <v>189</v>
      </c>
      <c r="J169" t="s">
        <v>22</v>
      </c>
      <c r="K169" t="s">
        <v>286</v>
      </c>
      <c r="L169" t="s">
        <v>50</v>
      </c>
    </row>
    <row r="170" spans="1:12">
      <c r="A170">
        <v>200050</v>
      </c>
      <c r="B170" t="s">
        <v>323</v>
      </c>
      <c r="C170" t="s">
        <v>64</v>
      </c>
      <c r="D170" t="s">
        <v>65</v>
      </c>
      <c r="E170" t="s">
        <v>17</v>
      </c>
      <c r="F170" t="s">
        <v>66</v>
      </c>
      <c r="G170" t="s">
        <v>243</v>
      </c>
      <c r="H170" t="s">
        <v>139</v>
      </c>
      <c r="I170" t="s">
        <v>299</v>
      </c>
      <c r="J170" t="s">
        <v>300</v>
      </c>
      <c r="K170" t="s">
        <v>324</v>
      </c>
      <c r="L170" t="s">
        <v>68</v>
      </c>
    </row>
    <row r="171" spans="1:12">
      <c r="A171">
        <v>200051</v>
      </c>
      <c r="B171" t="s">
        <v>325</v>
      </c>
      <c r="C171" t="s">
        <v>43</v>
      </c>
      <c r="D171" t="s">
        <v>44</v>
      </c>
      <c r="E171" t="s">
        <v>17</v>
      </c>
      <c r="F171" t="s">
        <v>66</v>
      </c>
      <c r="G171" t="s">
        <v>27</v>
      </c>
      <c r="H171" t="s">
        <v>139</v>
      </c>
      <c r="I171" t="s">
        <v>189</v>
      </c>
      <c r="J171" t="s">
        <v>22</v>
      </c>
      <c r="K171" t="s">
        <v>282</v>
      </c>
      <c r="L171" t="s">
        <v>47</v>
      </c>
    </row>
    <row r="172" spans="1:12">
      <c r="A172">
        <v>200052</v>
      </c>
      <c r="B172" t="s">
        <v>326</v>
      </c>
      <c r="C172" t="s">
        <v>43</v>
      </c>
      <c r="D172" t="s">
        <v>103</v>
      </c>
      <c r="E172" t="s">
        <v>17</v>
      </c>
      <c r="F172" t="s">
        <v>66</v>
      </c>
      <c r="G172" t="s">
        <v>243</v>
      </c>
      <c r="H172" t="s">
        <v>139</v>
      </c>
      <c r="I172" t="s">
        <v>299</v>
      </c>
      <c r="J172" t="s">
        <v>300</v>
      </c>
      <c r="K172" t="s">
        <v>327</v>
      </c>
      <c r="L172" t="s">
        <v>106</v>
      </c>
    </row>
    <row r="173" spans="1:12">
      <c r="A173">
        <v>200053</v>
      </c>
      <c r="B173" t="s">
        <v>328</v>
      </c>
      <c r="C173" t="s">
        <v>43</v>
      </c>
      <c r="D173" t="s">
        <v>103</v>
      </c>
      <c r="E173" t="s">
        <v>17</v>
      </c>
      <c r="F173" t="s">
        <v>66</v>
      </c>
      <c r="G173" t="s">
        <v>139</v>
      </c>
      <c r="H173" t="s">
        <v>139</v>
      </c>
      <c r="I173" t="s">
        <v>329</v>
      </c>
      <c r="J173" t="s">
        <v>22</v>
      </c>
      <c r="K173" t="s">
        <v>327</v>
      </c>
      <c r="L173" t="s">
        <v>106</v>
      </c>
    </row>
    <row r="174" spans="1:12">
      <c r="A174">
        <v>200054</v>
      </c>
      <c r="B174" t="s">
        <v>330</v>
      </c>
      <c r="C174" t="s">
        <v>43</v>
      </c>
      <c r="D174" t="s">
        <v>103</v>
      </c>
      <c r="E174" t="s">
        <v>34</v>
      </c>
      <c r="F174" t="s">
        <v>66</v>
      </c>
      <c r="G174" t="s">
        <v>243</v>
      </c>
      <c r="H174" t="s">
        <v>139</v>
      </c>
      <c r="I174" t="s">
        <v>299</v>
      </c>
      <c r="J174" t="s">
        <v>300</v>
      </c>
      <c r="K174" t="s">
        <v>331</v>
      </c>
      <c r="L174" t="s">
        <v>109</v>
      </c>
    </row>
    <row r="175" spans="1:12">
      <c r="A175">
        <v>200055</v>
      </c>
      <c r="B175" t="s">
        <v>332</v>
      </c>
      <c r="C175" t="s">
        <v>43</v>
      </c>
      <c r="D175" t="s">
        <v>103</v>
      </c>
      <c r="E175" t="s">
        <v>34</v>
      </c>
      <c r="F175" t="s">
        <v>66</v>
      </c>
      <c r="G175" t="s">
        <v>139</v>
      </c>
      <c r="H175" t="s">
        <v>139</v>
      </c>
      <c r="I175" t="s">
        <v>329</v>
      </c>
      <c r="J175" t="s">
        <v>22</v>
      </c>
      <c r="K175" t="s">
        <v>331</v>
      </c>
      <c r="L175" t="s">
        <v>109</v>
      </c>
    </row>
    <row r="176" spans="1:12">
      <c r="A176">
        <v>200057</v>
      </c>
      <c r="B176" t="s">
        <v>333</v>
      </c>
      <c r="C176" t="s">
        <v>64</v>
      </c>
      <c r="D176" t="s">
        <v>65</v>
      </c>
      <c r="E176" t="s">
        <v>34</v>
      </c>
      <c r="F176" t="s">
        <v>66</v>
      </c>
      <c r="G176" t="s">
        <v>122</v>
      </c>
      <c r="H176" t="s">
        <v>334</v>
      </c>
      <c r="I176" t="s">
        <v>189</v>
      </c>
      <c r="J176" t="s">
        <v>22</v>
      </c>
      <c r="K176" t="s">
        <v>111</v>
      </c>
      <c r="L176" t="s">
        <v>180</v>
      </c>
    </row>
    <row r="177" spans="1:12">
      <c r="A177">
        <v>200058</v>
      </c>
      <c r="B177" t="s">
        <v>335</v>
      </c>
      <c r="C177" t="s">
        <v>64</v>
      </c>
      <c r="D177" t="s">
        <v>65</v>
      </c>
      <c r="E177" t="s">
        <v>34</v>
      </c>
      <c r="F177" t="s">
        <v>66</v>
      </c>
      <c r="G177" t="s">
        <v>243</v>
      </c>
      <c r="H177" t="s">
        <v>139</v>
      </c>
      <c r="I177" t="s">
        <v>299</v>
      </c>
      <c r="J177" t="s">
        <v>300</v>
      </c>
      <c r="K177" t="s">
        <v>111</v>
      </c>
      <c r="L177" t="s">
        <v>180</v>
      </c>
    </row>
    <row r="178" spans="1:12">
      <c r="A178">
        <v>200059</v>
      </c>
      <c r="B178" t="s">
        <v>336</v>
      </c>
      <c r="C178" t="s">
        <v>43</v>
      </c>
      <c r="D178" t="s">
        <v>65</v>
      </c>
      <c r="E178" t="s">
        <v>34</v>
      </c>
      <c r="F178" t="s">
        <v>66</v>
      </c>
      <c r="G178" t="s">
        <v>337</v>
      </c>
      <c r="H178" t="s">
        <v>334</v>
      </c>
      <c r="I178" t="s">
        <v>166</v>
      </c>
      <c r="J178" t="s">
        <v>22</v>
      </c>
      <c r="K178" t="s">
        <v>338</v>
      </c>
      <c r="L178" t="s">
        <v>52</v>
      </c>
    </row>
    <row r="179" spans="1:12">
      <c r="A179">
        <v>100119</v>
      </c>
      <c r="B179" t="s">
        <v>339</v>
      </c>
      <c r="C179" t="s">
        <v>64</v>
      </c>
      <c r="D179" t="s">
        <v>65</v>
      </c>
      <c r="E179" t="s">
        <v>34</v>
      </c>
      <c r="F179" t="s">
        <v>66</v>
      </c>
      <c r="G179" t="s">
        <v>139</v>
      </c>
      <c r="H179" t="s">
        <v>139</v>
      </c>
      <c r="I179" t="s">
        <v>340</v>
      </c>
      <c r="J179" t="s">
        <v>22</v>
      </c>
      <c r="K179" t="s">
        <v>341</v>
      </c>
      <c r="L179" t="s">
        <v>180</v>
      </c>
    </row>
    <row r="180" spans="1:12">
      <c r="A180">
        <v>200060</v>
      </c>
      <c r="B180" t="s">
        <v>342</v>
      </c>
      <c r="C180" t="s">
        <v>64</v>
      </c>
      <c r="D180" t="s">
        <v>65</v>
      </c>
      <c r="E180" t="s">
        <v>34</v>
      </c>
      <c r="F180" t="s">
        <v>66</v>
      </c>
      <c r="G180" t="s">
        <v>139</v>
      </c>
      <c r="H180" t="s">
        <v>139</v>
      </c>
      <c r="I180" t="s">
        <v>329</v>
      </c>
      <c r="J180" t="s">
        <v>22</v>
      </c>
      <c r="K180" t="s">
        <v>341</v>
      </c>
      <c r="L180" t="s">
        <v>180</v>
      </c>
    </row>
    <row r="181" spans="1:12">
      <c r="A181">
        <v>200061</v>
      </c>
      <c r="B181" t="s">
        <v>343</v>
      </c>
      <c r="C181" t="s">
        <v>64</v>
      </c>
      <c r="D181" t="s">
        <v>65</v>
      </c>
      <c r="E181" t="s">
        <v>17</v>
      </c>
      <c r="F181" t="s">
        <v>66</v>
      </c>
      <c r="G181" t="s">
        <v>139</v>
      </c>
      <c r="H181" t="s">
        <v>139</v>
      </c>
      <c r="I181" t="s">
        <v>329</v>
      </c>
      <c r="J181" t="s">
        <v>22</v>
      </c>
      <c r="K181" t="s">
        <v>164</v>
      </c>
      <c r="L181" t="s">
        <v>68</v>
      </c>
    </row>
    <row r="182" spans="1:12">
      <c r="A182">
        <v>200062</v>
      </c>
      <c r="B182" t="s">
        <v>344</v>
      </c>
      <c r="C182" t="s">
        <v>64</v>
      </c>
      <c r="D182" t="s">
        <v>65</v>
      </c>
      <c r="E182" t="s">
        <v>17</v>
      </c>
      <c r="F182" t="s">
        <v>66</v>
      </c>
      <c r="G182" t="s">
        <v>122</v>
      </c>
      <c r="H182" t="s">
        <v>334</v>
      </c>
      <c r="I182" t="s">
        <v>345</v>
      </c>
      <c r="J182" t="s">
        <v>22</v>
      </c>
      <c r="K182" t="s">
        <v>324</v>
      </c>
      <c r="L182" t="s">
        <v>68</v>
      </c>
    </row>
    <row r="183" spans="1:12">
      <c r="A183">
        <v>200063</v>
      </c>
      <c r="B183" t="s">
        <v>346</v>
      </c>
      <c r="C183" t="s">
        <v>64</v>
      </c>
      <c r="D183" t="s">
        <v>65</v>
      </c>
      <c r="E183" t="s">
        <v>17</v>
      </c>
      <c r="F183" t="s">
        <v>66</v>
      </c>
      <c r="G183" t="s">
        <v>122</v>
      </c>
      <c r="H183" t="s">
        <v>334</v>
      </c>
      <c r="I183" t="s">
        <v>345</v>
      </c>
      <c r="J183" t="s">
        <v>22</v>
      </c>
      <c r="K183" t="s">
        <v>324</v>
      </c>
      <c r="L183" t="s">
        <v>68</v>
      </c>
    </row>
    <row r="184" spans="1:12">
      <c r="A184">
        <v>200064</v>
      </c>
      <c r="B184" t="s">
        <v>347</v>
      </c>
      <c r="C184" t="s">
        <v>64</v>
      </c>
      <c r="D184" t="s">
        <v>65</v>
      </c>
      <c r="E184" t="s">
        <v>17</v>
      </c>
      <c r="F184" t="s">
        <v>66</v>
      </c>
      <c r="G184" t="s">
        <v>122</v>
      </c>
      <c r="H184" t="s">
        <v>334</v>
      </c>
      <c r="I184" t="s">
        <v>345</v>
      </c>
      <c r="J184" t="s">
        <v>22</v>
      </c>
      <c r="K184" t="s">
        <v>324</v>
      </c>
      <c r="L184" t="s">
        <v>68</v>
      </c>
    </row>
    <row r="185" spans="1:12">
      <c r="A185">
        <v>200065</v>
      </c>
      <c r="B185" t="s">
        <v>348</v>
      </c>
      <c r="C185" t="s">
        <v>15</v>
      </c>
      <c r="D185" t="s">
        <v>192</v>
      </c>
      <c r="E185" t="s">
        <v>17</v>
      </c>
      <c r="F185" t="s">
        <v>66</v>
      </c>
      <c r="G185" t="s">
        <v>243</v>
      </c>
      <c r="H185" t="s">
        <v>139</v>
      </c>
      <c r="I185" t="s">
        <v>299</v>
      </c>
      <c r="J185" t="s">
        <v>300</v>
      </c>
      <c r="K185" t="s">
        <v>203</v>
      </c>
      <c r="L185" t="s">
        <v>194</v>
      </c>
    </row>
    <row r="186" spans="1:12">
      <c r="A186">
        <v>200066</v>
      </c>
      <c r="B186" t="s">
        <v>349</v>
      </c>
      <c r="C186" t="s">
        <v>15</v>
      </c>
      <c r="D186" t="s">
        <v>192</v>
      </c>
      <c r="E186" t="s">
        <v>34</v>
      </c>
      <c r="F186" t="s">
        <v>66</v>
      </c>
      <c r="G186" t="s">
        <v>243</v>
      </c>
      <c r="H186" t="s">
        <v>139</v>
      </c>
      <c r="I186" t="s">
        <v>299</v>
      </c>
      <c r="J186" t="s">
        <v>300</v>
      </c>
      <c r="K186" t="s">
        <v>205</v>
      </c>
      <c r="L186" t="s">
        <v>198</v>
      </c>
    </row>
    <row r="187" spans="1:12">
      <c r="A187">
        <v>200067</v>
      </c>
      <c r="B187" t="s">
        <v>350</v>
      </c>
      <c r="C187" t="s">
        <v>15</v>
      </c>
      <c r="D187" t="s">
        <v>192</v>
      </c>
      <c r="E187" t="s">
        <v>17</v>
      </c>
      <c r="F187" t="s">
        <v>66</v>
      </c>
      <c r="G187" t="s">
        <v>122</v>
      </c>
      <c r="H187" t="s">
        <v>139</v>
      </c>
      <c r="I187" t="s">
        <v>299</v>
      </c>
      <c r="J187" t="s">
        <v>300</v>
      </c>
      <c r="K187" t="s">
        <v>203</v>
      </c>
      <c r="L187" t="s">
        <v>194</v>
      </c>
    </row>
    <row r="188" spans="1:12">
      <c r="A188">
        <v>200068</v>
      </c>
      <c r="B188" t="s">
        <v>351</v>
      </c>
      <c r="C188" t="s">
        <v>15</v>
      </c>
      <c r="D188" t="s">
        <v>192</v>
      </c>
      <c r="E188" t="s">
        <v>34</v>
      </c>
      <c r="F188" t="s">
        <v>66</v>
      </c>
      <c r="G188" t="s">
        <v>122</v>
      </c>
      <c r="H188" t="s">
        <v>139</v>
      </c>
      <c r="I188" t="s">
        <v>299</v>
      </c>
      <c r="J188" t="s">
        <v>300</v>
      </c>
      <c r="K188" t="s">
        <v>205</v>
      </c>
      <c r="L188" t="s">
        <v>198</v>
      </c>
    </row>
    <row r="189" spans="1:12">
      <c r="A189">
        <v>200069</v>
      </c>
      <c r="B189" t="s">
        <v>352</v>
      </c>
      <c r="C189" t="s">
        <v>15</v>
      </c>
      <c r="D189" t="s">
        <v>16</v>
      </c>
      <c r="E189" t="s">
        <v>17</v>
      </c>
      <c r="F189" t="s">
        <v>155</v>
      </c>
      <c r="G189" t="s">
        <v>27</v>
      </c>
      <c r="H189" t="s">
        <v>139</v>
      </c>
      <c r="I189" t="s">
        <v>21</v>
      </c>
      <c r="J189" t="s">
        <v>22</v>
      </c>
      <c r="K189" t="s">
        <v>137</v>
      </c>
      <c r="L189" t="s">
        <v>24</v>
      </c>
    </row>
    <row r="190" spans="1:12">
      <c r="A190">
        <v>200070</v>
      </c>
      <c r="B190" t="s">
        <v>353</v>
      </c>
      <c r="C190" t="s">
        <v>15</v>
      </c>
      <c r="D190" t="s">
        <v>16</v>
      </c>
      <c r="E190" t="s">
        <v>34</v>
      </c>
      <c r="F190" t="s">
        <v>155</v>
      </c>
      <c r="G190" t="s">
        <v>27</v>
      </c>
      <c r="H190" t="s">
        <v>139</v>
      </c>
      <c r="I190" t="s">
        <v>21</v>
      </c>
      <c r="J190" t="s">
        <v>22</v>
      </c>
      <c r="K190" t="s">
        <v>35</v>
      </c>
      <c r="L190" t="s">
        <v>36</v>
      </c>
    </row>
    <row r="191" spans="1:12">
      <c r="A191">
        <v>200071</v>
      </c>
      <c r="B191" t="s">
        <v>354</v>
      </c>
      <c r="C191" t="s">
        <v>64</v>
      </c>
      <c r="D191" t="s">
        <v>65</v>
      </c>
      <c r="E191" t="s">
        <v>17</v>
      </c>
      <c r="F191" t="s">
        <v>66</v>
      </c>
      <c r="G191" t="s">
        <v>139</v>
      </c>
      <c r="H191" t="s">
        <v>139</v>
      </c>
      <c r="I191" t="s">
        <v>21</v>
      </c>
      <c r="J191" t="s">
        <v>22</v>
      </c>
      <c r="K191" t="s">
        <v>164</v>
      </c>
      <c r="L191" t="s">
        <v>68</v>
      </c>
    </row>
    <row r="192" spans="1:12">
      <c r="A192">
        <v>200072</v>
      </c>
      <c r="B192" t="s">
        <v>355</v>
      </c>
      <c r="C192" t="s">
        <v>15</v>
      </c>
      <c r="D192" t="s">
        <v>16</v>
      </c>
      <c r="E192" t="s">
        <v>17</v>
      </c>
      <c r="F192" t="s">
        <v>155</v>
      </c>
      <c r="G192" t="s">
        <v>27</v>
      </c>
      <c r="H192" t="s">
        <v>139</v>
      </c>
      <c r="I192" t="s">
        <v>217</v>
      </c>
      <c r="J192" t="s">
        <v>22</v>
      </c>
      <c r="K192" t="s">
        <v>137</v>
      </c>
      <c r="L192" t="s">
        <v>24</v>
      </c>
    </row>
    <row r="193" spans="1:12">
      <c r="A193">
        <v>200073</v>
      </c>
      <c r="B193" t="s">
        <v>356</v>
      </c>
      <c r="C193" t="s">
        <v>15</v>
      </c>
      <c r="D193" t="s">
        <v>16</v>
      </c>
      <c r="E193" t="s">
        <v>17</v>
      </c>
      <c r="F193" t="s">
        <v>66</v>
      </c>
      <c r="G193" t="s">
        <v>139</v>
      </c>
      <c r="H193" t="s">
        <v>139</v>
      </c>
      <c r="I193" t="s">
        <v>21</v>
      </c>
      <c r="J193" t="s">
        <v>22</v>
      </c>
      <c r="K193" t="s">
        <v>137</v>
      </c>
      <c r="L193" t="s">
        <v>24</v>
      </c>
    </row>
    <row r="194" spans="1:12">
      <c r="A194">
        <v>200074</v>
      </c>
      <c r="B194" t="s">
        <v>357</v>
      </c>
      <c r="C194" t="s">
        <v>15</v>
      </c>
      <c r="D194" t="s">
        <v>29</v>
      </c>
      <c r="E194" t="s">
        <v>17</v>
      </c>
      <c r="F194" t="s">
        <v>66</v>
      </c>
      <c r="G194" t="s">
        <v>139</v>
      </c>
      <c r="H194" t="s">
        <v>139</v>
      </c>
      <c r="I194" t="s">
        <v>21</v>
      </c>
      <c r="J194" t="s">
        <v>22</v>
      </c>
      <c r="K194" t="s">
        <v>266</v>
      </c>
      <c r="L194" t="s">
        <v>31</v>
      </c>
    </row>
    <row r="195" spans="1:12">
      <c r="A195">
        <v>200075</v>
      </c>
      <c r="B195" t="s">
        <v>358</v>
      </c>
      <c r="C195" t="s">
        <v>15</v>
      </c>
      <c r="D195" t="s">
        <v>192</v>
      </c>
      <c r="E195" t="s">
        <v>34</v>
      </c>
      <c r="F195" t="s">
        <v>18</v>
      </c>
      <c r="G195" t="s">
        <v>139</v>
      </c>
      <c r="H195" t="s">
        <v>139</v>
      </c>
      <c r="I195" t="s">
        <v>21</v>
      </c>
      <c r="J195" t="s">
        <v>22</v>
      </c>
      <c r="K195" t="s">
        <v>205</v>
      </c>
      <c r="L195" t="s">
        <v>198</v>
      </c>
    </row>
    <row r="196" spans="1:12">
      <c r="A196">
        <v>200076</v>
      </c>
      <c r="B196" t="s">
        <v>359</v>
      </c>
      <c r="C196" t="s">
        <v>15</v>
      </c>
      <c r="D196" t="s">
        <v>192</v>
      </c>
      <c r="E196" t="s">
        <v>17</v>
      </c>
      <c r="F196" t="s">
        <v>18</v>
      </c>
      <c r="G196" t="s">
        <v>139</v>
      </c>
      <c r="H196" t="s">
        <v>139</v>
      </c>
      <c r="I196" t="s">
        <v>21</v>
      </c>
      <c r="J196" t="s">
        <v>22</v>
      </c>
      <c r="K196" t="s">
        <v>203</v>
      </c>
      <c r="L196" t="s">
        <v>194</v>
      </c>
    </row>
    <row r="197" spans="1:12">
      <c r="A197">
        <v>200077</v>
      </c>
      <c r="B197" t="s">
        <v>360</v>
      </c>
      <c r="C197" t="s">
        <v>64</v>
      </c>
      <c r="D197" t="s">
        <v>65</v>
      </c>
      <c r="E197" t="s">
        <v>34</v>
      </c>
      <c r="F197" t="s">
        <v>66</v>
      </c>
      <c r="G197" t="s">
        <v>122</v>
      </c>
      <c r="H197" t="s">
        <v>334</v>
      </c>
      <c r="I197" t="s">
        <v>21</v>
      </c>
      <c r="J197" t="s">
        <v>22</v>
      </c>
      <c r="K197" t="s">
        <v>111</v>
      </c>
      <c r="L197" t="s">
        <v>180</v>
      </c>
    </row>
    <row r="198" spans="1:12">
      <c r="A198">
        <v>200078</v>
      </c>
      <c r="B198" t="s">
        <v>361</v>
      </c>
      <c r="C198" t="s">
        <v>64</v>
      </c>
      <c r="D198" t="s">
        <v>65</v>
      </c>
      <c r="E198" t="s">
        <v>34</v>
      </c>
      <c r="F198" t="s">
        <v>66</v>
      </c>
      <c r="G198" t="s">
        <v>122</v>
      </c>
      <c r="H198" t="s">
        <v>334</v>
      </c>
      <c r="I198" t="s">
        <v>21</v>
      </c>
      <c r="J198" t="s">
        <v>22</v>
      </c>
      <c r="K198" t="s">
        <v>111</v>
      </c>
      <c r="L198" t="s">
        <v>180</v>
      </c>
    </row>
    <row r="199" spans="1:12">
      <c r="A199">
        <v>200079</v>
      </c>
      <c r="B199" t="s">
        <v>362</v>
      </c>
      <c r="C199" t="s">
        <v>64</v>
      </c>
      <c r="D199" t="s">
        <v>65</v>
      </c>
      <c r="E199" t="s">
        <v>34</v>
      </c>
      <c r="F199" t="s">
        <v>66</v>
      </c>
      <c r="G199" t="s">
        <v>122</v>
      </c>
      <c r="H199" t="s">
        <v>334</v>
      </c>
      <c r="I199" t="s">
        <v>21</v>
      </c>
      <c r="J199" t="s">
        <v>22</v>
      </c>
      <c r="K199" t="s">
        <v>111</v>
      </c>
      <c r="L199" t="s">
        <v>180</v>
      </c>
    </row>
    <row r="200" spans="1:12">
      <c r="A200">
        <v>200080</v>
      </c>
      <c r="B200" t="s">
        <v>363</v>
      </c>
      <c r="C200" t="s">
        <v>64</v>
      </c>
      <c r="D200" t="s">
        <v>65</v>
      </c>
      <c r="E200" t="s">
        <v>17</v>
      </c>
      <c r="F200" t="s">
        <v>66</v>
      </c>
      <c r="G200" t="s">
        <v>122</v>
      </c>
      <c r="H200" t="s">
        <v>334</v>
      </c>
      <c r="I200" t="s">
        <v>21</v>
      </c>
      <c r="J200" t="s">
        <v>22</v>
      </c>
      <c r="K200" t="s">
        <v>324</v>
      </c>
      <c r="L200" t="s">
        <v>68</v>
      </c>
    </row>
    <row r="201" spans="1:12">
      <c r="A201">
        <v>200081</v>
      </c>
      <c r="B201" t="s">
        <v>364</v>
      </c>
      <c r="C201" t="s">
        <v>64</v>
      </c>
      <c r="D201" t="s">
        <v>65</v>
      </c>
      <c r="E201" t="s">
        <v>17</v>
      </c>
      <c r="F201" t="s">
        <v>66</v>
      </c>
      <c r="G201" t="s">
        <v>122</v>
      </c>
      <c r="H201" t="s">
        <v>334</v>
      </c>
      <c r="I201" t="s">
        <v>21</v>
      </c>
      <c r="J201" t="s">
        <v>22</v>
      </c>
      <c r="K201" t="s">
        <v>324</v>
      </c>
      <c r="L201" t="s">
        <v>68</v>
      </c>
    </row>
    <row r="202" spans="1:12">
      <c r="A202">
        <v>200082</v>
      </c>
      <c r="B202" t="s">
        <v>365</v>
      </c>
      <c r="C202" t="s">
        <v>64</v>
      </c>
      <c r="D202" t="s">
        <v>65</v>
      </c>
      <c r="E202" t="s">
        <v>17</v>
      </c>
      <c r="F202" t="s">
        <v>66</v>
      </c>
      <c r="G202" t="s">
        <v>139</v>
      </c>
      <c r="H202" t="s">
        <v>139</v>
      </c>
      <c r="I202" t="s">
        <v>345</v>
      </c>
      <c r="J202" t="s">
        <v>22</v>
      </c>
      <c r="K202" t="s">
        <v>324</v>
      </c>
      <c r="L202" t="s">
        <v>68</v>
      </c>
    </row>
    <row r="203" spans="1:12">
      <c r="A203">
        <v>200083</v>
      </c>
      <c r="B203" t="s">
        <v>88</v>
      </c>
    </row>
    <row r="204" spans="1:12">
      <c r="A204">
        <v>300001</v>
      </c>
      <c r="B204" t="s">
        <v>366</v>
      </c>
      <c r="C204" t="s">
        <v>15</v>
      </c>
      <c r="D204" t="s">
        <v>65</v>
      </c>
      <c r="E204" t="s">
        <v>17</v>
      </c>
      <c r="F204" t="s">
        <v>66</v>
      </c>
      <c r="G204" t="s">
        <v>122</v>
      </c>
      <c r="H204" t="s">
        <v>334</v>
      </c>
      <c r="I204" t="s">
        <v>21</v>
      </c>
      <c r="J204" t="s">
        <v>22</v>
      </c>
      <c r="K204" t="s">
        <v>137</v>
      </c>
      <c r="L204" t="s">
        <v>24</v>
      </c>
    </row>
    <row r="205" spans="1:12">
      <c r="A205">
        <v>300002</v>
      </c>
      <c r="B205" t="s">
        <v>367</v>
      </c>
      <c r="C205" t="s">
        <v>15</v>
      </c>
      <c r="D205" t="s">
        <v>65</v>
      </c>
      <c r="E205" t="s">
        <v>17</v>
      </c>
      <c r="F205" t="s">
        <v>66</v>
      </c>
      <c r="G205" t="s">
        <v>122</v>
      </c>
      <c r="H205" t="s">
        <v>334</v>
      </c>
      <c r="I205" t="s">
        <v>368</v>
      </c>
      <c r="J205" t="s">
        <v>368</v>
      </c>
      <c r="K205" t="s">
        <v>137</v>
      </c>
      <c r="L205" t="s">
        <v>24</v>
      </c>
    </row>
    <row r="206" spans="1:12">
      <c r="A206">
        <v>300003</v>
      </c>
      <c r="B206" t="s">
        <v>369</v>
      </c>
      <c r="C206" t="s">
        <v>15</v>
      </c>
      <c r="D206" t="s">
        <v>65</v>
      </c>
      <c r="E206" t="s">
        <v>34</v>
      </c>
      <c r="F206" t="s">
        <v>66</v>
      </c>
      <c r="G206" t="s">
        <v>122</v>
      </c>
      <c r="H206" t="s">
        <v>334</v>
      </c>
      <c r="I206" t="s">
        <v>21</v>
      </c>
      <c r="J206" t="s">
        <v>22</v>
      </c>
      <c r="K206" t="s">
        <v>142</v>
      </c>
      <c r="L206" t="s">
        <v>36</v>
      </c>
    </row>
    <row r="207" spans="1:12">
      <c r="A207">
        <v>300004</v>
      </c>
      <c r="B207" t="s">
        <v>370</v>
      </c>
      <c r="C207" t="s">
        <v>15</v>
      </c>
      <c r="D207" t="s">
        <v>65</v>
      </c>
      <c r="E207" t="s">
        <v>34</v>
      </c>
      <c r="F207" t="s">
        <v>66</v>
      </c>
      <c r="G207" t="s">
        <v>122</v>
      </c>
      <c r="H207" t="s">
        <v>334</v>
      </c>
      <c r="I207" t="s">
        <v>368</v>
      </c>
      <c r="J207" t="s">
        <v>368</v>
      </c>
      <c r="K207" t="s">
        <v>142</v>
      </c>
      <c r="L207" t="s">
        <v>36</v>
      </c>
    </row>
    <row r="208" spans="1:12">
      <c r="A208">
        <v>300005</v>
      </c>
      <c r="B208" t="s">
        <v>371</v>
      </c>
      <c r="C208" t="s">
        <v>43</v>
      </c>
      <c r="D208" t="s">
        <v>65</v>
      </c>
      <c r="E208" t="s">
        <v>17</v>
      </c>
      <c r="F208" t="s">
        <v>66</v>
      </c>
      <c r="G208" t="s">
        <v>372</v>
      </c>
      <c r="H208" t="s">
        <v>334</v>
      </c>
      <c r="I208" t="s">
        <v>189</v>
      </c>
      <c r="J208" t="s">
        <v>22</v>
      </c>
      <c r="K208" t="s">
        <v>282</v>
      </c>
      <c r="L208" t="s">
        <v>47</v>
      </c>
    </row>
    <row r="209" spans="1:12">
      <c r="A209">
        <v>300006</v>
      </c>
      <c r="B209" t="s">
        <v>373</v>
      </c>
      <c r="C209" t="s">
        <v>43</v>
      </c>
      <c r="D209" t="s">
        <v>65</v>
      </c>
      <c r="E209" t="s">
        <v>17</v>
      </c>
      <c r="F209" t="s">
        <v>66</v>
      </c>
      <c r="G209" t="s">
        <v>122</v>
      </c>
      <c r="H209" t="s">
        <v>334</v>
      </c>
      <c r="I209" t="s">
        <v>189</v>
      </c>
      <c r="J209" t="s">
        <v>22</v>
      </c>
      <c r="K209" t="s">
        <v>282</v>
      </c>
      <c r="L209" t="s">
        <v>47</v>
      </c>
    </row>
    <row r="210" spans="1:12">
      <c r="A210">
        <v>300007</v>
      </c>
      <c r="B210" t="s">
        <v>374</v>
      </c>
      <c r="C210" t="s">
        <v>43</v>
      </c>
      <c r="D210" t="s">
        <v>65</v>
      </c>
      <c r="E210" t="s">
        <v>17</v>
      </c>
      <c r="F210" t="s">
        <v>66</v>
      </c>
      <c r="G210" t="s">
        <v>122</v>
      </c>
      <c r="H210" t="s">
        <v>334</v>
      </c>
      <c r="I210" t="s">
        <v>368</v>
      </c>
      <c r="J210" t="s">
        <v>368</v>
      </c>
      <c r="K210" t="s">
        <v>137</v>
      </c>
      <c r="L210" t="s">
        <v>24</v>
      </c>
    </row>
    <row r="211" spans="1:12">
      <c r="A211">
        <v>300008</v>
      </c>
      <c r="B211" t="s">
        <v>375</v>
      </c>
      <c r="C211" t="s">
        <v>43</v>
      </c>
      <c r="D211" t="s">
        <v>65</v>
      </c>
      <c r="E211" t="s">
        <v>34</v>
      </c>
      <c r="F211" t="s">
        <v>66</v>
      </c>
      <c r="G211" t="s">
        <v>372</v>
      </c>
      <c r="H211" t="s">
        <v>334</v>
      </c>
      <c r="I211" t="s">
        <v>189</v>
      </c>
      <c r="J211" t="s">
        <v>22</v>
      </c>
      <c r="K211" t="s">
        <v>338</v>
      </c>
      <c r="L211" t="s">
        <v>55</v>
      </c>
    </row>
    <row r="212" spans="1:12">
      <c r="A212">
        <v>300009</v>
      </c>
      <c r="B212" t="s">
        <v>376</v>
      </c>
      <c r="C212" t="s">
        <v>43</v>
      </c>
      <c r="D212" t="s">
        <v>65</v>
      </c>
      <c r="E212" t="s">
        <v>34</v>
      </c>
      <c r="F212" t="s">
        <v>66</v>
      </c>
      <c r="G212" t="s">
        <v>122</v>
      </c>
      <c r="H212" t="s">
        <v>334</v>
      </c>
      <c r="I212" t="s">
        <v>189</v>
      </c>
      <c r="J212" t="s">
        <v>22</v>
      </c>
      <c r="K212" t="s">
        <v>338</v>
      </c>
      <c r="L212" t="s">
        <v>55</v>
      </c>
    </row>
    <row r="213" spans="1:12">
      <c r="A213">
        <v>300010</v>
      </c>
      <c r="B213" t="s">
        <v>377</v>
      </c>
      <c r="C213" t="s">
        <v>43</v>
      </c>
      <c r="D213" t="s">
        <v>65</v>
      </c>
      <c r="E213" t="s">
        <v>34</v>
      </c>
      <c r="F213" t="s">
        <v>66</v>
      </c>
      <c r="G213" t="s">
        <v>122</v>
      </c>
      <c r="H213" t="s">
        <v>334</v>
      </c>
      <c r="I213" t="s">
        <v>368</v>
      </c>
      <c r="J213" t="s">
        <v>368</v>
      </c>
      <c r="K213" t="s">
        <v>338</v>
      </c>
      <c r="L213" t="s">
        <v>52</v>
      </c>
    </row>
    <row r="214" spans="1:12">
      <c r="A214">
        <v>300011</v>
      </c>
      <c r="B214" t="s">
        <v>378</v>
      </c>
      <c r="C214" t="s">
        <v>64</v>
      </c>
      <c r="D214" t="s">
        <v>65</v>
      </c>
      <c r="E214" t="s">
        <v>17</v>
      </c>
      <c r="F214" t="s">
        <v>66</v>
      </c>
      <c r="G214" t="s">
        <v>122</v>
      </c>
      <c r="H214" t="s">
        <v>334</v>
      </c>
      <c r="I214" t="s">
        <v>189</v>
      </c>
      <c r="J214" t="s">
        <v>22</v>
      </c>
      <c r="K214" t="s">
        <v>324</v>
      </c>
      <c r="L214" t="s">
        <v>68</v>
      </c>
    </row>
    <row r="215" spans="1:12">
      <c r="A215">
        <v>300012</v>
      </c>
      <c r="B215" t="s">
        <v>379</v>
      </c>
      <c r="C215" t="s">
        <v>15</v>
      </c>
      <c r="D215" t="s">
        <v>65</v>
      </c>
      <c r="E215" t="s">
        <v>244</v>
      </c>
      <c r="F215" t="s">
        <v>66</v>
      </c>
      <c r="G215" t="s">
        <v>380</v>
      </c>
      <c r="H215" t="s">
        <v>334</v>
      </c>
      <c r="I215" t="s">
        <v>368</v>
      </c>
      <c r="J215" t="s">
        <v>368</v>
      </c>
      <c r="K215" t="s">
        <v>137</v>
      </c>
      <c r="L215" t="s">
        <v>24</v>
      </c>
    </row>
    <row r="216" spans="1:12">
      <c r="A216">
        <v>300013</v>
      </c>
      <c r="B216" t="s">
        <v>381</v>
      </c>
      <c r="C216" t="s">
        <v>15</v>
      </c>
      <c r="D216" t="s">
        <v>382</v>
      </c>
      <c r="E216" t="s">
        <v>17</v>
      </c>
      <c r="F216" t="s">
        <v>66</v>
      </c>
      <c r="G216" t="s">
        <v>122</v>
      </c>
      <c r="H216" t="s">
        <v>334</v>
      </c>
      <c r="I216" t="s">
        <v>21</v>
      </c>
      <c r="J216" t="s">
        <v>22</v>
      </c>
      <c r="K216" t="s">
        <v>137</v>
      </c>
      <c r="L216" t="s">
        <v>24</v>
      </c>
    </row>
    <row r="217" spans="1:12">
      <c r="A217">
        <v>300014</v>
      </c>
      <c r="B217" t="s">
        <v>383</v>
      </c>
      <c r="C217" t="s">
        <v>15</v>
      </c>
      <c r="D217" t="s">
        <v>382</v>
      </c>
      <c r="E217" t="s">
        <v>34</v>
      </c>
      <c r="F217" t="s">
        <v>66</v>
      </c>
      <c r="G217" t="s">
        <v>122</v>
      </c>
      <c r="H217" t="s">
        <v>334</v>
      </c>
      <c r="I217" t="s">
        <v>22</v>
      </c>
      <c r="J217" t="s">
        <v>22</v>
      </c>
      <c r="K217" t="s">
        <v>142</v>
      </c>
      <c r="L217" t="s">
        <v>36</v>
      </c>
    </row>
    <row r="218" spans="1:12">
      <c r="A218">
        <v>300015</v>
      </c>
      <c r="B218" t="s">
        <v>384</v>
      </c>
      <c r="C218" t="s">
        <v>43</v>
      </c>
      <c r="D218" t="s">
        <v>382</v>
      </c>
      <c r="E218" t="s">
        <v>17</v>
      </c>
      <c r="F218" t="s">
        <v>66</v>
      </c>
      <c r="G218" t="s">
        <v>122</v>
      </c>
      <c r="H218" t="s">
        <v>334</v>
      </c>
      <c r="I218" t="s">
        <v>22</v>
      </c>
      <c r="J218" t="s">
        <v>22</v>
      </c>
      <c r="K218" t="s">
        <v>282</v>
      </c>
      <c r="L218" t="s">
        <v>47</v>
      </c>
    </row>
    <row r="219" spans="1:12">
      <c r="A219">
        <v>300016</v>
      </c>
      <c r="B219" t="s">
        <v>385</v>
      </c>
      <c r="C219" t="s">
        <v>43</v>
      </c>
      <c r="D219" t="s">
        <v>382</v>
      </c>
      <c r="E219" t="s">
        <v>34</v>
      </c>
      <c r="F219" t="s">
        <v>66</v>
      </c>
      <c r="G219" t="s">
        <v>122</v>
      </c>
      <c r="H219" t="s">
        <v>334</v>
      </c>
      <c r="I219" t="s">
        <v>22</v>
      </c>
      <c r="J219" t="s">
        <v>22</v>
      </c>
      <c r="K219" t="s">
        <v>338</v>
      </c>
      <c r="L219" t="s">
        <v>52</v>
      </c>
    </row>
    <row r="220" spans="1:12">
      <c r="A220">
        <v>300017</v>
      </c>
      <c r="B220" t="s">
        <v>386</v>
      </c>
      <c r="C220" t="s">
        <v>43</v>
      </c>
      <c r="D220" t="s">
        <v>44</v>
      </c>
      <c r="E220" t="s">
        <v>17</v>
      </c>
      <c r="F220" t="s">
        <v>66</v>
      </c>
      <c r="G220" t="s">
        <v>387</v>
      </c>
      <c r="H220" t="s">
        <v>334</v>
      </c>
      <c r="I220" t="s">
        <v>189</v>
      </c>
      <c r="J220" t="s">
        <v>22</v>
      </c>
      <c r="K220" t="s">
        <v>282</v>
      </c>
      <c r="L220" t="s">
        <v>47</v>
      </c>
    </row>
    <row r="221" spans="1:12">
      <c r="A221">
        <v>300018</v>
      </c>
      <c r="B221" t="s">
        <v>388</v>
      </c>
      <c r="C221" t="s">
        <v>43</v>
      </c>
      <c r="D221" t="s">
        <v>49</v>
      </c>
      <c r="E221" t="s">
        <v>34</v>
      </c>
      <c r="F221" t="s">
        <v>66</v>
      </c>
      <c r="G221" t="s">
        <v>387</v>
      </c>
      <c r="H221" t="s">
        <v>334</v>
      </c>
      <c r="I221" t="s">
        <v>189</v>
      </c>
      <c r="J221" t="s">
        <v>22</v>
      </c>
      <c r="K221" t="s">
        <v>288</v>
      </c>
      <c r="L221" t="s">
        <v>55</v>
      </c>
    </row>
    <row r="222" spans="1:12">
      <c r="A222">
        <v>300019</v>
      </c>
      <c r="B222" t="s">
        <v>389</v>
      </c>
      <c r="C222" t="s">
        <v>15</v>
      </c>
      <c r="D222" t="s">
        <v>16</v>
      </c>
      <c r="E222" t="s">
        <v>17</v>
      </c>
      <c r="F222" t="s">
        <v>66</v>
      </c>
      <c r="G222" t="s">
        <v>122</v>
      </c>
      <c r="H222" t="s">
        <v>334</v>
      </c>
      <c r="I222" t="s">
        <v>21</v>
      </c>
      <c r="J222" t="s">
        <v>22</v>
      </c>
      <c r="K222" t="s">
        <v>137</v>
      </c>
      <c r="L222" t="s">
        <v>24</v>
      </c>
    </row>
    <row r="223" spans="1:12">
      <c r="A223">
        <v>300020</v>
      </c>
      <c r="B223" t="s">
        <v>390</v>
      </c>
      <c r="C223" t="s">
        <v>15</v>
      </c>
      <c r="D223" t="s">
        <v>16</v>
      </c>
      <c r="E223" t="s">
        <v>34</v>
      </c>
      <c r="F223" t="s">
        <v>66</v>
      </c>
      <c r="G223" t="s">
        <v>122</v>
      </c>
      <c r="H223" t="s">
        <v>334</v>
      </c>
      <c r="I223" t="s">
        <v>21</v>
      </c>
      <c r="J223" t="s">
        <v>22</v>
      </c>
      <c r="K223" t="s">
        <v>142</v>
      </c>
      <c r="L223" t="s">
        <v>36</v>
      </c>
    </row>
    <row r="224" spans="1:12">
      <c r="A224">
        <v>300021</v>
      </c>
      <c r="B224" t="s">
        <v>391</v>
      </c>
      <c r="C224" t="s">
        <v>15</v>
      </c>
      <c r="D224" t="s">
        <v>65</v>
      </c>
      <c r="E224" t="s">
        <v>34</v>
      </c>
      <c r="F224" t="s">
        <v>66</v>
      </c>
      <c r="G224" t="s">
        <v>392</v>
      </c>
      <c r="H224" t="s">
        <v>334</v>
      </c>
      <c r="I224" t="s">
        <v>21</v>
      </c>
      <c r="J224" t="s">
        <v>22</v>
      </c>
      <c r="K224" t="s">
        <v>142</v>
      </c>
      <c r="L224" t="s">
        <v>36</v>
      </c>
    </row>
    <row r="225" spans="1:12">
      <c r="A225">
        <v>300022</v>
      </c>
      <c r="B225" t="s">
        <v>393</v>
      </c>
      <c r="C225" t="s">
        <v>15</v>
      </c>
      <c r="D225" t="s">
        <v>65</v>
      </c>
      <c r="E225" t="s">
        <v>17</v>
      </c>
      <c r="F225" t="s">
        <v>66</v>
      </c>
      <c r="G225" t="s">
        <v>392</v>
      </c>
      <c r="H225" t="s">
        <v>334</v>
      </c>
      <c r="I225" t="s">
        <v>21</v>
      </c>
      <c r="J225" t="s">
        <v>22</v>
      </c>
      <c r="K225" t="s">
        <v>137</v>
      </c>
      <c r="L225" t="s">
        <v>24</v>
      </c>
    </row>
    <row r="226" spans="1:12">
      <c r="A226">
        <v>300023</v>
      </c>
      <c r="B226" t="s">
        <v>394</v>
      </c>
      <c r="C226" t="s">
        <v>15</v>
      </c>
      <c r="D226" t="s">
        <v>65</v>
      </c>
      <c r="E226" t="s">
        <v>17</v>
      </c>
      <c r="F226" t="s">
        <v>66</v>
      </c>
      <c r="G226" t="s">
        <v>122</v>
      </c>
      <c r="H226" t="s">
        <v>334</v>
      </c>
      <c r="I226" t="s">
        <v>21</v>
      </c>
      <c r="J226" t="s">
        <v>22</v>
      </c>
      <c r="K226" t="s">
        <v>137</v>
      </c>
      <c r="L226" t="s">
        <v>24</v>
      </c>
    </row>
    <row r="227" spans="1:12">
      <c r="A227">
        <v>300024</v>
      </c>
      <c r="B227" t="s">
        <v>395</v>
      </c>
      <c r="C227" t="s">
        <v>43</v>
      </c>
      <c r="D227" t="s">
        <v>65</v>
      </c>
      <c r="E227" t="s">
        <v>17</v>
      </c>
      <c r="F227" t="s">
        <v>66</v>
      </c>
      <c r="G227" t="s">
        <v>337</v>
      </c>
      <c r="H227" t="s">
        <v>334</v>
      </c>
      <c r="I227" t="s">
        <v>166</v>
      </c>
      <c r="J227" t="s">
        <v>22</v>
      </c>
      <c r="K227" t="s">
        <v>396</v>
      </c>
      <c r="L227" t="s">
        <v>52</v>
      </c>
    </row>
    <row r="228" spans="1:12">
      <c r="A228">
        <v>300025</v>
      </c>
      <c r="B228" t="s">
        <v>397</v>
      </c>
      <c r="C228" t="s">
        <v>64</v>
      </c>
      <c r="D228" t="s">
        <v>65</v>
      </c>
      <c r="E228" t="s">
        <v>17</v>
      </c>
      <c r="F228" t="s">
        <v>66</v>
      </c>
      <c r="G228" t="s">
        <v>337</v>
      </c>
      <c r="H228" t="s">
        <v>334</v>
      </c>
      <c r="I228" t="s">
        <v>166</v>
      </c>
      <c r="J228" t="s">
        <v>22</v>
      </c>
      <c r="K228" t="s">
        <v>164</v>
      </c>
      <c r="L228" t="s">
        <v>68</v>
      </c>
    </row>
    <row r="229" spans="1:12">
      <c r="A229">
        <v>300026</v>
      </c>
      <c r="B229" t="s">
        <v>398</v>
      </c>
      <c r="C229" t="s">
        <v>64</v>
      </c>
      <c r="D229" t="s">
        <v>65</v>
      </c>
      <c r="E229" t="s">
        <v>34</v>
      </c>
      <c r="F229" t="s">
        <v>66</v>
      </c>
      <c r="G229" t="s">
        <v>337</v>
      </c>
      <c r="H229" t="s">
        <v>334</v>
      </c>
      <c r="I229" t="s">
        <v>166</v>
      </c>
      <c r="J229" t="s">
        <v>22</v>
      </c>
      <c r="K229" t="s">
        <v>341</v>
      </c>
      <c r="L229" t="s">
        <v>180</v>
      </c>
    </row>
    <row r="230" spans="1:12">
      <c r="A230">
        <v>300027</v>
      </c>
      <c r="B230" t="s">
        <v>399</v>
      </c>
      <c r="C230" t="s">
        <v>116</v>
      </c>
      <c r="D230" t="s">
        <v>65</v>
      </c>
      <c r="E230" t="s">
        <v>17</v>
      </c>
      <c r="F230" t="s">
        <v>66</v>
      </c>
      <c r="G230" t="s">
        <v>122</v>
      </c>
      <c r="H230" t="s">
        <v>95</v>
      </c>
      <c r="I230" t="s">
        <v>114</v>
      </c>
      <c r="J230" t="s">
        <v>22</v>
      </c>
      <c r="K230" t="s">
        <v>123</v>
      </c>
      <c r="L230" t="s">
        <v>120</v>
      </c>
    </row>
    <row r="231" spans="1:12">
      <c r="A231">
        <v>300028</v>
      </c>
      <c r="B231" t="s">
        <v>400</v>
      </c>
      <c r="C231" t="s">
        <v>15</v>
      </c>
      <c r="D231" t="s">
        <v>65</v>
      </c>
      <c r="E231" t="s">
        <v>34</v>
      </c>
      <c r="F231" t="s">
        <v>66</v>
      </c>
      <c r="G231" t="s">
        <v>122</v>
      </c>
      <c r="H231" t="s">
        <v>334</v>
      </c>
      <c r="I231" t="s">
        <v>21</v>
      </c>
      <c r="J231" t="s">
        <v>22</v>
      </c>
      <c r="K231" t="s">
        <v>142</v>
      </c>
      <c r="L231" t="s">
        <v>36</v>
      </c>
    </row>
    <row r="232" spans="1:12">
      <c r="A232">
        <v>300029</v>
      </c>
      <c r="B232" t="s">
        <v>401</v>
      </c>
      <c r="C232" t="s">
        <v>43</v>
      </c>
      <c r="D232" t="s">
        <v>65</v>
      </c>
      <c r="E232" t="s">
        <v>17</v>
      </c>
      <c r="F232" t="s">
        <v>66</v>
      </c>
      <c r="G232" t="s">
        <v>392</v>
      </c>
      <c r="H232" t="s">
        <v>334</v>
      </c>
      <c r="I232" t="s">
        <v>21</v>
      </c>
      <c r="J232" t="s">
        <v>22</v>
      </c>
      <c r="K232" t="s">
        <v>396</v>
      </c>
      <c r="L232" t="s">
        <v>47</v>
      </c>
    </row>
    <row r="233" spans="1:12">
      <c r="A233">
        <v>300030</v>
      </c>
      <c r="B233" t="s">
        <v>402</v>
      </c>
      <c r="C233" t="s">
        <v>43</v>
      </c>
      <c r="D233" t="s">
        <v>44</v>
      </c>
      <c r="E233" t="s">
        <v>17</v>
      </c>
      <c r="F233" t="s">
        <v>66</v>
      </c>
      <c r="G233" t="s">
        <v>387</v>
      </c>
      <c r="H233" t="s">
        <v>334</v>
      </c>
      <c r="I233" t="s">
        <v>21</v>
      </c>
      <c r="J233" t="s">
        <v>22</v>
      </c>
      <c r="K233" t="s">
        <v>282</v>
      </c>
      <c r="L233" t="s">
        <v>47</v>
      </c>
    </row>
    <row r="234" spans="1:12">
      <c r="A234">
        <v>300031</v>
      </c>
      <c r="B234" t="s">
        <v>403</v>
      </c>
      <c r="C234" t="s">
        <v>43</v>
      </c>
      <c r="D234" t="s">
        <v>65</v>
      </c>
      <c r="E234" t="s">
        <v>17</v>
      </c>
      <c r="F234" t="s">
        <v>66</v>
      </c>
      <c r="G234" t="s">
        <v>122</v>
      </c>
      <c r="H234" t="s">
        <v>334</v>
      </c>
      <c r="I234" t="s">
        <v>189</v>
      </c>
      <c r="J234" t="s">
        <v>22</v>
      </c>
      <c r="K234" t="s">
        <v>396</v>
      </c>
      <c r="L234" t="s">
        <v>52</v>
      </c>
    </row>
    <row r="235" spans="1:12">
      <c r="A235">
        <v>300032</v>
      </c>
      <c r="B235" t="s">
        <v>404</v>
      </c>
      <c r="C235" t="s">
        <v>15</v>
      </c>
      <c r="D235" t="s">
        <v>65</v>
      </c>
      <c r="E235" t="s">
        <v>34</v>
      </c>
      <c r="F235" t="s">
        <v>66</v>
      </c>
      <c r="G235" t="s">
        <v>122</v>
      </c>
      <c r="H235" t="s">
        <v>334</v>
      </c>
      <c r="I235" t="s">
        <v>21</v>
      </c>
      <c r="J235" t="s">
        <v>22</v>
      </c>
      <c r="K235" t="s">
        <v>142</v>
      </c>
      <c r="L235" t="s">
        <v>36</v>
      </c>
    </row>
    <row r="236" spans="1:12">
      <c r="A236">
        <v>300033</v>
      </c>
      <c r="B236" t="s">
        <v>405</v>
      </c>
      <c r="C236" t="s">
        <v>15</v>
      </c>
      <c r="D236" t="s">
        <v>65</v>
      </c>
      <c r="E236" t="s">
        <v>17</v>
      </c>
      <c r="F236" t="s">
        <v>66</v>
      </c>
      <c r="G236" t="s">
        <v>406</v>
      </c>
      <c r="H236" t="s">
        <v>244</v>
      </c>
      <c r="I236" t="s">
        <v>21</v>
      </c>
      <c r="J236" t="s">
        <v>185</v>
      </c>
      <c r="K236" t="s">
        <v>407</v>
      </c>
      <c r="L236" t="s">
        <v>24</v>
      </c>
    </row>
    <row r="237" spans="1:12">
      <c r="A237">
        <v>300034</v>
      </c>
      <c r="B237" t="s">
        <v>408</v>
      </c>
      <c r="C237" t="s">
        <v>15</v>
      </c>
      <c r="D237" t="s">
        <v>192</v>
      </c>
      <c r="E237" t="s">
        <v>17</v>
      </c>
      <c r="F237" t="s">
        <v>66</v>
      </c>
      <c r="G237" t="s">
        <v>122</v>
      </c>
      <c r="H237" t="s">
        <v>334</v>
      </c>
      <c r="I237" t="s">
        <v>21</v>
      </c>
      <c r="J237" t="s">
        <v>22</v>
      </c>
      <c r="K237" t="s">
        <v>203</v>
      </c>
      <c r="L237" t="s">
        <v>194</v>
      </c>
    </row>
    <row r="238" spans="1:12">
      <c r="A238">
        <v>300035</v>
      </c>
      <c r="B238" t="s">
        <v>409</v>
      </c>
      <c r="C238" t="s">
        <v>15</v>
      </c>
      <c r="D238" t="s">
        <v>192</v>
      </c>
      <c r="E238" t="s">
        <v>34</v>
      </c>
      <c r="F238" t="s">
        <v>66</v>
      </c>
      <c r="G238" t="s">
        <v>122</v>
      </c>
      <c r="H238" t="s">
        <v>334</v>
      </c>
      <c r="I238" t="s">
        <v>21</v>
      </c>
      <c r="J238" t="s">
        <v>22</v>
      </c>
      <c r="K238" t="s">
        <v>205</v>
      </c>
      <c r="L238" t="s">
        <v>198</v>
      </c>
    </row>
    <row r="239" spans="1:12">
      <c r="A239">
        <v>300036</v>
      </c>
      <c r="B239" t="s">
        <v>410</v>
      </c>
      <c r="C239" t="s">
        <v>15</v>
      </c>
      <c r="D239" t="s">
        <v>192</v>
      </c>
      <c r="E239" t="s">
        <v>17</v>
      </c>
      <c r="F239" t="s">
        <v>66</v>
      </c>
      <c r="G239" t="s">
        <v>122</v>
      </c>
      <c r="H239" t="s">
        <v>334</v>
      </c>
      <c r="I239" t="s">
        <v>21</v>
      </c>
      <c r="J239" t="s">
        <v>22</v>
      </c>
      <c r="K239" t="s">
        <v>203</v>
      </c>
      <c r="L239" t="s">
        <v>194</v>
      </c>
    </row>
    <row r="240" spans="1:12">
      <c r="A240">
        <v>300037</v>
      </c>
      <c r="B240" t="s">
        <v>411</v>
      </c>
      <c r="C240" t="s">
        <v>15</v>
      </c>
      <c r="D240" t="s">
        <v>192</v>
      </c>
      <c r="E240" t="s">
        <v>34</v>
      </c>
      <c r="F240" t="s">
        <v>66</v>
      </c>
      <c r="G240" t="s">
        <v>122</v>
      </c>
      <c r="H240" t="s">
        <v>334</v>
      </c>
      <c r="I240" t="s">
        <v>21</v>
      </c>
      <c r="J240" t="s">
        <v>22</v>
      </c>
      <c r="K240" t="s">
        <v>205</v>
      </c>
      <c r="L240" t="s">
        <v>198</v>
      </c>
    </row>
    <row r="241" spans="1:12">
      <c r="A241">
        <v>300038</v>
      </c>
      <c r="B241" t="s">
        <v>412</v>
      </c>
      <c r="C241" t="s">
        <v>15</v>
      </c>
      <c r="D241" t="s">
        <v>192</v>
      </c>
      <c r="E241" t="s">
        <v>17</v>
      </c>
      <c r="F241" t="s">
        <v>66</v>
      </c>
      <c r="G241" t="s">
        <v>122</v>
      </c>
      <c r="H241" t="s">
        <v>334</v>
      </c>
      <c r="I241" t="s">
        <v>21</v>
      </c>
      <c r="J241" t="s">
        <v>22</v>
      </c>
      <c r="K241" t="s">
        <v>137</v>
      </c>
      <c r="L241" t="s">
        <v>194</v>
      </c>
    </row>
    <row r="242" spans="1:12">
      <c r="A242">
        <v>300039</v>
      </c>
      <c r="B242" t="s">
        <v>413</v>
      </c>
      <c r="C242" t="s">
        <v>15</v>
      </c>
      <c r="D242" t="s">
        <v>192</v>
      </c>
      <c r="E242" t="s">
        <v>34</v>
      </c>
      <c r="F242" t="s">
        <v>66</v>
      </c>
      <c r="G242" t="s">
        <v>122</v>
      </c>
      <c r="H242" t="s">
        <v>334</v>
      </c>
      <c r="I242" t="s">
        <v>21</v>
      </c>
      <c r="J242" t="s">
        <v>22</v>
      </c>
      <c r="K242" t="s">
        <v>142</v>
      </c>
      <c r="L242" t="s">
        <v>198</v>
      </c>
    </row>
    <row r="243" spans="1:12">
      <c r="A243">
        <v>300040</v>
      </c>
      <c r="B243" t="s">
        <v>414</v>
      </c>
      <c r="C243" t="s">
        <v>15</v>
      </c>
      <c r="D243" t="s">
        <v>65</v>
      </c>
      <c r="E243" t="s">
        <v>34</v>
      </c>
      <c r="F243" t="s">
        <v>66</v>
      </c>
      <c r="G243" t="s">
        <v>406</v>
      </c>
      <c r="H243" t="s">
        <v>244</v>
      </c>
      <c r="I243" t="s">
        <v>21</v>
      </c>
      <c r="J243" t="s">
        <v>185</v>
      </c>
      <c r="K243" t="s">
        <v>415</v>
      </c>
      <c r="L243" t="s">
        <v>36</v>
      </c>
    </row>
    <row r="244" spans="1:12">
      <c r="A244">
        <v>300041</v>
      </c>
      <c r="B244" t="s">
        <v>416</v>
      </c>
      <c r="C244" t="s">
        <v>15</v>
      </c>
      <c r="D244" t="s">
        <v>65</v>
      </c>
      <c r="E244" t="s">
        <v>17</v>
      </c>
      <c r="F244" t="s">
        <v>66</v>
      </c>
      <c r="G244" t="s">
        <v>122</v>
      </c>
      <c r="H244" t="s">
        <v>334</v>
      </c>
      <c r="I244" t="s">
        <v>217</v>
      </c>
      <c r="J244" t="s">
        <v>22</v>
      </c>
      <c r="K244" t="s">
        <v>137</v>
      </c>
      <c r="L244" t="s">
        <v>24</v>
      </c>
    </row>
    <row r="245" spans="1:12">
      <c r="A245">
        <v>300042</v>
      </c>
      <c r="B245" t="s">
        <v>381</v>
      </c>
      <c r="C245" t="s">
        <v>15</v>
      </c>
      <c r="D245" t="s">
        <v>382</v>
      </c>
      <c r="E245" t="s">
        <v>17</v>
      </c>
      <c r="F245" t="s">
        <v>66</v>
      </c>
      <c r="G245" t="s">
        <v>122</v>
      </c>
      <c r="H245" t="s">
        <v>334</v>
      </c>
      <c r="I245" t="s">
        <v>217</v>
      </c>
      <c r="J245" t="s">
        <v>22</v>
      </c>
      <c r="K245" t="s">
        <v>137</v>
      </c>
      <c r="L245" t="s">
        <v>24</v>
      </c>
    </row>
    <row r="246" spans="1:12">
      <c r="A246">
        <v>300043</v>
      </c>
      <c r="B246" t="s">
        <v>417</v>
      </c>
      <c r="C246" t="s">
        <v>15</v>
      </c>
      <c r="D246" t="s">
        <v>65</v>
      </c>
      <c r="E246" t="s">
        <v>17</v>
      </c>
      <c r="F246" t="s">
        <v>66</v>
      </c>
      <c r="G246" t="s">
        <v>122</v>
      </c>
      <c r="H246" t="s">
        <v>334</v>
      </c>
      <c r="I246" t="s">
        <v>217</v>
      </c>
      <c r="J246" t="s">
        <v>22</v>
      </c>
      <c r="K246" t="s">
        <v>137</v>
      </c>
      <c r="L246" t="s">
        <v>24</v>
      </c>
    </row>
    <row r="247" spans="1:12">
      <c r="A247">
        <v>300044</v>
      </c>
      <c r="B247" t="s">
        <v>418</v>
      </c>
      <c r="C247" t="s">
        <v>15</v>
      </c>
      <c r="D247" t="s">
        <v>65</v>
      </c>
      <c r="E247" t="s">
        <v>17</v>
      </c>
      <c r="F247" t="s">
        <v>66</v>
      </c>
      <c r="G247" t="s">
        <v>392</v>
      </c>
      <c r="H247" t="s">
        <v>334</v>
      </c>
      <c r="I247" t="s">
        <v>217</v>
      </c>
      <c r="J247" t="s">
        <v>22</v>
      </c>
      <c r="K247" t="s">
        <v>137</v>
      </c>
      <c r="L247" t="s">
        <v>24</v>
      </c>
    </row>
    <row r="248" spans="1:12">
      <c r="A248">
        <v>300045</v>
      </c>
      <c r="B248" t="s">
        <v>419</v>
      </c>
      <c r="C248" t="s">
        <v>15</v>
      </c>
      <c r="D248" t="s">
        <v>65</v>
      </c>
      <c r="E248" t="s">
        <v>17</v>
      </c>
      <c r="F248" t="s">
        <v>66</v>
      </c>
      <c r="G248" t="s">
        <v>406</v>
      </c>
      <c r="H248" t="s">
        <v>244</v>
      </c>
      <c r="I248" t="s">
        <v>217</v>
      </c>
      <c r="J248" t="s">
        <v>185</v>
      </c>
      <c r="K248" t="s">
        <v>407</v>
      </c>
      <c r="L248" t="s">
        <v>24</v>
      </c>
    </row>
    <row r="249" spans="1:12">
      <c r="A249">
        <v>400001</v>
      </c>
      <c r="B249" t="s">
        <v>420</v>
      </c>
      <c r="C249" t="s">
        <v>43</v>
      </c>
      <c r="D249" t="s">
        <v>44</v>
      </c>
      <c r="E249" t="s">
        <v>17</v>
      </c>
      <c r="F249" t="s">
        <v>66</v>
      </c>
      <c r="G249" t="s">
        <v>243</v>
      </c>
      <c r="H249" t="s">
        <v>421</v>
      </c>
      <c r="I249" t="s">
        <v>300</v>
      </c>
      <c r="J249" t="s">
        <v>300</v>
      </c>
      <c r="K249" t="s">
        <v>422</v>
      </c>
      <c r="L249" t="s">
        <v>47</v>
      </c>
    </row>
    <row r="250" spans="1:12">
      <c r="A250">
        <v>400002</v>
      </c>
      <c r="B250" t="s">
        <v>423</v>
      </c>
      <c r="C250" t="s">
        <v>43</v>
      </c>
      <c r="D250" t="s">
        <v>89</v>
      </c>
      <c r="E250" t="s">
        <v>17</v>
      </c>
      <c r="F250" t="s">
        <v>66</v>
      </c>
      <c r="G250" t="s">
        <v>243</v>
      </c>
      <c r="H250" t="s">
        <v>421</v>
      </c>
      <c r="I250" t="s">
        <v>300</v>
      </c>
      <c r="J250" t="s">
        <v>300</v>
      </c>
      <c r="K250" t="s">
        <v>424</v>
      </c>
      <c r="L250" t="s">
        <v>174</v>
      </c>
    </row>
    <row r="251" spans="1:12">
      <c r="A251">
        <v>400003</v>
      </c>
      <c r="B251" t="s">
        <v>425</v>
      </c>
      <c r="C251" t="s">
        <v>15</v>
      </c>
      <c r="D251" t="s">
        <v>16</v>
      </c>
      <c r="E251" t="s">
        <v>17</v>
      </c>
      <c r="F251" t="s">
        <v>66</v>
      </c>
      <c r="G251" t="s">
        <v>243</v>
      </c>
      <c r="H251" t="s">
        <v>421</v>
      </c>
      <c r="I251" t="s">
        <v>300</v>
      </c>
      <c r="J251" t="s">
        <v>300</v>
      </c>
      <c r="K251" t="s">
        <v>407</v>
      </c>
      <c r="L251" t="s">
        <v>24</v>
      </c>
    </row>
    <row r="252" spans="1:12">
      <c r="A252">
        <v>400004</v>
      </c>
      <c r="B252" t="s">
        <v>426</v>
      </c>
      <c r="C252" t="s">
        <v>15</v>
      </c>
      <c r="D252" t="s">
        <v>29</v>
      </c>
      <c r="E252" t="s">
        <v>17</v>
      </c>
      <c r="F252" t="s">
        <v>66</v>
      </c>
      <c r="G252" t="s">
        <v>243</v>
      </c>
      <c r="H252" t="s">
        <v>421</v>
      </c>
      <c r="I252" t="s">
        <v>300</v>
      </c>
      <c r="J252" t="s">
        <v>300</v>
      </c>
      <c r="K252" t="s">
        <v>427</v>
      </c>
      <c r="L252" t="s">
        <v>31</v>
      </c>
    </row>
    <row r="253" spans="1:12">
      <c r="A253">
        <v>400005</v>
      </c>
      <c r="B253" t="s">
        <v>428</v>
      </c>
      <c r="C253" t="s">
        <v>43</v>
      </c>
      <c r="D253" t="s">
        <v>44</v>
      </c>
      <c r="E253" t="s">
        <v>34</v>
      </c>
      <c r="F253" t="s">
        <v>66</v>
      </c>
      <c r="G253" t="s">
        <v>243</v>
      </c>
      <c r="H253" t="s">
        <v>421</v>
      </c>
      <c r="I253" t="s">
        <v>300</v>
      </c>
      <c r="J253" t="s">
        <v>300</v>
      </c>
      <c r="K253" t="s">
        <v>429</v>
      </c>
      <c r="L253" t="s">
        <v>52</v>
      </c>
    </row>
    <row r="254" spans="1:12">
      <c r="A254">
        <v>400006</v>
      </c>
      <c r="B254" t="s">
        <v>430</v>
      </c>
      <c r="C254" t="s">
        <v>43</v>
      </c>
      <c r="D254" t="s">
        <v>89</v>
      </c>
      <c r="E254" t="s">
        <v>34</v>
      </c>
      <c r="F254" t="s">
        <v>66</v>
      </c>
      <c r="G254" t="s">
        <v>243</v>
      </c>
      <c r="H254" t="s">
        <v>421</v>
      </c>
      <c r="I254" t="s">
        <v>300</v>
      </c>
      <c r="J254" t="s">
        <v>300</v>
      </c>
      <c r="K254" t="s">
        <v>431</v>
      </c>
      <c r="L254" t="s">
        <v>91</v>
      </c>
    </row>
    <row r="255" spans="1:12">
      <c r="A255">
        <v>400007</v>
      </c>
      <c r="B255" t="s">
        <v>432</v>
      </c>
      <c r="C255" t="s">
        <v>15</v>
      </c>
      <c r="D255" t="s">
        <v>16</v>
      </c>
      <c r="E255" t="s">
        <v>34</v>
      </c>
      <c r="F255" t="s">
        <v>66</v>
      </c>
      <c r="G255" t="s">
        <v>243</v>
      </c>
      <c r="H255" t="s">
        <v>421</v>
      </c>
      <c r="I255" t="s">
        <v>300</v>
      </c>
      <c r="J255" t="s">
        <v>300</v>
      </c>
      <c r="K255" t="s">
        <v>415</v>
      </c>
      <c r="L255" t="s">
        <v>36</v>
      </c>
    </row>
    <row r="256" spans="1:12">
      <c r="A256">
        <v>400008</v>
      </c>
      <c r="B256" t="s">
        <v>433</v>
      </c>
      <c r="C256" t="s">
        <v>15</v>
      </c>
      <c r="D256" t="s">
        <v>29</v>
      </c>
      <c r="E256" t="s">
        <v>34</v>
      </c>
      <c r="F256" t="s">
        <v>66</v>
      </c>
      <c r="G256" t="s">
        <v>243</v>
      </c>
      <c r="H256" t="s">
        <v>421</v>
      </c>
      <c r="I256" t="s">
        <v>300</v>
      </c>
      <c r="J256" t="s">
        <v>300</v>
      </c>
      <c r="K256" t="s">
        <v>434</v>
      </c>
      <c r="L256" t="s">
        <v>31</v>
      </c>
    </row>
    <row r="257" spans="1:12">
      <c r="A257">
        <v>400009</v>
      </c>
      <c r="B257" t="s">
        <v>435</v>
      </c>
      <c r="C257" t="s">
        <v>43</v>
      </c>
      <c r="D257" t="s">
        <v>44</v>
      </c>
      <c r="E257" t="s">
        <v>17</v>
      </c>
      <c r="F257" t="s">
        <v>66</v>
      </c>
      <c r="G257" t="s">
        <v>122</v>
      </c>
      <c r="H257" t="s">
        <v>421</v>
      </c>
      <c r="I257" t="s">
        <v>300</v>
      </c>
      <c r="J257" t="s">
        <v>300</v>
      </c>
      <c r="K257" t="s">
        <v>422</v>
      </c>
      <c r="L257" t="s">
        <v>47</v>
      </c>
    </row>
    <row r="258" spans="1:12">
      <c r="A258">
        <v>400010</v>
      </c>
      <c r="B258" t="s">
        <v>436</v>
      </c>
      <c r="C258" t="s">
        <v>43</v>
      </c>
      <c r="D258" t="s">
        <v>89</v>
      </c>
      <c r="E258" t="s">
        <v>17</v>
      </c>
      <c r="F258" t="s">
        <v>66</v>
      </c>
      <c r="G258" t="s">
        <v>122</v>
      </c>
      <c r="H258" t="s">
        <v>421</v>
      </c>
      <c r="I258" t="s">
        <v>300</v>
      </c>
      <c r="J258" t="s">
        <v>300</v>
      </c>
      <c r="K258" t="s">
        <v>424</v>
      </c>
      <c r="L258" t="s">
        <v>174</v>
      </c>
    </row>
    <row r="259" spans="1:12">
      <c r="A259">
        <v>400011</v>
      </c>
      <c r="B259" t="s">
        <v>437</v>
      </c>
      <c r="C259" t="s">
        <v>15</v>
      </c>
      <c r="D259" t="s">
        <v>16</v>
      </c>
      <c r="E259" t="s">
        <v>17</v>
      </c>
      <c r="F259" t="s">
        <v>66</v>
      </c>
      <c r="G259" t="s">
        <v>122</v>
      </c>
      <c r="H259" t="s">
        <v>421</v>
      </c>
      <c r="I259" t="s">
        <v>300</v>
      </c>
      <c r="J259" t="s">
        <v>300</v>
      </c>
      <c r="K259" t="s">
        <v>407</v>
      </c>
      <c r="L259" t="s">
        <v>24</v>
      </c>
    </row>
    <row r="260" spans="1:12">
      <c r="A260">
        <v>400012</v>
      </c>
      <c r="B260" t="s">
        <v>438</v>
      </c>
      <c r="C260" t="s">
        <v>15</v>
      </c>
      <c r="D260" t="s">
        <v>29</v>
      </c>
      <c r="E260" t="s">
        <v>17</v>
      </c>
      <c r="F260" t="s">
        <v>66</v>
      </c>
      <c r="G260" t="s">
        <v>122</v>
      </c>
      <c r="H260" t="s">
        <v>421</v>
      </c>
      <c r="I260" t="s">
        <v>300</v>
      </c>
      <c r="J260" t="s">
        <v>300</v>
      </c>
      <c r="K260" t="s">
        <v>427</v>
      </c>
      <c r="L260" t="s">
        <v>31</v>
      </c>
    </row>
    <row r="261" spans="1:12">
      <c r="A261">
        <v>400013</v>
      </c>
      <c r="B261" t="s">
        <v>439</v>
      </c>
      <c r="C261" t="s">
        <v>43</v>
      </c>
      <c r="D261" t="s">
        <v>44</v>
      </c>
      <c r="E261" t="s">
        <v>34</v>
      </c>
      <c r="F261" t="s">
        <v>66</v>
      </c>
      <c r="G261" t="s">
        <v>122</v>
      </c>
      <c r="H261" t="s">
        <v>421</v>
      </c>
      <c r="I261" t="s">
        <v>300</v>
      </c>
      <c r="J261" t="s">
        <v>300</v>
      </c>
      <c r="K261" t="s">
        <v>429</v>
      </c>
      <c r="L261" t="s">
        <v>52</v>
      </c>
    </row>
    <row r="262" spans="1:12">
      <c r="A262">
        <v>400014</v>
      </c>
      <c r="B262" t="s">
        <v>440</v>
      </c>
      <c r="C262" t="s">
        <v>43</v>
      </c>
      <c r="D262" t="s">
        <v>89</v>
      </c>
      <c r="E262" t="s">
        <v>34</v>
      </c>
      <c r="F262" t="s">
        <v>66</v>
      </c>
      <c r="G262" t="s">
        <v>122</v>
      </c>
      <c r="H262" t="s">
        <v>421</v>
      </c>
      <c r="I262" t="s">
        <v>300</v>
      </c>
      <c r="J262" t="s">
        <v>300</v>
      </c>
      <c r="K262" t="s">
        <v>431</v>
      </c>
      <c r="L262" t="s">
        <v>91</v>
      </c>
    </row>
    <row r="263" spans="1:12">
      <c r="A263">
        <v>400015</v>
      </c>
      <c r="B263" t="s">
        <v>441</v>
      </c>
      <c r="C263" t="s">
        <v>15</v>
      </c>
      <c r="D263" t="s">
        <v>16</v>
      </c>
      <c r="E263" t="s">
        <v>34</v>
      </c>
      <c r="F263" t="s">
        <v>66</v>
      </c>
      <c r="G263" t="s">
        <v>122</v>
      </c>
      <c r="H263" t="s">
        <v>421</v>
      </c>
      <c r="I263" t="s">
        <v>300</v>
      </c>
      <c r="J263" t="s">
        <v>300</v>
      </c>
      <c r="K263" t="s">
        <v>415</v>
      </c>
      <c r="L263" t="s">
        <v>36</v>
      </c>
    </row>
    <row r="264" spans="1:12">
      <c r="A264">
        <v>400016</v>
      </c>
      <c r="B264" t="s">
        <v>442</v>
      </c>
      <c r="C264" t="s">
        <v>15</v>
      </c>
      <c r="D264" t="s">
        <v>29</v>
      </c>
      <c r="E264" t="s">
        <v>34</v>
      </c>
      <c r="F264" t="s">
        <v>66</v>
      </c>
      <c r="G264" t="s">
        <v>122</v>
      </c>
      <c r="H264" t="s">
        <v>421</v>
      </c>
      <c r="I264" t="s">
        <v>300</v>
      </c>
      <c r="J264" t="s">
        <v>300</v>
      </c>
      <c r="K264" t="s">
        <v>434</v>
      </c>
      <c r="L264" t="s">
        <v>40</v>
      </c>
    </row>
    <row r="265" spans="1:12">
      <c r="A265">
        <v>400017</v>
      </c>
      <c r="B265" t="s">
        <v>443</v>
      </c>
      <c r="C265" t="s">
        <v>15</v>
      </c>
      <c r="D265" t="s">
        <v>16</v>
      </c>
      <c r="E265" t="s">
        <v>17</v>
      </c>
      <c r="F265" t="s">
        <v>66</v>
      </c>
      <c r="G265" t="s">
        <v>243</v>
      </c>
      <c r="H265" t="s">
        <v>421</v>
      </c>
      <c r="I265" t="s">
        <v>444</v>
      </c>
      <c r="J265" t="s">
        <v>300</v>
      </c>
      <c r="K265" t="s">
        <v>445</v>
      </c>
      <c r="L265" t="s">
        <v>24</v>
      </c>
    </row>
    <row r="266" spans="1:12">
      <c r="A266">
        <v>400018</v>
      </c>
      <c r="B266" t="s">
        <v>446</v>
      </c>
      <c r="C266" t="s">
        <v>15</v>
      </c>
      <c r="D266" t="s">
        <v>29</v>
      </c>
      <c r="E266" t="s">
        <v>17</v>
      </c>
      <c r="F266" t="s">
        <v>66</v>
      </c>
      <c r="G266" t="s">
        <v>243</v>
      </c>
      <c r="H266" t="s">
        <v>421</v>
      </c>
      <c r="I266" t="s">
        <v>444</v>
      </c>
      <c r="J266" t="s">
        <v>300</v>
      </c>
      <c r="K266" t="s">
        <v>445</v>
      </c>
      <c r="L266" t="s">
        <v>31</v>
      </c>
    </row>
    <row r="267" spans="1:12">
      <c r="A267">
        <v>400019</v>
      </c>
      <c r="B267" t="s">
        <v>447</v>
      </c>
      <c r="C267" t="s">
        <v>15</v>
      </c>
      <c r="D267" t="s">
        <v>16</v>
      </c>
      <c r="E267" t="s">
        <v>34</v>
      </c>
      <c r="F267" t="s">
        <v>66</v>
      </c>
      <c r="G267" t="s">
        <v>243</v>
      </c>
      <c r="H267" t="s">
        <v>421</v>
      </c>
      <c r="I267" t="s">
        <v>444</v>
      </c>
      <c r="J267" t="s">
        <v>300</v>
      </c>
      <c r="K267" t="s">
        <v>445</v>
      </c>
      <c r="L267" t="s">
        <v>36</v>
      </c>
    </row>
    <row r="268" spans="1:12">
      <c r="A268">
        <v>400020</v>
      </c>
      <c r="B268" t="s">
        <v>448</v>
      </c>
      <c r="C268" t="s">
        <v>15</v>
      </c>
      <c r="D268" t="s">
        <v>29</v>
      </c>
      <c r="E268" t="s">
        <v>34</v>
      </c>
      <c r="F268" t="s">
        <v>66</v>
      </c>
      <c r="G268" t="s">
        <v>243</v>
      </c>
      <c r="H268" t="s">
        <v>421</v>
      </c>
      <c r="I268" t="s">
        <v>444</v>
      </c>
      <c r="J268" t="s">
        <v>300</v>
      </c>
      <c r="K268" t="s">
        <v>449</v>
      </c>
      <c r="L268" t="s">
        <v>40</v>
      </c>
    </row>
    <row r="269" spans="1:12">
      <c r="A269">
        <v>400021</v>
      </c>
      <c r="B269" t="s">
        <v>450</v>
      </c>
      <c r="C269" t="s">
        <v>15</v>
      </c>
      <c r="D269" t="s">
        <v>16</v>
      </c>
      <c r="E269" t="s">
        <v>17</v>
      </c>
      <c r="F269" t="s">
        <v>66</v>
      </c>
      <c r="G269" t="s">
        <v>122</v>
      </c>
      <c r="H269" t="s">
        <v>421</v>
      </c>
      <c r="I269" t="s">
        <v>444</v>
      </c>
      <c r="J269" t="s">
        <v>300</v>
      </c>
      <c r="K269" t="s">
        <v>451</v>
      </c>
      <c r="L269" t="s">
        <v>36</v>
      </c>
    </row>
    <row r="270" spans="1:12">
      <c r="A270">
        <v>400022</v>
      </c>
      <c r="B270" t="s">
        <v>452</v>
      </c>
      <c r="C270" t="s">
        <v>15</v>
      </c>
      <c r="D270" t="s">
        <v>29</v>
      </c>
      <c r="E270" t="s">
        <v>17</v>
      </c>
      <c r="F270" t="s">
        <v>66</v>
      </c>
      <c r="G270" t="s">
        <v>122</v>
      </c>
      <c r="H270" t="s">
        <v>421</v>
      </c>
      <c r="I270" t="s">
        <v>444</v>
      </c>
      <c r="J270" t="s">
        <v>300</v>
      </c>
      <c r="K270" t="s">
        <v>453</v>
      </c>
      <c r="L270" t="s">
        <v>31</v>
      </c>
    </row>
    <row r="271" spans="1:12">
      <c r="A271">
        <v>400023</v>
      </c>
      <c r="B271" t="s">
        <v>454</v>
      </c>
      <c r="C271" t="s">
        <v>15</v>
      </c>
      <c r="D271" t="s">
        <v>16</v>
      </c>
      <c r="E271" t="s">
        <v>34</v>
      </c>
      <c r="F271" t="s">
        <v>66</v>
      </c>
      <c r="G271" t="s">
        <v>122</v>
      </c>
      <c r="H271" t="s">
        <v>421</v>
      </c>
      <c r="I271" t="s">
        <v>444</v>
      </c>
      <c r="J271" t="s">
        <v>300</v>
      </c>
      <c r="K271" t="s">
        <v>451</v>
      </c>
      <c r="L271" t="s">
        <v>36</v>
      </c>
    </row>
    <row r="272" spans="1:12">
      <c r="A272">
        <v>400024</v>
      </c>
      <c r="B272" t="s">
        <v>455</v>
      </c>
      <c r="C272" t="s">
        <v>15</v>
      </c>
      <c r="D272" t="s">
        <v>29</v>
      </c>
      <c r="E272" t="s">
        <v>34</v>
      </c>
      <c r="F272" t="s">
        <v>66</v>
      </c>
      <c r="G272" t="s">
        <v>122</v>
      </c>
      <c r="H272" t="s">
        <v>421</v>
      </c>
      <c r="I272" t="s">
        <v>444</v>
      </c>
      <c r="J272" t="s">
        <v>300</v>
      </c>
      <c r="K272" t="s">
        <v>449</v>
      </c>
      <c r="L272" t="s">
        <v>40</v>
      </c>
    </row>
    <row r="273" spans="1:12">
      <c r="A273">
        <v>400025</v>
      </c>
      <c r="B273" t="s">
        <v>456</v>
      </c>
      <c r="C273" t="s">
        <v>43</v>
      </c>
      <c r="D273" t="s">
        <v>49</v>
      </c>
      <c r="E273" t="s">
        <v>34</v>
      </c>
      <c r="F273" t="s">
        <v>66</v>
      </c>
      <c r="G273" t="s">
        <v>243</v>
      </c>
      <c r="H273" t="s">
        <v>421</v>
      </c>
      <c r="I273" t="s">
        <v>300</v>
      </c>
      <c r="J273" t="s">
        <v>300</v>
      </c>
      <c r="K273" t="s">
        <v>457</v>
      </c>
      <c r="L273" t="s">
        <v>55</v>
      </c>
    </row>
    <row r="274" spans="1:12">
      <c r="A274">
        <v>400026</v>
      </c>
      <c r="B274" t="s">
        <v>458</v>
      </c>
      <c r="C274" t="s">
        <v>43</v>
      </c>
      <c r="D274" t="s">
        <v>49</v>
      </c>
      <c r="E274" t="s">
        <v>34</v>
      </c>
      <c r="F274" t="s">
        <v>66</v>
      </c>
      <c r="G274" t="s">
        <v>122</v>
      </c>
      <c r="H274" t="s">
        <v>421</v>
      </c>
      <c r="I274" t="s">
        <v>300</v>
      </c>
      <c r="J274" t="s">
        <v>300</v>
      </c>
      <c r="K274" t="s">
        <v>457</v>
      </c>
      <c r="L274" t="s">
        <v>55</v>
      </c>
    </row>
    <row r="275" spans="1:12">
      <c r="A275">
        <v>400027</v>
      </c>
      <c r="B275" t="s">
        <v>459</v>
      </c>
      <c r="C275" t="s">
        <v>43</v>
      </c>
      <c r="D275" t="s">
        <v>49</v>
      </c>
      <c r="E275" t="s">
        <v>17</v>
      </c>
      <c r="F275" t="s">
        <v>66</v>
      </c>
      <c r="G275" t="s">
        <v>243</v>
      </c>
      <c r="H275" t="s">
        <v>421</v>
      </c>
      <c r="I275" t="s">
        <v>300</v>
      </c>
      <c r="J275" t="s">
        <v>300</v>
      </c>
      <c r="K275" t="s">
        <v>460</v>
      </c>
      <c r="L275" t="s">
        <v>50</v>
      </c>
    </row>
    <row r="276" spans="1:12">
      <c r="A276">
        <v>400028</v>
      </c>
      <c r="B276" t="s">
        <v>461</v>
      </c>
      <c r="C276" t="s">
        <v>43</v>
      </c>
      <c r="D276" t="s">
        <v>49</v>
      </c>
      <c r="E276" t="s">
        <v>17</v>
      </c>
      <c r="F276" t="s">
        <v>66</v>
      </c>
      <c r="G276" t="s">
        <v>122</v>
      </c>
      <c r="H276" t="s">
        <v>421</v>
      </c>
      <c r="I276" t="s">
        <v>300</v>
      </c>
      <c r="J276" t="s">
        <v>300</v>
      </c>
      <c r="K276" t="s">
        <v>460</v>
      </c>
      <c r="L276" t="s">
        <v>50</v>
      </c>
    </row>
    <row r="277" spans="1:12">
      <c r="A277">
        <v>400029</v>
      </c>
      <c r="B277" t="s">
        <v>462</v>
      </c>
      <c r="C277" t="s">
        <v>64</v>
      </c>
      <c r="D277" t="s">
        <v>65</v>
      </c>
      <c r="E277" t="s">
        <v>17</v>
      </c>
      <c r="F277" t="s">
        <v>66</v>
      </c>
      <c r="G277" t="s">
        <v>243</v>
      </c>
      <c r="H277" t="s">
        <v>421</v>
      </c>
      <c r="I277" t="s">
        <v>300</v>
      </c>
      <c r="J277" t="s">
        <v>300</v>
      </c>
      <c r="K277" t="s">
        <v>463</v>
      </c>
      <c r="L277" t="s">
        <v>68</v>
      </c>
    </row>
    <row r="278" spans="1:12">
      <c r="A278">
        <v>400030</v>
      </c>
      <c r="B278" t="s">
        <v>464</v>
      </c>
      <c r="L278" t="s">
        <v>465</v>
      </c>
    </row>
    <row r="279" spans="1:12">
      <c r="A279">
        <v>400031</v>
      </c>
      <c r="B279" t="s">
        <v>466</v>
      </c>
      <c r="L279" t="s">
        <v>465</v>
      </c>
    </row>
    <row r="280" spans="1:12">
      <c r="A280">
        <v>400032</v>
      </c>
      <c r="B280" t="s">
        <v>467</v>
      </c>
      <c r="L280" t="s">
        <v>465</v>
      </c>
    </row>
    <row r="281" spans="1:12">
      <c r="A281">
        <v>400033</v>
      </c>
      <c r="B281" t="s">
        <v>468</v>
      </c>
      <c r="L281" t="s">
        <v>465</v>
      </c>
    </row>
    <row r="282" spans="1:12">
      <c r="A282">
        <v>400034</v>
      </c>
      <c r="B282" t="s">
        <v>469</v>
      </c>
      <c r="L282" t="s">
        <v>465</v>
      </c>
    </row>
    <row r="283" spans="1:12">
      <c r="A283">
        <v>400035</v>
      </c>
      <c r="B283" t="s">
        <v>470</v>
      </c>
      <c r="L283" t="s">
        <v>465</v>
      </c>
    </row>
    <row r="284" spans="1:12">
      <c r="A284">
        <v>400036</v>
      </c>
      <c r="B284" t="s">
        <v>471</v>
      </c>
      <c r="L284" t="s">
        <v>465</v>
      </c>
    </row>
    <row r="285" spans="1:12">
      <c r="A285">
        <v>400037</v>
      </c>
      <c r="B285" t="s">
        <v>472</v>
      </c>
      <c r="L285" t="s">
        <v>465</v>
      </c>
    </row>
    <row r="286" spans="1:12">
      <c r="A286">
        <v>400038</v>
      </c>
      <c r="B286" t="s">
        <v>473</v>
      </c>
      <c r="L286" t="s">
        <v>465</v>
      </c>
    </row>
    <row r="287" spans="1:12">
      <c r="A287">
        <v>400039</v>
      </c>
      <c r="B287" t="s">
        <v>474</v>
      </c>
      <c r="L287" t="s">
        <v>465</v>
      </c>
    </row>
    <row r="288" spans="1:12">
      <c r="A288">
        <v>400040</v>
      </c>
      <c r="B288" t="s">
        <v>475</v>
      </c>
      <c r="L288" t="s">
        <v>465</v>
      </c>
    </row>
    <row r="289" spans="1:12">
      <c r="A289">
        <v>400041</v>
      </c>
      <c r="B289" t="s">
        <v>476</v>
      </c>
      <c r="L289" t="s">
        <v>465</v>
      </c>
    </row>
    <row r="290" spans="1:12">
      <c r="A290">
        <v>400042</v>
      </c>
      <c r="B290" t="s">
        <v>477</v>
      </c>
      <c r="L290" t="s">
        <v>465</v>
      </c>
    </row>
    <row r="291" spans="1:12">
      <c r="A291">
        <v>400043</v>
      </c>
      <c r="B291" t="s">
        <v>478</v>
      </c>
      <c r="L291" t="s">
        <v>465</v>
      </c>
    </row>
    <row r="292" spans="1:12">
      <c r="A292">
        <v>400044</v>
      </c>
      <c r="B292" t="s">
        <v>479</v>
      </c>
      <c r="C292" t="s">
        <v>43</v>
      </c>
      <c r="D292" t="s">
        <v>103</v>
      </c>
      <c r="E292" t="s">
        <v>17</v>
      </c>
      <c r="F292" t="s">
        <v>66</v>
      </c>
      <c r="G292" t="s">
        <v>243</v>
      </c>
      <c r="H292" t="s">
        <v>421</v>
      </c>
      <c r="I292" t="s">
        <v>300</v>
      </c>
      <c r="J292" t="s">
        <v>300</v>
      </c>
      <c r="K292" t="s">
        <v>480</v>
      </c>
      <c r="L292" t="s">
        <v>106</v>
      </c>
    </row>
    <row r="293" spans="1:12">
      <c r="A293">
        <v>400046</v>
      </c>
      <c r="B293" t="s">
        <v>481</v>
      </c>
      <c r="L293" t="s">
        <v>465</v>
      </c>
    </row>
    <row r="294" spans="1:12">
      <c r="A294">
        <v>400047</v>
      </c>
      <c r="B294" t="s">
        <v>482</v>
      </c>
      <c r="L294" t="s">
        <v>465</v>
      </c>
    </row>
    <row r="295" spans="1:12">
      <c r="A295">
        <v>400048</v>
      </c>
      <c r="B295" t="s">
        <v>483</v>
      </c>
      <c r="L295" t="s">
        <v>465</v>
      </c>
    </row>
    <row r="296" spans="1:12">
      <c r="A296">
        <v>400055</v>
      </c>
      <c r="B296" t="s">
        <v>484</v>
      </c>
      <c r="C296" t="s">
        <v>43</v>
      </c>
      <c r="D296" t="s">
        <v>103</v>
      </c>
      <c r="E296" t="s">
        <v>34</v>
      </c>
      <c r="F296" t="s">
        <v>66</v>
      </c>
      <c r="G296" t="s">
        <v>243</v>
      </c>
      <c r="H296" t="s">
        <v>421</v>
      </c>
      <c r="I296" t="s">
        <v>300</v>
      </c>
      <c r="J296" t="s">
        <v>300</v>
      </c>
      <c r="K296" t="s">
        <v>485</v>
      </c>
      <c r="L296" t="s">
        <v>109</v>
      </c>
    </row>
    <row r="297" spans="1:12">
      <c r="A297">
        <v>400056</v>
      </c>
      <c r="B297" t="s">
        <v>486</v>
      </c>
      <c r="C297" t="s">
        <v>64</v>
      </c>
      <c r="D297" t="s">
        <v>65</v>
      </c>
      <c r="E297" t="s">
        <v>34</v>
      </c>
      <c r="F297" t="s">
        <v>66</v>
      </c>
      <c r="G297" t="s">
        <v>243</v>
      </c>
      <c r="H297" t="s">
        <v>421</v>
      </c>
      <c r="I297" t="s">
        <v>300</v>
      </c>
      <c r="J297" t="s">
        <v>300</v>
      </c>
      <c r="K297" t="s">
        <v>487</v>
      </c>
      <c r="L297" t="s">
        <v>180</v>
      </c>
    </row>
    <row r="298" spans="1:12">
      <c r="A298">
        <v>400057</v>
      </c>
      <c r="B298" t="s">
        <v>488</v>
      </c>
      <c r="C298" t="s">
        <v>15</v>
      </c>
      <c r="D298" t="s">
        <v>192</v>
      </c>
      <c r="E298" t="s">
        <v>17</v>
      </c>
      <c r="F298" t="s">
        <v>66</v>
      </c>
      <c r="G298" t="s">
        <v>243</v>
      </c>
      <c r="H298" t="s">
        <v>421</v>
      </c>
      <c r="I298" t="s">
        <v>300</v>
      </c>
      <c r="J298" t="s">
        <v>300</v>
      </c>
      <c r="K298" t="s">
        <v>407</v>
      </c>
      <c r="L298" t="s">
        <v>24</v>
      </c>
    </row>
    <row r="299" spans="1:12">
      <c r="A299">
        <v>400058</v>
      </c>
      <c r="B299" t="s">
        <v>489</v>
      </c>
      <c r="C299" t="s">
        <v>15</v>
      </c>
      <c r="D299" t="s">
        <v>192</v>
      </c>
      <c r="E299" t="s">
        <v>34</v>
      </c>
      <c r="F299" t="s">
        <v>66</v>
      </c>
      <c r="G299" t="s">
        <v>243</v>
      </c>
      <c r="H299" t="s">
        <v>421</v>
      </c>
      <c r="I299" t="s">
        <v>300</v>
      </c>
      <c r="J299" t="s">
        <v>300</v>
      </c>
      <c r="K299" t="s">
        <v>415</v>
      </c>
      <c r="L299" t="s">
        <v>36</v>
      </c>
    </row>
    <row r="300" spans="1:12">
      <c r="A300">
        <v>400059</v>
      </c>
      <c r="B300" t="s">
        <v>490</v>
      </c>
      <c r="C300" t="s">
        <v>15</v>
      </c>
      <c r="D300" t="s">
        <v>192</v>
      </c>
      <c r="E300" t="s">
        <v>17</v>
      </c>
      <c r="F300" t="s">
        <v>66</v>
      </c>
      <c r="G300" t="s">
        <v>491</v>
      </c>
      <c r="H300" t="s">
        <v>334</v>
      </c>
      <c r="I300" t="s">
        <v>300</v>
      </c>
      <c r="J300" t="s">
        <v>300</v>
      </c>
      <c r="K300" t="s">
        <v>203</v>
      </c>
      <c r="L300" t="s">
        <v>194</v>
      </c>
    </row>
    <row r="301" spans="1:12">
      <c r="A301">
        <v>400060</v>
      </c>
      <c r="B301" t="s">
        <v>492</v>
      </c>
      <c r="C301" t="s">
        <v>15</v>
      </c>
      <c r="D301" t="s">
        <v>192</v>
      </c>
      <c r="E301" t="s">
        <v>34</v>
      </c>
      <c r="F301" t="s">
        <v>66</v>
      </c>
      <c r="G301" t="s">
        <v>491</v>
      </c>
      <c r="H301" t="s">
        <v>334</v>
      </c>
      <c r="I301" t="s">
        <v>300</v>
      </c>
      <c r="J301" t="s">
        <v>300</v>
      </c>
      <c r="K301" t="s">
        <v>205</v>
      </c>
      <c r="L301" t="s">
        <v>198</v>
      </c>
    </row>
    <row r="302" spans="1:12">
      <c r="A302">
        <v>400061</v>
      </c>
      <c r="B302" t="s">
        <v>493</v>
      </c>
      <c r="C302" t="s">
        <v>129</v>
      </c>
      <c r="D302" t="s">
        <v>65</v>
      </c>
      <c r="E302" t="s">
        <v>34</v>
      </c>
      <c r="F302" t="s">
        <v>66</v>
      </c>
      <c r="G302" t="s">
        <v>243</v>
      </c>
      <c r="H302" t="s">
        <v>494</v>
      </c>
      <c r="I302" t="s">
        <v>495</v>
      </c>
      <c r="J302" t="s">
        <v>300</v>
      </c>
      <c r="K302" t="s">
        <v>176</v>
      </c>
      <c r="L302" t="s">
        <v>177</v>
      </c>
    </row>
    <row r="303" spans="1:12">
      <c r="A303">
        <v>666666</v>
      </c>
      <c r="B303" t="s">
        <v>496</v>
      </c>
      <c r="C303" t="s">
        <v>93</v>
      </c>
      <c r="D303" t="s">
        <v>125</v>
      </c>
      <c r="E303" t="s">
        <v>17</v>
      </c>
      <c r="F303" t="s">
        <v>18</v>
      </c>
      <c r="G303" t="s">
        <v>19</v>
      </c>
      <c r="H303" t="s">
        <v>95</v>
      </c>
      <c r="I303" t="s">
        <v>497</v>
      </c>
      <c r="J303" t="s">
        <v>22</v>
      </c>
      <c r="L303" t="s">
        <v>465</v>
      </c>
    </row>
    <row r="304" spans="1:12">
      <c r="A304">
        <v>700007</v>
      </c>
      <c r="B304" t="s">
        <v>498</v>
      </c>
      <c r="C304" t="s">
        <v>93</v>
      </c>
      <c r="D304" t="s">
        <v>117</v>
      </c>
      <c r="E304" t="s">
        <v>17</v>
      </c>
      <c r="F304" t="s">
        <v>66</v>
      </c>
      <c r="G304" t="s">
        <v>19</v>
      </c>
      <c r="H304" t="s">
        <v>95</v>
      </c>
      <c r="I304" t="s">
        <v>101</v>
      </c>
      <c r="J304" t="s">
        <v>22</v>
      </c>
      <c r="K304" t="s">
        <v>119</v>
      </c>
      <c r="L304" t="s">
        <v>120</v>
      </c>
    </row>
    <row r="305" spans="1:12">
      <c r="A305">
        <v>700008</v>
      </c>
      <c r="B305" t="s">
        <v>499</v>
      </c>
      <c r="C305" t="s">
        <v>93</v>
      </c>
      <c r="D305" t="s">
        <v>117</v>
      </c>
      <c r="E305" t="s">
        <v>17</v>
      </c>
      <c r="F305" t="s">
        <v>66</v>
      </c>
      <c r="G305" t="s">
        <v>19</v>
      </c>
      <c r="H305" t="s">
        <v>95</v>
      </c>
      <c r="I305" t="s">
        <v>101</v>
      </c>
      <c r="J305" t="s">
        <v>22</v>
      </c>
      <c r="K305" t="s">
        <v>119</v>
      </c>
      <c r="L305" t="s">
        <v>120</v>
      </c>
    </row>
    <row r="306" spans="1:12">
      <c r="A306">
        <v>777777</v>
      </c>
      <c r="B306" t="s">
        <v>500</v>
      </c>
      <c r="C306" t="s">
        <v>406</v>
      </c>
      <c r="D306" t="s">
        <v>65</v>
      </c>
      <c r="E306" t="s">
        <v>17</v>
      </c>
      <c r="F306" t="s">
        <v>66</v>
      </c>
      <c r="G306" t="s">
        <v>406</v>
      </c>
      <c r="H306" t="s">
        <v>244</v>
      </c>
      <c r="I306" t="s">
        <v>368</v>
      </c>
      <c r="J306" t="s">
        <v>368</v>
      </c>
      <c r="L306" t="s">
        <v>465</v>
      </c>
    </row>
    <row r="307" spans="1:12">
      <c r="A307">
        <v>888888</v>
      </c>
      <c r="B307" t="s">
        <v>501</v>
      </c>
      <c r="C307" t="s">
        <v>406</v>
      </c>
      <c r="D307" t="s">
        <v>65</v>
      </c>
      <c r="E307" t="s">
        <v>34</v>
      </c>
      <c r="F307" t="s">
        <v>66</v>
      </c>
      <c r="G307" t="s">
        <v>406</v>
      </c>
      <c r="H307" t="s">
        <v>244</v>
      </c>
      <c r="I307" t="s">
        <v>368</v>
      </c>
      <c r="J307" t="s">
        <v>368</v>
      </c>
      <c r="L307" t="s">
        <v>465</v>
      </c>
    </row>
    <row r="308" spans="1:12">
      <c r="A308">
        <v>900001</v>
      </c>
      <c r="B308" t="s">
        <v>502</v>
      </c>
      <c r="C308" t="s">
        <v>15</v>
      </c>
      <c r="D308" t="s">
        <v>16</v>
      </c>
      <c r="E308" t="s">
        <v>34</v>
      </c>
      <c r="F308" t="s">
        <v>161</v>
      </c>
      <c r="G308" t="s">
        <v>19</v>
      </c>
      <c r="H308" t="s">
        <v>95</v>
      </c>
      <c r="I308" t="s">
        <v>114</v>
      </c>
      <c r="J308" t="s">
        <v>22</v>
      </c>
      <c r="K308" t="s">
        <v>503</v>
      </c>
      <c r="L308" t="s">
        <v>36</v>
      </c>
    </row>
    <row r="309" spans="1:12">
      <c r="A309">
        <v>900002</v>
      </c>
      <c r="B309" t="s">
        <v>504</v>
      </c>
      <c r="C309" t="s">
        <v>505</v>
      </c>
      <c r="D309" t="s">
        <v>117</v>
      </c>
      <c r="E309" t="s">
        <v>34</v>
      </c>
      <c r="F309" t="s">
        <v>66</v>
      </c>
      <c r="G309" t="s">
        <v>19</v>
      </c>
      <c r="H309" t="s">
        <v>95</v>
      </c>
      <c r="I309" t="s">
        <v>114</v>
      </c>
      <c r="J309" t="s">
        <v>22</v>
      </c>
      <c r="K309" t="s">
        <v>506</v>
      </c>
      <c r="L309" t="s">
        <v>507</v>
      </c>
    </row>
    <row r="310" spans="1:12">
      <c r="A310">
        <v>700009</v>
      </c>
      <c r="B310" t="s">
        <v>508</v>
      </c>
      <c r="C310" t="s">
        <v>509</v>
      </c>
      <c r="D310" t="s">
        <v>117</v>
      </c>
      <c r="E310" t="s">
        <v>34</v>
      </c>
      <c r="F310" t="s">
        <v>66</v>
      </c>
      <c r="G310" t="s">
        <v>491</v>
      </c>
      <c r="H310" t="s">
        <v>95</v>
      </c>
      <c r="I310" t="s">
        <v>21</v>
      </c>
      <c r="J310" t="s">
        <v>22</v>
      </c>
      <c r="K310" t="s">
        <v>510</v>
      </c>
      <c r="L310" t="s">
        <v>507</v>
      </c>
    </row>
    <row r="311" spans="1:12">
      <c r="A311">
        <v>700010</v>
      </c>
      <c r="B311" t="s">
        <v>511</v>
      </c>
      <c r="C311" t="s">
        <v>509</v>
      </c>
      <c r="D311" t="s">
        <v>65</v>
      </c>
      <c r="E311" t="s">
        <v>34</v>
      </c>
      <c r="F311" t="s">
        <v>66</v>
      </c>
      <c r="G311" t="s">
        <v>122</v>
      </c>
      <c r="H311" t="s">
        <v>95</v>
      </c>
      <c r="I311" t="s">
        <v>21</v>
      </c>
      <c r="J311" t="s">
        <v>22</v>
      </c>
      <c r="K311" t="s">
        <v>510</v>
      </c>
      <c r="L311" t="s">
        <v>507</v>
      </c>
    </row>
    <row r="312" spans="1:12">
      <c r="A312">
        <v>900003</v>
      </c>
      <c r="B312" t="s">
        <v>512</v>
      </c>
      <c r="C312" t="s">
        <v>43</v>
      </c>
      <c r="D312" t="s">
        <v>89</v>
      </c>
      <c r="E312" t="s">
        <v>34</v>
      </c>
      <c r="F312" t="s">
        <v>161</v>
      </c>
      <c r="G312" t="s">
        <v>19</v>
      </c>
      <c r="H312" t="s">
        <v>95</v>
      </c>
      <c r="I312" t="s">
        <v>114</v>
      </c>
      <c r="J312" t="s">
        <v>22</v>
      </c>
      <c r="K312" t="s">
        <v>513</v>
      </c>
      <c r="L312" t="s">
        <v>91</v>
      </c>
    </row>
    <row r="313" spans="1:12">
      <c r="A313">
        <v>100120</v>
      </c>
      <c r="B313" t="s">
        <v>514</v>
      </c>
      <c r="C313" t="s">
        <v>129</v>
      </c>
      <c r="D313" t="s">
        <v>65</v>
      </c>
      <c r="E313" t="s">
        <v>17</v>
      </c>
      <c r="G313" t="s">
        <v>19</v>
      </c>
      <c r="H313" t="s">
        <v>95</v>
      </c>
      <c r="I313" t="s">
        <v>114</v>
      </c>
      <c r="J313" t="s">
        <v>22</v>
      </c>
      <c r="K313" t="s">
        <v>515</v>
      </c>
      <c r="L313" t="s">
        <v>516</v>
      </c>
    </row>
    <row r="314" spans="1:12">
      <c r="A314">
        <v>300046</v>
      </c>
      <c r="B314" t="s">
        <v>517</v>
      </c>
      <c r="C314" t="s">
        <v>129</v>
      </c>
      <c r="D314" t="s">
        <v>65</v>
      </c>
      <c r="E314" t="s">
        <v>17</v>
      </c>
      <c r="F314" t="s">
        <v>66</v>
      </c>
      <c r="G314" t="s">
        <v>122</v>
      </c>
      <c r="H314" t="s">
        <v>334</v>
      </c>
      <c r="I314" t="s">
        <v>189</v>
      </c>
      <c r="J314" t="s">
        <v>22</v>
      </c>
      <c r="K314" t="s">
        <v>518</v>
      </c>
      <c r="L314" t="s">
        <v>131</v>
      </c>
    </row>
    <row r="315" spans="1:12">
      <c r="A315">
        <v>300047</v>
      </c>
      <c r="B315" t="s">
        <v>519</v>
      </c>
      <c r="C315" t="s">
        <v>129</v>
      </c>
      <c r="D315" t="s">
        <v>65</v>
      </c>
      <c r="E315" t="s">
        <v>17</v>
      </c>
      <c r="F315" t="s">
        <v>66</v>
      </c>
      <c r="G315" t="s">
        <v>122</v>
      </c>
      <c r="H315" t="s">
        <v>334</v>
      </c>
      <c r="I315" t="s">
        <v>189</v>
      </c>
      <c r="J315" t="s">
        <v>22</v>
      </c>
      <c r="K315" t="s">
        <v>520</v>
      </c>
      <c r="L315" t="s">
        <v>516</v>
      </c>
    </row>
    <row r="316" spans="1:12">
      <c r="A316">
        <v>100121</v>
      </c>
      <c r="B316" t="s">
        <v>521</v>
      </c>
      <c r="C316" t="s">
        <v>129</v>
      </c>
      <c r="D316" t="s">
        <v>65</v>
      </c>
      <c r="E316" t="s">
        <v>17</v>
      </c>
      <c r="F316" t="s">
        <v>66</v>
      </c>
      <c r="G316" t="s">
        <v>19</v>
      </c>
      <c r="H316" t="s">
        <v>133</v>
      </c>
      <c r="I316" t="s">
        <v>522</v>
      </c>
      <c r="J316" t="s">
        <v>22</v>
      </c>
      <c r="K316" t="s">
        <v>515</v>
      </c>
      <c r="L316" t="s">
        <v>516</v>
      </c>
    </row>
    <row r="317" spans="1:12">
      <c r="A317">
        <v>300048</v>
      </c>
      <c r="B317" t="s">
        <v>523</v>
      </c>
      <c r="C317" t="s">
        <v>15</v>
      </c>
      <c r="D317" t="s">
        <v>65</v>
      </c>
      <c r="E317" t="s">
        <v>524</v>
      </c>
      <c r="F317" t="s">
        <v>66</v>
      </c>
      <c r="G317" t="s">
        <v>392</v>
      </c>
      <c r="H317" t="s">
        <v>334</v>
      </c>
      <c r="I317" t="s">
        <v>525</v>
      </c>
      <c r="J317" t="s">
        <v>22</v>
      </c>
      <c r="K317" t="s">
        <v>526</v>
      </c>
      <c r="L317" t="s">
        <v>527</v>
      </c>
    </row>
    <row r="318" spans="1:12">
      <c r="A318">
        <v>300049</v>
      </c>
      <c r="B318" t="s">
        <v>528</v>
      </c>
      <c r="C318" t="s">
        <v>15</v>
      </c>
      <c r="D318" t="s">
        <v>65</v>
      </c>
      <c r="E318" t="s">
        <v>529</v>
      </c>
      <c r="F318" t="s">
        <v>66</v>
      </c>
      <c r="G318" t="s">
        <v>392</v>
      </c>
      <c r="H318" t="s">
        <v>334</v>
      </c>
      <c r="I318" t="s">
        <v>525</v>
      </c>
      <c r="J318" t="s">
        <v>22</v>
      </c>
      <c r="K318" t="s">
        <v>526</v>
      </c>
      <c r="L318" t="s">
        <v>527</v>
      </c>
    </row>
    <row r="319" spans="1:12">
      <c r="A319">
        <v>500000</v>
      </c>
      <c r="B319" t="s">
        <v>530</v>
      </c>
      <c r="C319" t="s">
        <v>15</v>
      </c>
      <c r="D319" t="s">
        <v>65</v>
      </c>
      <c r="E319" t="s">
        <v>17</v>
      </c>
      <c r="F319" t="s">
        <v>66</v>
      </c>
      <c r="G319" t="s">
        <v>19</v>
      </c>
      <c r="H319" t="s">
        <v>95</v>
      </c>
      <c r="I319" t="s">
        <v>531</v>
      </c>
      <c r="J319" t="s">
        <v>22</v>
      </c>
      <c r="K319" t="s">
        <v>532</v>
      </c>
      <c r="L319" t="s">
        <v>533</v>
      </c>
    </row>
    <row r="320" spans="1:12">
      <c r="A320">
        <v>520000</v>
      </c>
      <c r="B320" t="s">
        <v>534</v>
      </c>
      <c r="C320" t="s">
        <v>43</v>
      </c>
      <c r="D320" t="s">
        <v>65</v>
      </c>
      <c r="E320" t="s">
        <v>17</v>
      </c>
      <c r="F320" t="s">
        <v>66</v>
      </c>
      <c r="G320" t="s">
        <v>19</v>
      </c>
      <c r="H320" t="s">
        <v>95</v>
      </c>
      <c r="I320" t="s">
        <v>531</v>
      </c>
      <c r="J320" t="s">
        <v>22</v>
      </c>
      <c r="K320" t="s">
        <v>535</v>
      </c>
      <c r="L320" t="s">
        <v>536</v>
      </c>
    </row>
    <row r="321" spans="1:12">
      <c r="A321">
        <v>530000</v>
      </c>
      <c r="B321" t="s">
        <v>537</v>
      </c>
      <c r="C321" t="s">
        <v>129</v>
      </c>
      <c r="D321" t="s">
        <v>65</v>
      </c>
      <c r="E321" t="s">
        <v>17</v>
      </c>
      <c r="F321" t="s">
        <v>66</v>
      </c>
      <c r="G321" t="s">
        <v>19</v>
      </c>
      <c r="H321" t="s">
        <v>95</v>
      </c>
      <c r="I321" t="s">
        <v>531</v>
      </c>
      <c r="J321" t="s">
        <v>22</v>
      </c>
      <c r="K321" t="s">
        <v>538</v>
      </c>
      <c r="L321" t="s">
        <v>516</v>
      </c>
    </row>
    <row r="322" spans="1:12">
      <c r="A322">
        <v>540000</v>
      </c>
      <c r="B322" t="s">
        <v>539</v>
      </c>
      <c r="C322" t="s">
        <v>64</v>
      </c>
      <c r="D322" t="s">
        <v>65</v>
      </c>
      <c r="E322" t="s">
        <v>17</v>
      </c>
      <c r="F322" t="s">
        <v>66</v>
      </c>
      <c r="G322" t="s">
        <v>19</v>
      </c>
      <c r="H322" t="s">
        <v>95</v>
      </c>
      <c r="I322" t="s">
        <v>531</v>
      </c>
      <c r="J322" t="s">
        <v>22</v>
      </c>
      <c r="K322" t="s">
        <v>540</v>
      </c>
      <c r="L322" t="s">
        <v>68</v>
      </c>
    </row>
    <row r="323" spans="1:12">
      <c r="A323">
        <v>550000</v>
      </c>
      <c r="B323" t="s">
        <v>541</v>
      </c>
      <c r="C323" t="s">
        <v>247</v>
      </c>
      <c r="D323" t="s">
        <v>65</v>
      </c>
      <c r="E323" t="s">
        <v>17</v>
      </c>
      <c r="F323" t="s">
        <v>66</v>
      </c>
      <c r="G323" t="s">
        <v>19</v>
      </c>
      <c r="H323" t="s">
        <v>95</v>
      </c>
      <c r="I323" t="s">
        <v>531</v>
      </c>
      <c r="J323" t="s">
        <v>22</v>
      </c>
      <c r="K323" t="s">
        <v>542</v>
      </c>
      <c r="L323" t="s">
        <v>543</v>
      </c>
    </row>
    <row r="324" spans="1:12">
      <c r="A324">
        <v>560000</v>
      </c>
      <c r="B324" t="s">
        <v>544</v>
      </c>
      <c r="C324" t="s">
        <v>545</v>
      </c>
      <c r="D324" t="s">
        <v>65</v>
      </c>
      <c r="E324" t="s">
        <v>17</v>
      </c>
      <c r="F324" t="s">
        <v>66</v>
      </c>
      <c r="G324" t="s">
        <v>19</v>
      </c>
      <c r="H324" t="s">
        <v>95</v>
      </c>
      <c r="I324" t="s">
        <v>531</v>
      </c>
      <c r="J324" t="s">
        <v>22</v>
      </c>
      <c r="K324" t="s">
        <v>546</v>
      </c>
      <c r="L324" t="s">
        <v>547</v>
      </c>
    </row>
    <row r="325" spans="1:12">
      <c r="A325">
        <v>570000</v>
      </c>
      <c r="B325" t="s">
        <v>548</v>
      </c>
      <c r="C325" t="s">
        <v>549</v>
      </c>
      <c r="D325" t="s">
        <v>65</v>
      </c>
      <c r="E325" t="s">
        <v>17</v>
      </c>
      <c r="F325" t="s">
        <v>66</v>
      </c>
      <c r="G325" t="s">
        <v>19</v>
      </c>
      <c r="H325" t="s">
        <v>95</v>
      </c>
      <c r="I325" t="s">
        <v>531</v>
      </c>
      <c r="J325" t="s">
        <v>22</v>
      </c>
      <c r="K325" t="s">
        <v>260</v>
      </c>
      <c r="L325" t="s">
        <v>261</v>
      </c>
    </row>
    <row r="326" spans="1:12">
      <c r="A326">
        <v>580000</v>
      </c>
      <c r="B326" t="s">
        <v>550</v>
      </c>
      <c r="C326" t="s">
        <v>551</v>
      </c>
      <c r="D326" t="s">
        <v>65</v>
      </c>
      <c r="E326" t="s">
        <v>529</v>
      </c>
      <c r="F326" t="s">
        <v>66</v>
      </c>
      <c r="G326" t="s">
        <v>19</v>
      </c>
      <c r="H326" t="s">
        <v>95</v>
      </c>
      <c r="I326" t="s">
        <v>531</v>
      </c>
      <c r="J326" t="s">
        <v>22</v>
      </c>
      <c r="K326" t="s">
        <v>260</v>
      </c>
      <c r="L326" t="s">
        <v>261</v>
      </c>
    </row>
    <row r="327" spans="1:12">
      <c r="A327">
        <v>100125</v>
      </c>
      <c r="B327" t="s">
        <v>552</v>
      </c>
      <c r="C327" t="s">
        <v>247</v>
      </c>
      <c r="D327" t="s">
        <v>65</v>
      </c>
      <c r="E327" t="s">
        <v>17</v>
      </c>
      <c r="F327" t="s">
        <v>66</v>
      </c>
      <c r="G327" t="s">
        <v>553</v>
      </c>
      <c r="H327" t="s">
        <v>133</v>
      </c>
      <c r="I327" t="s">
        <v>554</v>
      </c>
      <c r="J327" t="s">
        <v>22</v>
      </c>
      <c r="K327" t="s">
        <v>555</v>
      </c>
      <c r="L327" t="s">
        <v>556</v>
      </c>
    </row>
    <row r="328" spans="1:12">
      <c r="A328">
        <v>100126</v>
      </c>
      <c r="B328" t="s">
        <v>557</v>
      </c>
      <c r="C328" t="s">
        <v>129</v>
      </c>
      <c r="D328" t="s">
        <v>65</v>
      </c>
      <c r="E328" t="s">
        <v>17</v>
      </c>
      <c r="F328" t="s">
        <v>66</v>
      </c>
      <c r="G328" t="s">
        <v>243</v>
      </c>
      <c r="H328" t="s">
        <v>133</v>
      </c>
      <c r="I328" t="s">
        <v>554</v>
      </c>
      <c r="J328" t="s">
        <v>22</v>
      </c>
      <c r="K328" t="s">
        <v>558</v>
      </c>
      <c r="L328" t="s">
        <v>516</v>
      </c>
    </row>
    <row r="329" spans="1:12">
      <c r="A329">
        <v>100127</v>
      </c>
      <c r="B329" t="s">
        <v>559</v>
      </c>
      <c r="C329" t="s">
        <v>129</v>
      </c>
      <c r="D329" t="s">
        <v>65</v>
      </c>
      <c r="E329" t="s">
        <v>17</v>
      </c>
      <c r="F329" t="s">
        <v>66</v>
      </c>
      <c r="G329" t="s">
        <v>243</v>
      </c>
      <c r="H329" t="s">
        <v>133</v>
      </c>
      <c r="I329" t="s">
        <v>554</v>
      </c>
      <c r="J329" t="s">
        <v>22</v>
      </c>
      <c r="K329" t="s">
        <v>558</v>
      </c>
      <c r="L329" t="s">
        <v>516</v>
      </c>
    </row>
    <row r="330" spans="1:12">
      <c r="A330">
        <v>100128</v>
      </c>
      <c r="B330" t="s">
        <v>560</v>
      </c>
      <c r="C330" t="s">
        <v>129</v>
      </c>
      <c r="D330" t="s">
        <v>65</v>
      </c>
      <c r="E330" t="s">
        <v>34</v>
      </c>
      <c r="F330" t="s">
        <v>66</v>
      </c>
      <c r="G330" t="s">
        <v>243</v>
      </c>
      <c r="H330" t="s">
        <v>133</v>
      </c>
      <c r="I330" t="s">
        <v>345</v>
      </c>
      <c r="J330" t="s">
        <v>22</v>
      </c>
      <c r="K330" t="s">
        <v>561</v>
      </c>
      <c r="L330" t="s">
        <v>562</v>
      </c>
    </row>
    <row r="331" spans="1:12">
      <c r="A331">
        <v>100123</v>
      </c>
      <c r="B331" t="s">
        <v>563</v>
      </c>
      <c r="C331" t="s">
        <v>129</v>
      </c>
      <c r="D331" t="s">
        <v>65</v>
      </c>
      <c r="E331" t="s">
        <v>34</v>
      </c>
      <c r="F331" t="s">
        <v>66</v>
      </c>
      <c r="G331" t="s">
        <v>122</v>
      </c>
      <c r="H331" t="s">
        <v>334</v>
      </c>
      <c r="I331" t="s">
        <v>340</v>
      </c>
      <c r="J331" t="s">
        <v>22</v>
      </c>
      <c r="K331" t="s">
        <v>564</v>
      </c>
      <c r="L331" t="s">
        <v>177</v>
      </c>
    </row>
    <row r="332" spans="1:12">
      <c r="A332">
        <v>100124</v>
      </c>
      <c r="B332" t="s">
        <v>565</v>
      </c>
      <c r="C332" t="s">
        <v>129</v>
      </c>
      <c r="D332" t="s">
        <v>65</v>
      </c>
      <c r="E332" t="s">
        <v>34</v>
      </c>
      <c r="F332" t="s">
        <v>66</v>
      </c>
      <c r="G332" t="s">
        <v>122</v>
      </c>
      <c r="H332" t="s">
        <v>334</v>
      </c>
      <c r="I332" t="s">
        <v>340</v>
      </c>
      <c r="J332" t="s">
        <v>22</v>
      </c>
      <c r="K332" t="s">
        <v>564</v>
      </c>
      <c r="L332" t="s">
        <v>177</v>
      </c>
    </row>
    <row r="333" spans="1:12">
      <c r="A333">
        <v>200084</v>
      </c>
      <c r="B333" t="s">
        <v>566</v>
      </c>
      <c r="C333" t="s">
        <v>15</v>
      </c>
      <c r="D333" t="s">
        <v>29</v>
      </c>
      <c r="E333" t="s">
        <v>17</v>
      </c>
      <c r="F333" t="s">
        <v>61</v>
      </c>
      <c r="G333" t="s">
        <v>139</v>
      </c>
      <c r="H333" t="s">
        <v>139</v>
      </c>
      <c r="I333" t="s">
        <v>21</v>
      </c>
      <c r="J333" t="s">
        <v>22</v>
      </c>
      <c r="K333" t="s">
        <v>266</v>
      </c>
      <c r="L333" t="s">
        <v>31</v>
      </c>
    </row>
    <row r="334" spans="1:12">
      <c r="A334">
        <v>300050</v>
      </c>
      <c r="B334" t="s">
        <v>567</v>
      </c>
      <c r="C334" t="s">
        <v>15</v>
      </c>
      <c r="D334" t="s">
        <v>65</v>
      </c>
      <c r="E334" t="s">
        <v>17</v>
      </c>
      <c r="F334" t="s">
        <v>66</v>
      </c>
      <c r="G334" t="s">
        <v>392</v>
      </c>
      <c r="H334" t="s">
        <v>334</v>
      </c>
      <c r="I334" t="s">
        <v>525</v>
      </c>
      <c r="J334" t="s">
        <v>22</v>
      </c>
      <c r="K334" t="s">
        <v>568</v>
      </c>
      <c r="L334" t="s">
        <v>533</v>
      </c>
    </row>
    <row r="335" spans="1:12">
      <c r="A335">
        <v>300051</v>
      </c>
      <c r="B335" t="s">
        <v>569</v>
      </c>
      <c r="C335" t="s">
        <v>15</v>
      </c>
      <c r="D335" t="s">
        <v>65</v>
      </c>
      <c r="E335" t="s">
        <v>17</v>
      </c>
      <c r="F335" t="s">
        <v>66</v>
      </c>
      <c r="G335" t="s">
        <v>392</v>
      </c>
      <c r="H335" t="s">
        <v>334</v>
      </c>
      <c r="I335" t="s">
        <v>525</v>
      </c>
      <c r="J335" t="s">
        <v>22</v>
      </c>
      <c r="K335" t="s">
        <v>568</v>
      </c>
      <c r="L335" t="s">
        <v>533</v>
      </c>
    </row>
    <row r="336" spans="1:12">
      <c r="A336">
        <v>300053</v>
      </c>
      <c r="B336" t="s">
        <v>570</v>
      </c>
      <c r="C336" t="s">
        <v>43</v>
      </c>
      <c r="D336" t="s">
        <v>65</v>
      </c>
      <c r="E336" t="s">
        <v>17</v>
      </c>
      <c r="F336" t="s">
        <v>18</v>
      </c>
      <c r="G336" t="s">
        <v>19</v>
      </c>
      <c r="H336" t="s">
        <v>20</v>
      </c>
      <c r="I336" t="s">
        <v>184</v>
      </c>
      <c r="J336" t="s">
        <v>185</v>
      </c>
      <c r="K336" t="s">
        <v>535</v>
      </c>
      <c r="L336" t="s">
        <v>571</v>
      </c>
    </row>
    <row r="337" spans="1:12">
      <c r="A337">
        <v>300054</v>
      </c>
      <c r="B337" t="s">
        <v>572</v>
      </c>
      <c r="C337" t="s">
        <v>43</v>
      </c>
      <c r="D337" t="s">
        <v>65</v>
      </c>
      <c r="E337" t="s">
        <v>17</v>
      </c>
      <c r="F337" t="s">
        <v>18</v>
      </c>
      <c r="G337" t="s">
        <v>19</v>
      </c>
      <c r="H337" t="s">
        <v>20</v>
      </c>
      <c r="I337" t="s">
        <v>45</v>
      </c>
      <c r="J337" t="s">
        <v>22</v>
      </c>
      <c r="K337" t="s">
        <v>535</v>
      </c>
      <c r="L337" t="s">
        <v>571</v>
      </c>
    </row>
    <row r="338" spans="1:12">
      <c r="A338">
        <v>300055</v>
      </c>
      <c r="B338" t="s">
        <v>573</v>
      </c>
      <c r="C338" t="s">
        <v>15</v>
      </c>
      <c r="D338" t="s">
        <v>65</v>
      </c>
      <c r="E338" t="s">
        <v>17</v>
      </c>
      <c r="F338" t="s">
        <v>66</v>
      </c>
      <c r="G338" t="s">
        <v>27</v>
      </c>
      <c r="H338" t="s">
        <v>133</v>
      </c>
      <c r="I338" t="s">
        <v>554</v>
      </c>
      <c r="J338" t="s">
        <v>22</v>
      </c>
      <c r="K338" t="s">
        <v>532</v>
      </c>
      <c r="L338" t="s">
        <v>533</v>
      </c>
    </row>
    <row r="339" spans="1:12">
      <c r="A339">
        <v>300056</v>
      </c>
      <c r="B339" t="s">
        <v>574</v>
      </c>
      <c r="C339" t="s">
        <v>15</v>
      </c>
      <c r="D339" t="s">
        <v>29</v>
      </c>
      <c r="E339" t="s">
        <v>34</v>
      </c>
      <c r="G339" t="s">
        <v>27</v>
      </c>
      <c r="H339" t="s">
        <v>133</v>
      </c>
      <c r="I339" t="s">
        <v>554</v>
      </c>
      <c r="J339" t="s">
        <v>22</v>
      </c>
      <c r="K339" t="s">
        <v>575</v>
      </c>
      <c r="L339" t="s">
        <v>40</v>
      </c>
    </row>
    <row r="340" spans="1:12">
      <c r="A340">
        <v>100129</v>
      </c>
      <c r="B340" t="s">
        <v>576</v>
      </c>
      <c r="C340" t="s">
        <v>15</v>
      </c>
      <c r="D340" t="s">
        <v>29</v>
      </c>
      <c r="E340" t="s">
        <v>65</v>
      </c>
      <c r="F340" t="s">
        <v>18</v>
      </c>
      <c r="G340" t="s">
        <v>27</v>
      </c>
      <c r="H340" t="s">
        <v>133</v>
      </c>
      <c r="I340" t="s">
        <v>554</v>
      </c>
      <c r="J340" t="s">
        <v>22</v>
      </c>
      <c r="K340" t="s">
        <v>577</v>
      </c>
    </row>
    <row r="341" spans="1:12">
      <c r="A341">
        <v>300057</v>
      </c>
      <c r="B341" t="s">
        <v>578</v>
      </c>
      <c r="C341" t="s">
        <v>43</v>
      </c>
      <c r="D341" t="s">
        <v>65</v>
      </c>
      <c r="E341" t="s">
        <v>524</v>
      </c>
      <c r="F341" t="s">
        <v>66</v>
      </c>
      <c r="G341" t="s">
        <v>392</v>
      </c>
      <c r="H341" t="s">
        <v>334</v>
      </c>
      <c r="I341" t="s">
        <v>184</v>
      </c>
      <c r="J341" t="s">
        <v>22</v>
      </c>
      <c r="K341" t="s">
        <v>579</v>
      </c>
      <c r="L341" t="s">
        <v>580</v>
      </c>
    </row>
    <row r="342" spans="1:12">
      <c r="A342">
        <v>300058</v>
      </c>
      <c r="B342" t="s">
        <v>581</v>
      </c>
      <c r="C342" t="s">
        <v>43</v>
      </c>
      <c r="D342" t="s">
        <v>65</v>
      </c>
      <c r="E342" t="s">
        <v>529</v>
      </c>
      <c r="F342" t="s">
        <v>66</v>
      </c>
      <c r="G342" t="s">
        <v>392</v>
      </c>
      <c r="H342" t="s">
        <v>334</v>
      </c>
      <c r="I342" t="s">
        <v>184</v>
      </c>
      <c r="J342" t="s">
        <v>22</v>
      </c>
      <c r="K342" t="s">
        <v>579</v>
      </c>
      <c r="L342" t="s">
        <v>580</v>
      </c>
    </row>
    <row r="343" spans="1:12">
      <c r="A343">
        <v>300059</v>
      </c>
      <c r="B343" t="s">
        <v>582</v>
      </c>
      <c r="C343" t="s">
        <v>43</v>
      </c>
      <c r="D343" t="s">
        <v>65</v>
      </c>
      <c r="E343" t="s">
        <v>17</v>
      </c>
      <c r="F343" t="s">
        <v>66</v>
      </c>
      <c r="G343" t="s">
        <v>392</v>
      </c>
      <c r="H343" t="s">
        <v>334</v>
      </c>
      <c r="I343" t="s">
        <v>184</v>
      </c>
      <c r="J343" t="s">
        <v>22</v>
      </c>
      <c r="K343" t="s">
        <v>583</v>
      </c>
      <c r="L343" t="s">
        <v>536</v>
      </c>
    </row>
    <row r="344" spans="1:12">
      <c r="A344">
        <v>300060</v>
      </c>
      <c r="B344" t="s">
        <v>584</v>
      </c>
      <c r="C344" t="s">
        <v>43</v>
      </c>
      <c r="D344" t="s">
        <v>65</v>
      </c>
      <c r="E344" t="s">
        <v>17</v>
      </c>
      <c r="F344" t="s">
        <v>66</v>
      </c>
      <c r="G344" t="s">
        <v>392</v>
      </c>
      <c r="H344" t="s">
        <v>334</v>
      </c>
      <c r="I344" t="s">
        <v>184</v>
      </c>
      <c r="J344" t="s">
        <v>22</v>
      </c>
      <c r="K344" t="s">
        <v>583</v>
      </c>
      <c r="L344" t="s">
        <v>536</v>
      </c>
    </row>
    <row r="345" spans="1:12">
      <c r="A345">
        <v>300061</v>
      </c>
      <c r="B345" t="s">
        <v>585</v>
      </c>
      <c r="C345" t="s">
        <v>43</v>
      </c>
      <c r="D345" t="s">
        <v>65</v>
      </c>
      <c r="E345" t="s">
        <v>17</v>
      </c>
      <c r="F345" t="s">
        <v>66</v>
      </c>
      <c r="G345" t="s">
        <v>392</v>
      </c>
      <c r="H345" t="s">
        <v>334</v>
      </c>
      <c r="I345" t="s">
        <v>184</v>
      </c>
      <c r="J345" t="s">
        <v>22</v>
      </c>
      <c r="K345" t="s">
        <v>583</v>
      </c>
      <c r="L345" t="s">
        <v>536</v>
      </c>
    </row>
    <row r="346" spans="1:12">
      <c r="A346">
        <v>300052</v>
      </c>
      <c r="B346" t="s">
        <v>586</v>
      </c>
      <c r="C346" t="s">
        <v>43</v>
      </c>
      <c r="D346" t="s">
        <v>65</v>
      </c>
      <c r="E346" t="s">
        <v>529</v>
      </c>
      <c r="F346" t="s">
        <v>18</v>
      </c>
      <c r="G346" t="s">
        <v>19</v>
      </c>
      <c r="H346" t="s">
        <v>20</v>
      </c>
      <c r="I346" t="s">
        <v>184</v>
      </c>
      <c r="J346" t="s">
        <v>22</v>
      </c>
      <c r="K346" t="s">
        <v>587</v>
      </c>
      <c r="L346" t="s">
        <v>580</v>
      </c>
    </row>
    <row r="347" spans="1:12">
      <c r="A347">
        <v>300062</v>
      </c>
      <c r="B347" t="s">
        <v>588</v>
      </c>
      <c r="C347" t="s">
        <v>43</v>
      </c>
      <c r="D347" t="s">
        <v>65</v>
      </c>
      <c r="E347" t="s">
        <v>34</v>
      </c>
      <c r="F347" t="s">
        <v>66</v>
      </c>
      <c r="G347" t="s">
        <v>392</v>
      </c>
      <c r="H347" t="s">
        <v>334</v>
      </c>
      <c r="I347" t="s">
        <v>184</v>
      </c>
      <c r="J347" t="s">
        <v>22</v>
      </c>
      <c r="K347" t="s">
        <v>589</v>
      </c>
      <c r="L347" t="s">
        <v>580</v>
      </c>
    </row>
    <row r="348" spans="1:12">
      <c r="A348">
        <v>100131</v>
      </c>
      <c r="B348" t="s">
        <v>590</v>
      </c>
      <c r="C348" t="s">
        <v>15</v>
      </c>
      <c r="D348" t="s">
        <v>65</v>
      </c>
      <c r="E348" t="s">
        <v>17</v>
      </c>
      <c r="F348" t="s">
        <v>66</v>
      </c>
      <c r="G348" t="s">
        <v>19</v>
      </c>
      <c r="H348" t="s">
        <v>95</v>
      </c>
      <c r="I348" t="s">
        <v>114</v>
      </c>
      <c r="J348" t="s">
        <v>22</v>
      </c>
      <c r="K348" t="s">
        <v>23</v>
      </c>
      <c r="L348" t="s">
        <v>24</v>
      </c>
    </row>
    <row r="349" spans="1:12">
      <c r="A349">
        <v>100132</v>
      </c>
      <c r="B349" t="s">
        <v>591</v>
      </c>
      <c r="C349" t="s">
        <v>259</v>
      </c>
      <c r="D349" t="s">
        <v>65</v>
      </c>
      <c r="E349" t="s">
        <v>17</v>
      </c>
      <c r="F349" t="s">
        <v>66</v>
      </c>
      <c r="G349" t="s">
        <v>19</v>
      </c>
      <c r="H349" t="s">
        <v>95</v>
      </c>
      <c r="I349" t="s">
        <v>592</v>
      </c>
      <c r="J349" t="s">
        <v>22</v>
      </c>
      <c r="K349" t="s">
        <v>260</v>
      </c>
      <c r="L349" t="s">
        <v>261</v>
      </c>
    </row>
    <row r="350" spans="1:12">
      <c r="A350">
        <v>100134</v>
      </c>
      <c r="B350" t="s">
        <v>593</v>
      </c>
      <c r="C350" t="s">
        <v>15</v>
      </c>
      <c r="D350" t="s">
        <v>65</v>
      </c>
      <c r="E350" t="s">
        <v>17</v>
      </c>
      <c r="F350" t="s">
        <v>66</v>
      </c>
      <c r="G350" t="s">
        <v>19</v>
      </c>
      <c r="H350" t="s">
        <v>95</v>
      </c>
      <c r="I350" t="s">
        <v>594</v>
      </c>
      <c r="J350" t="s">
        <v>22</v>
      </c>
      <c r="K350" t="s">
        <v>595</v>
      </c>
      <c r="L350" t="s">
        <v>533</v>
      </c>
    </row>
    <row r="351" spans="1:12">
      <c r="A351">
        <v>300063</v>
      </c>
      <c r="B351" t="s">
        <v>596</v>
      </c>
      <c r="C351" t="s">
        <v>64</v>
      </c>
      <c r="D351" t="s">
        <v>65</v>
      </c>
      <c r="E351" t="s">
        <v>17</v>
      </c>
      <c r="F351" t="s">
        <v>66</v>
      </c>
      <c r="G351" t="s">
        <v>392</v>
      </c>
      <c r="H351" t="s">
        <v>334</v>
      </c>
      <c r="I351" t="s">
        <v>554</v>
      </c>
      <c r="J351" t="s">
        <v>22</v>
      </c>
      <c r="K351" t="s">
        <v>164</v>
      </c>
      <c r="L351" t="s">
        <v>597</v>
      </c>
    </row>
    <row r="352" spans="1:12">
      <c r="A352">
        <v>300064</v>
      </c>
      <c r="B352" t="s">
        <v>598</v>
      </c>
      <c r="C352" t="s">
        <v>64</v>
      </c>
      <c r="D352" t="s">
        <v>65</v>
      </c>
      <c r="E352" t="s">
        <v>17</v>
      </c>
      <c r="F352" t="s">
        <v>66</v>
      </c>
      <c r="G352" t="s">
        <v>392</v>
      </c>
      <c r="H352" t="s">
        <v>334</v>
      </c>
      <c r="I352" t="s">
        <v>554</v>
      </c>
      <c r="J352" t="s">
        <v>22</v>
      </c>
      <c r="K352" t="s">
        <v>164</v>
      </c>
      <c r="L352" t="s">
        <v>597</v>
      </c>
    </row>
    <row r="353" spans="1:12">
      <c r="A353">
        <v>300065</v>
      </c>
      <c r="B353" t="s">
        <v>599</v>
      </c>
      <c r="C353" t="s">
        <v>64</v>
      </c>
      <c r="D353" t="s">
        <v>65</v>
      </c>
      <c r="E353" t="s">
        <v>17</v>
      </c>
      <c r="F353" t="s">
        <v>66</v>
      </c>
      <c r="G353" t="s">
        <v>392</v>
      </c>
      <c r="H353" t="s">
        <v>334</v>
      </c>
      <c r="I353" t="s">
        <v>554</v>
      </c>
      <c r="J353" t="s">
        <v>22</v>
      </c>
      <c r="K353" t="s">
        <v>164</v>
      </c>
      <c r="L353" t="s">
        <v>597</v>
      </c>
    </row>
    <row r="354" spans="1:12">
      <c r="A354">
        <v>100136</v>
      </c>
      <c r="B354" t="s">
        <v>600</v>
      </c>
      <c r="C354" t="s">
        <v>15</v>
      </c>
      <c r="D354" t="s">
        <v>65</v>
      </c>
      <c r="E354" t="s">
        <v>17</v>
      </c>
      <c r="F354" t="s">
        <v>18</v>
      </c>
      <c r="G354" t="s">
        <v>19</v>
      </c>
      <c r="H354" t="s">
        <v>20</v>
      </c>
      <c r="I354" t="s">
        <v>601</v>
      </c>
      <c r="J354" t="s">
        <v>22</v>
      </c>
      <c r="K354" t="s">
        <v>602</v>
      </c>
      <c r="L354" t="s">
        <v>533</v>
      </c>
    </row>
    <row r="355" spans="1:12">
      <c r="A355">
        <v>100135</v>
      </c>
      <c r="B355" t="s">
        <v>603</v>
      </c>
      <c r="C355" t="s">
        <v>15</v>
      </c>
      <c r="D355" t="s">
        <v>65</v>
      </c>
      <c r="E355" t="s">
        <v>34</v>
      </c>
      <c r="F355" t="s">
        <v>18</v>
      </c>
      <c r="G355" t="s">
        <v>19</v>
      </c>
      <c r="H355" t="s">
        <v>133</v>
      </c>
      <c r="I355" t="s">
        <v>554</v>
      </c>
      <c r="J355" t="s">
        <v>22</v>
      </c>
      <c r="K355" t="s">
        <v>604</v>
      </c>
      <c r="L355" t="s">
        <v>605</v>
      </c>
    </row>
    <row r="356" spans="1:12">
      <c r="A356">
        <v>300070</v>
      </c>
      <c r="B356" t="s">
        <v>606</v>
      </c>
      <c r="C356" t="s">
        <v>129</v>
      </c>
      <c r="D356" t="s">
        <v>65</v>
      </c>
      <c r="E356" t="s">
        <v>17</v>
      </c>
      <c r="F356" t="s">
        <v>66</v>
      </c>
      <c r="G356" t="s">
        <v>382</v>
      </c>
      <c r="H356" t="s">
        <v>334</v>
      </c>
      <c r="I356" t="s">
        <v>554</v>
      </c>
      <c r="J356" t="s">
        <v>22</v>
      </c>
      <c r="K356" t="s">
        <v>607</v>
      </c>
      <c r="L356" t="s">
        <v>516</v>
      </c>
    </row>
    <row r="357" spans="1:12">
      <c r="A357">
        <v>300068</v>
      </c>
      <c r="B357" t="s">
        <v>608</v>
      </c>
      <c r="C357" t="s">
        <v>15</v>
      </c>
      <c r="D357" t="s">
        <v>65</v>
      </c>
      <c r="E357" t="s">
        <v>34</v>
      </c>
      <c r="F357" t="s">
        <v>66</v>
      </c>
      <c r="G357" t="s">
        <v>392</v>
      </c>
      <c r="H357" t="s">
        <v>334</v>
      </c>
      <c r="I357" t="s">
        <v>525</v>
      </c>
      <c r="J357" t="s">
        <v>22</v>
      </c>
      <c r="K357" t="s">
        <v>526</v>
      </c>
      <c r="L357" t="s">
        <v>605</v>
      </c>
    </row>
    <row r="358" spans="1:12">
      <c r="A358">
        <v>100137</v>
      </c>
      <c r="B358" t="s">
        <v>609</v>
      </c>
      <c r="C358" t="s">
        <v>43</v>
      </c>
      <c r="D358" t="s">
        <v>65</v>
      </c>
      <c r="E358" t="s">
        <v>34</v>
      </c>
      <c r="F358" t="s">
        <v>18</v>
      </c>
      <c r="G358" t="s">
        <v>19</v>
      </c>
      <c r="H358" t="s">
        <v>133</v>
      </c>
      <c r="I358" t="s">
        <v>114</v>
      </c>
      <c r="J358" t="s">
        <v>22</v>
      </c>
      <c r="K358" t="s">
        <v>587</v>
      </c>
      <c r="L358" t="s">
        <v>610</v>
      </c>
    </row>
    <row r="359" spans="1:12">
      <c r="A359">
        <v>100138</v>
      </c>
      <c r="B359" t="s">
        <v>611</v>
      </c>
      <c r="C359" t="s">
        <v>15</v>
      </c>
      <c r="D359" t="s">
        <v>65</v>
      </c>
      <c r="E359" t="s">
        <v>34</v>
      </c>
      <c r="F359" t="s">
        <v>66</v>
      </c>
      <c r="G359" t="s">
        <v>19</v>
      </c>
      <c r="H359" t="s">
        <v>20</v>
      </c>
      <c r="I359" t="s">
        <v>612</v>
      </c>
      <c r="J359" t="s">
        <v>22</v>
      </c>
      <c r="K359" t="s">
        <v>604</v>
      </c>
      <c r="L359" t="s">
        <v>605</v>
      </c>
    </row>
    <row r="360" spans="1:12">
      <c r="A360">
        <v>100139</v>
      </c>
      <c r="B360" t="s">
        <v>613</v>
      </c>
      <c r="C360" t="s">
        <v>259</v>
      </c>
      <c r="D360" t="s">
        <v>65</v>
      </c>
      <c r="E360" t="s">
        <v>34</v>
      </c>
      <c r="F360" t="s">
        <v>66</v>
      </c>
      <c r="G360" t="s">
        <v>19</v>
      </c>
      <c r="H360" t="s">
        <v>20</v>
      </c>
      <c r="I360" t="s">
        <v>612</v>
      </c>
      <c r="J360" t="s">
        <v>22</v>
      </c>
      <c r="K360" t="s">
        <v>604</v>
      </c>
      <c r="L360" t="s">
        <v>605</v>
      </c>
    </row>
    <row r="361" spans="1:12">
      <c r="A361">
        <v>700011</v>
      </c>
      <c r="B361" t="s">
        <v>614</v>
      </c>
      <c r="C361" t="s">
        <v>509</v>
      </c>
      <c r="D361" t="s">
        <v>65</v>
      </c>
      <c r="E361" t="s">
        <v>34</v>
      </c>
      <c r="F361" t="s">
        <v>66</v>
      </c>
      <c r="G361" t="s">
        <v>122</v>
      </c>
      <c r="H361" t="s">
        <v>334</v>
      </c>
      <c r="I361" t="s">
        <v>189</v>
      </c>
      <c r="J361" t="s">
        <v>22</v>
      </c>
      <c r="K361" t="s">
        <v>510</v>
      </c>
      <c r="L361" t="s">
        <v>120</v>
      </c>
    </row>
    <row r="362" spans="1:12">
      <c r="A362">
        <v>100160</v>
      </c>
      <c r="B362" t="s">
        <v>615</v>
      </c>
      <c r="C362" t="s">
        <v>129</v>
      </c>
      <c r="D362" t="s">
        <v>616</v>
      </c>
      <c r="E362" t="s">
        <v>17</v>
      </c>
      <c r="F362" t="s">
        <v>66</v>
      </c>
      <c r="G362" t="s">
        <v>243</v>
      </c>
      <c r="H362" t="s">
        <v>20</v>
      </c>
      <c r="I362" t="s">
        <v>554</v>
      </c>
      <c r="J362" t="s">
        <v>22</v>
      </c>
      <c r="K362" t="s">
        <v>617</v>
      </c>
      <c r="L362" t="s">
        <v>618</v>
      </c>
    </row>
    <row r="363" spans="1:12">
      <c r="A363">
        <v>700012</v>
      </c>
      <c r="B363" t="s">
        <v>619</v>
      </c>
      <c r="C363" t="s">
        <v>509</v>
      </c>
      <c r="D363" t="s">
        <v>65</v>
      </c>
      <c r="E363" t="s">
        <v>34</v>
      </c>
      <c r="F363" t="s">
        <v>66</v>
      </c>
      <c r="G363" t="s">
        <v>122</v>
      </c>
      <c r="H363" t="s">
        <v>334</v>
      </c>
      <c r="I363" t="s">
        <v>189</v>
      </c>
      <c r="J363" t="s">
        <v>22</v>
      </c>
      <c r="K363" t="s">
        <v>510</v>
      </c>
      <c r="L363" t="s">
        <v>120</v>
      </c>
    </row>
    <row r="364" spans="1:12">
      <c r="A364">
        <v>101122000</v>
      </c>
      <c r="B364" t="s">
        <v>425</v>
      </c>
      <c r="C364" t="s">
        <v>15</v>
      </c>
      <c r="D364" t="s">
        <v>16</v>
      </c>
      <c r="E364" t="s">
        <v>17</v>
      </c>
      <c r="F364" t="s">
        <v>66</v>
      </c>
      <c r="G364" t="s">
        <v>243</v>
      </c>
      <c r="H364" t="s">
        <v>421</v>
      </c>
      <c r="I364" t="s">
        <v>300</v>
      </c>
      <c r="J364" t="s">
        <v>300</v>
      </c>
      <c r="K364" t="s">
        <v>407</v>
      </c>
      <c r="L364" t="s">
        <v>24</v>
      </c>
    </row>
    <row r="365" spans="1:12">
      <c r="A365">
        <v>101123000</v>
      </c>
      <c r="B365" t="s">
        <v>426</v>
      </c>
      <c r="C365" t="s">
        <v>15</v>
      </c>
      <c r="D365" t="s">
        <v>29</v>
      </c>
      <c r="E365" t="s">
        <v>17</v>
      </c>
      <c r="F365" t="s">
        <v>66</v>
      </c>
      <c r="G365" t="s">
        <v>243</v>
      </c>
      <c r="H365" t="s">
        <v>421</v>
      </c>
      <c r="I365" t="s">
        <v>300</v>
      </c>
      <c r="J365" t="s">
        <v>300</v>
      </c>
      <c r="K365" t="s">
        <v>427</v>
      </c>
      <c r="L365" t="s">
        <v>31</v>
      </c>
    </row>
    <row r="366" spans="1:12">
      <c r="A366">
        <v>101124000</v>
      </c>
      <c r="B366" t="s">
        <v>620</v>
      </c>
      <c r="C366" t="s">
        <v>15</v>
      </c>
      <c r="D366" t="s">
        <v>150</v>
      </c>
      <c r="E366" t="s">
        <v>17</v>
      </c>
      <c r="F366" t="s">
        <v>66</v>
      </c>
      <c r="G366" t="s">
        <v>243</v>
      </c>
      <c r="H366" t="s">
        <v>421</v>
      </c>
      <c r="I366" t="s">
        <v>300</v>
      </c>
      <c r="J366" t="s">
        <v>300</v>
      </c>
      <c r="K366" t="s">
        <v>621</v>
      </c>
      <c r="L366" t="s">
        <v>622</v>
      </c>
    </row>
    <row r="367" spans="1:12">
      <c r="A367">
        <v>101152000</v>
      </c>
      <c r="B367" t="s">
        <v>437</v>
      </c>
      <c r="C367" t="s">
        <v>15</v>
      </c>
      <c r="D367" t="s">
        <v>16</v>
      </c>
      <c r="E367" t="s">
        <v>17</v>
      </c>
      <c r="F367" t="s">
        <v>66</v>
      </c>
      <c r="G367" t="s">
        <v>122</v>
      </c>
      <c r="H367" t="s">
        <v>421</v>
      </c>
      <c r="I367" t="s">
        <v>300</v>
      </c>
      <c r="J367" t="s">
        <v>300</v>
      </c>
      <c r="K367" t="s">
        <v>407</v>
      </c>
      <c r="L367" t="s">
        <v>24</v>
      </c>
    </row>
    <row r="368" spans="1:12">
      <c r="A368">
        <v>101153000</v>
      </c>
      <c r="B368" t="s">
        <v>438</v>
      </c>
      <c r="C368" t="s">
        <v>15</v>
      </c>
      <c r="D368" t="s">
        <v>29</v>
      </c>
      <c r="E368" t="s">
        <v>17</v>
      </c>
      <c r="F368" t="s">
        <v>66</v>
      </c>
      <c r="G368" t="s">
        <v>122</v>
      </c>
      <c r="H368" t="s">
        <v>421</v>
      </c>
      <c r="I368" t="s">
        <v>300</v>
      </c>
      <c r="J368" t="s">
        <v>300</v>
      </c>
      <c r="K368" t="s">
        <v>427</v>
      </c>
      <c r="L368" t="s">
        <v>31</v>
      </c>
    </row>
    <row r="369" spans="1:12">
      <c r="A369">
        <v>101154000</v>
      </c>
      <c r="B369" t="s">
        <v>623</v>
      </c>
      <c r="C369" t="s">
        <v>15</v>
      </c>
      <c r="D369" t="s">
        <v>192</v>
      </c>
      <c r="E369" t="s">
        <v>17</v>
      </c>
      <c r="F369" t="s">
        <v>66</v>
      </c>
      <c r="G369" t="s">
        <v>122</v>
      </c>
      <c r="H369" t="s">
        <v>421</v>
      </c>
      <c r="I369" t="s">
        <v>300</v>
      </c>
      <c r="J369" t="s">
        <v>300</v>
      </c>
      <c r="K369" t="s">
        <v>621</v>
      </c>
      <c r="L369" t="s">
        <v>622</v>
      </c>
    </row>
    <row r="370" spans="1:12">
      <c r="A370">
        <v>101222000</v>
      </c>
      <c r="B370" t="s">
        <v>432</v>
      </c>
      <c r="C370" t="s">
        <v>15</v>
      </c>
      <c r="D370" t="s">
        <v>16</v>
      </c>
      <c r="E370" t="s">
        <v>34</v>
      </c>
      <c r="F370" t="s">
        <v>66</v>
      </c>
      <c r="G370" t="s">
        <v>243</v>
      </c>
      <c r="H370" t="s">
        <v>421</v>
      </c>
      <c r="I370" t="s">
        <v>300</v>
      </c>
      <c r="J370" t="s">
        <v>300</v>
      </c>
      <c r="K370" t="s">
        <v>415</v>
      </c>
      <c r="L370" t="s">
        <v>36</v>
      </c>
    </row>
    <row r="371" spans="1:12">
      <c r="A371">
        <v>101223000</v>
      </c>
      <c r="B371" t="s">
        <v>433</v>
      </c>
      <c r="C371" t="s">
        <v>15</v>
      </c>
      <c r="D371" t="s">
        <v>29</v>
      </c>
      <c r="E371" t="s">
        <v>34</v>
      </c>
      <c r="F371" t="s">
        <v>66</v>
      </c>
      <c r="G371" t="s">
        <v>243</v>
      </c>
      <c r="H371" t="s">
        <v>421</v>
      </c>
      <c r="I371" t="s">
        <v>300</v>
      </c>
      <c r="J371" t="s">
        <v>300</v>
      </c>
      <c r="K371" t="s">
        <v>434</v>
      </c>
      <c r="L371" t="s">
        <v>40</v>
      </c>
    </row>
    <row r="372" spans="1:12">
      <c r="A372">
        <v>101224000</v>
      </c>
      <c r="B372" t="s">
        <v>624</v>
      </c>
      <c r="C372" t="s">
        <v>15</v>
      </c>
      <c r="D372" t="s">
        <v>150</v>
      </c>
      <c r="E372" t="s">
        <v>34</v>
      </c>
      <c r="F372" t="s">
        <v>66</v>
      </c>
      <c r="G372" t="s">
        <v>243</v>
      </c>
      <c r="H372" t="s">
        <v>421</v>
      </c>
      <c r="I372" t="s">
        <v>300</v>
      </c>
      <c r="J372" t="s">
        <v>300</v>
      </c>
      <c r="K372" t="s">
        <v>625</v>
      </c>
      <c r="L372" t="s">
        <v>626</v>
      </c>
    </row>
    <row r="373" spans="1:12">
      <c r="A373">
        <v>101252000</v>
      </c>
      <c r="B373" t="s">
        <v>441</v>
      </c>
      <c r="C373" t="s">
        <v>15</v>
      </c>
      <c r="D373" t="s">
        <v>16</v>
      </c>
      <c r="E373" t="s">
        <v>34</v>
      </c>
      <c r="F373" t="s">
        <v>66</v>
      </c>
      <c r="G373" t="s">
        <v>122</v>
      </c>
      <c r="H373" t="s">
        <v>421</v>
      </c>
      <c r="I373" t="s">
        <v>300</v>
      </c>
      <c r="J373" t="s">
        <v>300</v>
      </c>
      <c r="K373" t="s">
        <v>415</v>
      </c>
      <c r="L373" t="s">
        <v>36</v>
      </c>
    </row>
    <row r="374" spans="1:12">
      <c r="A374">
        <v>101253000</v>
      </c>
      <c r="B374" t="s">
        <v>442</v>
      </c>
      <c r="C374" t="s">
        <v>15</v>
      </c>
      <c r="D374" t="s">
        <v>29</v>
      </c>
      <c r="E374" t="s">
        <v>34</v>
      </c>
      <c r="F374" t="s">
        <v>66</v>
      </c>
      <c r="G374" t="s">
        <v>122</v>
      </c>
      <c r="H374" t="s">
        <v>421</v>
      </c>
      <c r="I374" t="s">
        <v>300</v>
      </c>
      <c r="J374" t="s">
        <v>300</v>
      </c>
      <c r="K374" t="s">
        <v>434</v>
      </c>
      <c r="L374" t="s">
        <v>40</v>
      </c>
    </row>
    <row r="375" spans="1:12">
      <c r="A375">
        <v>101254000</v>
      </c>
      <c r="B375" t="s">
        <v>627</v>
      </c>
      <c r="C375" t="s">
        <v>15</v>
      </c>
      <c r="D375" t="s">
        <v>150</v>
      </c>
      <c r="E375" t="s">
        <v>34</v>
      </c>
      <c r="F375" t="s">
        <v>66</v>
      </c>
      <c r="G375" t="s">
        <v>122</v>
      </c>
      <c r="H375" t="s">
        <v>421</v>
      </c>
      <c r="I375" t="s">
        <v>300</v>
      </c>
      <c r="J375" t="s">
        <v>300</v>
      </c>
      <c r="K375" t="s">
        <v>625</v>
      </c>
      <c r="L375" t="s">
        <v>626</v>
      </c>
    </row>
    <row r="376" spans="1:12">
      <c r="A376">
        <v>102122000</v>
      </c>
      <c r="B376" t="s">
        <v>420</v>
      </c>
      <c r="C376" t="s">
        <v>43</v>
      </c>
      <c r="D376" t="s">
        <v>44</v>
      </c>
      <c r="E376" t="s">
        <v>17</v>
      </c>
      <c r="F376" t="s">
        <v>66</v>
      </c>
      <c r="G376" t="s">
        <v>243</v>
      </c>
      <c r="H376" t="s">
        <v>421</v>
      </c>
      <c r="I376" t="s">
        <v>300</v>
      </c>
      <c r="J376" t="s">
        <v>300</v>
      </c>
      <c r="K376" t="s">
        <v>422</v>
      </c>
      <c r="L376" t="s">
        <v>628</v>
      </c>
    </row>
    <row r="377" spans="1:12">
      <c r="A377">
        <v>102121000</v>
      </c>
      <c r="B377" t="s">
        <v>629</v>
      </c>
      <c r="C377" t="s">
        <v>43</v>
      </c>
      <c r="D377" t="s">
        <v>65</v>
      </c>
      <c r="E377" t="s">
        <v>17</v>
      </c>
      <c r="F377" t="s">
        <v>66</v>
      </c>
      <c r="G377" t="s">
        <v>243</v>
      </c>
      <c r="H377" t="s">
        <v>421</v>
      </c>
      <c r="I377" t="s">
        <v>300</v>
      </c>
      <c r="J377" t="s">
        <v>300</v>
      </c>
      <c r="K377" t="s">
        <v>630</v>
      </c>
      <c r="L377" t="s">
        <v>631</v>
      </c>
    </row>
    <row r="378" spans="1:12">
      <c r="A378">
        <v>102123000</v>
      </c>
      <c r="B378" t="s">
        <v>459</v>
      </c>
      <c r="C378" t="s">
        <v>43</v>
      </c>
      <c r="D378" t="s">
        <v>49</v>
      </c>
      <c r="E378" t="s">
        <v>17</v>
      </c>
      <c r="F378" t="s">
        <v>66</v>
      </c>
      <c r="G378" t="s">
        <v>243</v>
      </c>
      <c r="H378" t="s">
        <v>421</v>
      </c>
      <c r="I378" t="s">
        <v>300</v>
      </c>
      <c r="J378" t="s">
        <v>300</v>
      </c>
      <c r="K378" t="s">
        <v>460</v>
      </c>
      <c r="L378" t="s">
        <v>632</v>
      </c>
    </row>
    <row r="379" spans="1:12">
      <c r="A379">
        <v>102151000</v>
      </c>
      <c r="B379" t="s">
        <v>633</v>
      </c>
      <c r="C379" t="s">
        <v>43</v>
      </c>
      <c r="D379" t="s">
        <v>65</v>
      </c>
      <c r="E379" t="s">
        <v>17</v>
      </c>
      <c r="F379" t="s">
        <v>66</v>
      </c>
      <c r="G379" t="s">
        <v>122</v>
      </c>
      <c r="H379" t="s">
        <v>421</v>
      </c>
      <c r="I379" t="s">
        <v>300</v>
      </c>
      <c r="J379" t="s">
        <v>300</v>
      </c>
      <c r="K379" t="s">
        <v>630</v>
      </c>
      <c r="L379" t="s">
        <v>631</v>
      </c>
    </row>
    <row r="380" spans="1:12">
      <c r="A380">
        <v>102152000</v>
      </c>
      <c r="B380" t="s">
        <v>435</v>
      </c>
      <c r="C380" t="s">
        <v>43</v>
      </c>
      <c r="D380" t="s">
        <v>44</v>
      </c>
      <c r="E380" t="s">
        <v>17</v>
      </c>
      <c r="F380" t="s">
        <v>66</v>
      </c>
      <c r="G380" t="s">
        <v>122</v>
      </c>
      <c r="H380" t="s">
        <v>421</v>
      </c>
      <c r="I380" t="s">
        <v>300</v>
      </c>
      <c r="J380" t="s">
        <v>300</v>
      </c>
      <c r="K380" t="s">
        <v>422</v>
      </c>
      <c r="L380" t="s">
        <v>628</v>
      </c>
    </row>
    <row r="381" spans="1:12">
      <c r="A381">
        <v>102153000</v>
      </c>
      <c r="B381" t="s">
        <v>461</v>
      </c>
      <c r="C381" t="s">
        <v>43</v>
      </c>
      <c r="D381" t="s">
        <v>49</v>
      </c>
      <c r="E381" t="s">
        <v>17</v>
      </c>
      <c r="F381" t="s">
        <v>66</v>
      </c>
      <c r="G381" t="s">
        <v>122</v>
      </c>
      <c r="H381" t="s">
        <v>421</v>
      </c>
      <c r="I381" t="s">
        <v>300</v>
      </c>
      <c r="J381" t="s">
        <v>300</v>
      </c>
      <c r="K381" t="s">
        <v>460</v>
      </c>
      <c r="L381" t="s">
        <v>632</v>
      </c>
    </row>
    <row r="382" spans="1:12">
      <c r="A382">
        <v>102221000</v>
      </c>
      <c r="B382" t="s">
        <v>634</v>
      </c>
      <c r="C382" t="s">
        <v>43</v>
      </c>
      <c r="D382" t="s">
        <v>65</v>
      </c>
      <c r="E382" t="s">
        <v>34</v>
      </c>
      <c r="F382" t="s">
        <v>66</v>
      </c>
      <c r="G382" t="s">
        <v>243</v>
      </c>
      <c r="H382" t="s">
        <v>421</v>
      </c>
      <c r="I382" t="s">
        <v>300</v>
      </c>
      <c r="J382" t="s">
        <v>300</v>
      </c>
      <c r="K382" t="s">
        <v>635</v>
      </c>
      <c r="L382" t="s">
        <v>636</v>
      </c>
    </row>
    <row r="383" spans="1:12">
      <c r="A383">
        <v>102222000</v>
      </c>
      <c r="B383" t="s">
        <v>428</v>
      </c>
      <c r="C383" t="s">
        <v>43</v>
      </c>
      <c r="D383" t="s">
        <v>44</v>
      </c>
      <c r="E383" t="s">
        <v>34</v>
      </c>
      <c r="F383" t="s">
        <v>66</v>
      </c>
      <c r="G383" t="s">
        <v>243</v>
      </c>
      <c r="H383" t="s">
        <v>421</v>
      </c>
      <c r="I383" t="s">
        <v>300</v>
      </c>
      <c r="J383" t="s">
        <v>300</v>
      </c>
      <c r="K383" t="s">
        <v>429</v>
      </c>
      <c r="L383" t="s">
        <v>637</v>
      </c>
    </row>
    <row r="384" spans="1:12">
      <c r="A384">
        <v>102223000</v>
      </c>
      <c r="B384" t="s">
        <v>456</v>
      </c>
      <c r="C384" t="s">
        <v>43</v>
      </c>
      <c r="D384" t="s">
        <v>49</v>
      </c>
      <c r="E384" t="s">
        <v>34</v>
      </c>
      <c r="F384" t="s">
        <v>66</v>
      </c>
      <c r="G384" t="s">
        <v>243</v>
      </c>
      <c r="H384" t="s">
        <v>421</v>
      </c>
      <c r="I384" t="s">
        <v>300</v>
      </c>
      <c r="J384" t="s">
        <v>300</v>
      </c>
      <c r="K384" t="s">
        <v>457</v>
      </c>
      <c r="L384" t="s">
        <v>638</v>
      </c>
    </row>
    <row r="385" spans="1:12">
      <c r="A385">
        <v>102251000</v>
      </c>
      <c r="B385" t="s">
        <v>639</v>
      </c>
      <c r="C385" t="s">
        <v>43</v>
      </c>
      <c r="D385" t="s">
        <v>65</v>
      </c>
      <c r="E385" t="s">
        <v>34</v>
      </c>
      <c r="F385" t="s">
        <v>66</v>
      </c>
      <c r="G385" t="s">
        <v>122</v>
      </c>
      <c r="H385" t="s">
        <v>421</v>
      </c>
      <c r="I385" t="s">
        <v>300</v>
      </c>
      <c r="J385" t="s">
        <v>300</v>
      </c>
      <c r="K385" t="s">
        <v>635</v>
      </c>
      <c r="L385" t="s">
        <v>636</v>
      </c>
    </row>
    <row r="386" spans="1:12">
      <c r="A386">
        <v>102252000</v>
      </c>
      <c r="B386" t="s">
        <v>439</v>
      </c>
      <c r="C386" t="s">
        <v>43</v>
      </c>
      <c r="D386" t="s">
        <v>44</v>
      </c>
      <c r="E386" t="s">
        <v>34</v>
      </c>
      <c r="F386" t="s">
        <v>66</v>
      </c>
      <c r="G386" t="s">
        <v>122</v>
      </c>
      <c r="H386" t="s">
        <v>421</v>
      </c>
      <c r="I386" t="s">
        <v>300</v>
      </c>
      <c r="J386" t="s">
        <v>300</v>
      </c>
      <c r="K386" t="s">
        <v>429</v>
      </c>
      <c r="L386" t="s">
        <v>637</v>
      </c>
    </row>
    <row r="387" spans="1:12">
      <c r="A387">
        <v>102253000</v>
      </c>
      <c r="B387" t="s">
        <v>458</v>
      </c>
      <c r="C387" t="s">
        <v>43</v>
      </c>
      <c r="D387" t="s">
        <v>49</v>
      </c>
      <c r="E387" t="s">
        <v>34</v>
      </c>
      <c r="F387" t="s">
        <v>66</v>
      </c>
      <c r="G387" t="s">
        <v>122</v>
      </c>
      <c r="H387" t="s">
        <v>421</v>
      </c>
      <c r="I387" t="s">
        <v>300</v>
      </c>
      <c r="J387" t="s">
        <v>300</v>
      </c>
      <c r="K387" t="s">
        <v>457</v>
      </c>
      <c r="L387" t="s">
        <v>638</v>
      </c>
    </row>
    <row r="388" spans="1:12">
      <c r="A388">
        <v>103122000</v>
      </c>
      <c r="B388" t="s">
        <v>640</v>
      </c>
      <c r="C388" t="s">
        <v>129</v>
      </c>
      <c r="D388" t="s">
        <v>616</v>
      </c>
      <c r="E388" t="s">
        <v>17</v>
      </c>
      <c r="F388" t="s">
        <v>66</v>
      </c>
      <c r="G388" t="s">
        <v>243</v>
      </c>
      <c r="H388" t="s">
        <v>421</v>
      </c>
      <c r="I388" t="s">
        <v>300</v>
      </c>
      <c r="J388" t="s">
        <v>300</v>
      </c>
      <c r="K388" t="s">
        <v>641</v>
      </c>
      <c r="L388" t="s">
        <v>642</v>
      </c>
    </row>
    <row r="389" spans="1:12">
      <c r="A389">
        <v>103121000</v>
      </c>
      <c r="B389" t="s">
        <v>643</v>
      </c>
      <c r="C389" t="s">
        <v>129</v>
      </c>
      <c r="D389" t="s">
        <v>65</v>
      </c>
      <c r="E389" t="s">
        <v>17</v>
      </c>
      <c r="F389" t="s">
        <v>66</v>
      </c>
      <c r="G389" t="s">
        <v>243</v>
      </c>
      <c r="H389" t="s">
        <v>421</v>
      </c>
      <c r="I389" t="s">
        <v>300</v>
      </c>
      <c r="J389" t="s">
        <v>300</v>
      </c>
      <c r="K389" t="s">
        <v>644</v>
      </c>
      <c r="L389" t="s">
        <v>516</v>
      </c>
    </row>
    <row r="390" spans="1:12">
      <c r="A390">
        <v>103151000</v>
      </c>
      <c r="B390" t="s">
        <v>645</v>
      </c>
      <c r="C390" t="s">
        <v>129</v>
      </c>
      <c r="D390" t="s">
        <v>65</v>
      </c>
      <c r="E390" t="s">
        <v>17</v>
      </c>
      <c r="F390" t="s">
        <v>66</v>
      </c>
      <c r="G390" t="s">
        <v>122</v>
      </c>
      <c r="H390" t="s">
        <v>421</v>
      </c>
      <c r="I390" t="s">
        <v>300</v>
      </c>
      <c r="J390" t="s">
        <v>300</v>
      </c>
      <c r="K390" t="s">
        <v>644</v>
      </c>
      <c r="L390" t="s">
        <v>516</v>
      </c>
    </row>
    <row r="391" spans="1:12">
      <c r="A391">
        <v>103152000</v>
      </c>
      <c r="B391" t="s">
        <v>646</v>
      </c>
      <c r="C391" t="s">
        <v>129</v>
      </c>
      <c r="D391" t="s">
        <v>616</v>
      </c>
      <c r="E391" t="s">
        <v>17</v>
      </c>
      <c r="F391" t="s">
        <v>66</v>
      </c>
      <c r="G391" t="s">
        <v>122</v>
      </c>
      <c r="H391" t="s">
        <v>421</v>
      </c>
      <c r="I391" t="s">
        <v>300</v>
      </c>
      <c r="J391" t="s">
        <v>300</v>
      </c>
      <c r="K391" t="s">
        <v>641</v>
      </c>
      <c r="L391" t="s">
        <v>642</v>
      </c>
    </row>
    <row r="392" spans="1:12">
      <c r="A392">
        <v>103221000</v>
      </c>
      <c r="B392" t="s">
        <v>647</v>
      </c>
      <c r="C392" t="s">
        <v>129</v>
      </c>
      <c r="D392" t="s">
        <v>65</v>
      </c>
      <c r="E392" t="s">
        <v>34</v>
      </c>
      <c r="F392" t="s">
        <v>66</v>
      </c>
      <c r="G392" t="s">
        <v>243</v>
      </c>
      <c r="H392" t="s">
        <v>421</v>
      </c>
      <c r="I392" t="s">
        <v>300</v>
      </c>
      <c r="J392" t="s">
        <v>300</v>
      </c>
      <c r="K392" t="s">
        <v>648</v>
      </c>
      <c r="L392" t="s">
        <v>562</v>
      </c>
    </row>
    <row r="393" spans="1:12">
      <c r="A393">
        <v>103222000</v>
      </c>
      <c r="B393" t="s">
        <v>649</v>
      </c>
      <c r="C393" t="s">
        <v>129</v>
      </c>
      <c r="D393" t="s">
        <v>616</v>
      </c>
      <c r="E393" t="s">
        <v>34</v>
      </c>
      <c r="F393" t="s">
        <v>66</v>
      </c>
      <c r="G393" t="s">
        <v>243</v>
      </c>
      <c r="H393" t="s">
        <v>421</v>
      </c>
      <c r="I393" t="s">
        <v>300</v>
      </c>
      <c r="J393" t="s">
        <v>300</v>
      </c>
      <c r="K393" t="s">
        <v>650</v>
      </c>
      <c r="L393" t="s">
        <v>651</v>
      </c>
    </row>
    <row r="394" spans="1:12">
      <c r="A394">
        <v>103251000</v>
      </c>
      <c r="B394" t="s">
        <v>652</v>
      </c>
      <c r="C394" t="s">
        <v>129</v>
      </c>
      <c r="D394" t="s">
        <v>65</v>
      </c>
      <c r="E394" t="s">
        <v>34</v>
      </c>
      <c r="F394" t="s">
        <v>66</v>
      </c>
      <c r="G394" t="s">
        <v>122</v>
      </c>
      <c r="H394" t="s">
        <v>421</v>
      </c>
      <c r="I394" t="s">
        <v>300</v>
      </c>
      <c r="J394" t="s">
        <v>300</v>
      </c>
      <c r="K394" t="s">
        <v>648</v>
      </c>
      <c r="L394" t="s">
        <v>562</v>
      </c>
    </row>
    <row r="395" spans="1:12">
      <c r="A395">
        <v>103252000</v>
      </c>
      <c r="B395" t="s">
        <v>653</v>
      </c>
      <c r="C395" t="s">
        <v>129</v>
      </c>
      <c r="D395" t="s">
        <v>616</v>
      </c>
      <c r="E395" t="s">
        <v>34</v>
      </c>
      <c r="F395" t="s">
        <v>66</v>
      </c>
      <c r="G395" t="s">
        <v>122</v>
      </c>
      <c r="H395" t="s">
        <v>421</v>
      </c>
      <c r="I395" t="s">
        <v>300</v>
      </c>
      <c r="J395" t="s">
        <v>300</v>
      </c>
      <c r="K395" t="s">
        <v>650</v>
      </c>
      <c r="L395" t="s">
        <v>651</v>
      </c>
    </row>
    <row r="396" spans="1:12">
      <c r="A396">
        <v>104121000</v>
      </c>
      <c r="B396" t="s">
        <v>654</v>
      </c>
      <c r="C396" t="s">
        <v>64</v>
      </c>
      <c r="D396" t="s">
        <v>65</v>
      </c>
      <c r="E396" t="s">
        <v>17</v>
      </c>
      <c r="F396" t="s">
        <v>66</v>
      </c>
      <c r="G396" t="s">
        <v>243</v>
      </c>
      <c r="H396" t="s">
        <v>421</v>
      </c>
      <c r="I396" t="s">
        <v>300</v>
      </c>
      <c r="J396" t="s">
        <v>300</v>
      </c>
      <c r="K396" t="s">
        <v>655</v>
      </c>
      <c r="L396" t="s">
        <v>68</v>
      </c>
    </row>
    <row r="397" spans="1:12">
      <c r="A397">
        <v>104151000</v>
      </c>
      <c r="B397" t="s">
        <v>656</v>
      </c>
      <c r="C397" t="s">
        <v>64</v>
      </c>
      <c r="D397" t="s">
        <v>65</v>
      </c>
      <c r="E397" t="s">
        <v>17</v>
      </c>
      <c r="F397" t="s">
        <v>66</v>
      </c>
      <c r="G397" t="s">
        <v>122</v>
      </c>
      <c r="H397" t="s">
        <v>421</v>
      </c>
      <c r="I397" t="s">
        <v>300</v>
      </c>
      <c r="J397" t="s">
        <v>300</v>
      </c>
      <c r="K397" t="s">
        <v>655</v>
      </c>
      <c r="L397" t="s">
        <v>68</v>
      </c>
    </row>
    <row r="398" spans="1:12">
      <c r="A398">
        <v>104221000</v>
      </c>
      <c r="B398" t="s">
        <v>657</v>
      </c>
      <c r="C398" t="s">
        <v>64</v>
      </c>
      <c r="D398" t="s">
        <v>65</v>
      </c>
      <c r="E398" t="s">
        <v>34</v>
      </c>
      <c r="F398" t="s">
        <v>66</v>
      </c>
      <c r="G398" t="s">
        <v>243</v>
      </c>
      <c r="H398" t="s">
        <v>421</v>
      </c>
      <c r="I398" t="s">
        <v>300</v>
      </c>
      <c r="J398" t="s">
        <v>300</v>
      </c>
      <c r="K398" t="s">
        <v>658</v>
      </c>
      <c r="L398" t="s">
        <v>180</v>
      </c>
    </row>
    <row r="399" spans="1:12">
      <c r="A399">
        <v>104251000</v>
      </c>
      <c r="B399" t="s">
        <v>659</v>
      </c>
      <c r="C399" t="s">
        <v>64</v>
      </c>
      <c r="D399" t="s">
        <v>65</v>
      </c>
      <c r="E399" t="s">
        <v>34</v>
      </c>
      <c r="F399" t="s">
        <v>66</v>
      </c>
      <c r="G399" t="s">
        <v>122</v>
      </c>
      <c r="H399" t="s">
        <v>421</v>
      </c>
      <c r="I399" t="s">
        <v>300</v>
      </c>
      <c r="J399" t="s">
        <v>300</v>
      </c>
      <c r="K399" t="s">
        <v>658</v>
      </c>
      <c r="L399" t="s">
        <v>180</v>
      </c>
    </row>
    <row r="400" spans="1:12">
      <c r="A400">
        <v>201122000</v>
      </c>
      <c r="B400" t="s">
        <v>660</v>
      </c>
      <c r="C400" t="s">
        <v>15</v>
      </c>
      <c r="D400" t="s">
        <v>16</v>
      </c>
      <c r="E400" t="s">
        <v>17</v>
      </c>
      <c r="F400" t="s">
        <v>66</v>
      </c>
      <c r="G400" t="s">
        <v>243</v>
      </c>
      <c r="H400" t="s">
        <v>139</v>
      </c>
      <c r="I400" t="s">
        <v>299</v>
      </c>
      <c r="J400" t="s">
        <v>300</v>
      </c>
      <c r="K400" t="s">
        <v>137</v>
      </c>
      <c r="L400" t="s">
        <v>24</v>
      </c>
    </row>
    <row r="401" spans="1:12">
      <c r="A401">
        <v>201123000</v>
      </c>
      <c r="B401" t="s">
        <v>661</v>
      </c>
      <c r="C401" t="s">
        <v>15</v>
      </c>
      <c r="D401" t="s">
        <v>29</v>
      </c>
      <c r="E401" t="s">
        <v>17</v>
      </c>
      <c r="F401" t="s">
        <v>66</v>
      </c>
      <c r="G401" t="s">
        <v>243</v>
      </c>
      <c r="H401" t="s">
        <v>139</v>
      </c>
      <c r="I401" t="s">
        <v>299</v>
      </c>
      <c r="J401" t="s">
        <v>300</v>
      </c>
      <c r="K401" t="s">
        <v>266</v>
      </c>
      <c r="L401" t="s">
        <v>31</v>
      </c>
    </row>
    <row r="402" spans="1:12">
      <c r="A402">
        <v>201124000</v>
      </c>
      <c r="B402" t="s">
        <v>662</v>
      </c>
      <c r="C402" t="s">
        <v>15</v>
      </c>
      <c r="D402" t="s">
        <v>150</v>
      </c>
      <c r="E402" t="s">
        <v>17</v>
      </c>
      <c r="F402" t="s">
        <v>66</v>
      </c>
      <c r="G402" t="s">
        <v>243</v>
      </c>
      <c r="H402" t="s">
        <v>139</v>
      </c>
      <c r="I402" t="s">
        <v>299</v>
      </c>
      <c r="J402" t="s">
        <v>300</v>
      </c>
      <c r="K402" t="s">
        <v>663</v>
      </c>
      <c r="L402" t="s">
        <v>622</v>
      </c>
    </row>
    <row r="403" spans="1:12">
      <c r="A403">
        <v>201152000</v>
      </c>
      <c r="B403" t="s">
        <v>664</v>
      </c>
      <c r="C403" t="s">
        <v>15</v>
      </c>
      <c r="D403" t="s">
        <v>16</v>
      </c>
      <c r="E403" t="s">
        <v>17</v>
      </c>
      <c r="F403" t="s">
        <v>66</v>
      </c>
      <c r="G403" t="s">
        <v>122</v>
      </c>
      <c r="H403" t="s">
        <v>139</v>
      </c>
      <c r="I403" t="s">
        <v>299</v>
      </c>
      <c r="J403" t="s">
        <v>300</v>
      </c>
      <c r="K403" t="s">
        <v>137</v>
      </c>
      <c r="L403" t="s">
        <v>24</v>
      </c>
    </row>
    <row r="404" spans="1:12">
      <c r="A404">
        <v>201153000</v>
      </c>
      <c r="B404" t="s">
        <v>665</v>
      </c>
      <c r="C404" t="s">
        <v>15</v>
      </c>
      <c r="D404" t="s">
        <v>29</v>
      </c>
      <c r="E404" t="s">
        <v>17</v>
      </c>
      <c r="F404" t="s">
        <v>66</v>
      </c>
      <c r="G404" t="s">
        <v>122</v>
      </c>
      <c r="H404" t="s">
        <v>139</v>
      </c>
      <c r="I404" t="s">
        <v>299</v>
      </c>
      <c r="J404" t="s">
        <v>300</v>
      </c>
      <c r="K404" t="s">
        <v>266</v>
      </c>
      <c r="L404" t="s">
        <v>31</v>
      </c>
    </row>
    <row r="405" spans="1:12">
      <c r="A405">
        <v>201154000</v>
      </c>
      <c r="B405" t="s">
        <v>666</v>
      </c>
      <c r="C405" t="s">
        <v>15</v>
      </c>
      <c r="D405" t="s">
        <v>192</v>
      </c>
      <c r="E405" t="s">
        <v>17</v>
      </c>
      <c r="F405" t="s">
        <v>66</v>
      </c>
      <c r="G405" t="s">
        <v>122</v>
      </c>
      <c r="H405" t="s">
        <v>139</v>
      </c>
      <c r="I405" t="s">
        <v>299</v>
      </c>
      <c r="J405" t="s">
        <v>300</v>
      </c>
      <c r="K405" t="s">
        <v>663</v>
      </c>
      <c r="L405" t="s">
        <v>622</v>
      </c>
    </row>
    <row r="406" spans="1:12">
      <c r="A406">
        <v>201222000</v>
      </c>
      <c r="B406" t="s">
        <v>667</v>
      </c>
      <c r="C406" t="s">
        <v>15</v>
      </c>
      <c r="D406" t="s">
        <v>16</v>
      </c>
      <c r="E406" t="s">
        <v>34</v>
      </c>
      <c r="F406" t="s">
        <v>66</v>
      </c>
      <c r="G406" t="s">
        <v>243</v>
      </c>
      <c r="H406" t="s">
        <v>139</v>
      </c>
      <c r="I406" t="s">
        <v>299</v>
      </c>
      <c r="J406" t="s">
        <v>300</v>
      </c>
      <c r="K406" t="s">
        <v>142</v>
      </c>
      <c r="L406" t="s">
        <v>36</v>
      </c>
    </row>
    <row r="407" spans="1:12">
      <c r="A407">
        <v>201223000</v>
      </c>
      <c r="B407" t="s">
        <v>668</v>
      </c>
      <c r="C407" t="s">
        <v>15</v>
      </c>
      <c r="D407" t="s">
        <v>29</v>
      </c>
      <c r="E407" t="s">
        <v>34</v>
      </c>
      <c r="F407" t="s">
        <v>66</v>
      </c>
      <c r="G407" t="s">
        <v>243</v>
      </c>
      <c r="H407" t="s">
        <v>139</v>
      </c>
      <c r="I407" t="s">
        <v>299</v>
      </c>
      <c r="J407" t="s">
        <v>300</v>
      </c>
      <c r="K407" t="s">
        <v>277</v>
      </c>
      <c r="L407" t="s">
        <v>40</v>
      </c>
    </row>
    <row r="408" spans="1:12">
      <c r="A408">
        <v>201224000</v>
      </c>
      <c r="B408" t="s">
        <v>669</v>
      </c>
      <c r="C408" t="s">
        <v>15</v>
      </c>
      <c r="D408" t="s">
        <v>150</v>
      </c>
      <c r="E408" t="s">
        <v>34</v>
      </c>
      <c r="F408" t="s">
        <v>66</v>
      </c>
      <c r="G408" t="s">
        <v>243</v>
      </c>
      <c r="H408" t="s">
        <v>139</v>
      </c>
      <c r="I408" t="s">
        <v>299</v>
      </c>
      <c r="J408" t="s">
        <v>300</v>
      </c>
      <c r="K408" t="s">
        <v>670</v>
      </c>
      <c r="L408" t="s">
        <v>626</v>
      </c>
    </row>
    <row r="409" spans="1:12">
      <c r="A409">
        <v>201252000</v>
      </c>
      <c r="B409" t="s">
        <v>671</v>
      </c>
      <c r="C409" t="s">
        <v>15</v>
      </c>
      <c r="D409" t="s">
        <v>16</v>
      </c>
      <c r="E409" t="s">
        <v>34</v>
      </c>
      <c r="F409" t="s">
        <v>66</v>
      </c>
      <c r="G409" t="s">
        <v>122</v>
      </c>
      <c r="H409" t="s">
        <v>139</v>
      </c>
      <c r="I409" t="s">
        <v>299</v>
      </c>
      <c r="J409" t="s">
        <v>300</v>
      </c>
      <c r="K409" t="s">
        <v>142</v>
      </c>
      <c r="L409" t="s">
        <v>36</v>
      </c>
    </row>
    <row r="410" spans="1:12">
      <c r="A410">
        <v>201253000</v>
      </c>
      <c r="B410" t="s">
        <v>672</v>
      </c>
      <c r="C410" t="s">
        <v>15</v>
      </c>
      <c r="D410" t="s">
        <v>29</v>
      </c>
      <c r="E410" t="s">
        <v>34</v>
      </c>
      <c r="F410" t="s">
        <v>66</v>
      </c>
      <c r="G410" t="s">
        <v>122</v>
      </c>
      <c r="H410" t="s">
        <v>139</v>
      </c>
      <c r="I410" t="s">
        <v>299</v>
      </c>
      <c r="J410" t="s">
        <v>300</v>
      </c>
      <c r="K410" t="s">
        <v>277</v>
      </c>
      <c r="L410" t="s">
        <v>40</v>
      </c>
    </row>
    <row r="411" spans="1:12">
      <c r="A411">
        <v>201254000</v>
      </c>
      <c r="B411" t="s">
        <v>673</v>
      </c>
      <c r="C411" t="s">
        <v>15</v>
      </c>
      <c r="D411" t="s">
        <v>150</v>
      </c>
      <c r="E411" t="s">
        <v>34</v>
      </c>
      <c r="F411" t="s">
        <v>66</v>
      </c>
      <c r="G411" t="s">
        <v>122</v>
      </c>
      <c r="H411" t="s">
        <v>139</v>
      </c>
      <c r="I411" t="s">
        <v>299</v>
      </c>
      <c r="J411" t="s">
        <v>300</v>
      </c>
      <c r="K411" t="s">
        <v>670</v>
      </c>
      <c r="L411" t="s">
        <v>626</v>
      </c>
    </row>
    <row r="412" spans="1:12">
      <c r="A412">
        <v>202122000</v>
      </c>
      <c r="B412" t="s">
        <v>674</v>
      </c>
      <c r="C412" t="s">
        <v>43</v>
      </c>
      <c r="D412" t="s">
        <v>44</v>
      </c>
      <c r="E412" t="s">
        <v>17</v>
      </c>
      <c r="F412" t="s">
        <v>66</v>
      </c>
      <c r="G412" t="s">
        <v>243</v>
      </c>
      <c r="H412" t="s">
        <v>139</v>
      </c>
      <c r="I412" t="s">
        <v>299</v>
      </c>
      <c r="J412" t="s">
        <v>300</v>
      </c>
      <c r="K412" t="s">
        <v>282</v>
      </c>
      <c r="L412" t="s">
        <v>47</v>
      </c>
    </row>
    <row r="413" spans="1:12">
      <c r="A413">
        <v>202121000</v>
      </c>
      <c r="B413" t="s">
        <v>675</v>
      </c>
      <c r="C413" t="s">
        <v>43</v>
      </c>
      <c r="D413" t="s">
        <v>65</v>
      </c>
      <c r="E413" t="s">
        <v>17</v>
      </c>
      <c r="F413" t="s">
        <v>66</v>
      </c>
      <c r="G413" t="s">
        <v>243</v>
      </c>
      <c r="H413" t="s">
        <v>139</v>
      </c>
      <c r="I413" t="s">
        <v>299</v>
      </c>
      <c r="J413" t="s">
        <v>300</v>
      </c>
      <c r="K413" t="s">
        <v>676</v>
      </c>
      <c r="L413" t="s">
        <v>677</v>
      </c>
    </row>
    <row r="414" spans="1:12">
      <c r="A414">
        <v>202123000</v>
      </c>
      <c r="B414" t="s">
        <v>678</v>
      </c>
      <c r="C414" t="s">
        <v>43</v>
      </c>
      <c r="D414" t="s">
        <v>49</v>
      </c>
      <c r="E414" t="s">
        <v>17</v>
      </c>
      <c r="F414" t="s">
        <v>66</v>
      </c>
      <c r="G414" t="s">
        <v>243</v>
      </c>
      <c r="H414" t="s">
        <v>139</v>
      </c>
      <c r="I414" t="s">
        <v>299</v>
      </c>
      <c r="J414" t="s">
        <v>300</v>
      </c>
      <c r="K414" t="s">
        <v>286</v>
      </c>
      <c r="L414" t="s">
        <v>50</v>
      </c>
    </row>
    <row r="415" spans="1:12">
      <c r="A415">
        <v>202151000</v>
      </c>
      <c r="B415" t="s">
        <v>679</v>
      </c>
      <c r="C415" t="s">
        <v>43</v>
      </c>
      <c r="D415" t="s">
        <v>65</v>
      </c>
      <c r="E415" t="s">
        <v>17</v>
      </c>
      <c r="F415" t="s">
        <v>66</v>
      </c>
      <c r="G415" t="s">
        <v>122</v>
      </c>
      <c r="H415" t="s">
        <v>139</v>
      </c>
      <c r="I415" t="s">
        <v>299</v>
      </c>
      <c r="J415" t="s">
        <v>300</v>
      </c>
      <c r="K415" t="s">
        <v>676</v>
      </c>
      <c r="L415" t="s">
        <v>677</v>
      </c>
    </row>
    <row r="416" spans="1:12">
      <c r="A416">
        <v>202152000</v>
      </c>
      <c r="B416" t="s">
        <v>680</v>
      </c>
      <c r="C416" t="s">
        <v>43</v>
      </c>
      <c r="D416" t="s">
        <v>44</v>
      </c>
      <c r="E416" t="s">
        <v>17</v>
      </c>
      <c r="F416" t="s">
        <v>66</v>
      </c>
      <c r="G416" t="s">
        <v>122</v>
      </c>
      <c r="H416" t="s">
        <v>139</v>
      </c>
      <c r="I416" t="s">
        <v>299</v>
      </c>
      <c r="J416" t="s">
        <v>300</v>
      </c>
      <c r="K416" t="s">
        <v>282</v>
      </c>
      <c r="L416" t="s">
        <v>47</v>
      </c>
    </row>
    <row r="417" spans="1:12">
      <c r="A417">
        <v>202153000</v>
      </c>
      <c r="B417" t="s">
        <v>681</v>
      </c>
      <c r="C417" t="s">
        <v>43</v>
      </c>
      <c r="D417" t="s">
        <v>49</v>
      </c>
      <c r="E417" t="s">
        <v>17</v>
      </c>
      <c r="F417" t="s">
        <v>66</v>
      </c>
      <c r="G417" t="s">
        <v>122</v>
      </c>
      <c r="H417" t="s">
        <v>139</v>
      </c>
      <c r="I417" t="s">
        <v>299</v>
      </c>
      <c r="J417" t="s">
        <v>300</v>
      </c>
      <c r="K417" t="s">
        <v>286</v>
      </c>
      <c r="L417" t="s">
        <v>50</v>
      </c>
    </row>
    <row r="418" spans="1:12">
      <c r="A418">
        <v>202221000</v>
      </c>
      <c r="B418" t="s">
        <v>682</v>
      </c>
      <c r="C418" t="s">
        <v>43</v>
      </c>
      <c r="D418" t="s">
        <v>65</v>
      </c>
      <c r="E418" t="s">
        <v>34</v>
      </c>
      <c r="F418" t="s">
        <v>66</v>
      </c>
      <c r="G418" t="s">
        <v>243</v>
      </c>
      <c r="H418" t="s">
        <v>139</v>
      </c>
      <c r="I418" t="s">
        <v>299</v>
      </c>
      <c r="J418" t="s">
        <v>300</v>
      </c>
      <c r="K418" t="s">
        <v>683</v>
      </c>
      <c r="L418" t="s">
        <v>684</v>
      </c>
    </row>
    <row r="419" spans="1:12">
      <c r="A419">
        <v>202222000</v>
      </c>
      <c r="B419" t="s">
        <v>685</v>
      </c>
      <c r="C419" t="s">
        <v>43</v>
      </c>
      <c r="D419" t="s">
        <v>44</v>
      </c>
      <c r="E419" t="s">
        <v>34</v>
      </c>
      <c r="F419" t="s">
        <v>66</v>
      </c>
      <c r="G419" t="s">
        <v>243</v>
      </c>
      <c r="H419" t="s">
        <v>139</v>
      </c>
      <c r="I419" t="s">
        <v>299</v>
      </c>
      <c r="J419" t="s">
        <v>300</v>
      </c>
      <c r="K419" t="s">
        <v>284</v>
      </c>
      <c r="L419" t="s">
        <v>52</v>
      </c>
    </row>
    <row r="420" spans="1:12">
      <c r="A420">
        <v>202223000</v>
      </c>
      <c r="B420" t="s">
        <v>686</v>
      </c>
      <c r="C420" t="s">
        <v>43</v>
      </c>
      <c r="D420" t="s">
        <v>49</v>
      </c>
      <c r="E420" t="s">
        <v>34</v>
      </c>
      <c r="F420" t="s">
        <v>66</v>
      </c>
      <c r="G420" t="s">
        <v>243</v>
      </c>
      <c r="H420" t="s">
        <v>139</v>
      </c>
      <c r="I420" t="s">
        <v>299</v>
      </c>
      <c r="J420" t="s">
        <v>300</v>
      </c>
      <c r="K420" t="s">
        <v>288</v>
      </c>
      <c r="L420" t="s">
        <v>55</v>
      </c>
    </row>
    <row r="421" spans="1:12">
      <c r="A421">
        <v>202251000</v>
      </c>
      <c r="B421" t="s">
        <v>687</v>
      </c>
      <c r="C421" t="s">
        <v>43</v>
      </c>
      <c r="D421" t="s">
        <v>65</v>
      </c>
      <c r="E421" t="s">
        <v>34</v>
      </c>
      <c r="F421" t="s">
        <v>66</v>
      </c>
      <c r="G421" t="s">
        <v>122</v>
      </c>
      <c r="H421" t="s">
        <v>139</v>
      </c>
      <c r="I421" t="s">
        <v>299</v>
      </c>
      <c r="J421" t="s">
        <v>300</v>
      </c>
      <c r="K421" t="s">
        <v>683</v>
      </c>
      <c r="L421" t="s">
        <v>684</v>
      </c>
    </row>
    <row r="422" spans="1:12">
      <c r="A422">
        <v>202252000</v>
      </c>
      <c r="B422" t="s">
        <v>688</v>
      </c>
      <c r="C422" t="s">
        <v>43</v>
      </c>
      <c r="D422" t="s">
        <v>44</v>
      </c>
      <c r="E422" t="s">
        <v>34</v>
      </c>
      <c r="F422" t="s">
        <v>66</v>
      </c>
      <c r="G422" t="s">
        <v>122</v>
      </c>
      <c r="H422" t="s">
        <v>139</v>
      </c>
      <c r="I422" t="s">
        <v>299</v>
      </c>
      <c r="J422" t="s">
        <v>300</v>
      </c>
      <c r="K422" t="s">
        <v>284</v>
      </c>
      <c r="L422" t="s">
        <v>52</v>
      </c>
    </row>
    <row r="423" spans="1:12">
      <c r="A423">
        <v>202253000</v>
      </c>
      <c r="B423" t="s">
        <v>689</v>
      </c>
      <c r="C423" t="s">
        <v>43</v>
      </c>
      <c r="D423" t="s">
        <v>49</v>
      </c>
      <c r="E423" t="s">
        <v>34</v>
      </c>
      <c r="F423" t="s">
        <v>66</v>
      </c>
      <c r="G423" t="s">
        <v>122</v>
      </c>
      <c r="H423" t="s">
        <v>139</v>
      </c>
      <c r="I423" t="s">
        <v>299</v>
      </c>
      <c r="J423" t="s">
        <v>300</v>
      </c>
      <c r="K423" t="s">
        <v>288</v>
      </c>
      <c r="L423" t="s">
        <v>55</v>
      </c>
    </row>
    <row r="424" spans="1:12">
      <c r="A424">
        <v>203122000</v>
      </c>
      <c r="B424" t="s">
        <v>690</v>
      </c>
      <c r="C424" t="s">
        <v>129</v>
      </c>
      <c r="D424" t="s">
        <v>616</v>
      </c>
      <c r="E424" t="s">
        <v>17</v>
      </c>
      <c r="F424" t="s">
        <v>66</v>
      </c>
      <c r="G424" t="s">
        <v>243</v>
      </c>
      <c r="H424" t="s">
        <v>139</v>
      </c>
      <c r="I424" t="s">
        <v>299</v>
      </c>
      <c r="J424" t="s">
        <v>300</v>
      </c>
      <c r="K424" t="s">
        <v>691</v>
      </c>
      <c r="L424" t="s">
        <v>692</v>
      </c>
    </row>
    <row r="425" spans="1:12">
      <c r="A425">
        <v>203121000</v>
      </c>
      <c r="B425" t="s">
        <v>693</v>
      </c>
      <c r="C425" t="s">
        <v>129</v>
      </c>
      <c r="D425" t="s">
        <v>65</v>
      </c>
      <c r="E425" t="s">
        <v>17</v>
      </c>
      <c r="F425" t="s">
        <v>66</v>
      </c>
      <c r="G425" t="s">
        <v>243</v>
      </c>
      <c r="H425" t="s">
        <v>139</v>
      </c>
      <c r="I425" t="s">
        <v>299</v>
      </c>
      <c r="J425" t="s">
        <v>300</v>
      </c>
      <c r="K425" t="s">
        <v>694</v>
      </c>
      <c r="L425" t="s">
        <v>695</v>
      </c>
    </row>
    <row r="426" spans="1:12">
      <c r="A426">
        <v>203151000</v>
      </c>
      <c r="B426" t="s">
        <v>696</v>
      </c>
      <c r="C426" t="s">
        <v>129</v>
      </c>
      <c r="D426" t="s">
        <v>65</v>
      </c>
      <c r="E426" t="s">
        <v>17</v>
      </c>
      <c r="F426" t="s">
        <v>66</v>
      </c>
      <c r="G426" t="s">
        <v>122</v>
      </c>
      <c r="H426" t="s">
        <v>139</v>
      </c>
      <c r="I426" t="s">
        <v>299</v>
      </c>
      <c r="J426" t="s">
        <v>300</v>
      </c>
      <c r="K426" t="s">
        <v>694</v>
      </c>
      <c r="L426" t="s">
        <v>695</v>
      </c>
    </row>
    <row r="427" spans="1:12">
      <c r="A427">
        <v>203152000</v>
      </c>
      <c r="B427" t="s">
        <v>697</v>
      </c>
      <c r="C427" t="s">
        <v>129</v>
      </c>
      <c r="D427" t="s">
        <v>616</v>
      </c>
      <c r="E427" t="s">
        <v>17</v>
      </c>
      <c r="F427" t="s">
        <v>66</v>
      </c>
      <c r="G427" t="s">
        <v>122</v>
      </c>
      <c r="H427" t="s">
        <v>139</v>
      </c>
      <c r="I427" t="s">
        <v>299</v>
      </c>
      <c r="J427" t="s">
        <v>300</v>
      </c>
      <c r="K427" t="s">
        <v>691</v>
      </c>
      <c r="L427" t="s">
        <v>692</v>
      </c>
    </row>
    <row r="428" spans="1:12">
      <c r="A428">
        <v>203221000</v>
      </c>
      <c r="B428" t="s">
        <v>698</v>
      </c>
      <c r="C428" t="s">
        <v>129</v>
      </c>
      <c r="D428" t="s">
        <v>65</v>
      </c>
      <c r="E428" t="s">
        <v>34</v>
      </c>
      <c r="F428" t="s">
        <v>66</v>
      </c>
      <c r="G428" t="s">
        <v>243</v>
      </c>
      <c r="H428" t="s">
        <v>139</v>
      </c>
      <c r="I428" t="s">
        <v>299</v>
      </c>
      <c r="J428" t="s">
        <v>300</v>
      </c>
      <c r="K428" t="s">
        <v>699</v>
      </c>
      <c r="L428" t="s">
        <v>700</v>
      </c>
    </row>
    <row r="429" spans="1:12">
      <c r="A429">
        <v>203222000</v>
      </c>
      <c r="B429" t="s">
        <v>701</v>
      </c>
      <c r="C429" t="s">
        <v>129</v>
      </c>
      <c r="D429" t="s">
        <v>616</v>
      </c>
      <c r="E429" t="s">
        <v>34</v>
      </c>
      <c r="F429" t="s">
        <v>66</v>
      </c>
      <c r="G429" t="s">
        <v>243</v>
      </c>
      <c r="H429" t="s">
        <v>139</v>
      </c>
      <c r="I429" t="s">
        <v>299</v>
      </c>
      <c r="J429" t="s">
        <v>300</v>
      </c>
      <c r="K429" t="s">
        <v>702</v>
      </c>
      <c r="L429" t="s">
        <v>703</v>
      </c>
    </row>
    <row r="430" spans="1:12">
      <c r="A430">
        <v>203251000</v>
      </c>
      <c r="B430" t="s">
        <v>704</v>
      </c>
      <c r="C430" t="s">
        <v>129</v>
      </c>
      <c r="D430" t="s">
        <v>65</v>
      </c>
      <c r="E430" t="s">
        <v>34</v>
      </c>
      <c r="F430" t="s">
        <v>66</v>
      </c>
      <c r="G430" t="s">
        <v>122</v>
      </c>
      <c r="H430" t="s">
        <v>139</v>
      </c>
      <c r="I430" t="s">
        <v>299</v>
      </c>
      <c r="J430" t="s">
        <v>300</v>
      </c>
      <c r="K430" t="s">
        <v>699</v>
      </c>
      <c r="L430" t="s">
        <v>700</v>
      </c>
    </row>
    <row r="431" spans="1:12">
      <c r="A431">
        <v>203252000</v>
      </c>
      <c r="B431" t="s">
        <v>705</v>
      </c>
      <c r="C431" t="s">
        <v>129</v>
      </c>
      <c r="D431" t="s">
        <v>616</v>
      </c>
      <c r="E431" t="s">
        <v>34</v>
      </c>
      <c r="F431" t="s">
        <v>66</v>
      </c>
      <c r="G431" t="s">
        <v>122</v>
      </c>
      <c r="H431" t="s">
        <v>139</v>
      </c>
      <c r="I431" t="s">
        <v>299</v>
      </c>
      <c r="J431" t="s">
        <v>300</v>
      </c>
      <c r="K431" t="s">
        <v>702</v>
      </c>
      <c r="L431" t="s">
        <v>703</v>
      </c>
    </row>
    <row r="432" spans="1:12">
      <c r="A432">
        <v>204121000</v>
      </c>
      <c r="B432" t="s">
        <v>706</v>
      </c>
      <c r="C432" t="s">
        <v>64</v>
      </c>
      <c r="D432" t="s">
        <v>65</v>
      </c>
      <c r="E432" t="s">
        <v>17</v>
      </c>
      <c r="F432" t="s">
        <v>66</v>
      </c>
      <c r="G432" t="s">
        <v>243</v>
      </c>
      <c r="H432" t="s">
        <v>139</v>
      </c>
      <c r="I432" t="s">
        <v>299</v>
      </c>
      <c r="J432" t="s">
        <v>300</v>
      </c>
      <c r="K432" t="s">
        <v>707</v>
      </c>
      <c r="L432" t="s">
        <v>708</v>
      </c>
    </row>
    <row r="433" spans="1:12">
      <c r="A433">
        <v>204151000</v>
      </c>
      <c r="B433" t="s">
        <v>709</v>
      </c>
      <c r="C433" t="s">
        <v>64</v>
      </c>
      <c r="D433" t="s">
        <v>65</v>
      </c>
      <c r="E433" t="s">
        <v>17</v>
      </c>
      <c r="F433" t="s">
        <v>66</v>
      </c>
      <c r="G433" t="s">
        <v>122</v>
      </c>
      <c r="H433" t="s">
        <v>139</v>
      </c>
      <c r="I433" t="s">
        <v>299</v>
      </c>
      <c r="J433" t="s">
        <v>300</v>
      </c>
      <c r="K433" t="s">
        <v>707</v>
      </c>
      <c r="L433" t="s">
        <v>708</v>
      </c>
    </row>
    <row r="434" spans="1:12">
      <c r="A434">
        <v>204221000</v>
      </c>
      <c r="B434" t="s">
        <v>710</v>
      </c>
      <c r="C434" t="s">
        <v>64</v>
      </c>
      <c r="D434" t="s">
        <v>65</v>
      </c>
      <c r="E434" t="s">
        <v>34</v>
      </c>
      <c r="F434" t="s">
        <v>66</v>
      </c>
      <c r="G434" t="s">
        <v>243</v>
      </c>
      <c r="H434" t="s">
        <v>139</v>
      </c>
      <c r="I434" t="s">
        <v>299</v>
      </c>
      <c r="J434" t="s">
        <v>300</v>
      </c>
      <c r="K434" t="s">
        <v>711</v>
      </c>
      <c r="L434" t="s">
        <v>712</v>
      </c>
    </row>
    <row r="435" spans="1:12">
      <c r="A435">
        <v>204251000</v>
      </c>
      <c r="B435" t="s">
        <v>713</v>
      </c>
      <c r="C435" t="s">
        <v>64</v>
      </c>
      <c r="D435" t="s">
        <v>65</v>
      </c>
      <c r="E435" t="s">
        <v>34</v>
      </c>
      <c r="F435" t="s">
        <v>66</v>
      </c>
      <c r="G435" t="s">
        <v>122</v>
      </c>
      <c r="H435" t="s">
        <v>139</v>
      </c>
      <c r="I435" t="s">
        <v>299</v>
      </c>
      <c r="J435" t="s">
        <v>300</v>
      </c>
      <c r="K435" t="s">
        <v>711</v>
      </c>
      <c r="L435" t="s">
        <v>712</v>
      </c>
    </row>
    <row r="436" spans="1:12">
      <c r="A436">
        <v>302131000</v>
      </c>
      <c r="B436" t="s">
        <v>714</v>
      </c>
      <c r="C436" t="s">
        <v>43</v>
      </c>
      <c r="D436" t="s">
        <v>65</v>
      </c>
      <c r="E436" t="s">
        <v>17</v>
      </c>
      <c r="F436" t="s">
        <v>66</v>
      </c>
      <c r="G436" t="s">
        <v>139</v>
      </c>
      <c r="H436" t="s">
        <v>139</v>
      </c>
      <c r="I436" t="s">
        <v>340</v>
      </c>
      <c r="J436" t="s">
        <v>22</v>
      </c>
      <c r="K436" t="s">
        <v>396</v>
      </c>
      <c r="L436" t="s">
        <v>715</v>
      </c>
    </row>
    <row r="437" spans="1:12">
      <c r="A437">
        <v>302132000</v>
      </c>
      <c r="B437" t="s">
        <v>716</v>
      </c>
      <c r="C437" t="s">
        <v>43</v>
      </c>
      <c r="D437" t="s">
        <v>44</v>
      </c>
      <c r="E437" t="s">
        <v>17</v>
      </c>
      <c r="F437" t="s">
        <v>66</v>
      </c>
      <c r="G437" t="s">
        <v>139</v>
      </c>
      <c r="H437" t="s">
        <v>139</v>
      </c>
      <c r="I437" t="s">
        <v>340</v>
      </c>
      <c r="J437" t="s">
        <v>22</v>
      </c>
      <c r="K437" t="s">
        <v>286</v>
      </c>
      <c r="L437" t="s">
        <v>717</v>
      </c>
    </row>
    <row r="438" spans="1:12">
      <c r="A438">
        <v>302133000</v>
      </c>
      <c r="B438" t="s">
        <v>718</v>
      </c>
      <c r="C438" t="s">
        <v>43</v>
      </c>
      <c r="D438" t="s">
        <v>49</v>
      </c>
      <c r="E438" t="s">
        <v>17</v>
      </c>
      <c r="F438" t="s">
        <v>66</v>
      </c>
      <c r="G438" t="s">
        <v>139</v>
      </c>
      <c r="H438" t="s">
        <v>139</v>
      </c>
      <c r="I438" t="s">
        <v>340</v>
      </c>
      <c r="J438" t="s">
        <v>22</v>
      </c>
      <c r="K438" t="s">
        <v>286</v>
      </c>
      <c r="L438" t="s">
        <v>719</v>
      </c>
    </row>
    <row r="439" spans="1:12">
      <c r="A439">
        <v>302231000</v>
      </c>
      <c r="B439" t="s">
        <v>720</v>
      </c>
      <c r="C439" t="s">
        <v>43</v>
      </c>
      <c r="D439" t="s">
        <v>65</v>
      </c>
      <c r="E439" t="s">
        <v>34</v>
      </c>
      <c r="F439" t="s">
        <v>66</v>
      </c>
      <c r="G439" t="s">
        <v>139</v>
      </c>
      <c r="H439" t="s">
        <v>139</v>
      </c>
      <c r="I439" t="s">
        <v>340</v>
      </c>
      <c r="J439" t="s">
        <v>22</v>
      </c>
      <c r="K439" t="s">
        <v>721</v>
      </c>
      <c r="L439" t="s">
        <v>722</v>
      </c>
    </row>
    <row r="440" spans="1:12">
      <c r="A440">
        <v>302232000</v>
      </c>
      <c r="B440" t="s">
        <v>723</v>
      </c>
      <c r="C440" t="s">
        <v>43</v>
      </c>
      <c r="D440" t="s">
        <v>44</v>
      </c>
      <c r="E440" t="s">
        <v>34</v>
      </c>
      <c r="F440" t="s">
        <v>66</v>
      </c>
      <c r="G440" t="s">
        <v>139</v>
      </c>
      <c r="H440" t="s">
        <v>139</v>
      </c>
      <c r="I440" t="s">
        <v>340</v>
      </c>
      <c r="J440" t="s">
        <v>22</v>
      </c>
      <c r="K440" t="s">
        <v>284</v>
      </c>
      <c r="L440" t="s">
        <v>724</v>
      </c>
    </row>
    <row r="441" spans="1:12">
      <c r="A441">
        <v>302233000</v>
      </c>
      <c r="B441" t="s">
        <v>725</v>
      </c>
      <c r="C441" t="s">
        <v>43</v>
      </c>
      <c r="D441" t="s">
        <v>49</v>
      </c>
      <c r="E441" t="s">
        <v>34</v>
      </c>
      <c r="F441" t="s">
        <v>66</v>
      </c>
      <c r="G441" t="s">
        <v>139</v>
      </c>
      <c r="H441" t="s">
        <v>139</v>
      </c>
      <c r="I441" t="s">
        <v>340</v>
      </c>
      <c r="J441" t="s">
        <v>22</v>
      </c>
      <c r="K441" t="s">
        <v>288</v>
      </c>
      <c r="L441" t="s">
        <v>726</v>
      </c>
    </row>
    <row r="442" spans="1:12">
      <c r="A442">
        <v>402121000</v>
      </c>
      <c r="B442" t="s">
        <v>727</v>
      </c>
      <c r="C442" t="s">
        <v>43</v>
      </c>
      <c r="D442" t="s">
        <v>65</v>
      </c>
      <c r="E442" t="s">
        <v>17</v>
      </c>
      <c r="F442" t="s">
        <v>66</v>
      </c>
      <c r="G442" t="s">
        <v>19</v>
      </c>
      <c r="H442" t="s">
        <v>20</v>
      </c>
      <c r="I442" t="s">
        <v>189</v>
      </c>
      <c r="J442" t="s">
        <v>22</v>
      </c>
      <c r="K442" t="s">
        <v>728</v>
      </c>
      <c r="L442" t="s">
        <v>715</v>
      </c>
    </row>
    <row r="443" spans="1:12">
      <c r="A443">
        <v>402122000</v>
      </c>
      <c r="B443" t="s">
        <v>729</v>
      </c>
      <c r="C443" t="s">
        <v>43</v>
      </c>
      <c r="D443" t="s">
        <v>44</v>
      </c>
      <c r="E443" t="s">
        <v>17</v>
      </c>
      <c r="F443" t="s">
        <v>66</v>
      </c>
      <c r="G443" t="s">
        <v>19</v>
      </c>
      <c r="H443" t="s">
        <v>20</v>
      </c>
      <c r="I443" t="s">
        <v>189</v>
      </c>
      <c r="J443" t="s">
        <v>22</v>
      </c>
      <c r="K443" t="s">
        <v>730</v>
      </c>
      <c r="L443" t="s">
        <v>717</v>
      </c>
    </row>
    <row r="444" spans="1:12">
      <c r="A444">
        <v>402123000</v>
      </c>
      <c r="B444" t="s">
        <v>731</v>
      </c>
      <c r="C444" t="s">
        <v>43</v>
      </c>
      <c r="D444" t="s">
        <v>49</v>
      </c>
      <c r="E444" t="s">
        <v>17</v>
      </c>
      <c r="F444" t="s">
        <v>66</v>
      </c>
      <c r="G444" t="s">
        <v>19</v>
      </c>
      <c r="H444" t="s">
        <v>20</v>
      </c>
      <c r="I444" t="s">
        <v>189</v>
      </c>
      <c r="J444" t="s">
        <v>22</v>
      </c>
      <c r="K444" t="s">
        <v>732</v>
      </c>
      <c r="L444" t="s">
        <v>719</v>
      </c>
    </row>
    <row r="445" spans="1:12">
      <c r="A445">
        <v>402171000</v>
      </c>
      <c r="B445" t="s">
        <v>733</v>
      </c>
      <c r="C445" t="s">
        <v>43</v>
      </c>
      <c r="D445" t="s">
        <v>65</v>
      </c>
      <c r="E445" t="s">
        <v>17</v>
      </c>
      <c r="F445" t="s">
        <v>66</v>
      </c>
      <c r="G445" t="s">
        <v>243</v>
      </c>
      <c r="H445" t="s">
        <v>95</v>
      </c>
      <c r="I445" t="s">
        <v>189</v>
      </c>
      <c r="J445" t="s">
        <v>22</v>
      </c>
      <c r="K445" t="s">
        <v>728</v>
      </c>
      <c r="L445" t="s">
        <v>715</v>
      </c>
    </row>
    <row r="446" spans="1:12">
      <c r="A446">
        <v>402172000</v>
      </c>
      <c r="B446" t="s">
        <v>734</v>
      </c>
      <c r="C446" t="s">
        <v>43</v>
      </c>
      <c r="D446" t="s">
        <v>44</v>
      </c>
      <c r="E446" t="s">
        <v>17</v>
      </c>
      <c r="F446" t="s">
        <v>66</v>
      </c>
      <c r="G446" t="s">
        <v>243</v>
      </c>
      <c r="H446" t="s">
        <v>95</v>
      </c>
      <c r="I446" t="s">
        <v>189</v>
      </c>
      <c r="J446" t="s">
        <v>22</v>
      </c>
      <c r="K446" t="s">
        <v>730</v>
      </c>
      <c r="L446" t="s">
        <v>717</v>
      </c>
    </row>
    <row r="447" spans="1:12">
      <c r="A447">
        <v>402173000</v>
      </c>
      <c r="B447" t="s">
        <v>735</v>
      </c>
      <c r="C447" t="s">
        <v>43</v>
      </c>
      <c r="D447" t="s">
        <v>49</v>
      </c>
      <c r="E447" t="s">
        <v>17</v>
      </c>
      <c r="F447" t="s">
        <v>66</v>
      </c>
      <c r="G447" t="s">
        <v>243</v>
      </c>
      <c r="H447" t="s">
        <v>95</v>
      </c>
      <c r="I447" t="s">
        <v>189</v>
      </c>
      <c r="J447" t="s">
        <v>22</v>
      </c>
      <c r="K447" t="s">
        <v>732</v>
      </c>
      <c r="L447" t="s">
        <v>719</v>
      </c>
    </row>
    <row r="448" spans="1:12">
      <c r="A448">
        <v>402221000</v>
      </c>
      <c r="B448" t="s">
        <v>736</v>
      </c>
      <c r="C448" t="s">
        <v>43</v>
      </c>
      <c r="D448" t="s">
        <v>65</v>
      </c>
      <c r="E448" t="s">
        <v>34</v>
      </c>
      <c r="F448" t="s">
        <v>66</v>
      </c>
      <c r="G448" t="s">
        <v>19</v>
      </c>
      <c r="H448" t="s">
        <v>20</v>
      </c>
      <c r="I448" t="s">
        <v>189</v>
      </c>
      <c r="J448" t="s">
        <v>22</v>
      </c>
      <c r="K448" t="s">
        <v>737</v>
      </c>
      <c r="L448" t="s">
        <v>722</v>
      </c>
    </row>
    <row r="449" spans="1:12">
      <c r="A449">
        <v>402222000</v>
      </c>
      <c r="B449" t="s">
        <v>738</v>
      </c>
      <c r="C449" t="s">
        <v>43</v>
      </c>
      <c r="D449" t="s">
        <v>44</v>
      </c>
      <c r="E449" t="s">
        <v>34</v>
      </c>
      <c r="F449" t="s">
        <v>66</v>
      </c>
      <c r="G449" t="s">
        <v>19</v>
      </c>
      <c r="H449" t="s">
        <v>20</v>
      </c>
      <c r="I449" t="s">
        <v>189</v>
      </c>
      <c r="J449" t="s">
        <v>22</v>
      </c>
      <c r="K449" t="s">
        <v>739</v>
      </c>
      <c r="L449" t="s">
        <v>724</v>
      </c>
    </row>
    <row r="450" spans="1:12">
      <c r="A450">
        <v>402223000</v>
      </c>
      <c r="B450" t="s">
        <v>740</v>
      </c>
      <c r="C450" t="s">
        <v>43</v>
      </c>
      <c r="D450" t="s">
        <v>49</v>
      </c>
      <c r="E450" t="s">
        <v>34</v>
      </c>
      <c r="F450" t="s">
        <v>66</v>
      </c>
      <c r="G450" t="s">
        <v>19</v>
      </c>
      <c r="H450" t="s">
        <v>20</v>
      </c>
      <c r="I450" t="s">
        <v>189</v>
      </c>
      <c r="J450" t="s">
        <v>22</v>
      </c>
      <c r="K450" t="s">
        <v>741</v>
      </c>
      <c r="L450" t="s">
        <v>726</v>
      </c>
    </row>
    <row r="451" spans="1:12">
      <c r="A451">
        <v>402271000</v>
      </c>
      <c r="B451" t="s">
        <v>742</v>
      </c>
      <c r="C451" t="s">
        <v>43</v>
      </c>
      <c r="D451" t="s">
        <v>65</v>
      </c>
      <c r="E451" t="s">
        <v>34</v>
      </c>
      <c r="F451" t="s">
        <v>66</v>
      </c>
      <c r="G451" t="s">
        <v>243</v>
      </c>
      <c r="H451" t="s">
        <v>95</v>
      </c>
      <c r="I451" t="s">
        <v>189</v>
      </c>
      <c r="J451" t="s">
        <v>22</v>
      </c>
      <c r="K451" t="s">
        <v>737</v>
      </c>
      <c r="L451" t="s">
        <v>722</v>
      </c>
    </row>
    <row r="452" spans="1:12">
      <c r="A452">
        <v>402272000</v>
      </c>
      <c r="B452" t="s">
        <v>743</v>
      </c>
      <c r="C452" t="s">
        <v>43</v>
      </c>
      <c r="D452" t="s">
        <v>44</v>
      </c>
      <c r="E452" t="s">
        <v>34</v>
      </c>
      <c r="F452" t="s">
        <v>66</v>
      </c>
      <c r="G452" t="s">
        <v>243</v>
      </c>
      <c r="H452" t="s">
        <v>95</v>
      </c>
      <c r="I452" t="s">
        <v>189</v>
      </c>
      <c r="J452" t="s">
        <v>22</v>
      </c>
      <c r="K452" t="s">
        <v>739</v>
      </c>
      <c r="L452" t="s">
        <v>724</v>
      </c>
    </row>
    <row r="453" spans="1:12">
      <c r="A453">
        <v>402273000</v>
      </c>
      <c r="B453" t="s">
        <v>744</v>
      </c>
      <c r="C453" t="s">
        <v>43</v>
      </c>
      <c r="D453" t="s">
        <v>49</v>
      </c>
      <c r="E453" t="s">
        <v>34</v>
      </c>
      <c r="F453" t="s">
        <v>66</v>
      </c>
      <c r="G453" t="s">
        <v>243</v>
      </c>
      <c r="H453" t="s">
        <v>95</v>
      </c>
      <c r="I453" t="s">
        <v>189</v>
      </c>
      <c r="J453" t="s">
        <v>22</v>
      </c>
      <c r="K453" t="s">
        <v>741</v>
      </c>
      <c r="L453" t="s">
        <v>726</v>
      </c>
    </row>
    <row r="454" spans="1:12">
      <c r="A454">
        <v>602141000</v>
      </c>
      <c r="B454" t="s">
        <v>745</v>
      </c>
      <c r="C454" t="s">
        <v>43</v>
      </c>
      <c r="D454" t="s">
        <v>65</v>
      </c>
      <c r="E454" t="s">
        <v>17</v>
      </c>
      <c r="F454" t="s">
        <v>66</v>
      </c>
      <c r="G454" t="s">
        <v>387</v>
      </c>
      <c r="H454" t="s">
        <v>334</v>
      </c>
      <c r="I454" t="s">
        <v>340</v>
      </c>
      <c r="J454" t="s">
        <v>22</v>
      </c>
      <c r="K454" t="s">
        <v>396</v>
      </c>
      <c r="L454" t="s">
        <v>715</v>
      </c>
    </row>
    <row r="455" spans="1:12">
      <c r="A455">
        <v>602161000</v>
      </c>
      <c r="B455" t="s">
        <v>746</v>
      </c>
      <c r="C455" t="s">
        <v>43</v>
      </c>
      <c r="D455" t="s">
        <v>65</v>
      </c>
      <c r="E455" t="s">
        <v>17</v>
      </c>
      <c r="F455" t="s">
        <v>66</v>
      </c>
      <c r="G455" t="s">
        <v>392</v>
      </c>
      <c r="H455" t="s">
        <v>334</v>
      </c>
      <c r="I455" t="s">
        <v>340</v>
      </c>
      <c r="J455" t="s">
        <v>22</v>
      </c>
      <c r="K455" t="s">
        <v>396</v>
      </c>
      <c r="L455" t="s">
        <v>715</v>
      </c>
    </row>
    <row r="456" spans="1:12">
      <c r="A456">
        <v>602241000</v>
      </c>
      <c r="B456" t="s">
        <v>747</v>
      </c>
      <c r="C456" t="s">
        <v>43</v>
      </c>
      <c r="D456" t="s">
        <v>65</v>
      </c>
      <c r="E456" t="s">
        <v>34</v>
      </c>
      <c r="F456" t="s">
        <v>66</v>
      </c>
      <c r="G456" t="s">
        <v>387</v>
      </c>
      <c r="H456" t="s">
        <v>334</v>
      </c>
      <c r="I456" t="s">
        <v>340</v>
      </c>
      <c r="J456" t="s">
        <v>22</v>
      </c>
      <c r="K456" t="s">
        <v>338</v>
      </c>
      <c r="L456" t="s">
        <v>722</v>
      </c>
    </row>
    <row r="457" spans="1:12">
      <c r="A457">
        <v>602261000</v>
      </c>
      <c r="B457" t="s">
        <v>748</v>
      </c>
      <c r="C457" t="s">
        <v>43</v>
      </c>
      <c r="D457" t="s">
        <v>65</v>
      </c>
      <c r="E457" t="s">
        <v>34</v>
      </c>
      <c r="F457" t="s">
        <v>66</v>
      </c>
      <c r="G457" t="s">
        <v>392</v>
      </c>
      <c r="H457" t="s">
        <v>334</v>
      </c>
      <c r="I457" t="s">
        <v>340</v>
      </c>
      <c r="J457" t="s">
        <v>22</v>
      </c>
      <c r="K457" t="s">
        <v>338</v>
      </c>
      <c r="L457" t="s">
        <v>722</v>
      </c>
    </row>
    <row r="458" spans="1:12">
      <c r="A458">
        <v>303132000</v>
      </c>
      <c r="B458" t="s">
        <v>749</v>
      </c>
      <c r="C458" t="s">
        <v>129</v>
      </c>
      <c r="D458" t="s">
        <v>616</v>
      </c>
      <c r="E458" t="s">
        <v>17</v>
      </c>
      <c r="F458" t="s">
        <v>66</v>
      </c>
      <c r="G458" t="s">
        <v>139</v>
      </c>
      <c r="H458" t="s">
        <v>139</v>
      </c>
      <c r="I458" t="s">
        <v>21</v>
      </c>
      <c r="J458" t="s">
        <v>22</v>
      </c>
      <c r="K458" t="s">
        <v>691</v>
      </c>
      <c r="L458" t="s">
        <v>642</v>
      </c>
    </row>
    <row r="459" spans="1:12">
      <c r="A459">
        <v>303131000</v>
      </c>
      <c r="B459" t="s">
        <v>750</v>
      </c>
      <c r="C459" t="s">
        <v>129</v>
      </c>
      <c r="D459" t="s">
        <v>65</v>
      </c>
      <c r="E459" t="s">
        <v>17</v>
      </c>
      <c r="F459" t="s">
        <v>66</v>
      </c>
      <c r="G459" t="s">
        <v>139</v>
      </c>
      <c r="H459" t="s">
        <v>139</v>
      </c>
      <c r="I459" t="s">
        <v>21</v>
      </c>
      <c r="J459" t="s">
        <v>22</v>
      </c>
      <c r="K459" t="s">
        <v>520</v>
      </c>
      <c r="L459" t="s">
        <v>516</v>
      </c>
    </row>
    <row r="460" spans="1:12">
      <c r="A460">
        <v>403122000</v>
      </c>
      <c r="B460" t="s">
        <v>751</v>
      </c>
      <c r="C460" t="s">
        <v>129</v>
      </c>
      <c r="D460" t="s">
        <v>616</v>
      </c>
      <c r="E460" t="s">
        <v>17</v>
      </c>
      <c r="F460" t="s">
        <v>66</v>
      </c>
      <c r="G460" t="s">
        <v>19</v>
      </c>
      <c r="H460" t="s">
        <v>20</v>
      </c>
      <c r="I460" t="s">
        <v>21</v>
      </c>
      <c r="J460" t="s">
        <v>22</v>
      </c>
      <c r="K460" t="s">
        <v>752</v>
      </c>
      <c r="L460" t="s">
        <v>642</v>
      </c>
    </row>
    <row r="461" spans="1:12">
      <c r="A461">
        <v>403172000</v>
      </c>
      <c r="B461" t="s">
        <v>753</v>
      </c>
      <c r="C461" t="s">
        <v>129</v>
      </c>
      <c r="D461" t="s">
        <v>616</v>
      </c>
      <c r="E461" t="s">
        <v>17</v>
      </c>
      <c r="F461" t="s">
        <v>66</v>
      </c>
      <c r="G461" t="s">
        <v>19</v>
      </c>
      <c r="H461" t="s">
        <v>20</v>
      </c>
      <c r="I461" t="s">
        <v>21</v>
      </c>
      <c r="J461" t="s">
        <v>22</v>
      </c>
      <c r="K461" t="s">
        <v>752</v>
      </c>
      <c r="L461" t="s">
        <v>642</v>
      </c>
    </row>
    <row r="462" spans="1:12">
      <c r="A462">
        <v>403121000</v>
      </c>
      <c r="B462" t="s">
        <v>754</v>
      </c>
      <c r="C462" t="s">
        <v>129</v>
      </c>
      <c r="D462" t="s">
        <v>65</v>
      </c>
      <c r="E462" t="s">
        <v>17</v>
      </c>
      <c r="F462" t="s">
        <v>66</v>
      </c>
      <c r="G462" t="s">
        <v>19</v>
      </c>
      <c r="H462" t="s">
        <v>20</v>
      </c>
      <c r="I462" t="s">
        <v>21</v>
      </c>
      <c r="J462" t="s">
        <v>22</v>
      </c>
      <c r="K462" t="s">
        <v>755</v>
      </c>
      <c r="L462" t="s">
        <v>516</v>
      </c>
    </row>
    <row r="463" spans="1:12">
      <c r="A463">
        <v>403121001</v>
      </c>
      <c r="B463" t="s">
        <v>756</v>
      </c>
      <c r="C463" t="s">
        <v>129</v>
      </c>
      <c r="D463" t="s">
        <v>65</v>
      </c>
      <c r="E463" t="s">
        <v>17</v>
      </c>
      <c r="F463" t="s">
        <v>66</v>
      </c>
      <c r="G463" t="s">
        <v>19</v>
      </c>
      <c r="H463" t="s">
        <v>20</v>
      </c>
      <c r="I463" t="s">
        <v>21</v>
      </c>
      <c r="J463" t="s">
        <v>22</v>
      </c>
      <c r="K463" t="s">
        <v>755</v>
      </c>
      <c r="L463" t="s">
        <v>516</v>
      </c>
    </row>
    <row r="464" spans="1:12">
      <c r="A464">
        <v>403171000</v>
      </c>
      <c r="B464" t="s">
        <v>757</v>
      </c>
      <c r="C464" t="s">
        <v>129</v>
      </c>
      <c r="D464" t="s">
        <v>65</v>
      </c>
      <c r="E464" t="s">
        <v>17</v>
      </c>
      <c r="F464" t="s">
        <v>66</v>
      </c>
      <c r="G464" t="s">
        <v>19</v>
      </c>
      <c r="H464" t="s">
        <v>20</v>
      </c>
      <c r="I464" t="s">
        <v>21</v>
      </c>
      <c r="J464" t="s">
        <v>22</v>
      </c>
      <c r="K464" t="s">
        <v>752</v>
      </c>
      <c r="L464" t="s">
        <v>642</v>
      </c>
    </row>
    <row r="465" spans="1:12">
      <c r="A465">
        <v>603161000</v>
      </c>
      <c r="B465" t="s">
        <v>758</v>
      </c>
      <c r="C465" t="s">
        <v>129</v>
      </c>
      <c r="D465" t="s">
        <v>65</v>
      </c>
      <c r="E465" t="s">
        <v>17</v>
      </c>
      <c r="F465" t="s">
        <v>66</v>
      </c>
      <c r="G465" t="s">
        <v>392</v>
      </c>
      <c r="H465" t="s">
        <v>334</v>
      </c>
      <c r="I465" t="s">
        <v>21</v>
      </c>
      <c r="J465" t="s">
        <v>22</v>
      </c>
      <c r="K465" t="s">
        <v>520</v>
      </c>
      <c r="L465" t="s">
        <v>516</v>
      </c>
    </row>
    <row r="466" spans="1:12">
      <c r="A466">
        <v>303232000</v>
      </c>
      <c r="B466" t="s">
        <v>759</v>
      </c>
      <c r="C466" t="s">
        <v>129</v>
      </c>
      <c r="D466" t="s">
        <v>616</v>
      </c>
      <c r="E466" t="s">
        <v>34</v>
      </c>
      <c r="F466" t="s">
        <v>66</v>
      </c>
      <c r="G466" t="s">
        <v>139</v>
      </c>
      <c r="H466" t="s">
        <v>139</v>
      </c>
      <c r="I466" t="s">
        <v>21</v>
      </c>
      <c r="J466" t="s">
        <v>22</v>
      </c>
      <c r="K466" t="s">
        <v>702</v>
      </c>
      <c r="L466" t="s">
        <v>651</v>
      </c>
    </row>
    <row r="467" spans="1:12">
      <c r="A467">
        <v>303231000</v>
      </c>
      <c r="B467" t="s">
        <v>760</v>
      </c>
      <c r="C467" t="s">
        <v>129</v>
      </c>
      <c r="D467" t="s">
        <v>65</v>
      </c>
      <c r="E467" t="s">
        <v>34</v>
      </c>
      <c r="F467" t="s">
        <v>66</v>
      </c>
      <c r="G467" t="s">
        <v>139</v>
      </c>
      <c r="H467" t="s">
        <v>139</v>
      </c>
      <c r="I467" t="s">
        <v>21</v>
      </c>
      <c r="J467" t="s">
        <v>22</v>
      </c>
      <c r="K467" t="s">
        <v>761</v>
      </c>
      <c r="L467" t="s">
        <v>562</v>
      </c>
    </row>
    <row r="468" spans="1:12">
      <c r="A468">
        <v>403222000</v>
      </c>
      <c r="B468" t="s">
        <v>762</v>
      </c>
      <c r="C468" t="s">
        <v>129</v>
      </c>
      <c r="D468" t="s">
        <v>616</v>
      </c>
      <c r="E468" t="s">
        <v>34</v>
      </c>
      <c r="F468" t="s">
        <v>66</v>
      </c>
      <c r="G468" t="s">
        <v>19</v>
      </c>
      <c r="H468" t="s">
        <v>20</v>
      </c>
      <c r="I468" t="s">
        <v>21</v>
      </c>
      <c r="J468" t="s">
        <v>22</v>
      </c>
      <c r="K468" t="s">
        <v>763</v>
      </c>
      <c r="L468" t="s">
        <v>651</v>
      </c>
    </row>
    <row r="469" spans="1:12">
      <c r="A469">
        <v>403272000</v>
      </c>
      <c r="B469" t="s">
        <v>764</v>
      </c>
      <c r="C469" t="s">
        <v>129</v>
      </c>
      <c r="D469" t="s">
        <v>616</v>
      </c>
      <c r="E469" t="s">
        <v>34</v>
      </c>
      <c r="F469" t="s">
        <v>66</v>
      </c>
      <c r="G469" t="s">
        <v>19</v>
      </c>
      <c r="H469" t="s">
        <v>20</v>
      </c>
      <c r="I469" t="s">
        <v>21</v>
      </c>
      <c r="J469" t="s">
        <v>22</v>
      </c>
      <c r="K469" t="s">
        <v>763</v>
      </c>
      <c r="L469" t="s">
        <v>651</v>
      </c>
    </row>
    <row r="470" spans="1:12">
      <c r="A470">
        <v>403221000</v>
      </c>
      <c r="B470" t="s">
        <v>765</v>
      </c>
      <c r="C470" t="s">
        <v>129</v>
      </c>
      <c r="D470" t="s">
        <v>65</v>
      </c>
      <c r="E470" t="s">
        <v>34</v>
      </c>
      <c r="F470" t="s">
        <v>66</v>
      </c>
      <c r="G470" t="s">
        <v>19</v>
      </c>
      <c r="H470" t="s">
        <v>20</v>
      </c>
      <c r="I470" t="s">
        <v>21</v>
      </c>
      <c r="J470" t="s">
        <v>22</v>
      </c>
      <c r="K470" t="s">
        <v>766</v>
      </c>
      <c r="L470" t="s">
        <v>562</v>
      </c>
    </row>
    <row r="471" spans="1:12">
      <c r="A471">
        <v>403221001</v>
      </c>
      <c r="B471" t="s">
        <v>767</v>
      </c>
      <c r="C471" t="s">
        <v>129</v>
      </c>
      <c r="D471" t="s">
        <v>65</v>
      </c>
      <c r="E471" t="s">
        <v>34</v>
      </c>
      <c r="F471" t="s">
        <v>66</v>
      </c>
      <c r="G471" t="s">
        <v>19</v>
      </c>
      <c r="H471" t="s">
        <v>20</v>
      </c>
      <c r="I471" t="s">
        <v>21</v>
      </c>
      <c r="J471" t="s">
        <v>22</v>
      </c>
      <c r="K471" t="s">
        <v>766</v>
      </c>
      <c r="L471" t="s">
        <v>562</v>
      </c>
    </row>
    <row r="472" spans="1:12">
      <c r="A472">
        <v>403271000</v>
      </c>
      <c r="B472" t="s">
        <v>768</v>
      </c>
      <c r="C472" t="s">
        <v>129</v>
      </c>
      <c r="D472" t="s">
        <v>65</v>
      </c>
      <c r="E472" t="s">
        <v>34</v>
      </c>
      <c r="F472" t="s">
        <v>66</v>
      </c>
      <c r="G472" t="s">
        <v>19</v>
      </c>
      <c r="H472" t="s">
        <v>20</v>
      </c>
      <c r="I472" t="s">
        <v>21</v>
      </c>
      <c r="J472" t="s">
        <v>22</v>
      </c>
      <c r="K472" t="s">
        <v>766</v>
      </c>
      <c r="L472" t="s">
        <v>562</v>
      </c>
    </row>
    <row r="473" spans="1:12">
      <c r="A473">
        <v>603261000</v>
      </c>
      <c r="B473" t="s">
        <v>769</v>
      </c>
      <c r="C473" t="s">
        <v>129</v>
      </c>
      <c r="D473" t="s">
        <v>65</v>
      </c>
      <c r="E473" t="s">
        <v>34</v>
      </c>
      <c r="F473" t="s">
        <v>66</v>
      </c>
      <c r="G473" t="s">
        <v>392</v>
      </c>
      <c r="H473" t="s">
        <v>334</v>
      </c>
      <c r="I473" t="s">
        <v>21</v>
      </c>
      <c r="J473" t="s">
        <v>22</v>
      </c>
      <c r="K473" t="s">
        <v>761</v>
      </c>
      <c r="L473" t="s">
        <v>562</v>
      </c>
    </row>
    <row r="474" spans="1:12">
      <c r="A474">
        <v>301132000</v>
      </c>
      <c r="B474" t="s">
        <v>770</v>
      </c>
      <c r="C474" t="s">
        <v>15</v>
      </c>
      <c r="D474" t="s">
        <v>16</v>
      </c>
      <c r="E474" t="s">
        <v>17</v>
      </c>
      <c r="F474" t="s">
        <v>66</v>
      </c>
      <c r="G474" t="s">
        <v>139</v>
      </c>
      <c r="H474" t="s">
        <v>139</v>
      </c>
      <c r="I474" t="s">
        <v>21</v>
      </c>
      <c r="J474" t="s">
        <v>22</v>
      </c>
      <c r="K474" t="s">
        <v>771</v>
      </c>
      <c r="L474" t="s">
        <v>24</v>
      </c>
    </row>
    <row r="475" spans="1:12">
      <c r="A475">
        <v>301133000</v>
      </c>
      <c r="B475" t="s">
        <v>772</v>
      </c>
      <c r="C475" t="s">
        <v>15</v>
      </c>
      <c r="D475" t="s">
        <v>29</v>
      </c>
      <c r="E475" t="s">
        <v>17</v>
      </c>
      <c r="F475" t="s">
        <v>66</v>
      </c>
      <c r="G475" t="s">
        <v>139</v>
      </c>
      <c r="H475" t="s">
        <v>139</v>
      </c>
      <c r="I475" t="s">
        <v>21</v>
      </c>
      <c r="J475" t="s">
        <v>22</v>
      </c>
      <c r="K475" t="s">
        <v>773</v>
      </c>
      <c r="L475" t="s">
        <v>31</v>
      </c>
    </row>
    <row r="476" spans="1:12">
      <c r="A476">
        <v>301134000</v>
      </c>
      <c r="B476" t="s">
        <v>774</v>
      </c>
      <c r="C476" t="s">
        <v>15</v>
      </c>
      <c r="D476" t="s">
        <v>775</v>
      </c>
      <c r="E476" t="s">
        <v>17</v>
      </c>
      <c r="F476" t="s">
        <v>66</v>
      </c>
      <c r="G476" t="s">
        <v>139</v>
      </c>
      <c r="H476" t="s">
        <v>139</v>
      </c>
      <c r="I476" t="s">
        <v>21</v>
      </c>
      <c r="J476" t="s">
        <v>22</v>
      </c>
      <c r="K476" t="s">
        <v>776</v>
      </c>
      <c r="L476" t="s">
        <v>622</v>
      </c>
    </row>
    <row r="477" spans="1:12">
      <c r="A477">
        <v>301232000</v>
      </c>
      <c r="B477" t="s">
        <v>777</v>
      </c>
      <c r="C477" t="s">
        <v>15</v>
      </c>
      <c r="D477" t="s">
        <v>16</v>
      </c>
      <c r="E477" t="s">
        <v>34</v>
      </c>
      <c r="F477" t="s">
        <v>66</v>
      </c>
      <c r="G477" t="s">
        <v>139</v>
      </c>
      <c r="H477" t="s">
        <v>139</v>
      </c>
      <c r="I477" t="s">
        <v>21</v>
      </c>
      <c r="J477" t="s">
        <v>22</v>
      </c>
      <c r="K477" t="s">
        <v>778</v>
      </c>
      <c r="L477" t="s">
        <v>36</v>
      </c>
    </row>
    <row r="478" spans="1:12">
      <c r="A478">
        <v>301233000</v>
      </c>
      <c r="B478" t="s">
        <v>779</v>
      </c>
      <c r="C478" t="s">
        <v>15</v>
      </c>
      <c r="D478" t="s">
        <v>29</v>
      </c>
      <c r="E478" t="s">
        <v>34</v>
      </c>
      <c r="F478" t="s">
        <v>66</v>
      </c>
      <c r="G478" t="s">
        <v>139</v>
      </c>
      <c r="H478" t="s">
        <v>139</v>
      </c>
      <c r="I478" t="s">
        <v>21</v>
      </c>
      <c r="J478" t="s">
        <v>22</v>
      </c>
      <c r="K478" t="s">
        <v>780</v>
      </c>
      <c r="L478" t="s">
        <v>40</v>
      </c>
    </row>
    <row r="479" spans="1:12">
      <c r="A479">
        <v>301234000</v>
      </c>
      <c r="B479" t="s">
        <v>781</v>
      </c>
      <c r="C479" t="s">
        <v>15</v>
      </c>
      <c r="D479" t="s">
        <v>775</v>
      </c>
      <c r="E479" t="s">
        <v>34</v>
      </c>
      <c r="F479" t="s">
        <v>66</v>
      </c>
      <c r="G479" t="s">
        <v>139</v>
      </c>
      <c r="H479" t="s">
        <v>139</v>
      </c>
      <c r="I479" t="s">
        <v>21</v>
      </c>
      <c r="J479" t="s">
        <v>22</v>
      </c>
      <c r="K479" t="s">
        <v>782</v>
      </c>
      <c r="L479" t="s">
        <v>626</v>
      </c>
    </row>
    <row r="480" spans="1:12">
      <c r="A480">
        <v>401112000</v>
      </c>
      <c r="B480" t="s">
        <v>783</v>
      </c>
      <c r="C480" t="s">
        <v>15</v>
      </c>
      <c r="D480" t="s">
        <v>16</v>
      </c>
      <c r="E480" t="s">
        <v>17</v>
      </c>
      <c r="F480" t="s">
        <v>66</v>
      </c>
      <c r="G480" t="s">
        <v>784</v>
      </c>
      <c r="H480" t="s">
        <v>20</v>
      </c>
      <c r="I480" t="s">
        <v>21</v>
      </c>
      <c r="J480" t="s">
        <v>22</v>
      </c>
      <c r="K480" t="s">
        <v>785</v>
      </c>
      <c r="L480" t="s">
        <v>24</v>
      </c>
    </row>
    <row r="481" spans="1:12">
      <c r="A481">
        <v>401113000</v>
      </c>
      <c r="B481" t="s">
        <v>786</v>
      </c>
      <c r="C481" t="s">
        <v>15</v>
      </c>
      <c r="D481" t="s">
        <v>29</v>
      </c>
      <c r="E481" t="s">
        <v>17</v>
      </c>
      <c r="F481" t="s">
        <v>66</v>
      </c>
      <c r="G481" t="s">
        <v>784</v>
      </c>
      <c r="H481" t="s">
        <v>20</v>
      </c>
      <c r="I481" t="s">
        <v>21</v>
      </c>
      <c r="J481" t="s">
        <v>22</v>
      </c>
      <c r="K481" t="s">
        <v>787</v>
      </c>
      <c r="L481" t="s">
        <v>31</v>
      </c>
    </row>
    <row r="482" spans="1:12">
      <c r="A482">
        <v>401114000</v>
      </c>
      <c r="B482" t="s">
        <v>788</v>
      </c>
      <c r="C482" t="s">
        <v>15</v>
      </c>
      <c r="D482" t="s">
        <v>775</v>
      </c>
      <c r="E482" t="s">
        <v>17</v>
      </c>
      <c r="F482" t="s">
        <v>66</v>
      </c>
      <c r="G482" t="s">
        <v>784</v>
      </c>
      <c r="H482" t="s">
        <v>20</v>
      </c>
      <c r="I482" t="s">
        <v>21</v>
      </c>
      <c r="J482" t="s">
        <v>22</v>
      </c>
      <c r="K482" t="s">
        <v>789</v>
      </c>
      <c r="L482" t="s">
        <v>622</v>
      </c>
    </row>
    <row r="483" spans="1:12">
      <c r="A483">
        <v>401122000</v>
      </c>
      <c r="B483" t="s">
        <v>790</v>
      </c>
      <c r="C483" t="s">
        <v>15</v>
      </c>
      <c r="D483" t="s">
        <v>16</v>
      </c>
      <c r="E483" t="s">
        <v>17</v>
      </c>
      <c r="F483" t="s">
        <v>66</v>
      </c>
      <c r="G483" t="s">
        <v>19</v>
      </c>
      <c r="H483" t="s">
        <v>20</v>
      </c>
      <c r="I483" t="s">
        <v>21</v>
      </c>
      <c r="J483" t="s">
        <v>22</v>
      </c>
      <c r="K483" t="s">
        <v>785</v>
      </c>
      <c r="L483" t="s">
        <v>24</v>
      </c>
    </row>
    <row r="484" spans="1:12">
      <c r="A484">
        <v>401123000</v>
      </c>
      <c r="B484" t="s">
        <v>791</v>
      </c>
      <c r="C484" t="s">
        <v>15</v>
      </c>
      <c r="D484" t="s">
        <v>29</v>
      </c>
      <c r="E484" t="s">
        <v>17</v>
      </c>
      <c r="F484" t="s">
        <v>66</v>
      </c>
      <c r="G484" t="s">
        <v>19</v>
      </c>
      <c r="H484" t="s">
        <v>20</v>
      </c>
      <c r="I484" t="s">
        <v>21</v>
      </c>
      <c r="J484" t="s">
        <v>22</v>
      </c>
      <c r="K484" t="s">
        <v>787</v>
      </c>
      <c r="L484" t="s">
        <v>31</v>
      </c>
    </row>
    <row r="485" spans="1:12">
      <c r="A485">
        <v>401124000</v>
      </c>
      <c r="B485" t="s">
        <v>792</v>
      </c>
      <c r="C485" t="s">
        <v>15</v>
      </c>
      <c r="D485" t="s">
        <v>775</v>
      </c>
      <c r="E485" t="s">
        <v>17</v>
      </c>
      <c r="F485" t="s">
        <v>66</v>
      </c>
      <c r="G485" t="s">
        <v>19</v>
      </c>
      <c r="H485" t="s">
        <v>20</v>
      </c>
      <c r="I485" t="s">
        <v>21</v>
      </c>
      <c r="J485" t="s">
        <v>22</v>
      </c>
      <c r="K485" t="s">
        <v>789</v>
      </c>
      <c r="L485" t="s">
        <v>622</v>
      </c>
    </row>
    <row r="486" spans="1:12">
      <c r="A486">
        <v>401172000</v>
      </c>
      <c r="B486" t="s">
        <v>793</v>
      </c>
      <c r="C486" t="s">
        <v>15</v>
      </c>
      <c r="D486" t="s">
        <v>16</v>
      </c>
      <c r="E486" t="s">
        <v>17</v>
      </c>
      <c r="F486" t="s">
        <v>66</v>
      </c>
      <c r="G486" t="s">
        <v>243</v>
      </c>
      <c r="H486" t="s">
        <v>20</v>
      </c>
      <c r="I486" t="s">
        <v>21</v>
      </c>
      <c r="J486" t="s">
        <v>22</v>
      </c>
      <c r="K486" t="s">
        <v>785</v>
      </c>
      <c r="L486" t="s">
        <v>24</v>
      </c>
    </row>
    <row r="487" spans="1:12">
      <c r="A487">
        <v>401173000</v>
      </c>
      <c r="B487" t="s">
        <v>794</v>
      </c>
      <c r="C487" t="s">
        <v>15</v>
      </c>
      <c r="D487" t="s">
        <v>29</v>
      </c>
      <c r="E487" t="s">
        <v>17</v>
      </c>
      <c r="F487" t="s">
        <v>66</v>
      </c>
      <c r="G487" t="s">
        <v>243</v>
      </c>
      <c r="H487" t="s">
        <v>20</v>
      </c>
      <c r="I487" t="s">
        <v>21</v>
      </c>
      <c r="J487" t="s">
        <v>22</v>
      </c>
      <c r="K487" t="s">
        <v>787</v>
      </c>
      <c r="L487" t="s">
        <v>31</v>
      </c>
    </row>
    <row r="488" spans="1:12">
      <c r="A488">
        <v>401174000</v>
      </c>
      <c r="B488" t="s">
        <v>795</v>
      </c>
      <c r="C488" t="s">
        <v>15</v>
      </c>
      <c r="D488" t="s">
        <v>775</v>
      </c>
      <c r="E488" t="s">
        <v>17</v>
      </c>
      <c r="F488" t="s">
        <v>66</v>
      </c>
      <c r="G488" t="s">
        <v>243</v>
      </c>
      <c r="H488" t="s">
        <v>20</v>
      </c>
      <c r="I488" t="s">
        <v>21</v>
      </c>
      <c r="J488" t="s">
        <v>22</v>
      </c>
      <c r="K488" t="s">
        <v>789</v>
      </c>
      <c r="L488" t="s">
        <v>622</v>
      </c>
    </row>
    <row r="489" spans="1:12">
      <c r="A489">
        <v>401212000</v>
      </c>
      <c r="B489" t="s">
        <v>796</v>
      </c>
      <c r="C489" t="s">
        <v>15</v>
      </c>
      <c r="D489" t="s">
        <v>16</v>
      </c>
      <c r="E489" t="s">
        <v>34</v>
      </c>
      <c r="F489" t="s">
        <v>66</v>
      </c>
      <c r="G489" t="s">
        <v>784</v>
      </c>
      <c r="H489" t="s">
        <v>20</v>
      </c>
      <c r="I489" t="s">
        <v>21</v>
      </c>
      <c r="J489" t="s">
        <v>22</v>
      </c>
      <c r="K489" t="s">
        <v>797</v>
      </c>
      <c r="L489" t="s">
        <v>36</v>
      </c>
    </row>
    <row r="490" spans="1:12">
      <c r="A490">
        <v>401213000</v>
      </c>
      <c r="B490" t="s">
        <v>798</v>
      </c>
      <c r="C490" t="s">
        <v>15</v>
      </c>
      <c r="D490" t="s">
        <v>29</v>
      </c>
      <c r="E490" t="s">
        <v>34</v>
      </c>
      <c r="F490" t="s">
        <v>66</v>
      </c>
      <c r="G490" t="s">
        <v>784</v>
      </c>
      <c r="H490" t="s">
        <v>20</v>
      </c>
      <c r="I490" t="s">
        <v>21</v>
      </c>
      <c r="J490" t="s">
        <v>22</v>
      </c>
      <c r="K490" t="s">
        <v>575</v>
      </c>
      <c r="L490" t="s">
        <v>40</v>
      </c>
    </row>
    <row r="491" spans="1:12">
      <c r="A491">
        <v>401214000</v>
      </c>
      <c r="B491" t="s">
        <v>799</v>
      </c>
      <c r="C491" t="s">
        <v>15</v>
      </c>
      <c r="D491" t="s">
        <v>775</v>
      </c>
      <c r="E491" t="s">
        <v>34</v>
      </c>
      <c r="F491" t="s">
        <v>66</v>
      </c>
      <c r="G491" t="s">
        <v>784</v>
      </c>
      <c r="H491" t="s">
        <v>20</v>
      </c>
      <c r="I491" t="s">
        <v>21</v>
      </c>
      <c r="J491" t="s">
        <v>22</v>
      </c>
      <c r="K491" t="s">
        <v>800</v>
      </c>
      <c r="L491" t="s">
        <v>626</v>
      </c>
    </row>
    <row r="492" spans="1:12">
      <c r="A492">
        <v>401222000</v>
      </c>
      <c r="B492" t="s">
        <v>801</v>
      </c>
      <c r="C492" t="s">
        <v>15</v>
      </c>
      <c r="D492" t="s">
        <v>16</v>
      </c>
      <c r="E492" t="s">
        <v>34</v>
      </c>
      <c r="F492" t="s">
        <v>66</v>
      </c>
      <c r="G492" t="s">
        <v>19</v>
      </c>
      <c r="H492" t="s">
        <v>20</v>
      </c>
      <c r="I492" t="s">
        <v>21</v>
      </c>
      <c r="J492" t="s">
        <v>22</v>
      </c>
      <c r="K492" t="s">
        <v>797</v>
      </c>
      <c r="L492" t="s">
        <v>36</v>
      </c>
    </row>
    <row r="493" spans="1:12">
      <c r="A493">
        <v>401223000</v>
      </c>
      <c r="B493" t="s">
        <v>802</v>
      </c>
      <c r="C493" t="s">
        <v>15</v>
      </c>
      <c r="D493" t="s">
        <v>29</v>
      </c>
      <c r="E493" t="s">
        <v>34</v>
      </c>
      <c r="F493" t="s">
        <v>66</v>
      </c>
      <c r="G493" t="s">
        <v>19</v>
      </c>
      <c r="H493" t="s">
        <v>20</v>
      </c>
      <c r="I493" t="s">
        <v>21</v>
      </c>
      <c r="J493" t="s">
        <v>22</v>
      </c>
      <c r="K493" t="s">
        <v>575</v>
      </c>
      <c r="L493" t="s">
        <v>40</v>
      </c>
    </row>
    <row r="494" spans="1:12">
      <c r="A494">
        <v>401224000</v>
      </c>
      <c r="B494" t="s">
        <v>803</v>
      </c>
      <c r="C494" t="s">
        <v>15</v>
      </c>
      <c r="D494" t="s">
        <v>775</v>
      </c>
      <c r="E494" t="s">
        <v>34</v>
      </c>
      <c r="F494" t="s">
        <v>66</v>
      </c>
      <c r="G494" t="s">
        <v>19</v>
      </c>
      <c r="H494" t="s">
        <v>20</v>
      </c>
      <c r="I494" t="s">
        <v>21</v>
      </c>
      <c r="J494" t="s">
        <v>22</v>
      </c>
      <c r="K494" t="s">
        <v>800</v>
      </c>
      <c r="L494" t="s">
        <v>626</v>
      </c>
    </row>
    <row r="495" spans="1:12">
      <c r="A495">
        <v>401272000</v>
      </c>
      <c r="B495" t="s">
        <v>804</v>
      </c>
      <c r="C495" t="s">
        <v>15</v>
      </c>
      <c r="D495" t="s">
        <v>16</v>
      </c>
      <c r="E495" t="s">
        <v>34</v>
      </c>
      <c r="F495" t="s">
        <v>66</v>
      </c>
      <c r="G495" t="s">
        <v>243</v>
      </c>
      <c r="H495" t="s">
        <v>20</v>
      </c>
      <c r="I495" t="s">
        <v>21</v>
      </c>
      <c r="J495" t="s">
        <v>22</v>
      </c>
      <c r="K495" t="s">
        <v>797</v>
      </c>
      <c r="L495" t="s">
        <v>36</v>
      </c>
    </row>
    <row r="496" spans="1:12">
      <c r="A496">
        <v>401273000</v>
      </c>
      <c r="B496" t="s">
        <v>805</v>
      </c>
      <c r="C496" t="s">
        <v>15</v>
      </c>
      <c r="D496" t="s">
        <v>29</v>
      </c>
      <c r="E496" t="s">
        <v>34</v>
      </c>
      <c r="F496" t="s">
        <v>66</v>
      </c>
      <c r="G496" t="s">
        <v>243</v>
      </c>
      <c r="H496" t="s">
        <v>20</v>
      </c>
      <c r="I496" t="s">
        <v>21</v>
      </c>
      <c r="J496" t="s">
        <v>22</v>
      </c>
      <c r="K496" t="s">
        <v>575</v>
      </c>
      <c r="L496" t="s">
        <v>40</v>
      </c>
    </row>
    <row r="497" spans="1:12">
      <c r="A497">
        <v>401274000</v>
      </c>
      <c r="B497" t="s">
        <v>806</v>
      </c>
      <c r="C497" t="s">
        <v>15</v>
      </c>
      <c r="D497" t="s">
        <v>775</v>
      </c>
      <c r="E497" t="s">
        <v>34</v>
      </c>
      <c r="F497" t="s">
        <v>66</v>
      </c>
      <c r="G497" t="s">
        <v>243</v>
      </c>
      <c r="H497" t="s">
        <v>20</v>
      </c>
      <c r="I497" t="s">
        <v>21</v>
      </c>
      <c r="J497" t="s">
        <v>22</v>
      </c>
      <c r="K497" t="s">
        <v>800</v>
      </c>
      <c r="L497" t="s">
        <v>626</v>
      </c>
    </row>
    <row r="498" spans="1:12">
      <c r="A498">
        <v>601161000</v>
      </c>
      <c r="B498" t="s">
        <v>807</v>
      </c>
      <c r="C498" t="s">
        <v>15</v>
      </c>
      <c r="D498" t="s">
        <v>65</v>
      </c>
      <c r="E498" t="s">
        <v>17</v>
      </c>
      <c r="F498" t="s">
        <v>66</v>
      </c>
      <c r="G498" t="s">
        <v>392</v>
      </c>
      <c r="H498" t="s">
        <v>334</v>
      </c>
      <c r="I498" t="s">
        <v>21</v>
      </c>
      <c r="J498" t="s">
        <v>22</v>
      </c>
      <c r="K498" t="s">
        <v>568</v>
      </c>
      <c r="L498" t="s">
        <v>533</v>
      </c>
    </row>
    <row r="499" spans="1:12">
      <c r="A499">
        <v>601261000</v>
      </c>
      <c r="B499" t="s">
        <v>808</v>
      </c>
      <c r="C499" t="s">
        <v>15</v>
      </c>
      <c r="D499" t="s">
        <v>65</v>
      </c>
      <c r="E499" t="s">
        <v>34</v>
      </c>
      <c r="F499" t="s">
        <v>66</v>
      </c>
      <c r="G499" t="s">
        <v>392</v>
      </c>
      <c r="H499" t="s">
        <v>334</v>
      </c>
      <c r="I499" t="s">
        <v>21</v>
      </c>
      <c r="J499" t="s">
        <v>22</v>
      </c>
      <c r="K499" t="s">
        <v>809</v>
      </c>
      <c r="L499" t="s">
        <v>527</v>
      </c>
    </row>
    <row r="500" spans="1:12">
      <c r="A500">
        <v>501171055</v>
      </c>
      <c r="B500" t="s">
        <v>810</v>
      </c>
      <c r="C500" t="s">
        <v>15</v>
      </c>
      <c r="D500" t="s">
        <v>65</v>
      </c>
      <c r="E500" t="s">
        <v>17</v>
      </c>
      <c r="F500" t="s">
        <v>66</v>
      </c>
      <c r="G500" t="s">
        <v>19</v>
      </c>
      <c r="H500" t="s">
        <v>95</v>
      </c>
      <c r="I500" t="s">
        <v>96</v>
      </c>
      <c r="J500" t="s">
        <v>22</v>
      </c>
      <c r="K500" t="s">
        <v>595</v>
      </c>
      <c r="L500" t="s">
        <v>97</v>
      </c>
    </row>
    <row r="501" spans="1:12">
      <c r="A501">
        <v>304231000</v>
      </c>
      <c r="B501" t="s">
        <v>811</v>
      </c>
      <c r="C501" t="s">
        <v>64</v>
      </c>
      <c r="D501" t="s">
        <v>65</v>
      </c>
      <c r="E501" t="s">
        <v>34</v>
      </c>
      <c r="F501" t="s">
        <v>66</v>
      </c>
      <c r="G501" t="s">
        <v>139</v>
      </c>
      <c r="H501" t="s">
        <v>139</v>
      </c>
      <c r="I501" t="s">
        <v>812</v>
      </c>
      <c r="J501" t="s">
        <v>22</v>
      </c>
      <c r="K501" t="s">
        <v>813</v>
      </c>
      <c r="L501" t="s">
        <v>712</v>
      </c>
    </row>
    <row r="502" spans="1:12">
      <c r="A502">
        <v>604261000</v>
      </c>
      <c r="B502" t="s">
        <v>814</v>
      </c>
      <c r="C502" t="s">
        <v>64</v>
      </c>
      <c r="D502" t="s">
        <v>65</v>
      </c>
      <c r="E502" t="s">
        <v>34</v>
      </c>
      <c r="F502" t="s">
        <v>66</v>
      </c>
      <c r="G502" t="s">
        <v>392</v>
      </c>
      <c r="H502" t="s">
        <v>334</v>
      </c>
      <c r="I502" t="s">
        <v>812</v>
      </c>
      <c r="J502" t="s">
        <v>22</v>
      </c>
      <c r="K502" t="s">
        <v>813</v>
      </c>
      <c r="L502" t="s">
        <v>712</v>
      </c>
    </row>
    <row r="503" spans="1:12">
      <c r="A503">
        <v>404271000</v>
      </c>
      <c r="B503" t="s">
        <v>815</v>
      </c>
      <c r="C503" t="s">
        <v>64</v>
      </c>
      <c r="D503" t="s">
        <v>65</v>
      </c>
      <c r="E503" t="s">
        <v>34</v>
      </c>
      <c r="F503" t="s">
        <v>66</v>
      </c>
      <c r="G503" t="s">
        <v>243</v>
      </c>
      <c r="H503" t="s">
        <v>20</v>
      </c>
      <c r="I503" t="s">
        <v>812</v>
      </c>
      <c r="J503" t="s">
        <v>22</v>
      </c>
      <c r="K503" t="s">
        <v>816</v>
      </c>
      <c r="L503" t="s">
        <v>712</v>
      </c>
    </row>
    <row r="504" spans="1:12">
      <c r="A504">
        <v>402122001</v>
      </c>
      <c r="B504" t="s">
        <v>817</v>
      </c>
      <c r="C504" t="s">
        <v>43</v>
      </c>
      <c r="D504" t="s">
        <v>44</v>
      </c>
      <c r="E504" t="s">
        <v>17</v>
      </c>
      <c r="F504" t="s">
        <v>66</v>
      </c>
      <c r="G504" t="s">
        <v>19</v>
      </c>
      <c r="H504" t="s">
        <v>20</v>
      </c>
      <c r="I504" t="s">
        <v>818</v>
      </c>
      <c r="J504" t="s">
        <v>22</v>
      </c>
      <c r="K504" t="s">
        <v>730</v>
      </c>
      <c r="L504" t="s">
        <v>717</v>
      </c>
    </row>
    <row r="505" spans="1:12">
      <c r="A505">
        <v>402172001</v>
      </c>
      <c r="B505" t="s">
        <v>819</v>
      </c>
      <c r="C505" t="s">
        <v>43</v>
      </c>
      <c r="D505" t="s">
        <v>44</v>
      </c>
      <c r="E505" t="s">
        <v>17</v>
      </c>
      <c r="F505" t="s">
        <v>66</v>
      </c>
      <c r="G505" t="s">
        <v>243</v>
      </c>
      <c r="H505" t="s">
        <v>20</v>
      </c>
      <c r="I505" t="s">
        <v>818</v>
      </c>
      <c r="J505" t="s">
        <v>22</v>
      </c>
      <c r="K505" t="s">
        <v>730</v>
      </c>
      <c r="L505" t="s">
        <v>717</v>
      </c>
    </row>
    <row r="506" spans="1:12">
      <c r="A506">
        <v>506171000</v>
      </c>
      <c r="B506" t="s">
        <v>591</v>
      </c>
      <c r="C506" t="s">
        <v>211</v>
      </c>
      <c r="D506" t="s">
        <v>65</v>
      </c>
      <c r="E506" t="s">
        <v>17</v>
      </c>
      <c r="F506" t="s">
        <v>66</v>
      </c>
      <c r="G506" t="s">
        <v>19</v>
      </c>
      <c r="H506" t="s">
        <v>95</v>
      </c>
      <c r="I506" t="s">
        <v>189</v>
      </c>
      <c r="J506" t="s">
        <v>22</v>
      </c>
      <c r="K506" t="s">
        <v>260</v>
      </c>
      <c r="L506" t="s">
        <v>820</v>
      </c>
    </row>
    <row r="507" spans="1:12">
      <c r="A507">
        <v>606151000</v>
      </c>
      <c r="B507" t="s">
        <v>121</v>
      </c>
      <c r="C507" t="s">
        <v>211</v>
      </c>
      <c r="D507" t="s">
        <v>65</v>
      </c>
      <c r="E507" t="s">
        <v>17</v>
      </c>
      <c r="F507" t="s">
        <v>66</v>
      </c>
      <c r="G507" t="s">
        <v>122</v>
      </c>
      <c r="H507" t="s">
        <v>334</v>
      </c>
      <c r="I507" t="s">
        <v>189</v>
      </c>
      <c r="J507" t="s">
        <v>22</v>
      </c>
      <c r="K507" t="s">
        <v>260</v>
      </c>
      <c r="L507" t="s">
        <v>820</v>
      </c>
    </row>
    <row r="508" spans="1:12">
      <c r="A508">
        <v>1</v>
      </c>
      <c r="B508" t="s">
        <v>821</v>
      </c>
      <c r="C508" t="s">
        <v>244</v>
      </c>
      <c r="D508" t="s">
        <v>65</v>
      </c>
      <c r="E508" t="s">
        <v>244</v>
      </c>
      <c r="F508" t="s">
        <v>66</v>
      </c>
      <c r="G508" t="s">
        <v>244</v>
      </c>
      <c r="H508" t="s">
        <v>334</v>
      </c>
      <c r="I508" t="s">
        <v>244</v>
      </c>
      <c r="J508" t="s">
        <v>22</v>
      </c>
      <c r="K508" t="s">
        <v>821</v>
      </c>
      <c r="L508" t="s">
        <v>821</v>
      </c>
    </row>
    <row r="509" spans="1:12">
      <c r="A509">
        <v>606161000</v>
      </c>
      <c r="B509" t="s">
        <v>822</v>
      </c>
      <c r="C509" t="s">
        <v>244</v>
      </c>
      <c r="D509" t="s">
        <v>65</v>
      </c>
      <c r="E509" t="s">
        <v>17</v>
      </c>
      <c r="F509" t="s">
        <v>66</v>
      </c>
      <c r="G509" t="s">
        <v>392</v>
      </c>
      <c r="H509" t="s">
        <v>334</v>
      </c>
      <c r="I509" t="s">
        <v>189</v>
      </c>
      <c r="J509" t="s">
        <v>22</v>
      </c>
      <c r="K509" t="s">
        <v>260</v>
      </c>
      <c r="L509" t="s">
        <v>820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DF23-08EE-42C5-B51F-F63722CE0B88}">
  <dimension ref="A1:BT343"/>
  <sheetViews>
    <sheetView zoomScale="75" zoomScaleNormal="75" workbookViewId="0">
      <pane ySplit="2" topLeftCell="A3" activePane="bottomLeft" state="frozen"/>
      <selection pane="bottomLeft" activeCell="N34" sqref="N34"/>
    </sheetView>
  </sheetViews>
  <sheetFormatPr defaultColWidth="11.5703125" defaultRowHeight="15.6"/>
  <cols>
    <col min="1" max="1" width="13.42578125" style="12" bestFit="1" customWidth="1"/>
    <col min="2" max="2" width="13.28515625" style="29" bestFit="1" customWidth="1"/>
    <col min="3" max="3" width="10.5703125" style="30" bestFit="1" customWidth="1"/>
    <col min="4" max="4" width="9.140625" style="29" bestFit="1" customWidth="1"/>
    <col min="5" max="5" width="13.28515625" style="12" bestFit="1" customWidth="1"/>
    <col min="6" max="6" width="43.85546875" style="12" bestFit="1" customWidth="1"/>
    <col min="7" max="7" width="20.5703125" style="50" bestFit="1" customWidth="1"/>
    <col min="8" max="8" width="16.7109375" style="12" bestFit="1" customWidth="1"/>
    <col min="9" max="9" width="15.42578125" style="12" bestFit="1" customWidth="1"/>
    <col min="10" max="10" width="13.28515625" style="33" bestFit="1" customWidth="1"/>
    <col min="11" max="11" width="24.5703125" style="29" bestFit="1" customWidth="1"/>
    <col min="12" max="12" width="16.28515625" style="30" bestFit="1" customWidth="1"/>
    <col min="13" max="13" width="15" style="35" bestFit="1" customWidth="1"/>
    <col min="14" max="14" width="19.42578125" style="36" bestFit="1" customWidth="1"/>
    <col min="15" max="15" width="19" style="30" bestFit="1" customWidth="1"/>
    <col min="16" max="16" width="17.7109375" style="29" bestFit="1" customWidth="1"/>
    <col min="17" max="17" width="13.42578125" style="51" bestFit="1" customWidth="1"/>
    <col min="18" max="18" width="14.5703125" style="38" bestFit="1" customWidth="1"/>
    <col min="19" max="19" width="16.85546875" style="52" bestFit="1" customWidth="1"/>
    <col min="20" max="20" width="13.42578125" style="38" bestFit="1" customWidth="1"/>
    <col min="21" max="21" width="15.7109375" style="52" bestFit="1" customWidth="1"/>
    <col min="22" max="22" width="18.42578125" style="38" bestFit="1" customWidth="1"/>
    <col min="23" max="23" width="21" style="53" bestFit="1" customWidth="1"/>
    <col min="24" max="24" width="19.140625" style="38" bestFit="1" customWidth="1"/>
    <col min="25" max="25" width="21.7109375" style="53" bestFit="1" customWidth="1"/>
    <col min="26" max="26" width="13.7109375" style="38" bestFit="1" customWidth="1"/>
    <col min="27" max="27" width="16" style="53" bestFit="1" customWidth="1"/>
    <col min="28" max="28" width="25.7109375" style="29" bestFit="1" customWidth="1"/>
    <col min="29" max="29" width="18.28515625" style="38" bestFit="1" customWidth="1"/>
    <col min="30" max="30" width="14.28515625" style="53" bestFit="1" customWidth="1"/>
    <col min="31" max="31" width="25.7109375" style="27" bestFit="1" customWidth="1"/>
    <col min="32" max="32" width="18.28515625" style="38" bestFit="1" customWidth="1"/>
    <col min="33" max="33" width="14.28515625" style="30" bestFit="1" customWidth="1"/>
    <col min="34" max="34" width="12.5703125" style="40" bestFit="1" customWidth="1"/>
    <col min="35" max="35" width="15.140625" style="29" bestFit="1" customWidth="1"/>
    <col min="36" max="36" width="10.42578125" style="38" bestFit="1" customWidth="1"/>
    <col min="37" max="37" width="12.7109375" style="29" bestFit="1" customWidth="1"/>
    <col min="38" max="38" width="16.28515625" style="38" bestFit="1" customWidth="1"/>
    <col min="39" max="39" width="18.5703125" style="38" bestFit="1" customWidth="1"/>
    <col min="40" max="40" width="30.85546875" style="38" bestFit="1" customWidth="1"/>
    <col min="41" max="41" width="28.140625" style="29" bestFit="1" customWidth="1"/>
    <col min="42" max="42" width="16.5703125" style="38" bestFit="1" customWidth="1"/>
    <col min="43" max="43" width="10.5703125" style="29" bestFit="1" customWidth="1"/>
    <col min="44" max="44" width="16.5703125" style="38" bestFit="1" customWidth="1"/>
    <col min="45" max="45" width="10.5703125" style="29" bestFit="1" customWidth="1"/>
    <col min="46" max="46" width="16.5703125" style="38" bestFit="1" customWidth="1"/>
    <col min="47" max="47" width="11.140625" style="29" bestFit="1" customWidth="1"/>
    <col min="48" max="48" width="16.5703125" style="38" bestFit="1" customWidth="1"/>
    <col min="49" max="49" width="10.5703125" style="29" bestFit="1" customWidth="1"/>
    <col min="50" max="50" width="16.5703125" style="38" bestFit="1" customWidth="1"/>
    <col min="51" max="51" width="10.5703125" style="29" bestFit="1" customWidth="1"/>
    <col min="52" max="52" width="16.5703125" style="38" bestFit="1" customWidth="1"/>
    <col min="53" max="53" width="10.5703125" style="29" bestFit="1" customWidth="1"/>
    <col min="54" max="54" width="14.5703125" style="38" bestFit="1" customWidth="1"/>
    <col min="55" max="55" width="19" style="38" bestFit="1" customWidth="1"/>
    <col min="56" max="56" width="17.140625" style="38" bestFit="1" customWidth="1"/>
    <col min="57" max="57" width="12" style="38" bestFit="1" customWidth="1"/>
    <col min="58" max="58" width="12.5703125" style="38" bestFit="1" customWidth="1"/>
    <col min="59" max="59" width="13.140625" style="38" bestFit="1" customWidth="1"/>
    <col min="60" max="60" width="9.7109375" style="54" bestFit="1" customWidth="1"/>
    <col min="61" max="61" width="10.85546875" style="29" bestFit="1" customWidth="1"/>
    <col min="62" max="62" width="8.85546875" style="29" bestFit="1" customWidth="1"/>
    <col min="63" max="63" width="22.85546875" style="29" bestFit="1" customWidth="1"/>
    <col min="64" max="64" width="16.28515625" style="53" bestFit="1" customWidth="1"/>
    <col min="65" max="65" width="20.7109375" style="27" bestFit="1" customWidth="1"/>
    <col min="66" max="66" width="14.7109375" style="29" bestFit="1" customWidth="1"/>
    <col min="67" max="67" width="28.7109375" style="27" bestFit="1" customWidth="1"/>
    <col min="68" max="68" width="20.85546875" style="12" bestFit="1" customWidth="1"/>
    <col min="69" max="69" width="19.5703125" style="12" bestFit="1" customWidth="1"/>
    <col min="70" max="70" width="43.85546875" style="12" bestFit="1" customWidth="1"/>
    <col min="71" max="71" width="15" style="29" bestFit="1" customWidth="1"/>
    <col min="72" max="72" width="16.28515625" style="29" bestFit="1" customWidth="1"/>
    <col min="73" max="16384" width="11.5703125" style="29"/>
  </cols>
  <sheetData>
    <row r="1" spans="1:72" s="12" customFormat="1">
      <c r="A1" s="1"/>
      <c r="B1" s="1"/>
      <c r="C1" s="2"/>
      <c r="D1" s="1"/>
      <c r="E1" s="1"/>
      <c r="F1" s="1"/>
      <c r="G1" s="2"/>
      <c r="H1" s="1"/>
      <c r="I1" s="1"/>
      <c r="J1" s="3"/>
      <c r="K1" s="1"/>
      <c r="L1" s="2"/>
      <c r="M1" s="4"/>
      <c r="N1" s="5"/>
      <c r="O1" s="2"/>
      <c r="P1" s="1"/>
      <c r="Q1" s="6"/>
      <c r="R1" s="7"/>
      <c r="S1" s="8">
        <v>0.04</v>
      </c>
      <c r="T1" s="7"/>
      <c r="U1" s="8">
        <v>7.0000000000000007E-2</v>
      </c>
      <c r="V1" s="7"/>
      <c r="W1" s="6">
        <v>0.04</v>
      </c>
      <c r="X1" s="7"/>
      <c r="Y1" s="6">
        <v>0.04</v>
      </c>
      <c r="Z1" s="7"/>
      <c r="AA1" s="6">
        <v>0.02</v>
      </c>
      <c r="AB1" s="1"/>
      <c r="AC1" s="7"/>
      <c r="AD1" s="6"/>
      <c r="AE1" s="9"/>
      <c r="AF1" s="7"/>
      <c r="AG1" s="2"/>
      <c r="AH1" s="10"/>
      <c r="AI1" s="1">
        <v>0</v>
      </c>
      <c r="AJ1" s="7"/>
      <c r="AK1" s="1">
        <v>3</v>
      </c>
      <c r="AL1" s="7">
        <v>2</v>
      </c>
      <c r="AM1" s="7"/>
      <c r="AN1" s="7"/>
      <c r="AO1" s="1"/>
      <c r="AP1" s="7"/>
      <c r="AQ1" s="1"/>
      <c r="AR1" s="7"/>
      <c r="AS1" s="1"/>
      <c r="AT1" s="7"/>
      <c r="AU1" s="1"/>
      <c r="AV1" s="7"/>
      <c r="AW1" s="1"/>
      <c r="AX1" s="7"/>
      <c r="AY1" s="1"/>
      <c r="AZ1" s="7"/>
      <c r="BA1" s="1"/>
      <c r="BB1" s="7">
        <v>2</v>
      </c>
      <c r="BC1" s="7">
        <v>2</v>
      </c>
      <c r="BD1" s="1">
        <v>0</v>
      </c>
      <c r="BE1" s="1">
        <v>0</v>
      </c>
      <c r="BF1" s="1">
        <v>0</v>
      </c>
      <c r="BG1" s="1">
        <v>0</v>
      </c>
      <c r="BH1" s="11" t="s">
        <v>823</v>
      </c>
      <c r="BI1" s="1"/>
      <c r="BJ1" s="1"/>
      <c r="BK1" s="1"/>
      <c r="BL1" s="6"/>
      <c r="BM1" s="9"/>
      <c r="BN1" s="1"/>
      <c r="BO1" s="9"/>
      <c r="BP1" s="1"/>
      <c r="BQ1" s="1"/>
      <c r="BR1" s="1"/>
      <c r="BS1" s="1"/>
      <c r="BT1" s="1"/>
    </row>
    <row r="2" spans="1:72" s="27" customFormat="1">
      <c r="A2" s="13" t="s">
        <v>824</v>
      </c>
      <c r="B2" s="14" t="s">
        <v>825</v>
      </c>
      <c r="C2" s="15" t="s">
        <v>826</v>
      </c>
      <c r="D2" s="14" t="s">
        <v>827</v>
      </c>
      <c r="E2" s="13" t="s">
        <v>828</v>
      </c>
      <c r="F2" s="13" t="s">
        <v>829</v>
      </c>
      <c r="G2" s="16" t="s">
        <v>7</v>
      </c>
      <c r="H2" s="13" t="s">
        <v>830</v>
      </c>
      <c r="I2" s="13" t="s">
        <v>831</v>
      </c>
      <c r="J2" s="17" t="s">
        <v>832</v>
      </c>
      <c r="K2" s="14" t="s">
        <v>833</v>
      </c>
      <c r="L2" s="15" t="s">
        <v>834</v>
      </c>
      <c r="M2" s="18" t="s">
        <v>835</v>
      </c>
      <c r="N2" s="19" t="s">
        <v>836</v>
      </c>
      <c r="O2" s="15" t="s">
        <v>837</v>
      </c>
      <c r="P2" s="14" t="s">
        <v>838</v>
      </c>
      <c r="Q2" s="20" t="s">
        <v>839</v>
      </c>
      <c r="R2" s="21" t="s">
        <v>840</v>
      </c>
      <c r="S2" s="22" t="s">
        <v>841</v>
      </c>
      <c r="T2" s="21" t="s">
        <v>842</v>
      </c>
      <c r="U2" s="22" t="s">
        <v>843</v>
      </c>
      <c r="V2" s="21" t="s">
        <v>844</v>
      </c>
      <c r="W2" s="23" t="s">
        <v>845</v>
      </c>
      <c r="X2" s="21" t="s">
        <v>846</v>
      </c>
      <c r="Y2" s="23" t="s">
        <v>847</v>
      </c>
      <c r="Z2" s="21" t="s">
        <v>848</v>
      </c>
      <c r="AA2" s="23" t="s">
        <v>849</v>
      </c>
      <c r="AB2" s="14" t="s">
        <v>850</v>
      </c>
      <c r="AC2" s="21" t="s">
        <v>851</v>
      </c>
      <c r="AD2" s="23" t="s">
        <v>852</v>
      </c>
      <c r="AE2" s="14" t="s">
        <v>853</v>
      </c>
      <c r="AF2" s="21" t="s">
        <v>854</v>
      </c>
      <c r="AG2" s="14" t="s">
        <v>855</v>
      </c>
      <c r="AH2" s="24" t="s">
        <v>856</v>
      </c>
      <c r="AI2" s="14" t="s">
        <v>857</v>
      </c>
      <c r="AJ2" s="21" t="s">
        <v>122</v>
      </c>
      <c r="AK2" s="14" t="s">
        <v>858</v>
      </c>
      <c r="AL2" s="25" t="s">
        <v>859</v>
      </c>
      <c r="AM2" s="25" t="s">
        <v>860</v>
      </c>
      <c r="AN2" s="21" t="s">
        <v>861</v>
      </c>
      <c r="AO2" s="14" t="s">
        <v>862</v>
      </c>
      <c r="AP2" s="21" t="s">
        <v>863</v>
      </c>
      <c r="AQ2" s="14" t="s">
        <v>864</v>
      </c>
      <c r="AR2" s="21" t="s">
        <v>865</v>
      </c>
      <c r="AS2" s="14" t="s">
        <v>866</v>
      </c>
      <c r="AT2" s="21" t="s">
        <v>867</v>
      </c>
      <c r="AU2" s="14" t="s">
        <v>868</v>
      </c>
      <c r="AV2" s="21" t="s">
        <v>869</v>
      </c>
      <c r="AW2" s="14" t="s">
        <v>870</v>
      </c>
      <c r="AX2" s="21" t="s">
        <v>871</v>
      </c>
      <c r="AY2" s="14" t="s">
        <v>872</v>
      </c>
      <c r="AZ2" s="21" t="s">
        <v>873</v>
      </c>
      <c r="BA2" s="14" t="s">
        <v>874</v>
      </c>
      <c r="BB2" s="25" t="s">
        <v>875</v>
      </c>
      <c r="BC2" s="25" t="s">
        <v>876</v>
      </c>
      <c r="BD2" s="25" t="s">
        <v>877</v>
      </c>
      <c r="BE2" s="25" t="s">
        <v>878</v>
      </c>
      <c r="BF2" s="25" t="s">
        <v>879</v>
      </c>
      <c r="BG2" s="25" t="s">
        <v>880</v>
      </c>
      <c r="BH2" s="26" t="s">
        <v>881</v>
      </c>
      <c r="BI2" s="14" t="s">
        <v>882</v>
      </c>
      <c r="BJ2" s="14" t="s">
        <v>883</v>
      </c>
      <c r="BK2" s="14" t="s">
        <v>884</v>
      </c>
      <c r="BL2" s="23" t="s">
        <v>885</v>
      </c>
      <c r="BM2" s="14" t="s">
        <v>886</v>
      </c>
      <c r="BN2" s="14" t="s">
        <v>887</v>
      </c>
      <c r="BO2" s="14" t="s">
        <v>888</v>
      </c>
      <c r="BP2" s="13" t="s">
        <v>889</v>
      </c>
      <c r="BQ2" s="13" t="s">
        <v>890</v>
      </c>
      <c r="BR2" s="13" t="s">
        <v>891</v>
      </c>
      <c r="BS2" s="14" t="s">
        <v>892</v>
      </c>
      <c r="BT2" s="14" t="s">
        <v>893</v>
      </c>
    </row>
    <row r="3" spans="1:72">
      <c r="A3" s="28">
        <v>46024</v>
      </c>
      <c r="B3" s="29">
        <f>+_xlfn.ISOWEEKNUM(FT_RF_26[[#This Row],[Fecha]])</f>
        <v>1</v>
      </c>
      <c r="C3" s="30">
        <v>1</v>
      </c>
      <c r="D3" s="29">
        <v>1</v>
      </c>
      <c r="E3" s="31">
        <v>303231000</v>
      </c>
      <c r="F3" s="12" t="str">
        <f>IFERROR(""&amp;_xlfn.XLOOKUP(FT_RF_26[[#This Row],[Código]],BD_Cod[SKU],BD_Cod[Descripción]),"")</f>
        <v>FT S/V Org. S/C PSP 13,61 kg en Caja</v>
      </c>
      <c r="G3" s="32" t="str">
        <f>IFERROR(""&amp;_xlfn.XLOOKUP(FT_RF_26[[#This Row],[Código]],BD_Cod[SKU],BD_Cod[Familia Calidad]),"")</f>
        <v>PSP</v>
      </c>
      <c r="H3" s="12">
        <v>13712</v>
      </c>
      <c r="I3" s="12">
        <v>5540</v>
      </c>
      <c r="J3" s="33">
        <v>1000</v>
      </c>
      <c r="K3" s="34">
        <v>0.39930555555555558</v>
      </c>
      <c r="L3" s="30" t="s">
        <v>244</v>
      </c>
      <c r="M3" s="35">
        <v>10180</v>
      </c>
      <c r="O3" s="30" t="s">
        <v>894</v>
      </c>
      <c r="P3" s="29" t="s">
        <v>894</v>
      </c>
      <c r="Q3" s="37">
        <f>1-FT_RF_26[[#This Row],[% Defectos]]</f>
        <v>0.82000000000000006</v>
      </c>
      <c r="R3" s="38">
        <v>20</v>
      </c>
      <c r="S3" s="39">
        <f>+IFERROR((FT_RF_26[[#This Row],[Inmadura]]/FT_RF_26[[#This Row],[Muestra]]),"0")</f>
        <v>0.02</v>
      </c>
      <c r="T3" s="38">
        <v>0</v>
      </c>
      <c r="U3" s="39">
        <f>+IFERROR((FT_RF_26[[#This Row],[Partidas]]/FT_RF_26[[#This Row],[Muestra]]),"0")</f>
        <v>0</v>
      </c>
      <c r="V3" s="38">
        <v>0</v>
      </c>
      <c r="W3" s="39">
        <f>+IFERROR((FT_RF_26[[#This Row],[Daño Insecto]]/FT_RF_26[[#This Row],[Muestra]]),"0")</f>
        <v>0</v>
      </c>
      <c r="X3" s="38">
        <v>0</v>
      </c>
      <c r="Y3" s="39">
        <f>+IFERROR((FT_RF_26[[#This Row],[Sobremadura]]/FT_RF_26[[#This Row],[Muestra]]),"0")</f>
        <v>0</v>
      </c>
      <c r="Z3" s="38">
        <v>0</v>
      </c>
      <c r="AA3" s="39">
        <f>+IFERROR((FT_RF_26[[#This Row],[Deforme]]/FT_RF_26[[#This Row],[Muestra]]),"0")</f>
        <v>0</v>
      </c>
      <c r="AB3" s="27" t="s">
        <v>895</v>
      </c>
      <c r="AC3" s="38">
        <v>160</v>
      </c>
      <c r="AD3" s="39">
        <f>+IFERROR((FT_RF_26[[#This Row],[Valor Extra 1]]/FT_RF_26[[#This Row],[Muestra]]),"0")</f>
        <v>0.16</v>
      </c>
      <c r="AE3" s="27" t="s">
        <v>896</v>
      </c>
      <c r="AF3" s="38">
        <v>26</v>
      </c>
      <c r="AG3" s="39"/>
      <c r="AH3" s="40">
        <v>0</v>
      </c>
      <c r="AI3" s="39">
        <f>+IFERROR((FT_RF_26[[#This Row],[Hongos]]/FT_RF_26[[#This Row],[Muestra]]),"0")</f>
        <v>0</v>
      </c>
      <c r="AJ3" s="38">
        <v>0</v>
      </c>
      <c r="AK3" s="39">
        <f>+IFERROR((FT_RF_26[[#This Row],[Block]]/FT_RF_26[[#This Row],[Muestra]]),"0")</f>
        <v>0</v>
      </c>
      <c r="AL3" s="41">
        <v>0</v>
      </c>
      <c r="AM3" s="42">
        <v>0</v>
      </c>
      <c r="AN3" s="38">
        <v>0</v>
      </c>
      <c r="AO3" s="39">
        <f>+IFERROR((FT_RF_26[[#This Row],[Fuera de calibre &lt;12mm]]/FT_RF_26[[#This Row],[Muestra]]),"0")</f>
        <v>0</v>
      </c>
      <c r="AP3" s="38">
        <v>0</v>
      </c>
      <c r="AQ3" s="39">
        <f>+IFERROR((FT_RF_26[[#This Row],[Calibre &lt;25]]/FT_RF_26[[#This Row],[Muestra]]),"0")</f>
        <v>0</v>
      </c>
      <c r="AR3" s="38">
        <v>0</v>
      </c>
      <c r="AS3" s="39">
        <f>+IFERROR((FT_RF_26[[#This Row],[Calibre &gt;12]]/FT_RF_26[[#This Row],[Muestra]]),"0")</f>
        <v>0</v>
      </c>
      <c r="AT3" s="38">
        <v>0</v>
      </c>
      <c r="AU3" s="39">
        <f>+IFERROR((FT_RF_26[[#This Row],[Calibre &lt;14]]/FT_RF_26[[#This Row],[Muestra]]),"0")</f>
        <v>0</v>
      </c>
      <c r="AV3" s="38">
        <v>0</v>
      </c>
      <c r="AW3" s="39">
        <f>+IFERROR((FT_RF_26[[#This Row],[Calibre &gt;14]]/FT_RF_26[[#This Row],[Muestra]]),"0")</f>
        <v>0</v>
      </c>
      <c r="AX3" s="38">
        <v>0</v>
      </c>
      <c r="AY3" s="39">
        <f>+IFERROR((FT_RF_26[[#This Row],[Calibre &lt;10]]/FT_RF_26[[#This Row],[Muestra]]),"0")</f>
        <v>0</v>
      </c>
      <c r="AZ3" s="38">
        <v>0</v>
      </c>
      <c r="BA3" s="39">
        <f>+IFERROR((FT_RF_26[[#This Row],[Calibre &gt;13]]/FT_RF_26[[#This Row],[Muestra]]),"0")</f>
        <v>0</v>
      </c>
      <c r="BB3" s="41" t="s">
        <v>897</v>
      </c>
      <c r="BC3" s="38" t="s">
        <v>897</v>
      </c>
      <c r="BD3" s="38" t="s">
        <v>897</v>
      </c>
      <c r="BE3" s="38" t="s">
        <v>897</v>
      </c>
      <c r="BF3" s="38" t="s">
        <v>897</v>
      </c>
      <c r="BG3" s="42" t="s">
        <v>897</v>
      </c>
      <c r="BH3" s="43">
        <v>0</v>
      </c>
      <c r="BI3" s="29" t="s">
        <v>894</v>
      </c>
      <c r="BJ3" s="29" t="s">
        <v>894</v>
      </c>
      <c r="BK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206</v>
      </c>
      <c r="BL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0.18</v>
      </c>
      <c r="BN3" s="45">
        <f>1-FT_RF_26[[#This Row],[% Defectos]]</f>
        <v>0.82000000000000006</v>
      </c>
      <c r="BO3" s="60" t="s">
        <v>898</v>
      </c>
      <c r="BP3" s="12">
        <f>SUM(FT_RF_26[[#This Row],[Hoja (Un.)]:[Larvas Caja]])</f>
        <v>0</v>
      </c>
      <c r="BQ3" s="12">
        <f>SUM(FT_RF_26[[#This Row],[Vidrios]:[Plástico]])</f>
        <v>0</v>
      </c>
      <c r="BR3" s="12" t="str">
        <f>IF(ISBLANK(FT_RF_26[[#This Row],[Descripción del producto]]),"",FT_RF_26[[#This Row],[Descripción del producto]])</f>
        <v>FT S/V Org. S/C PSP 13,61 kg en Caja</v>
      </c>
      <c r="BS3" s="29">
        <f>IF(ISBLANK(FT_RF_26[[#This Row],[N° de Lote]]),"",FT_RF_26[[#This Row],[N° de Lote]])</f>
        <v>5540</v>
      </c>
      <c r="BT3" s="29">
        <f>IF(ISBLANK(FT_RF_26[[#This Row],[N° de Pallet]]),"",FT_RF_26[[#This Row],[N° de Pallet]])</f>
        <v>13712</v>
      </c>
    </row>
    <row r="4" spans="1:72">
      <c r="A4" s="28">
        <v>46024</v>
      </c>
      <c r="B4" s="29">
        <f>+_xlfn.ISOWEEKNUM(FT_RF_26[[#This Row],[Fecha]])</f>
        <v>1</v>
      </c>
      <c r="C4" s="30">
        <v>1</v>
      </c>
      <c r="D4" s="29">
        <v>1</v>
      </c>
      <c r="E4" s="31">
        <v>303231000</v>
      </c>
      <c r="F4" s="12" t="str">
        <f>IFERROR(""&amp;_xlfn.XLOOKUP(FT_RF_26[[#This Row],[Código]],BD_Cod[SKU],BD_Cod[Descripción]),"")</f>
        <v>FT S/V Org. S/C PSP 13,61 kg en Caja</v>
      </c>
      <c r="G4" s="32" t="str">
        <f>IFERROR(""&amp;_xlfn.XLOOKUP(FT_RF_26[[#This Row],[Código]],BD_Cod[SKU],BD_Cod[Familia Calidad]),"")</f>
        <v>PSP</v>
      </c>
      <c r="H4" s="12">
        <v>13712</v>
      </c>
      <c r="I4" s="12">
        <v>5540</v>
      </c>
      <c r="J4" s="33">
        <v>1000</v>
      </c>
      <c r="K4" s="34">
        <v>0.44444444444444442</v>
      </c>
      <c r="L4" s="30" t="s">
        <v>244</v>
      </c>
      <c r="M4" s="35">
        <v>14150</v>
      </c>
      <c r="N4" s="36">
        <v>-7.3</v>
      </c>
      <c r="O4" s="30" t="s">
        <v>894</v>
      </c>
      <c r="P4" s="29" t="s">
        <v>894</v>
      </c>
      <c r="Q4" s="37">
        <f>1-FT_RF_26[[#This Row],[% Defectos]]</f>
        <v>0.83499999999999996</v>
      </c>
      <c r="R4" s="38">
        <v>41</v>
      </c>
      <c r="S4" s="39">
        <f>+IFERROR((FT_RF_26[[#This Row],[Inmadura]]/FT_RF_26[[#This Row],[Muestra]]),"0")</f>
        <v>4.1000000000000002E-2</v>
      </c>
      <c r="T4" s="38">
        <v>10</v>
      </c>
      <c r="U4" s="39">
        <f>+IFERROR((FT_RF_26[[#This Row],[Partidas]]/FT_RF_26[[#This Row],[Muestra]]),"0")</f>
        <v>0.01</v>
      </c>
      <c r="V4" s="38">
        <v>9</v>
      </c>
      <c r="W4" s="39">
        <f>+IFERROR((FT_RF_26[[#This Row],[Daño Insecto]]/FT_RF_26[[#This Row],[Muestra]]),"0")</f>
        <v>8.9999999999999993E-3</v>
      </c>
      <c r="X4" s="38">
        <v>0</v>
      </c>
      <c r="Y4" s="39">
        <f>+IFERROR((FT_RF_26[[#This Row],[Sobremadura]]/FT_RF_26[[#This Row],[Muestra]]),"0")</f>
        <v>0</v>
      </c>
      <c r="Z4" s="38">
        <v>0</v>
      </c>
      <c r="AA4" s="39">
        <f>+IFERROR((FT_RF_26[[#This Row],[Deforme]]/FT_RF_26[[#This Row],[Muestra]]),"0")</f>
        <v>0</v>
      </c>
      <c r="AB4" s="27" t="s">
        <v>895</v>
      </c>
      <c r="AC4" s="38">
        <v>105</v>
      </c>
      <c r="AD4" s="39">
        <f>+IFERROR((FT_RF_26[[#This Row],[Valor Extra 1]]/FT_RF_26[[#This Row],[Muestra]]),"0")</f>
        <v>0.105</v>
      </c>
      <c r="AE4" s="27" t="s">
        <v>896</v>
      </c>
      <c r="AF4" s="29">
        <v>13</v>
      </c>
      <c r="AG4" s="39"/>
      <c r="AH4" s="40">
        <v>0</v>
      </c>
      <c r="AI4" s="39">
        <f>+IFERROR((FT_RF_26[[#This Row],[Hongos]]/FT_RF_26[[#This Row],[Muestra]]),"0")</f>
        <v>0</v>
      </c>
      <c r="AJ4" s="38">
        <v>0</v>
      </c>
      <c r="AK4" s="39">
        <f>+IFERROR((FT_RF_26[[#This Row],[Block]]/FT_RF_26[[#This Row],[Muestra]]),"0")</f>
        <v>0</v>
      </c>
      <c r="AL4" s="41">
        <v>0</v>
      </c>
      <c r="AM4" s="42">
        <v>0</v>
      </c>
      <c r="AN4" s="38">
        <v>0</v>
      </c>
      <c r="AO4" s="39">
        <f>+IFERROR((FT_RF_26[[#This Row],[Fuera de calibre &lt;12mm]]/FT_RF_26[[#This Row],[Muestra]]),"0")</f>
        <v>0</v>
      </c>
      <c r="AP4" s="38">
        <v>0</v>
      </c>
      <c r="AQ4" s="39">
        <f>+IFERROR((FT_RF_26[[#This Row],[Calibre &lt;25]]/FT_RF_26[[#This Row],[Muestra]]),"0")</f>
        <v>0</v>
      </c>
      <c r="AR4" s="38">
        <v>0</v>
      </c>
      <c r="AS4" s="39">
        <f>+IFERROR((FT_RF_26[[#This Row],[Calibre &gt;12]]/FT_RF_26[[#This Row],[Muestra]]),"0")</f>
        <v>0</v>
      </c>
      <c r="AT4" s="38">
        <v>0</v>
      </c>
      <c r="AU4" s="39">
        <f>+IFERROR((FT_RF_26[[#This Row],[Calibre &lt;14]]/FT_RF_26[[#This Row],[Muestra]]),"0")</f>
        <v>0</v>
      </c>
      <c r="AV4" s="38">
        <v>0</v>
      </c>
      <c r="AW4" s="39">
        <f>+IFERROR((FT_RF_26[[#This Row],[Calibre &gt;14]]/FT_RF_26[[#This Row],[Muestra]]),"0")</f>
        <v>0</v>
      </c>
      <c r="AX4" s="38">
        <v>0</v>
      </c>
      <c r="AY4" s="39">
        <f>+IFERROR((FT_RF_26[[#This Row],[Calibre &lt;10]]/FT_RF_26[[#This Row],[Muestra]]),"0")</f>
        <v>0</v>
      </c>
      <c r="AZ4" s="38">
        <v>0</v>
      </c>
      <c r="BA4" s="39">
        <f>+IFERROR((FT_RF_26[[#This Row],[Calibre &gt;13]]/FT_RF_26[[#This Row],[Muestra]]),"0")</f>
        <v>0</v>
      </c>
      <c r="BB4" s="41" t="s">
        <v>897</v>
      </c>
      <c r="BC4" s="38" t="s">
        <v>897</v>
      </c>
      <c r="BD4" s="38" t="s">
        <v>897</v>
      </c>
      <c r="BE4" s="38" t="s">
        <v>897</v>
      </c>
      <c r="BF4" s="38" t="s">
        <v>897</v>
      </c>
      <c r="BG4" s="42" t="s">
        <v>897</v>
      </c>
      <c r="BH4" s="43">
        <v>0</v>
      </c>
      <c r="BI4" s="29" t="s">
        <v>894</v>
      </c>
      <c r="BJ4" s="29" t="s">
        <v>894</v>
      </c>
      <c r="BK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178</v>
      </c>
      <c r="BL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0.16500000000000001</v>
      </c>
      <c r="BN4" s="45">
        <f>1-FT_RF_26[[#This Row],[% Defectos]]</f>
        <v>0.83499999999999996</v>
      </c>
      <c r="BO4" s="60" t="s">
        <v>898</v>
      </c>
      <c r="BP4" s="12">
        <f>SUM(FT_RF_26[[#This Row],[Hoja (Un.)]:[Larvas Caja]])</f>
        <v>0</v>
      </c>
      <c r="BQ4" s="12">
        <f>SUM(FT_RF_26[[#This Row],[Vidrios]:[Plástico]])</f>
        <v>0</v>
      </c>
      <c r="BR4" s="12" t="str">
        <f>IF(ISBLANK(FT_RF_26[[#This Row],[Descripción del producto]]),"",FT_RF_26[[#This Row],[Descripción del producto]])</f>
        <v>FT S/V Org. S/C PSP 13,61 kg en Caja</v>
      </c>
      <c r="BS4" s="29">
        <f>IF(ISBLANK(FT_RF_26[[#This Row],[N° de Lote]]),"",FT_RF_26[[#This Row],[N° de Lote]])</f>
        <v>5540</v>
      </c>
      <c r="BT4" s="29">
        <f>IF(ISBLANK(FT_RF_26[[#This Row],[N° de Pallet]]),"",FT_RF_26[[#This Row],[N° de Pallet]])</f>
        <v>13712</v>
      </c>
    </row>
    <row r="5" spans="1:72">
      <c r="A5" s="28">
        <v>46024</v>
      </c>
      <c r="B5" s="29">
        <f>+_xlfn.ISOWEEKNUM(FT_RF_26[[#This Row],[Fecha]])</f>
        <v>1</v>
      </c>
      <c r="C5" s="30">
        <v>1</v>
      </c>
      <c r="D5" s="29">
        <v>1</v>
      </c>
      <c r="E5" s="31">
        <v>303231000</v>
      </c>
      <c r="F5" s="12" t="str">
        <f>IFERROR(""&amp;_xlfn.XLOOKUP(FT_RF_26[[#This Row],[Código]],BD_Cod[SKU],BD_Cod[Descripción]),"")</f>
        <v>FT S/V Org. S/C PSP 13,61 kg en Caja</v>
      </c>
      <c r="G5" s="32" t="str">
        <f>IFERROR(""&amp;_xlfn.XLOOKUP(FT_RF_26[[#This Row],[Código]],BD_Cod[SKU],BD_Cod[Familia Calidad]),"")</f>
        <v>PSP</v>
      </c>
      <c r="H5" s="12">
        <v>13713</v>
      </c>
      <c r="I5" s="12">
        <v>5540</v>
      </c>
      <c r="J5" s="33">
        <v>1000</v>
      </c>
      <c r="K5" s="34">
        <v>0.46319444444444446</v>
      </c>
      <c r="L5" s="30" t="s">
        <v>244</v>
      </c>
      <c r="M5" s="35">
        <v>14135</v>
      </c>
      <c r="N5" s="36">
        <v>-3.5</v>
      </c>
      <c r="O5" s="30" t="s">
        <v>894</v>
      </c>
      <c r="P5" s="29" t="s">
        <v>894</v>
      </c>
      <c r="Q5" s="37">
        <f>1-FT_RF_26[[#This Row],[% Defectos]]</f>
        <v>0.93700000000000006</v>
      </c>
      <c r="R5" s="38">
        <v>0</v>
      </c>
      <c r="S5" s="39">
        <f>+IFERROR((FT_RF_26[[#This Row],[Inmadura]]/FT_RF_26[[#This Row],[Muestra]]),"0")</f>
        <v>0</v>
      </c>
      <c r="T5" s="38">
        <v>0</v>
      </c>
      <c r="U5" s="39">
        <f>+IFERROR((FT_RF_26[[#This Row],[Partidas]]/FT_RF_26[[#This Row],[Muestra]]),"0")</f>
        <v>0</v>
      </c>
      <c r="V5" s="38">
        <v>0</v>
      </c>
      <c r="W5" s="39">
        <f>+IFERROR((FT_RF_26[[#This Row],[Daño Insecto]]/FT_RF_26[[#This Row],[Muestra]]),"0")</f>
        <v>0</v>
      </c>
      <c r="X5" s="38">
        <v>48</v>
      </c>
      <c r="Y5" s="39">
        <f>+IFERROR((FT_RF_26[[#This Row],[Sobremadura]]/FT_RF_26[[#This Row],[Muestra]]),"0")</f>
        <v>4.8000000000000001E-2</v>
      </c>
      <c r="Z5" s="38">
        <v>0</v>
      </c>
      <c r="AA5" s="39">
        <f>+IFERROR((FT_RF_26[[#This Row],[Deforme]]/FT_RF_26[[#This Row],[Muestra]]),"0")</f>
        <v>0</v>
      </c>
      <c r="AB5" s="27" t="s">
        <v>895</v>
      </c>
      <c r="AC5" s="38">
        <v>15</v>
      </c>
      <c r="AD5" s="39">
        <f>+IFERROR((FT_RF_26[[#This Row],[Valor Extra 1]]/FT_RF_26[[#This Row],[Muestra]]),"0")</f>
        <v>1.4999999999999999E-2</v>
      </c>
      <c r="AE5" s="27" t="s">
        <v>896</v>
      </c>
      <c r="AF5" s="29">
        <v>22</v>
      </c>
      <c r="AG5" s="39"/>
      <c r="AH5" s="40">
        <v>0</v>
      </c>
      <c r="AI5" s="39">
        <f>+IFERROR((FT_RF_26[[#This Row],[Hongos]]/FT_RF_26[[#This Row],[Muestra]]),"0")</f>
        <v>0</v>
      </c>
      <c r="AJ5" s="38">
        <v>0</v>
      </c>
      <c r="AK5" s="39">
        <f>+IFERROR((FT_RF_26[[#This Row],[Block]]/FT_RF_26[[#This Row],[Muestra]]),"0")</f>
        <v>0</v>
      </c>
      <c r="AL5" s="41">
        <v>0</v>
      </c>
      <c r="AM5" s="42">
        <v>0</v>
      </c>
      <c r="AN5" s="38">
        <v>0</v>
      </c>
      <c r="AO5" s="39">
        <f>+IFERROR((FT_RF_26[[#This Row],[Fuera de calibre &lt;12mm]]/FT_RF_26[[#This Row],[Muestra]]),"0")</f>
        <v>0</v>
      </c>
      <c r="AP5" s="38">
        <v>0</v>
      </c>
      <c r="AQ5" s="39">
        <f>+IFERROR((FT_RF_26[[#This Row],[Calibre &lt;25]]/FT_RF_26[[#This Row],[Muestra]]),"0")</f>
        <v>0</v>
      </c>
      <c r="AR5" s="38">
        <v>0</v>
      </c>
      <c r="AS5" s="39">
        <f>+IFERROR((FT_RF_26[[#This Row],[Calibre &gt;12]]/FT_RF_26[[#This Row],[Muestra]]),"0")</f>
        <v>0</v>
      </c>
      <c r="AT5" s="38">
        <v>0</v>
      </c>
      <c r="AU5" s="39">
        <f>+IFERROR((FT_RF_26[[#This Row],[Calibre &lt;14]]/FT_RF_26[[#This Row],[Muestra]]),"0")</f>
        <v>0</v>
      </c>
      <c r="AV5" s="38">
        <v>0</v>
      </c>
      <c r="AW5" s="39">
        <f>+IFERROR((FT_RF_26[[#This Row],[Calibre &gt;14]]/FT_RF_26[[#This Row],[Muestra]]),"0")</f>
        <v>0</v>
      </c>
      <c r="AX5" s="38">
        <v>0</v>
      </c>
      <c r="AY5" s="39">
        <f>+IFERROR((FT_RF_26[[#This Row],[Calibre &lt;10]]/FT_RF_26[[#This Row],[Muestra]]),"0")</f>
        <v>0</v>
      </c>
      <c r="AZ5" s="38">
        <v>0</v>
      </c>
      <c r="BA5" s="39">
        <f>+IFERROR((FT_RF_26[[#This Row],[Calibre &gt;13]]/FT_RF_26[[#This Row],[Muestra]]),"0")</f>
        <v>0</v>
      </c>
      <c r="BB5" s="41" t="s">
        <v>897</v>
      </c>
      <c r="BC5" s="38" t="s">
        <v>897</v>
      </c>
      <c r="BD5" s="38" t="s">
        <v>897</v>
      </c>
      <c r="BE5" s="38" t="s">
        <v>897</v>
      </c>
      <c r="BF5" s="38" t="s">
        <v>897</v>
      </c>
      <c r="BG5" s="42" t="s">
        <v>897</v>
      </c>
      <c r="BH5" s="43">
        <v>0</v>
      </c>
      <c r="BI5" s="29" t="s">
        <v>894</v>
      </c>
      <c r="BJ5" s="29" t="s">
        <v>894</v>
      </c>
      <c r="BK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85</v>
      </c>
      <c r="BL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6.3E-2</v>
      </c>
      <c r="BN5" s="45">
        <f>1-FT_RF_26[[#This Row],[% Defectos]]</f>
        <v>0.93700000000000006</v>
      </c>
      <c r="BO5" s="60" t="s">
        <v>898</v>
      </c>
      <c r="BP5" s="12">
        <f>SUM(FT_RF_26[[#This Row],[Hoja (Un.)]:[Larvas Caja]])</f>
        <v>0</v>
      </c>
      <c r="BQ5" s="12">
        <f>SUM(FT_RF_26[[#This Row],[Vidrios]:[Plástico]])</f>
        <v>0</v>
      </c>
      <c r="BR5" s="12" t="str">
        <f>IF(ISBLANK(FT_RF_26[[#This Row],[Descripción del producto]]),"",FT_RF_26[[#This Row],[Descripción del producto]])</f>
        <v>FT S/V Org. S/C PSP 13,61 kg en Caja</v>
      </c>
      <c r="BS5" s="29">
        <f>IF(ISBLANK(FT_RF_26[[#This Row],[N° de Lote]]),"",FT_RF_26[[#This Row],[N° de Lote]])</f>
        <v>5540</v>
      </c>
      <c r="BT5" s="29">
        <f>IF(ISBLANK(FT_RF_26[[#This Row],[N° de Pallet]]),"",FT_RF_26[[#This Row],[N° de Pallet]])</f>
        <v>13713</v>
      </c>
    </row>
    <row r="6" spans="1:72">
      <c r="A6" s="28">
        <v>46024</v>
      </c>
      <c r="B6" s="29">
        <f>+_xlfn.ISOWEEKNUM(FT_RF_26[[#This Row],[Fecha]])</f>
        <v>1</v>
      </c>
      <c r="C6" s="30">
        <v>1</v>
      </c>
      <c r="D6" s="29">
        <v>1</v>
      </c>
      <c r="E6" s="31">
        <v>303231000</v>
      </c>
      <c r="F6" s="12" t="str">
        <f>IFERROR(""&amp;_xlfn.XLOOKUP(FT_RF_26[[#This Row],[Código]],BD_Cod[SKU],BD_Cod[Descripción]),"")</f>
        <v>FT S/V Org. S/C PSP 13,61 kg en Caja</v>
      </c>
      <c r="G6" s="32" t="str">
        <f>IFERROR(""&amp;_xlfn.XLOOKUP(FT_RF_26[[#This Row],[Código]],BD_Cod[SKU],BD_Cod[Familia Calidad]),"")</f>
        <v>PSP</v>
      </c>
      <c r="H6" s="12">
        <v>13713</v>
      </c>
      <c r="I6" s="12">
        <v>5540</v>
      </c>
      <c r="J6" s="33">
        <v>1000</v>
      </c>
      <c r="K6" s="34">
        <v>0.4777777777777778</v>
      </c>
      <c r="L6" s="30" t="s">
        <v>244</v>
      </c>
      <c r="M6" s="35">
        <v>14145</v>
      </c>
      <c r="N6" s="36">
        <v>-5</v>
      </c>
      <c r="O6" s="30" t="s">
        <v>894</v>
      </c>
      <c r="P6" s="29" t="s">
        <v>894</v>
      </c>
      <c r="Q6" s="37">
        <f>1-FT_RF_26[[#This Row],[% Defectos]]</f>
        <v>0.878</v>
      </c>
      <c r="R6" s="38">
        <v>15</v>
      </c>
      <c r="S6" s="39">
        <f>+IFERROR((FT_RF_26[[#This Row],[Inmadura]]/FT_RF_26[[#This Row],[Muestra]]),"0")</f>
        <v>1.4999999999999999E-2</v>
      </c>
      <c r="T6" s="38">
        <v>10</v>
      </c>
      <c r="U6" s="39">
        <f>+IFERROR((FT_RF_26[[#This Row],[Partidas]]/FT_RF_26[[#This Row],[Muestra]]),"0")</f>
        <v>0.01</v>
      </c>
      <c r="V6" s="38">
        <v>13</v>
      </c>
      <c r="W6" s="39">
        <f>+IFERROR((FT_RF_26[[#This Row],[Daño Insecto]]/FT_RF_26[[#This Row],[Muestra]]),"0")</f>
        <v>1.2999999999999999E-2</v>
      </c>
      <c r="X6" s="38">
        <v>35</v>
      </c>
      <c r="Y6" s="39">
        <f>+IFERROR((FT_RF_26[[#This Row],[Sobremadura]]/FT_RF_26[[#This Row],[Muestra]]),"0")</f>
        <v>3.5000000000000003E-2</v>
      </c>
      <c r="Z6" s="38">
        <v>0</v>
      </c>
      <c r="AA6" s="39">
        <f>+IFERROR((FT_RF_26[[#This Row],[Deforme]]/FT_RF_26[[#This Row],[Muestra]]),"0")</f>
        <v>0</v>
      </c>
      <c r="AB6" s="27" t="s">
        <v>895</v>
      </c>
      <c r="AC6" s="38">
        <v>30</v>
      </c>
      <c r="AD6" s="39">
        <f>+IFERROR((FT_RF_26[[#This Row],[Valor Extra 1]]/FT_RF_26[[#This Row],[Muestra]]),"0")</f>
        <v>0.03</v>
      </c>
      <c r="AE6" s="27" t="s">
        <v>896</v>
      </c>
      <c r="AF6" s="29">
        <v>17</v>
      </c>
      <c r="AG6" s="39"/>
      <c r="AH6" s="40">
        <v>19</v>
      </c>
      <c r="AI6" s="39">
        <f>+IFERROR((FT_RF_26[[#This Row],[Hongos]]/FT_RF_26[[#This Row],[Muestra]]),"0")</f>
        <v>1.9E-2</v>
      </c>
      <c r="AJ6" s="38">
        <v>0</v>
      </c>
      <c r="AK6" s="39">
        <f>+IFERROR((FT_RF_26[[#This Row],[Block]]/FT_RF_26[[#This Row],[Muestra]]),"0")</f>
        <v>0</v>
      </c>
      <c r="AL6" s="41">
        <v>0</v>
      </c>
      <c r="AM6" s="42">
        <v>0</v>
      </c>
      <c r="AN6" s="38">
        <v>0</v>
      </c>
      <c r="AO6" s="39">
        <f>+IFERROR((FT_RF_26[[#This Row],[Fuera de calibre &lt;12mm]]/FT_RF_26[[#This Row],[Muestra]]),"0")</f>
        <v>0</v>
      </c>
      <c r="AP6" s="38">
        <v>0</v>
      </c>
      <c r="AQ6" s="39">
        <f>+IFERROR((FT_RF_26[[#This Row],[Calibre &lt;25]]/FT_RF_26[[#This Row],[Muestra]]),"0")</f>
        <v>0</v>
      </c>
      <c r="AR6" s="38">
        <v>0</v>
      </c>
      <c r="AS6" s="39">
        <f>+IFERROR((FT_RF_26[[#This Row],[Calibre &gt;12]]/FT_RF_26[[#This Row],[Muestra]]),"0")</f>
        <v>0</v>
      </c>
      <c r="AT6" s="38">
        <v>0</v>
      </c>
      <c r="AU6" s="39">
        <f>+IFERROR((FT_RF_26[[#This Row],[Calibre &lt;14]]/FT_RF_26[[#This Row],[Muestra]]),"0")</f>
        <v>0</v>
      </c>
      <c r="AV6" s="38">
        <v>0</v>
      </c>
      <c r="AW6" s="39">
        <f>+IFERROR((FT_RF_26[[#This Row],[Calibre &gt;14]]/FT_RF_26[[#This Row],[Muestra]]),"0")</f>
        <v>0</v>
      </c>
      <c r="AX6" s="38">
        <v>0</v>
      </c>
      <c r="AY6" s="39">
        <f>+IFERROR((FT_RF_26[[#This Row],[Calibre &lt;10]]/FT_RF_26[[#This Row],[Muestra]]),"0")</f>
        <v>0</v>
      </c>
      <c r="AZ6" s="38">
        <v>0</v>
      </c>
      <c r="BA6" s="39">
        <f>+IFERROR((FT_RF_26[[#This Row],[Calibre &gt;13]]/FT_RF_26[[#This Row],[Muestra]]),"0")</f>
        <v>0</v>
      </c>
      <c r="BB6" s="41" t="s">
        <v>897</v>
      </c>
      <c r="BC6" s="38" t="s">
        <v>897</v>
      </c>
      <c r="BD6" s="38" t="s">
        <v>897</v>
      </c>
      <c r="BE6" s="38" t="s">
        <v>897</v>
      </c>
      <c r="BF6" s="38" t="s">
        <v>897</v>
      </c>
      <c r="BG6" s="42" t="s">
        <v>897</v>
      </c>
      <c r="BH6" s="43">
        <v>0</v>
      </c>
      <c r="BI6" s="29" t="s">
        <v>894</v>
      </c>
      <c r="BJ6" s="29" t="s">
        <v>894</v>
      </c>
      <c r="BK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139</v>
      </c>
      <c r="BL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0.12200000000000001</v>
      </c>
      <c r="BN6" s="45">
        <f>1-FT_RF_26[[#This Row],[% Defectos]]</f>
        <v>0.878</v>
      </c>
      <c r="BO6" s="60" t="s">
        <v>898</v>
      </c>
      <c r="BP6" s="12">
        <f>SUM(FT_RF_26[[#This Row],[Hoja (Un.)]:[Larvas Caja]])</f>
        <v>0</v>
      </c>
      <c r="BQ6" s="12">
        <f>SUM(FT_RF_26[[#This Row],[Vidrios]:[Plástico]])</f>
        <v>0</v>
      </c>
      <c r="BR6" s="12" t="str">
        <f>IF(ISBLANK(FT_RF_26[[#This Row],[Descripción del producto]]),"",FT_RF_26[[#This Row],[Descripción del producto]])</f>
        <v>FT S/V Org. S/C PSP 13,61 kg en Caja</v>
      </c>
      <c r="BS6" s="29">
        <f>IF(ISBLANK(FT_RF_26[[#This Row],[N° de Lote]]),"",FT_RF_26[[#This Row],[N° de Lote]])</f>
        <v>5540</v>
      </c>
      <c r="BT6" s="29">
        <f>IF(ISBLANK(FT_RF_26[[#This Row],[N° de Pallet]]),"",FT_RF_26[[#This Row],[N° de Pallet]])</f>
        <v>13713</v>
      </c>
    </row>
    <row r="7" spans="1:72">
      <c r="A7" s="28">
        <v>46024</v>
      </c>
      <c r="B7" s="29">
        <f>+_xlfn.ISOWEEKNUM(FT_RF_26[[#This Row],[Fecha]])</f>
        <v>1</v>
      </c>
      <c r="C7" s="30">
        <v>1</v>
      </c>
      <c r="D7" s="29">
        <v>1</v>
      </c>
      <c r="E7" s="31">
        <v>303231000</v>
      </c>
      <c r="F7" s="12" t="str">
        <f>IFERROR(""&amp;_xlfn.XLOOKUP(FT_RF_26[[#This Row],[Código]],BD_Cod[SKU],BD_Cod[Descripción]),"")</f>
        <v>FT S/V Org. S/C PSP 13,61 kg en Caja</v>
      </c>
      <c r="G7" s="32" t="str">
        <f>IFERROR(""&amp;_xlfn.XLOOKUP(FT_RF_26[[#This Row],[Código]],BD_Cod[SKU],BD_Cod[Familia Calidad]),"")</f>
        <v>PSP</v>
      </c>
      <c r="H7" s="12">
        <v>13714</v>
      </c>
      <c r="I7" s="12">
        <v>5540</v>
      </c>
      <c r="J7" s="33">
        <v>1000</v>
      </c>
      <c r="K7" s="34">
        <v>0.49791666666666667</v>
      </c>
      <c r="L7" s="30" t="s">
        <v>244</v>
      </c>
      <c r="M7" s="35">
        <v>14145</v>
      </c>
      <c r="N7" s="36">
        <v>-12.3</v>
      </c>
      <c r="O7" s="30" t="s">
        <v>894</v>
      </c>
      <c r="P7" s="29" t="s">
        <v>894</v>
      </c>
      <c r="Q7" s="37">
        <f>1-FT_RF_26[[#This Row],[% Defectos]]</f>
        <v>0.85799999999999998</v>
      </c>
      <c r="R7" s="38">
        <v>0</v>
      </c>
      <c r="S7" s="39">
        <f>+IFERROR((FT_RF_26[[#This Row],[Inmadura]]/FT_RF_26[[#This Row],[Muestra]]),"0")</f>
        <v>0</v>
      </c>
      <c r="T7" s="38">
        <v>0</v>
      </c>
      <c r="U7" s="39">
        <f>+IFERROR((FT_RF_26[[#This Row],[Partidas]]/FT_RF_26[[#This Row],[Muestra]]),"0")</f>
        <v>0</v>
      </c>
      <c r="V7" s="38">
        <v>0</v>
      </c>
      <c r="W7" s="39">
        <f>+IFERROR((FT_RF_26[[#This Row],[Daño Insecto]]/FT_RF_26[[#This Row],[Muestra]]),"0")</f>
        <v>0</v>
      </c>
      <c r="X7" s="38">
        <v>37</v>
      </c>
      <c r="Y7" s="39">
        <f>+IFERROR((FT_RF_26[[#This Row],[Sobremadura]]/FT_RF_26[[#This Row],[Muestra]]),"0")</f>
        <v>3.6999999999999998E-2</v>
      </c>
      <c r="Z7" s="38">
        <v>0</v>
      </c>
      <c r="AA7" s="39">
        <f>+IFERROR((FT_RF_26[[#This Row],[Deforme]]/FT_RF_26[[#This Row],[Muestra]]),"0")</f>
        <v>0</v>
      </c>
      <c r="AB7" s="27" t="s">
        <v>895</v>
      </c>
      <c r="AC7" s="38">
        <v>28</v>
      </c>
      <c r="AD7" s="39">
        <f>+IFERROR((FT_RF_26[[#This Row],[Valor Extra 1]]/FT_RF_26[[#This Row],[Muestra]]),"0")</f>
        <v>2.8000000000000001E-2</v>
      </c>
      <c r="AE7" s="27" t="s">
        <v>896</v>
      </c>
      <c r="AF7" s="29">
        <v>22</v>
      </c>
      <c r="AG7" s="39"/>
      <c r="AH7" s="40">
        <v>77</v>
      </c>
      <c r="AI7" s="39">
        <f>+IFERROR((FT_RF_26[[#This Row],[Hongos]]/FT_RF_26[[#This Row],[Muestra]]),"0")</f>
        <v>7.6999999999999999E-2</v>
      </c>
      <c r="AJ7" s="38">
        <v>0</v>
      </c>
      <c r="AK7" s="39">
        <f>+IFERROR((FT_RF_26[[#This Row],[Block]]/FT_RF_26[[#This Row],[Muestra]]),"0")</f>
        <v>0</v>
      </c>
      <c r="AL7" s="41">
        <v>0</v>
      </c>
      <c r="AM7" s="42">
        <v>0</v>
      </c>
      <c r="AN7" s="38">
        <v>0</v>
      </c>
      <c r="AO7" s="39">
        <f>+IFERROR((FT_RF_26[[#This Row],[Fuera de calibre &lt;12mm]]/FT_RF_26[[#This Row],[Muestra]]),"0")</f>
        <v>0</v>
      </c>
      <c r="AP7" s="38">
        <v>0</v>
      </c>
      <c r="AQ7" s="39">
        <f>+IFERROR((FT_RF_26[[#This Row],[Calibre &lt;25]]/FT_RF_26[[#This Row],[Muestra]]),"0")</f>
        <v>0</v>
      </c>
      <c r="AR7" s="38">
        <v>0</v>
      </c>
      <c r="AS7" s="39">
        <f>+IFERROR((FT_RF_26[[#This Row],[Calibre &gt;12]]/FT_RF_26[[#This Row],[Muestra]]),"0")</f>
        <v>0</v>
      </c>
      <c r="AT7" s="38">
        <v>0</v>
      </c>
      <c r="AU7" s="39">
        <f>+IFERROR((FT_RF_26[[#This Row],[Calibre &lt;14]]/FT_RF_26[[#This Row],[Muestra]]),"0")</f>
        <v>0</v>
      </c>
      <c r="AV7" s="38">
        <v>0</v>
      </c>
      <c r="AW7" s="39">
        <f>+IFERROR((FT_RF_26[[#This Row],[Calibre &gt;14]]/FT_RF_26[[#This Row],[Muestra]]),"0")</f>
        <v>0</v>
      </c>
      <c r="AX7" s="38">
        <v>0</v>
      </c>
      <c r="AY7" s="39">
        <f>+IFERROR((FT_RF_26[[#This Row],[Calibre &lt;10]]/FT_RF_26[[#This Row],[Muestra]]),"0")</f>
        <v>0</v>
      </c>
      <c r="AZ7" s="38">
        <v>0</v>
      </c>
      <c r="BA7" s="39">
        <f>+IFERROR((FT_RF_26[[#This Row],[Calibre &gt;13]]/FT_RF_26[[#This Row],[Muestra]]),"0")</f>
        <v>0</v>
      </c>
      <c r="BB7" s="41" t="s">
        <v>897</v>
      </c>
      <c r="BC7" s="38" t="s">
        <v>897</v>
      </c>
      <c r="BD7" s="38" t="s">
        <v>897</v>
      </c>
      <c r="BE7" s="38" t="s">
        <v>897</v>
      </c>
      <c r="BF7" s="38" t="s">
        <v>897</v>
      </c>
      <c r="BG7" s="42" t="s">
        <v>897</v>
      </c>
      <c r="BH7" s="43">
        <v>0</v>
      </c>
      <c r="BI7" s="29" t="s">
        <v>894</v>
      </c>
      <c r="BJ7" s="29" t="s">
        <v>894</v>
      </c>
      <c r="BK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164</v>
      </c>
      <c r="BL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0.14200000000000002</v>
      </c>
      <c r="BN7" s="45">
        <f>1-FT_RF_26[[#This Row],[% Defectos]]</f>
        <v>0.85799999999999998</v>
      </c>
      <c r="BO7" s="60" t="s">
        <v>898</v>
      </c>
      <c r="BP7" s="12">
        <f>SUM(FT_RF_26[[#This Row],[Hoja (Un.)]:[Larvas Caja]])</f>
        <v>0</v>
      </c>
      <c r="BQ7" s="12">
        <f>SUM(FT_RF_26[[#This Row],[Vidrios]:[Plástico]])</f>
        <v>0</v>
      </c>
      <c r="BR7" s="12" t="str">
        <f>IF(ISBLANK(FT_RF_26[[#This Row],[Descripción del producto]]),"",FT_RF_26[[#This Row],[Descripción del producto]])</f>
        <v>FT S/V Org. S/C PSP 13,61 kg en Caja</v>
      </c>
      <c r="BS7" s="29">
        <f>IF(ISBLANK(FT_RF_26[[#This Row],[N° de Lote]]),"",FT_RF_26[[#This Row],[N° de Lote]])</f>
        <v>5540</v>
      </c>
      <c r="BT7" s="29">
        <f>IF(ISBLANK(FT_RF_26[[#This Row],[N° de Pallet]]),"",FT_RF_26[[#This Row],[N° de Pallet]])</f>
        <v>13714</v>
      </c>
    </row>
    <row r="8" spans="1:72">
      <c r="A8" s="28">
        <v>46024</v>
      </c>
      <c r="B8" s="29">
        <f>+_xlfn.ISOWEEKNUM(FT_RF_26[[#This Row],[Fecha]])</f>
        <v>1</v>
      </c>
      <c r="C8" s="30">
        <v>1</v>
      </c>
      <c r="D8" s="29">
        <v>1</v>
      </c>
      <c r="E8" s="31">
        <v>303231000</v>
      </c>
      <c r="F8" s="12" t="str">
        <f>IFERROR(""&amp;_xlfn.XLOOKUP(FT_RF_26[[#This Row],[Código]],BD_Cod[SKU],BD_Cod[Descripción]),"")</f>
        <v>FT S/V Org. S/C PSP 13,61 kg en Caja</v>
      </c>
      <c r="G8" s="32" t="str">
        <f>IFERROR(""&amp;_xlfn.XLOOKUP(FT_RF_26[[#This Row],[Código]],BD_Cod[SKU],BD_Cod[Familia Calidad]),"")</f>
        <v>PSP</v>
      </c>
      <c r="H8" s="12">
        <v>13714</v>
      </c>
      <c r="I8" s="12">
        <v>5540</v>
      </c>
      <c r="J8" s="33">
        <v>1000</v>
      </c>
      <c r="K8" s="34">
        <v>0.50972222222222219</v>
      </c>
      <c r="L8" s="30" t="s">
        <v>244</v>
      </c>
      <c r="M8" s="35">
        <v>14130</v>
      </c>
      <c r="N8" s="36">
        <v>-15.2</v>
      </c>
      <c r="O8" s="30" t="s">
        <v>894</v>
      </c>
      <c r="P8" s="29" t="s">
        <v>894</v>
      </c>
      <c r="Q8" s="37">
        <f>1-FT_RF_26[[#This Row],[% Defectos]]</f>
        <v>0.76600000000000001</v>
      </c>
      <c r="R8" s="38">
        <v>37</v>
      </c>
      <c r="S8" s="39">
        <f>+IFERROR((FT_RF_26[[#This Row],[Inmadura]]/FT_RF_26[[#This Row],[Muestra]]),"0")</f>
        <v>3.6999999999999998E-2</v>
      </c>
      <c r="T8" s="38">
        <v>0</v>
      </c>
      <c r="U8" s="39">
        <f>+IFERROR((FT_RF_26[[#This Row],[Partidas]]/FT_RF_26[[#This Row],[Muestra]]),"0")</f>
        <v>0</v>
      </c>
      <c r="V8" s="38">
        <v>71</v>
      </c>
      <c r="W8" s="39">
        <f>+IFERROR((FT_RF_26[[#This Row],[Daño Insecto]]/FT_RF_26[[#This Row],[Muestra]]),"0")</f>
        <v>7.0999999999999994E-2</v>
      </c>
      <c r="X8" s="38">
        <v>21</v>
      </c>
      <c r="Y8" s="39">
        <f>+IFERROR((FT_RF_26[[#This Row],[Sobremadura]]/FT_RF_26[[#This Row],[Muestra]]),"0")</f>
        <v>2.1000000000000001E-2</v>
      </c>
      <c r="Z8" s="38">
        <v>0</v>
      </c>
      <c r="AA8" s="39">
        <f>+IFERROR((FT_RF_26[[#This Row],[Deforme]]/FT_RF_26[[#This Row],[Muestra]]),"0")</f>
        <v>0</v>
      </c>
      <c r="AB8" s="27" t="s">
        <v>895</v>
      </c>
      <c r="AC8" s="38">
        <v>75</v>
      </c>
      <c r="AD8" s="39">
        <f>+IFERROR((FT_RF_26[[#This Row],[Valor Extra 1]]/FT_RF_26[[#This Row],[Muestra]]),"0")</f>
        <v>7.4999999999999997E-2</v>
      </c>
      <c r="AE8" s="27" t="s">
        <v>896</v>
      </c>
      <c r="AF8" s="38">
        <v>9</v>
      </c>
      <c r="AG8" s="39"/>
      <c r="AH8" s="40">
        <v>30</v>
      </c>
      <c r="AI8" s="39">
        <f>+IFERROR((FT_RF_26[[#This Row],[Hongos]]/FT_RF_26[[#This Row],[Muestra]]),"0")</f>
        <v>0.03</v>
      </c>
      <c r="AJ8" s="38">
        <v>0</v>
      </c>
      <c r="AK8" s="39">
        <f>+IFERROR((FT_RF_26[[#This Row],[Block]]/FT_RF_26[[#This Row],[Muestra]]),"0")</f>
        <v>0</v>
      </c>
      <c r="AL8" s="41">
        <v>0</v>
      </c>
      <c r="AM8" s="42">
        <v>0</v>
      </c>
      <c r="AN8" s="38">
        <v>0</v>
      </c>
      <c r="AO8" s="39">
        <f>+IFERROR((FT_RF_26[[#This Row],[Fuera de calibre &lt;12mm]]/FT_RF_26[[#This Row],[Muestra]]),"0")</f>
        <v>0</v>
      </c>
      <c r="AP8" s="38">
        <v>0</v>
      </c>
      <c r="AQ8" s="39">
        <f>+IFERROR((FT_RF_26[[#This Row],[Calibre &lt;25]]/FT_RF_26[[#This Row],[Muestra]]),"0")</f>
        <v>0</v>
      </c>
      <c r="AR8" s="38">
        <v>0</v>
      </c>
      <c r="AS8" s="39">
        <f>+IFERROR((FT_RF_26[[#This Row],[Calibre &gt;12]]/FT_RF_26[[#This Row],[Muestra]]),"0")</f>
        <v>0</v>
      </c>
      <c r="AT8" s="38">
        <v>0</v>
      </c>
      <c r="AU8" s="39">
        <f>+IFERROR((FT_RF_26[[#This Row],[Calibre &lt;14]]/FT_RF_26[[#This Row],[Muestra]]),"0")</f>
        <v>0</v>
      </c>
      <c r="AV8" s="38">
        <v>0</v>
      </c>
      <c r="AW8" s="39">
        <f>+IFERROR((FT_RF_26[[#This Row],[Calibre &gt;14]]/FT_RF_26[[#This Row],[Muestra]]),"0")</f>
        <v>0</v>
      </c>
      <c r="AX8" s="38">
        <v>0</v>
      </c>
      <c r="AY8" s="39">
        <f>+IFERROR((FT_RF_26[[#This Row],[Calibre &lt;10]]/FT_RF_26[[#This Row],[Muestra]]),"0")</f>
        <v>0</v>
      </c>
      <c r="AZ8" s="38">
        <v>0</v>
      </c>
      <c r="BA8" s="39">
        <f>+IFERROR((FT_RF_26[[#This Row],[Calibre &gt;13]]/FT_RF_26[[#This Row],[Muestra]]),"0")</f>
        <v>0</v>
      </c>
      <c r="BB8" s="41">
        <v>0</v>
      </c>
      <c r="BC8" s="38">
        <v>0</v>
      </c>
      <c r="BD8" s="38">
        <v>0</v>
      </c>
      <c r="BE8" s="38">
        <v>0</v>
      </c>
      <c r="BF8" s="38">
        <v>0</v>
      </c>
      <c r="BG8" s="42">
        <v>0</v>
      </c>
      <c r="BH8" s="43">
        <v>0</v>
      </c>
      <c r="BI8" s="29" t="s">
        <v>894</v>
      </c>
      <c r="BJ8" s="29" t="s">
        <v>894</v>
      </c>
      <c r="BK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243</v>
      </c>
      <c r="BL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0.23399999999999996</v>
      </c>
      <c r="BN8" s="45">
        <f>1-FT_RF_26[[#This Row],[% Defectos]]</f>
        <v>0.76600000000000001</v>
      </c>
      <c r="BO8" s="60" t="s">
        <v>898</v>
      </c>
      <c r="BP8" s="12">
        <f>SUM(FT_RF_26[[#This Row],[Hoja (Un.)]:[Larvas Caja]])</f>
        <v>0</v>
      </c>
      <c r="BQ8" s="12">
        <f>SUM(FT_RF_26[[#This Row],[Vidrios]:[Plástico]])</f>
        <v>0</v>
      </c>
      <c r="BR8" s="12" t="str">
        <f>IF(ISBLANK(FT_RF_26[[#This Row],[Descripción del producto]]),"",FT_RF_26[[#This Row],[Descripción del producto]])</f>
        <v>FT S/V Org. S/C PSP 13,61 kg en Caja</v>
      </c>
      <c r="BS8" s="29">
        <f>IF(ISBLANK(FT_RF_26[[#This Row],[N° de Lote]]),"",FT_RF_26[[#This Row],[N° de Lote]])</f>
        <v>5540</v>
      </c>
      <c r="BT8" s="29">
        <f>IF(ISBLANK(FT_RF_26[[#This Row],[N° de Pallet]]),"",FT_RF_26[[#This Row],[N° de Pallet]])</f>
        <v>13714</v>
      </c>
    </row>
    <row r="9" spans="1:72">
      <c r="A9" s="28">
        <v>46024</v>
      </c>
      <c r="B9" s="29">
        <f>+_xlfn.ISOWEEKNUM(FT_RF_26[[#This Row],[Fecha]])</f>
        <v>1</v>
      </c>
      <c r="C9" s="30">
        <v>1</v>
      </c>
      <c r="D9" s="29">
        <v>1</v>
      </c>
      <c r="E9" s="31">
        <v>303231000</v>
      </c>
      <c r="F9" s="12" t="str">
        <f>IFERROR(""&amp;_xlfn.XLOOKUP(FT_RF_26[[#This Row],[Código]],BD_Cod[SKU],BD_Cod[Descripción]),"")</f>
        <v>FT S/V Org. S/C PSP 13,61 kg en Caja</v>
      </c>
      <c r="G9" s="32" t="str">
        <f>IFERROR(""&amp;_xlfn.XLOOKUP(FT_RF_26[[#This Row],[Código]],BD_Cod[SKU],BD_Cod[Familia Calidad]),"")</f>
        <v>PSP</v>
      </c>
      <c r="H9" s="12">
        <v>13715</v>
      </c>
      <c r="I9" s="12">
        <v>5540</v>
      </c>
      <c r="J9" s="33">
        <v>1000</v>
      </c>
      <c r="K9" s="34">
        <v>0.55972222222222223</v>
      </c>
      <c r="L9" s="30" t="s">
        <v>244</v>
      </c>
      <c r="M9" s="35">
        <v>14170</v>
      </c>
      <c r="N9" s="36">
        <v>-12.3</v>
      </c>
      <c r="O9" s="30" t="s">
        <v>894</v>
      </c>
      <c r="P9" s="29" t="s">
        <v>894</v>
      </c>
      <c r="Q9" s="37">
        <f>1-FT_RF_26[[#This Row],[% Defectos]]</f>
        <v>0.83799999999999997</v>
      </c>
      <c r="R9" s="38">
        <v>0</v>
      </c>
      <c r="S9" s="39">
        <f>+IFERROR((FT_RF_26[[#This Row],[Inmadura]]/FT_RF_26[[#This Row],[Muestra]]),"0")</f>
        <v>0</v>
      </c>
      <c r="T9" s="38">
        <v>0</v>
      </c>
      <c r="U9" s="39">
        <f>+IFERROR((FT_RF_26[[#This Row],[Partidas]]/FT_RF_26[[#This Row],[Muestra]]),"0")</f>
        <v>0</v>
      </c>
      <c r="V9" s="38">
        <v>0</v>
      </c>
      <c r="W9" s="39">
        <f>+IFERROR((FT_RF_26[[#This Row],[Daño Insecto]]/FT_RF_26[[#This Row],[Muestra]]),"0")</f>
        <v>0</v>
      </c>
      <c r="X9" s="38">
        <v>0</v>
      </c>
      <c r="Y9" s="39">
        <f>+IFERROR((FT_RF_26[[#This Row],[Sobremadura]]/FT_RF_26[[#This Row],[Muestra]]),"0")</f>
        <v>0</v>
      </c>
      <c r="Z9" s="38">
        <v>0</v>
      </c>
      <c r="AA9" s="39">
        <f>+IFERROR((FT_RF_26[[#This Row],[Deforme]]/FT_RF_26[[#This Row],[Muestra]]),"0")</f>
        <v>0</v>
      </c>
      <c r="AB9" s="27" t="s">
        <v>895</v>
      </c>
      <c r="AC9" s="38">
        <v>162</v>
      </c>
      <c r="AD9" s="39">
        <f>+IFERROR((FT_RF_26[[#This Row],[Valor Extra 1]]/FT_RF_26[[#This Row],[Muestra]]),"0")</f>
        <v>0.16200000000000001</v>
      </c>
      <c r="AE9" s="27" t="s">
        <v>896</v>
      </c>
      <c r="AF9" s="38">
        <v>7</v>
      </c>
      <c r="AG9" s="39"/>
      <c r="AH9" s="40">
        <v>0</v>
      </c>
      <c r="AI9" s="39">
        <f>+IFERROR((FT_RF_26[[#This Row],[Hongos]]/FT_RF_26[[#This Row],[Muestra]]),"0")</f>
        <v>0</v>
      </c>
      <c r="AJ9" s="38">
        <v>0</v>
      </c>
      <c r="AK9" s="39">
        <f>+IFERROR((FT_RF_26[[#This Row],[Block]]/FT_RF_26[[#This Row],[Muestra]]),"0")</f>
        <v>0</v>
      </c>
      <c r="AL9" s="41">
        <v>0</v>
      </c>
      <c r="AM9" s="42">
        <v>0</v>
      </c>
      <c r="AN9" s="38">
        <v>0</v>
      </c>
      <c r="AO9" s="39">
        <f>+IFERROR((FT_RF_26[[#This Row],[Fuera de calibre &lt;12mm]]/FT_RF_26[[#This Row],[Muestra]]),"0")</f>
        <v>0</v>
      </c>
      <c r="AP9" s="38">
        <v>0</v>
      </c>
      <c r="AQ9" s="39">
        <f>+IFERROR((FT_RF_26[[#This Row],[Calibre &lt;25]]/FT_RF_26[[#This Row],[Muestra]]),"0")</f>
        <v>0</v>
      </c>
      <c r="AR9" s="38">
        <v>0</v>
      </c>
      <c r="AS9" s="39">
        <f>+IFERROR((FT_RF_26[[#This Row],[Calibre &gt;12]]/FT_RF_26[[#This Row],[Muestra]]),"0")</f>
        <v>0</v>
      </c>
      <c r="AT9" s="38">
        <v>0</v>
      </c>
      <c r="AU9" s="39">
        <f>+IFERROR((FT_RF_26[[#This Row],[Calibre &lt;14]]/FT_RF_26[[#This Row],[Muestra]]),"0")</f>
        <v>0</v>
      </c>
      <c r="AV9" s="38">
        <v>0</v>
      </c>
      <c r="AW9" s="39">
        <f>+IFERROR((FT_RF_26[[#This Row],[Calibre &gt;14]]/FT_RF_26[[#This Row],[Muestra]]),"0")</f>
        <v>0</v>
      </c>
      <c r="AX9" s="38">
        <v>0</v>
      </c>
      <c r="AY9" s="39">
        <f>+IFERROR((FT_RF_26[[#This Row],[Calibre &lt;10]]/FT_RF_26[[#This Row],[Muestra]]),"0")</f>
        <v>0</v>
      </c>
      <c r="AZ9" s="38">
        <v>0</v>
      </c>
      <c r="BA9" s="39">
        <f>+IFERROR((FT_RF_26[[#This Row],[Calibre &gt;13]]/FT_RF_26[[#This Row],[Muestra]]),"0")</f>
        <v>0</v>
      </c>
      <c r="BB9" s="41">
        <v>0</v>
      </c>
      <c r="BC9" s="38">
        <v>0</v>
      </c>
      <c r="BD9" s="38">
        <v>0</v>
      </c>
      <c r="BE9" s="38">
        <v>0</v>
      </c>
      <c r="BF9" s="38">
        <v>0</v>
      </c>
      <c r="BG9" s="42">
        <v>0</v>
      </c>
      <c r="BH9" s="43">
        <v>0</v>
      </c>
      <c r="BI9" s="29" t="s">
        <v>894</v>
      </c>
      <c r="BJ9" s="29" t="s">
        <v>894</v>
      </c>
      <c r="BK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169</v>
      </c>
      <c r="BL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0.16200000000000001</v>
      </c>
      <c r="BN9" s="45">
        <f>1-FT_RF_26[[#This Row],[% Defectos]]</f>
        <v>0.83799999999999997</v>
      </c>
      <c r="BO9" s="60" t="s">
        <v>898</v>
      </c>
      <c r="BP9" s="12">
        <f>SUM(FT_RF_26[[#This Row],[Hoja (Un.)]:[Larvas Caja]])</f>
        <v>0</v>
      </c>
      <c r="BQ9" s="12">
        <f>SUM(FT_RF_26[[#This Row],[Vidrios]:[Plástico]])</f>
        <v>0</v>
      </c>
      <c r="BR9" s="12" t="str">
        <f>IF(ISBLANK(FT_RF_26[[#This Row],[Descripción del producto]]),"",FT_RF_26[[#This Row],[Descripción del producto]])</f>
        <v>FT S/V Org. S/C PSP 13,61 kg en Caja</v>
      </c>
      <c r="BS9" s="29">
        <f>IF(ISBLANK(FT_RF_26[[#This Row],[N° de Lote]]),"",FT_RF_26[[#This Row],[N° de Lote]])</f>
        <v>5540</v>
      </c>
      <c r="BT9" s="29">
        <f>IF(ISBLANK(FT_RF_26[[#This Row],[N° de Pallet]]),"",FT_RF_26[[#This Row],[N° de Pallet]])</f>
        <v>13715</v>
      </c>
    </row>
    <row r="10" spans="1:72">
      <c r="A10" s="28">
        <v>46024</v>
      </c>
      <c r="B10" s="29">
        <f>+_xlfn.ISOWEEKNUM(FT_RF_26[[#This Row],[Fecha]])</f>
        <v>1</v>
      </c>
      <c r="C10" s="30">
        <v>1</v>
      </c>
      <c r="D10" s="29">
        <v>1</v>
      </c>
      <c r="E10" s="31">
        <v>303231000</v>
      </c>
      <c r="F10" s="12" t="str">
        <f>IFERROR(""&amp;_xlfn.XLOOKUP(FT_RF_26[[#This Row],[Código]],BD_Cod[SKU],BD_Cod[Descripción]),"")</f>
        <v>FT S/V Org. S/C PSP 13,61 kg en Caja</v>
      </c>
      <c r="G10" s="32" t="str">
        <f>IFERROR(""&amp;_xlfn.XLOOKUP(FT_RF_26[[#This Row],[Código]],BD_Cod[SKU],BD_Cod[Familia Calidad]),"")</f>
        <v>PSP</v>
      </c>
      <c r="H10" s="12">
        <v>13715</v>
      </c>
      <c r="I10" s="12">
        <v>5540</v>
      </c>
      <c r="J10" s="33">
        <v>1000</v>
      </c>
      <c r="K10" s="34">
        <v>0.52916666666666667</v>
      </c>
      <c r="L10" s="30" t="s">
        <v>244</v>
      </c>
      <c r="M10" s="35">
        <v>14190</v>
      </c>
      <c r="N10" s="36">
        <v>-8.8000000000000007</v>
      </c>
      <c r="O10" s="30" t="s">
        <v>894</v>
      </c>
      <c r="P10" s="29" t="s">
        <v>894</v>
      </c>
      <c r="Q10" s="37">
        <f>1-FT_RF_26[[#This Row],[% Defectos]]</f>
        <v>0.86699999999999999</v>
      </c>
      <c r="R10" s="38">
        <v>0</v>
      </c>
      <c r="S10" s="39">
        <f>+IFERROR((FT_RF_26[[#This Row],[Inmadura]]/FT_RF_26[[#This Row],[Muestra]]),"0")</f>
        <v>0</v>
      </c>
      <c r="T10" s="38">
        <v>0</v>
      </c>
      <c r="U10" s="39">
        <f>+IFERROR((FT_RF_26[[#This Row],[Partidas]]/FT_RF_26[[#This Row],[Muestra]]),"0")</f>
        <v>0</v>
      </c>
      <c r="V10" s="38">
        <v>0</v>
      </c>
      <c r="W10" s="39">
        <f>+IFERROR((FT_RF_26[[#This Row],[Daño Insecto]]/FT_RF_26[[#This Row],[Muestra]]),"0")</f>
        <v>0</v>
      </c>
      <c r="X10" s="38">
        <v>0</v>
      </c>
      <c r="Y10" s="39">
        <f>+IFERROR((FT_RF_26[[#This Row],[Sobremadura]]/FT_RF_26[[#This Row],[Muestra]]),"0")</f>
        <v>0</v>
      </c>
      <c r="Z10" s="38">
        <v>0</v>
      </c>
      <c r="AA10" s="39">
        <f>+IFERROR((FT_RF_26[[#This Row],[Deforme]]/FT_RF_26[[#This Row],[Muestra]]),"0")</f>
        <v>0</v>
      </c>
      <c r="AB10" s="27" t="s">
        <v>895</v>
      </c>
      <c r="AC10" s="38">
        <v>133</v>
      </c>
      <c r="AD10" s="39">
        <f>+IFERROR((FT_RF_26[[#This Row],[Valor Extra 1]]/FT_RF_26[[#This Row],[Muestra]]),"0")</f>
        <v>0.13300000000000001</v>
      </c>
      <c r="AE10" s="27" t="s">
        <v>896</v>
      </c>
      <c r="AF10" s="38">
        <v>6</v>
      </c>
      <c r="AG10" s="39"/>
      <c r="AH10" s="40">
        <v>0</v>
      </c>
      <c r="AI10" s="39">
        <f>+IFERROR((FT_RF_26[[#This Row],[Hongos]]/FT_RF_26[[#This Row],[Muestra]]),"0")</f>
        <v>0</v>
      </c>
      <c r="AJ10" s="38">
        <v>0</v>
      </c>
      <c r="AK10" s="39">
        <f>+IFERROR((FT_RF_26[[#This Row],[Block]]/FT_RF_26[[#This Row],[Muestra]]),"0")</f>
        <v>0</v>
      </c>
      <c r="AL10" s="41">
        <v>0</v>
      </c>
      <c r="AM10" s="42">
        <v>0</v>
      </c>
      <c r="AN10" s="38">
        <v>0</v>
      </c>
      <c r="AO10" s="39">
        <f>+IFERROR((FT_RF_26[[#This Row],[Fuera de calibre &lt;12mm]]/FT_RF_26[[#This Row],[Muestra]]),"0")</f>
        <v>0</v>
      </c>
      <c r="AP10" s="38">
        <v>0</v>
      </c>
      <c r="AQ10" s="39">
        <f>+IFERROR((FT_RF_26[[#This Row],[Calibre &lt;25]]/FT_RF_26[[#This Row],[Muestra]]),"0")</f>
        <v>0</v>
      </c>
      <c r="AR10" s="38">
        <v>0</v>
      </c>
      <c r="AS10" s="39">
        <f>+IFERROR((FT_RF_26[[#This Row],[Calibre &gt;12]]/FT_RF_26[[#This Row],[Muestra]]),"0")</f>
        <v>0</v>
      </c>
      <c r="AT10" s="38">
        <v>0</v>
      </c>
      <c r="AU10" s="39">
        <f>+IFERROR((FT_RF_26[[#This Row],[Calibre &lt;14]]/FT_RF_26[[#This Row],[Muestra]]),"0")</f>
        <v>0</v>
      </c>
      <c r="AV10" s="38">
        <v>0</v>
      </c>
      <c r="AW10" s="39">
        <f>+IFERROR((FT_RF_26[[#This Row],[Calibre &gt;14]]/FT_RF_26[[#This Row],[Muestra]]),"0")</f>
        <v>0</v>
      </c>
      <c r="AX10" s="38">
        <v>0</v>
      </c>
      <c r="AY10" s="39">
        <f>+IFERROR((FT_RF_26[[#This Row],[Calibre &lt;10]]/FT_RF_26[[#This Row],[Muestra]]),"0")</f>
        <v>0</v>
      </c>
      <c r="AZ10" s="38">
        <v>0</v>
      </c>
      <c r="BA10" s="39">
        <f>+IFERROR((FT_RF_26[[#This Row],[Calibre &gt;13]]/FT_RF_26[[#This Row],[Muestra]]),"0")</f>
        <v>0</v>
      </c>
      <c r="BB10" s="41">
        <v>0</v>
      </c>
      <c r="BC10" s="38">
        <v>0</v>
      </c>
      <c r="BD10" s="38">
        <v>0</v>
      </c>
      <c r="BE10" s="38">
        <v>0</v>
      </c>
      <c r="BF10" s="38">
        <v>0</v>
      </c>
      <c r="BG10" s="42">
        <v>0</v>
      </c>
      <c r="BH10" s="43">
        <v>0</v>
      </c>
      <c r="BI10" s="29" t="s">
        <v>894</v>
      </c>
      <c r="BJ10" s="29" t="s">
        <v>894</v>
      </c>
      <c r="BK1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139</v>
      </c>
      <c r="BL1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0.13300000000000001</v>
      </c>
      <c r="BN10" s="45">
        <f>1-FT_RF_26[[#This Row],[% Defectos]]</f>
        <v>0.86699999999999999</v>
      </c>
      <c r="BO10" s="60" t="s">
        <v>898</v>
      </c>
      <c r="BP10" s="12">
        <f>SUM(FT_RF_26[[#This Row],[Hoja (Un.)]:[Larvas Caja]])</f>
        <v>0</v>
      </c>
      <c r="BQ10" s="12">
        <f>SUM(FT_RF_26[[#This Row],[Vidrios]:[Plástico]])</f>
        <v>0</v>
      </c>
      <c r="BR10" s="12" t="str">
        <f>IF(ISBLANK(FT_RF_26[[#This Row],[Descripción del producto]]),"",FT_RF_26[[#This Row],[Descripción del producto]])</f>
        <v>FT S/V Org. S/C PSP 13,61 kg en Caja</v>
      </c>
      <c r="BS10" s="29">
        <f>IF(ISBLANK(FT_RF_26[[#This Row],[N° de Lote]]),"",FT_RF_26[[#This Row],[N° de Lote]])</f>
        <v>5540</v>
      </c>
      <c r="BT10" s="29">
        <f>IF(ISBLANK(FT_RF_26[[#This Row],[N° de Pallet]]),"",FT_RF_26[[#This Row],[N° de Pallet]])</f>
        <v>13715</v>
      </c>
    </row>
    <row r="11" spans="1:72">
      <c r="A11" s="28">
        <v>46024</v>
      </c>
      <c r="B11" s="29">
        <f>+_xlfn.ISOWEEKNUM(FT_RF_26[[#This Row],[Fecha]])</f>
        <v>1</v>
      </c>
      <c r="C11" s="30">
        <v>1</v>
      </c>
      <c r="D11" s="29">
        <v>1</v>
      </c>
      <c r="E11" s="31">
        <v>303231000</v>
      </c>
      <c r="F11" s="12" t="str">
        <f>IFERROR(""&amp;_xlfn.XLOOKUP(FT_RF_26[[#This Row],[Código]],BD_Cod[SKU],BD_Cod[Descripción]),"")</f>
        <v>FT S/V Org. S/C PSP 13,61 kg en Caja</v>
      </c>
      <c r="G11" s="32" t="str">
        <f>IFERROR(""&amp;_xlfn.XLOOKUP(FT_RF_26[[#This Row],[Código]],BD_Cod[SKU],BD_Cod[Familia Calidad]),"")</f>
        <v>PSP</v>
      </c>
      <c r="H11" s="12">
        <v>13771</v>
      </c>
      <c r="I11" s="12">
        <v>5546</v>
      </c>
      <c r="J11" s="33">
        <v>1000</v>
      </c>
      <c r="K11" s="34">
        <v>0.58402777777777781</v>
      </c>
      <c r="L11" s="30" t="s">
        <v>244</v>
      </c>
      <c r="M11" s="35">
        <v>14150</v>
      </c>
      <c r="N11" s="36">
        <v>-14.1</v>
      </c>
      <c r="O11" s="30" t="s">
        <v>894</v>
      </c>
      <c r="P11" s="29" t="s">
        <v>894</v>
      </c>
      <c r="Q11" s="37">
        <f>1-FT_RF_26[[#This Row],[% Defectos]]</f>
        <v>0.85199999999999998</v>
      </c>
      <c r="R11" s="38">
        <v>0</v>
      </c>
      <c r="S11" s="39">
        <f>+IFERROR((FT_RF_26[[#This Row],[Inmadura]]/FT_RF_26[[#This Row],[Muestra]]),"0")</f>
        <v>0</v>
      </c>
      <c r="T11" s="38">
        <v>0</v>
      </c>
      <c r="U11" s="39">
        <f>+IFERROR((FT_RF_26[[#This Row],[Partidas]]/FT_RF_26[[#This Row],[Muestra]]),"0")</f>
        <v>0</v>
      </c>
      <c r="V11" s="38">
        <v>0</v>
      </c>
      <c r="W11" s="39">
        <f>+IFERROR((FT_RF_26[[#This Row],[Daño Insecto]]/FT_RF_26[[#This Row],[Muestra]]),"0")</f>
        <v>0</v>
      </c>
      <c r="X11" s="38">
        <v>0</v>
      </c>
      <c r="Y11" s="39">
        <f>+IFERROR((FT_RF_26[[#This Row],[Sobremadura]]/FT_RF_26[[#This Row],[Muestra]]),"0")</f>
        <v>0</v>
      </c>
      <c r="Z11" s="38">
        <v>0</v>
      </c>
      <c r="AA11" s="39">
        <f>+IFERROR((FT_RF_26[[#This Row],[Deforme]]/FT_RF_26[[#This Row],[Muestra]]),"0")</f>
        <v>0</v>
      </c>
      <c r="AB11" s="27" t="s">
        <v>895</v>
      </c>
      <c r="AC11" s="38">
        <v>127</v>
      </c>
      <c r="AD11" s="39">
        <f>+IFERROR((FT_RF_26[[#This Row],[Valor Extra 1]]/FT_RF_26[[#This Row],[Muestra]]),"0")</f>
        <v>0.127</v>
      </c>
      <c r="AE11" s="27" t="s">
        <v>896</v>
      </c>
      <c r="AF11" s="38">
        <v>12</v>
      </c>
      <c r="AG11" s="39"/>
      <c r="AH11" s="40">
        <v>21</v>
      </c>
      <c r="AI11" s="39">
        <f>+IFERROR((FT_RF_26[[#This Row],[Hongos]]/FT_RF_26[[#This Row],[Muestra]]),"0")</f>
        <v>2.1000000000000001E-2</v>
      </c>
      <c r="AJ11" s="38">
        <v>0</v>
      </c>
      <c r="AK11" s="39">
        <f>+IFERROR((FT_RF_26[[#This Row],[Block]]/FT_RF_26[[#This Row],[Muestra]]),"0")</f>
        <v>0</v>
      </c>
      <c r="AL11" s="41">
        <v>0</v>
      </c>
      <c r="AM11" s="42">
        <v>0</v>
      </c>
      <c r="AN11" s="38">
        <v>0</v>
      </c>
      <c r="AO11" s="39">
        <f>+IFERROR((FT_RF_26[[#This Row],[Fuera de calibre &lt;12mm]]/FT_RF_26[[#This Row],[Muestra]]),"0")</f>
        <v>0</v>
      </c>
      <c r="AP11" s="38">
        <v>0</v>
      </c>
      <c r="AQ11" s="39">
        <f>+IFERROR((FT_RF_26[[#This Row],[Calibre &lt;25]]/FT_RF_26[[#This Row],[Muestra]]),"0")</f>
        <v>0</v>
      </c>
      <c r="AR11" s="38">
        <v>0</v>
      </c>
      <c r="AS11" s="39">
        <f>+IFERROR((FT_RF_26[[#This Row],[Calibre &gt;12]]/FT_RF_26[[#This Row],[Muestra]]),"0")</f>
        <v>0</v>
      </c>
      <c r="AT11" s="38">
        <v>0</v>
      </c>
      <c r="AU11" s="39">
        <f>+IFERROR((FT_RF_26[[#This Row],[Calibre &lt;14]]/FT_RF_26[[#This Row],[Muestra]]),"0")</f>
        <v>0</v>
      </c>
      <c r="AV11" s="38">
        <v>0</v>
      </c>
      <c r="AW11" s="39">
        <f>+IFERROR((FT_RF_26[[#This Row],[Calibre &gt;14]]/FT_RF_26[[#This Row],[Muestra]]),"0")</f>
        <v>0</v>
      </c>
      <c r="AX11" s="38">
        <v>0</v>
      </c>
      <c r="AY11" s="39">
        <f>+IFERROR((FT_RF_26[[#This Row],[Calibre &lt;10]]/FT_RF_26[[#This Row],[Muestra]]),"0")</f>
        <v>0</v>
      </c>
      <c r="AZ11" s="38">
        <v>0</v>
      </c>
      <c r="BA11" s="39">
        <f>+IFERROR((FT_RF_26[[#This Row],[Calibre &gt;13]]/FT_RF_26[[#This Row],[Muestra]]),"0")</f>
        <v>0</v>
      </c>
      <c r="BB11" s="41">
        <v>0</v>
      </c>
      <c r="BC11" s="38">
        <v>0</v>
      </c>
      <c r="BD11" s="38">
        <v>0</v>
      </c>
      <c r="BE11" s="38">
        <v>0</v>
      </c>
      <c r="BF11" s="38">
        <v>0</v>
      </c>
      <c r="BG11" s="42">
        <v>0</v>
      </c>
      <c r="BH11" s="43">
        <v>0</v>
      </c>
      <c r="BI11" s="29" t="s">
        <v>894</v>
      </c>
      <c r="BJ11" s="29" t="s">
        <v>894</v>
      </c>
      <c r="BK1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160</v>
      </c>
      <c r="BL1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0.14799999999999999</v>
      </c>
      <c r="BN11" s="45">
        <f>1-FT_RF_26[[#This Row],[% Defectos]]</f>
        <v>0.85199999999999998</v>
      </c>
      <c r="BO11" s="60" t="s">
        <v>898</v>
      </c>
      <c r="BP11" s="12">
        <f>SUM(FT_RF_26[[#This Row],[Hoja (Un.)]:[Larvas Caja]])</f>
        <v>0</v>
      </c>
      <c r="BQ11" s="12">
        <f>SUM(FT_RF_26[[#This Row],[Vidrios]:[Plástico]])</f>
        <v>0</v>
      </c>
      <c r="BR11" s="12" t="str">
        <f>IF(ISBLANK(FT_RF_26[[#This Row],[Descripción del producto]]),"",FT_RF_26[[#This Row],[Descripción del producto]])</f>
        <v>FT S/V Org. S/C PSP 13,61 kg en Caja</v>
      </c>
      <c r="BS11" s="29">
        <f>IF(ISBLANK(FT_RF_26[[#This Row],[N° de Lote]]),"",FT_RF_26[[#This Row],[N° de Lote]])</f>
        <v>5546</v>
      </c>
      <c r="BT11" s="29">
        <f>IF(ISBLANK(FT_RF_26[[#This Row],[N° de Pallet]]),"",FT_RF_26[[#This Row],[N° de Pallet]])</f>
        <v>13771</v>
      </c>
    </row>
    <row r="12" spans="1:72">
      <c r="A12" s="28">
        <v>46037</v>
      </c>
      <c r="B12" s="29">
        <f>+_xlfn.ISOWEEKNUM(FT_RF_26[[#This Row],[Fecha]])</f>
        <v>3</v>
      </c>
      <c r="C12" s="30">
        <v>2</v>
      </c>
      <c r="D12" s="29">
        <v>3</v>
      </c>
      <c r="E12" s="31">
        <v>303132000</v>
      </c>
      <c r="F12" s="12" t="str">
        <f>IFERROR(""&amp;_xlfn.XLOOKUP(FT_RF_26[[#This Row],[Código]],BD_Cod[SKU],BD_Cod[Descripción]),"")</f>
        <v>FT AB Conv. S/C PSP 13,61 kg en Caja</v>
      </c>
      <c r="G12" s="32" t="str">
        <f>IFERROR(""&amp;_xlfn.XLOOKUP(FT_RF_26[[#This Row],[Código]],BD_Cod[SKU],BD_Cod[Familia Calidad]),"")</f>
        <v>PSP</v>
      </c>
      <c r="H12" s="12">
        <v>49391</v>
      </c>
      <c r="I12" s="12">
        <v>304895</v>
      </c>
      <c r="J12" s="33">
        <v>1000</v>
      </c>
      <c r="K12" s="34">
        <v>0.86041666666666672</v>
      </c>
      <c r="L12" s="30" t="s">
        <v>244</v>
      </c>
      <c r="M12" s="35">
        <v>14145</v>
      </c>
      <c r="N12" s="36">
        <v>-18.600000000000001</v>
      </c>
      <c r="O12" s="30" t="s">
        <v>894</v>
      </c>
      <c r="P12" s="29" t="s">
        <v>894</v>
      </c>
      <c r="Q12" s="37">
        <f>1-FT_RF_26[[#This Row],[% Defectos]]</f>
        <v>0.86299999999999999</v>
      </c>
      <c r="R12" s="38">
        <v>0</v>
      </c>
      <c r="S12" s="39">
        <f>+IFERROR((FT_RF_26[[#This Row],[Inmadura]]/FT_RF_26[[#This Row],[Muestra]]),"0")</f>
        <v>0</v>
      </c>
      <c r="T12" s="38">
        <v>0</v>
      </c>
      <c r="U12" s="39">
        <f>+IFERROR((FT_RF_26[[#This Row],[Partidas]]/FT_RF_26[[#This Row],[Muestra]]),"0")</f>
        <v>0</v>
      </c>
      <c r="V12" s="38">
        <v>37</v>
      </c>
      <c r="W12" s="39">
        <f>+IFERROR((FT_RF_26[[#This Row],[Daño Insecto]]/FT_RF_26[[#This Row],[Muestra]]),"0")</f>
        <v>3.6999999999999998E-2</v>
      </c>
      <c r="X12" s="38">
        <v>43</v>
      </c>
      <c r="Y12" s="39">
        <f>+IFERROR((FT_RF_26[[#This Row],[Sobremadura]]/FT_RF_26[[#This Row],[Muestra]]),"0")</f>
        <v>4.2999999999999997E-2</v>
      </c>
      <c r="Z12" s="38">
        <v>0</v>
      </c>
      <c r="AA12" s="39">
        <f>+IFERROR((FT_RF_26[[#This Row],[Deforme]]/FT_RF_26[[#This Row],[Muestra]]),"0")</f>
        <v>0</v>
      </c>
      <c r="AB12" s="27"/>
      <c r="AC12" s="38">
        <v>0</v>
      </c>
      <c r="AD12" s="39">
        <f>+IFERROR((FT_RF_26[[#This Row],[Valor Extra 1]]/FT_RF_26[[#This Row],[Muestra]]),"0")</f>
        <v>0</v>
      </c>
      <c r="AF12" s="38">
        <v>0</v>
      </c>
      <c r="AG12" s="39">
        <f>+IFERROR((FT_RF_26[[#This Row],[Valor Extra 2]]/FT_RF_26[[#This Row],[Muestra]]),"0")</f>
        <v>0</v>
      </c>
      <c r="AH12" s="40">
        <v>57</v>
      </c>
      <c r="AI12" s="39">
        <f>+IFERROR((FT_RF_26[[#This Row],[Hongos]]/FT_RF_26[[#This Row],[Muestra]]),"0")</f>
        <v>5.7000000000000002E-2</v>
      </c>
      <c r="AJ12" s="38">
        <v>0</v>
      </c>
      <c r="AK12" s="39">
        <f>+IFERROR((FT_RF_26[[#This Row],[Block]]/FT_RF_26[[#This Row],[Muestra]]),"0")</f>
        <v>0</v>
      </c>
      <c r="AL12" s="41">
        <v>0</v>
      </c>
      <c r="AM12" s="42">
        <v>0</v>
      </c>
      <c r="AN12" s="38">
        <v>0</v>
      </c>
      <c r="AO12" s="39">
        <f>+IFERROR((FT_RF_26[[#This Row],[Fuera de calibre &lt;12mm]]/FT_RF_26[[#This Row],[Muestra]]),"0")</f>
        <v>0</v>
      </c>
      <c r="AP12" s="38">
        <v>0</v>
      </c>
      <c r="AQ12" s="39">
        <f>+IFERROR((FT_RF_26[[#This Row],[Calibre &lt;25]]/FT_RF_26[[#This Row],[Muestra]]),"0")</f>
        <v>0</v>
      </c>
      <c r="AR12" s="38">
        <v>0</v>
      </c>
      <c r="AS12" s="39">
        <f>+IFERROR((FT_RF_26[[#This Row],[Calibre &gt;12]]/FT_RF_26[[#This Row],[Muestra]]),"0")</f>
        <v>0</v>
      </c>
      <c r="AT12" s="38">
        <v>0</v>
      </c>
      <c r="AU12" s="39">
        <f>+IFERROR((FT_RF_26[[#This Row],[Calibre &lt;14]]/FT_RF_26[[#This Row],[Muestra]]),"0")</f>
        <v>0</v>
      </c>
      <c r="AV12" s="38">
        <v>0</v>
      </c>
      <c r="AW12" s="39">
        <f>+IFERROR((FT_RF_26[[#This Row],[Calibre &gt;14]]/FT_RF_26[[#This Row],[Muestra]]),"0")</f>
        <v>0</v>
      </c>
      <c r="AX12" s="38">
        <v>0</v>
      </c>
      <c r="AY12" s="39">
        <f>+IFERROR((FT_RF_26[[#This Row],[Calibre &lt;10]]/FT_RF_26[[#This Row],[Muestra]]),"0")</f>
        <v>0</v>
      </c>
      <c r="AZ12" s="38">
        <v>0</v>
      </c>
      <c r="BA12" s="39">
        <f>+IFERROR((FT_RF_26[[#This Row],[Calibre &gt;13]]/FT_RF_26[[#This Row],[Muestra]]),"0")</f>
        <v>0</v>
      </c>
      <c r="BB12" s="41" t="s">
        <v>897</v>
      </c>
      <c r="BC12" s="38" t="s">
        <v>897</v>
      </c>
      <c r="BD12" s="38" t="s">
        <v>897</v>
      </c>
      <c r="BE12" s="38" t="s">
        <v>897</v>
      </c>
      <c r="BF12" s="38" t="s">
        <v>897</v>
      </c>
      <c r="BG12" s="42" t="s">
        <v>897</v>
      </c>
      <c r="BH12" s="43">
        <v>0</v>
      </c>
      <c r="BI12" s="29" t="s">
        <v>894</v>
      </c>
      <c r="BJ12" s="29" t="s">
        <v>894</v>
      </c>
      <c r="BK1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137</v>
      </c>
      <c r="BL1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0.13699999999999998</v>
      </c>
      <c r="BM12" s="27" t="s">
        <v>899</v>
      </c>
      <c r="BN12" s="45">
        <f>1-FT_RF_26[[#This Row],[% Defectos]]</f>
        <v>0.86299999999999999</v>
      </c>
      <c r="BO12" s="60" t="s">
        <v>900</v>
      </c>
      <c r="BP12" s="12">
        <f>SUM(FT_RF_26[[#This Row],[Hoja (Un.)]:[Larvas Caja]])</f>
        <v>0</v>
      </c>
      <c r="BQ12" s="12">
        <f>SUM(FT_RF_26[[#This Row],[Vidrios]:[Plástico]])</f>
        <v>0</v>
      </c>
      <c r="BR12" s="12" t="str">
        <f>IF(ISBLANK(FT_RF_26[[#This Row],[Descripción del producto]]),"",FT_RF_26[[#This Row],[Descripción del producto]])</f>
        <v>FT AB Conv. S/C PSP 13,61 kg en Caja</v>
      </c>
      <c r="BS12" s="29">
        <f>IF(ISBLANK(FT_RF_26[[#This Row],[N° de Lote]]),"",FT_RF_26[[#This Row],[N° de Lote]])</f>
        <v>304895</v>
      </c>
      <c r="BT12" s="29">
        <f>IF(ISBLANK(FT_RF_26[[#This Row],[N° de Pallet]]),"",FT_RF_26[[#This Row],[N° de Pallet]])</f>
        <v>49391</v>
      </c>
    </row>
    <row r="13" spans="1:72">
      <c r="A13" s="28">
        <v>46037</v>
      </c>
      <c r="B13" s="29">
        <f>+_xlfn.ISOWEEKNUM(FT_RF_26[[#This Row],[Fecha]])</f>
        <v>3</v>
      </c>
      <c r="C13" s="30">
        <v>2</v>
      </c>
      <c r="D13" s="29">
        <v>3</v>
      </c>
      <c r="E13" s="31">
        <v>303132000</v>
      </c>
      <c r="F13" s="12" t="str">
        <f>IFERROR(""&amp;_xlfn.XLOOKUP(FT_RF_26[[#This Row],[Código]],BD_Cod[SKU],BD_Cod[Descripción]),"")</f>
        <v>FT AB Conv. S/C PSP 13,61 kg en Caja</v>
      </c>
      <c r="G13" s="32" t="str">
        <f>IFERROR(""&amp;_xlfn.XLOOKUP(FT_RF_26[[#This Row],[Código]],BD_Cod[SKU],BD_Cod[Familia Calidad]),"")</f>
        <v>PSP</v>
      </c>
      <c r="H13" s="12">
        <v>49392</v>
      </c>
      <c r="I13" s="12">
        <v>304895</v>
      </c>
      <c r="J13" s="33">
        <v>1000</v>
      </c>
      <c r="K13" s="34">
        <v>0.95208333333333328</v>
      </c>
      <c r="L13" s="30" t="s">
        <v>244</v>
      </c>
      <c r="M13" s="35">
        <v>14200</v>
      </c>
      <c r="N13" s="36">
        <v>-16.600000000000001</v>
      </c>
      <c r="O13" s="30" t="s">
        <v>894</v>
      </c>
      <c r="P13" s="29" t="s">
        <v>894</v>
      </c>
      <c r="Q13" s="37">
        <f>1-FT_RF_26[[#This Row],[% Defectos]]</f>
        <v>0.81400000000000006</v>
      </c>
      <c r="R13" s="38">
        <v>0</v>
      </c>
      <c r="S13" s="39">
        <f>+IFERROR((FT_RF_26[[#This Row],[Inmadura]]/FT_RF_26[[#This Row],[Muestra]]),"0")</f>
        <v>0</v>
      </c>
      <c r="T13" s="38">
        <v>0</v>
      </c>
      <c r="U13" s="39">
        <f>+IFERROR((FT_RF_26[[#This Row],[Partidas]]/FT_RF_26[[#This Row],[Muestra]]),"0")</f>
        <v>0</v>
      </c>
      <c r="V13" s="38">
        <v>0</v>
      </c>
      <c r="W13" s="39">
        <f>+IFERROR((FT_RF_26[[#This Row],[Daño Insecto]]/FT_RF_26[[#This Row],[Muestra]]),"0")</f>
        <v>0</v>
      </c>
      <c r="X13" s="38">
        <v>91</v>
      </c>
      <c r="Y13" s="39">
        <f>+IFERROR((FT_RF_26[[#This Row],[Sobremadura]]/FT_RF_26[[#This Row],[Muestra]]),"0")</f>
        <v>9.0999999999999998E-2</v>
      </c>
      <c r="Z13" s="38">
        <v>9</v>
      </c>
      <c r="AA13" s="39">
        <f>+IFERROR((FT_RF_26[[#This Row],[Deforme]]/FT_RF_26[[#This Row],[Muestra]]),"0")</f>
        <v>8.9999999999999993E-3</v>
      </c>
      <c r="AB13" s="27"/>
      <c r="AC13" s="38">
        <v>0</v>
      </c>
      <c r="AD13" s="39">
        <f>+IFERROR((FT_RF_26[[#This Row],[Valor Extra 1]]/FT_RF_26[[#This Row],[Muestra]]),"0")</f>
        <v>0</v>
      </c>
      <c r="AF13" s="38">
        <v>0</v>
      </c>
      <c r="AG13" s="39">
        <f>+IFERROR((FT_RF_26[[#This Row],[Valor Extra 2]]/FT_RF_26[[#This Row],[Muestra]]),"0")</f>
        <v>0</v>
      </c>
      <c r="AH13" s="40">
        <v>86</v>
      </c>
      <c r="AI13" s="39">
        <f>+IFERROR((FT_RF_26[[#This Row],[Hongos]]/FT_RF_26[[#This Row],[Muestra]]),"0")</f>
        <v>8.5999999999999993E-2</v>
      </c>
      <c r="AJ13" s="38">
        <v>0</v>
      </c>
      <c r="AK13" s="39">
        <f>+IFERROR((FT_RF_26[[#This Row],[Block]]/FT_RF_26[[#This Row],[Muestra]]),"0")</f>
        <v>0</v>
      </c>
      <c r="AL13" s="41">
        <v>0</v>
      </c>
      <c r="AM13" s="42">
        <v>0</v>
      </c>
      <c r="AN13" s="38">
        <v>0</v>
      </c>
      <c r="AO13" s="39">
        <f>+IFERROR((FT_RF_26[[#This Row],[Fuera de calibre &lt;12mm]]/FT_RF_26[[#This Row],[Muestra]]),"0")</f>
        <v>0</v>
      </c>
      <c r="AP13" s="38">
        <v>0</v>
      </c>
      <c r="AQ13" s="39">
        <f>+IFERROR((FT_RF_26[[#This Row],[Calibre &lt;25]]/FT_RF_26[[#This Row],[Muestra]]),"0")</f>
        <v>0</v>
      </c>
      <c r="AR13" s="38">
        <v>0</v>
      </c>
      <c r="AS13" s="39">
        <f>+IFERROR((FT_RF_26[[#This Row],[Calibre &gt;12]]/FT_RF_26[[#This Row],[Muestra]]),"0")</f>
        <v>0</v>
      </c>
      <c r="AT13" s="38">
        <v>0</v>
      </c>
      <c r="AU13" s="39">
        <f>+IFERROR((FT_RF_26[[#This Row],[Calibre &lt;14]]/FT_RF_26[[#This Row],[Muestra]]),"0")</f>
        <v>0</v>
      </c>
      <c r="AV13" s="38">
        <v>0</v>
      </c>
      <c r="AW13" s="39">
        <f>+IFERROR((FT_RF_26[[#This Row],[Calibre &gt;14]]/FT_RF_26[[#This Row],[Muestra]]),"0")</f>
        <v>0</v>
      </c>
      <c r="AX13" s="38">
        <v>0</v>
      </c>
      <c r="AY13" s="39">
        <f>+IFERROR((FT_RF_26[[#This Row],[Calibre &lt;10]]/FT_RF_26[[#This Row],[Muestra]]),"0")</f>
        <v>0</v>
      </c>
      <c r="AZ13" s="38">
        <v>0</v>
      </c>
      <c r="BA13" s="39">
        <f>+IFERROR((FT_RF_26[[#This Row],[Calibre &gt;13]]/FT_RF_26[[#This Row],[Muestra]]),"0")</f>
        <v>0</v>
      </c>
      <c r="BB13" s="41" t="s">
        <v>897</v>
      </c>
      <c r="BC13" s="38" t="s">
        <v>897</v>
      </c>
      <c r="BD13" s="38" t="s">
        <v>897</v>
      </c>
      <c r="BE13" s="38" t="s">
        <v>897</v>
      </c>
      <c r="BF13" s="38" t="s">
        <v>897</v>
      </c>
      <c r="BG13" s="42" t="s">
        <v>897</v>
      </c>
      <c r="BH13" s="43">
        <v>0</v>
      </c>
      <c r="BI13" s="29" t="s">
        <v>894</v>
      </c>
      <c r="BJ13" s="29" t="s">
        <v>894</v>
      </c>
      <c r="BK1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186</v>
      </c>
      <c r="BL1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0.186</v>
      </c>
      <c r="BM13" s="27" t="s">
        <v>899</v>
      </c>
      <c r="BN13" s="45">
        <f>1-FT_RF_26[[#This Row],[% Defectos]]</f>
        <v>0.81400000000000006</v>
      </c>
      <c r="BO13" s="60" t="s">
        <v>900</v>
      </c>
      <c r="BP13" s="12">
        <f>SUM(FT_RF_26[[#This Row],[Hoja (Un.)]:[Larvas Caja]])</f>
        <v>0</v>
      </c>
      <c r="BQ13" s="12">
        <f>SUM(FT_RF_26[[#This Row],[Vidrios]:[Plástico]])</f>
        <v>0</v>
      </c>
      <c r="BR13" s="12" t="str">
        <f>IF(ISBLANK(FT_RF_26[[#This Row],[Descripción del producto]]),"",FT_RF_26[[#This Row],[Descripción del producto]])</f>
        <v>FT AB Conv. S/C PSP 13,61 kg en Caja</v>
      </c>
      <c r="BS13" s="29">
        <f>IF(ISBLANK(FT_RF_26[[#This Row],[N° de Lote]]),"",FT_RF_26[[#This Row],[N° de Lote]])</f>
        <v>304895</v>
      </c>
      <c r="BT13" s="29">
        <f>IF(ISBLANK(FT_RF_26[[#This Row],[N° de Pallet]]),"",FT_RF_26[[#This Row],[N° de Pallet]])</f>
        <v>49392</v>
      </c>
    </row>
    <row r="14" spans="1:72">
      <c r="A14" s="28">
        <v>46037</v>
      </c>
      <c r="B14" s="29">
        <f>+_xlfn.ISOWEEKNUM(FT_RF_26[[#This Row],[Fecha]])</f>
        <v>3</v>
      </c>
      <c r="C14" s="30">
        <v>2</v>
      </c>
      <c r="D14" s="29">
        <v>3</v>
      </c>
      <c r="E14" s="31">
        <v>303132000</v>
      </c>
      <c r="F14" s="12" t="str">
        <f>IFERROR(""&amp;_xlfn.XLOOKUP(FT_RF_26[[#This Row],[Código]],BD_Cod[SKU],BD_Cod[Descripción]),"")</f>
        <v>FT AB Conv. S/C PSP 13,61 kg en Caja</v>
      </c>
      <c r="G14" s="32" t="str">
        <f>IFERROR(""&amp;_xlfn.XLOOKUP(FT_RF_26[[#This Row],[Código]],BD_Cod[SKU],BD_Cod[Familia Calidad]),"")</f>
        <v>PSP</v>
      </c>
      <c r="H14" s="12">
        <v>49393</v>
      </c>
      <c r="I14" s="12">
        <v>304895</v>
      </c>
      <c r="J14" s="33">
        <v>1000</v>
      </c>
      <c r="K14" s="34">
        <v>0.95833333333333337</v>
      </c>
      <c r="L14" s="30" t="s">
        <v>244</v>
      </c>
      <c r="M14" s="35">
        <v>14180</v>
      </c>
      <c r="N14" s="36">
        <v>-16.2</v>
      </c>
      <c r="O14" s="30" t="s">
        <v>894</v>
      </c>
      <c r="P14" s="29" t="s">
        <v>894</v>
      </c>
      <c r="Q14" s="37">
        <f>1-FT_RF_26[[#This Row],[% Defectos]]</f>
        <v>0.77800000000000002</v>
      </c>
      <c r="R14" s="38">
        <v>0</v>
      </c>
      <c r="S14" s="39">
        <f>+IFERROR((FT_RF_26[[#This Row],[Inmadura]]/FT_RF_26[[#This Row],[Muestra]]),"0")</f>
        <v>0</v>
      </c>
      <c r="T14" s="38">
        <v>0</v>
      </c>
      <c r="U14" s="39">
        <f>+IFERROR((FT_RF_26[[#This Row],[Partidas]]/FT_RF_26[[#This Row],[Muestra]]),"0")</f>
        <v>0</v>
      </c>
      <c r="V14" s="38">
        <v>16</v>
      </c>
      <c r="W14" s="39">
        <f>+IFERROR((FT_RF_26[[#This Row],[Daño Insecto]]/FT_RF_26[[#This Row],[Muestra]]),"0")</f>
        <v>1.6E-2</v>
      </c>
      <c r="X14" s="38">
        <v>164</v>
      </c>
      <c r="Y14" s="39">
        <f>+IFERROR((FT_RF_26[[#This Row],[Sobremadura]]/FT_RF_26[[#This Row],[Muestra]]),"0")</f>
        <v>0.16400000000000001</v>
      </c>
      <c r="Z14" s="38">
        <v>11</v>
      </c>
      <c r="AA14" s="39">
        <f>+IFERROR((FT_RF_26[[#This Row],[Deforme]]/FT_RF_26[[#This Row],[Muestra]]),"0")</f>
        <v>1.0999999999999999E-2</v>
      </c>
      <c r="AB14" s="27"/>
      <c r="AC14" s="38">
        <v>0</v>
      </c>
      <c r="AD14" s="39">
        <f>+IFERROR((FT_RF_26[[#This Row],[Valor Extra 1]]/FT_RF_26[[#This Row],[Muestra]]),"0")</f>
        <v>0</v>
      </c>
      <c r="AF14" s="38">
        <v>0</v>
      </c>
      <c r="AG14" s="39">
        <f>+IFERROR((FT_RF_26[[#This Row],[Valor Extra 2]]/FT_RF_26[[#This Row],[Muestra]]),"0")</f>
        <v>0</v>
      </c>
      <c r="AH14" s="40">
        <v>31</v>
      </c>
      <c r="AI14" s="39">
        <f>+IFERROR((FT_RF_26[[#This Row],[Hongos]]/FT_RF_26[[#This Row],[Muestra]]),"0")</f>
        <v>3.1E-2</v>
      </c>
      <c r="AJ14" s="38">
        <v>0</v>
      </c>
      <c r="AK14" s="39">
        <f>+IFERROR((FT_RF_26[[#This Row],[Block]]/FT_RF_26[[#This Row],[Muestra]]),"0")</f>
        <v>0</v>
      </c>
      <c r="AL14" s="41">
        <v>0</v>
      </c>
      <c r="AM14" s="42">
        <v>0</v>
      </c>
      <c r="AN14" s="38">
        <v>0</v>
      </c>
      <c r="AO14" s="39">
        <f>+IFERROR((FT_RF_26[[#This Row],[Fuera de calibre &lt;12mm]]/FT_RF_26[[#This Row],[Muestra]]),"0")</f>
        <v>0</v>
      </c>
      <c r="AP14" s="38">
        <v>0</v>
      </c>
      <c r="AQ14" s="39">
        <f>+IFERROR((FT_RF_26[[#This Row],[Calibre &lt;25]]/FT_RF_26[[#This Row],[Muestra]]),"0")</f>
        <v>0</v>
      </c>
      <c r="AR14" s="38">
        <v>0</v>
      </c>
      <c r="AS14" s="39">
        <f>+IFERROR((FT_RF_26[[#This Row],[Calibre &gt;12]]/FT_RF_26[[#This Row],[Muestra]]),"0")</f>
        <v>0</v>
      </c>
      <c r="AT14" s="38">
        <v>0</v>
      </c>
      <c r="AU14" s="39">
        <f>+IFERROR((FT_RF_26[[#This Row],[Calibre &lt;14]]/FT_RF_26[[#This Row],[Muestra]]),"0")</f>
        <v>0</v>
      </c>
      <c r="AV14" s="38">
        <v>0</v>
      </c>
      <c r="AW14" s="39">
        <f>+IFERROR((FT_RF_26[[#This Row],[Calibre &gt;14]]/FT_RF_26[[#This Row],[Muestra]]),"0")</f>
        <v>0</v>
      </c>
      <c r="AX14" s="38">
        <v>0</v>
      </c>
      <c r="AY14" s="39">
        <f>+IFERROR((FT_RF_26[[#This Row],[Calibre &lt;10]]/FT_RF_26[[#This Row],[Muestra]]),"0")</f>
        <v>0</v>
      </c>
      <c r="AZ14" s="38">
        <v>0</v>
      </c>
      <c r="BA14" s="39">
        <f>+IFERROR((FT_RF_26[[#This Row],[Calibre &gt;13]]/FT_RF_26[[#This Row],[Muestra]]),"0")</f>
        <v>0</v>
      </c>
      <c r="BB14" s="41" t="s">
        <v>897</v>
      </c>
      <c r="BC14" s="38" t="s">
        <v>897</v>
      </c>
      <c r="BD14" s="38" t="s">
        <v>897</v>
      </c>
      <c r="BE14" s="38" t="s">
        <v>897</v>
      </c>
      <c r="BF14" s="38" t="s">
        <v>897</v>
      </c>
      <c r="BG14" s="42" t="s">
        <v>897</v>
      </c>
      <c r="BH14" s="43">
        <v>0</v>
      </c>
      <c r="BI14" s="29" t="s">
        <v>894</v>
      </c>
      <c r="BJ14" s="29" t="s">
        <v>894</v>
      </c>
      <c r="BK1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222</v>
      </c>
      <c r="BL1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0.222</v>
      </c>
      <c r="BM14" s="27" t="s">
        <v>899</v>
      </c>
      <c r="BN14" s="45">
        <f>1-FT_RF_26[[#This Row],[% Defectos]]</f>
        <v>0.77800000000000002</v>
      </c>
      <c r="BO14" s="60" t="s">
        <v>900</v>
      </c>
      <c r="BP14" s="12">
        <f>SUM(FT_RF_26[[#This Row],[Hoja (Un.)]:[Larvas Caja]])</f>
        <v>0</v>
      </c>
      <c r="BQ14" s="12">
        <f>SUM(FT_RF_26[[#This Row],[Vidrios]:[Plástico]])</f>
        <v>0</v>
      </c>
      <c r="BR14" s="12" t="str">
        <f>IF(ISBLANK(FT_RF_26[[#This Row],[Descripción del producto]]),"",FT_RF_26[[#This Row],[Descripción del producto]])</f>
        <v>FT AB Conv. S/C PSP 13,61 kg en Caja</v>
      </c>
      <c r="BS14" s="29">
        <f>IF(ISBLANK(FT_RF_26[[#This Row],[N° de Lote]]),"",FT_RF_26[[#This Row],[N° de Lote]])</f>
        <v>304895</v>
      </c>
      <c r="BT14" s="29">
        <f>IF(ISBLANK(FT_RF_26[[#This Row],[N° de Pallet]]),"",FT_RF_26[[#This Row],[N° de Pallet]])</f>
        <v>49393</v>
      </c>
    </row>
    <row r="15" spans="1:72">
      <c r="A15" s="28">
        <v>46037</v>
      </c>
      <c r="B15" s="29">
        <f>+_xlfn.ISOWEEKNUM(FT_RF_26[[#This Row],[Fecha]])</f>
        <v>3</v>
      </c>
      <c r="C15" s="30">
        <v>2</v>
      </c>
      <c r="D15" s="29">
        <v>3</v>
      </c>
      <c r="E15" s="31">
        <v>303132000</v>
      </c>
      <c r="F15" s="12" t="str">
        <f>IFERROR(""&amp;_xlfn.XLOOKUP(FT_RF_26[[#This Row],[Código]],BD_Cod[SKU],BD_Cod[Descripción]),"")</f>
        <v>FT AB Conv. S/C PSP 13,61 kg en Caja</v>
      </c>
      <c r="G15" s="32" t="str">
        <f>IFERROR(""&amp;_xlfn.XLOOKUP(FT_RF_26[[#This Row],[Código]],BD_Cod[SKU],BD_Cod[Familia Calidad]),"")</f>
        <v>PSP</v>
      </c>
      <c r="H15" s="12">
        <v>49394</v>
      </c>
      <c r="I15" s="12">
        <v>304895</v>
      </c>
      <c r="J15" s="33">
        <v>1000</v>
      </c>
      <c r="K15" s="34">
        <v>0.96944444444444444</v>
      </c>
      <c r="L15" s="30" t="s">
        <v>244</v>
      </c>
      <c r="M15" s="35">
        <v>14255</v>
      </c>
      <c r="N15" s="36">
        <v>-17.899999999999999</v>
      </c>
      <c r="O15" s="30" t="s">
        <v>894</v>
      </c>
      <c r="P15" s="29" t="s">
        <v>894</v>
      </c>
      <c r="Q15" s="37">
        <f>1-FT_RF_26[[#This Row],[% Defectos]]</f>
        <v>0.76600000000000001</v>
      </c>
      <c r="R15" s="38">
        <v>0</v>
      </c>
      <c r="S15" s="39">
        <f>+IFERROR((FT_RF_26[[#This Row],[Inmadura]]/FT_RF_26[[#This Row],[Muestra]]),"0")</f>
        <v>0</v>
      </c>
      <c r="T15" s="38">
        <v>0</v>
      </c>
      <c r="U15" s="39">
        <f>+IFERROR((FT_RF_26[[#This Row],[Partidas]]/FT_RF_26[[#This Row],[Muestra]]),"0")</f>
        <v>0</v>
      </c>
      <c r="V15" s="38">
        <v>0</v>
      </c>
      <c r="W15" s="39">
        <f>+IFERROR((FT_RF_26[[#This Row],[Daño Insecto]]/FT_RF_26[[#This Row],[Muestra]]),"0")</f>
        <v>0</v>
      </c>
      <c r="X15" s="38">
        <v>98</v>
      </c>
      <c r="Y15" s="39">
        <f>+IFERROR((FT_RF_26[[#This Row],[Sobremadura]]/FT_RF_26[[#This Row],[Muestra]]),"0")</f>
        <v>9.8000000000000004E-2</v>
      </c>
      <c r="Z15" s="38">
        <v>10</v>
      </c>
      <c r="AA15" s="39">
        <f>+IFERROR((FT_RF_26[[#This Row],[Deforme]]/FT_RF_26[[#This Row],[Muestra]]),"0")</f>
        <v>0.01</v>
      </c>
      <c r="AB15" s="27"/>
      <c r="AC15" s="38">
        <v>0</v>
      </c>
      <c r="AD15" s="39">
        <f>+IFERROR((FT_RF_26[[#This Row],[Valor Extra 1]]/FT_RF_26[[#This Row],[Muestra]]),"0")</f>
        <v>0</v>
      </c>
      <c r="AF15" s="38">
        <v>0</v>
      </c>
      <c r="AG15" s="39">
        <f>+IFERROR((FT_RF_26[[#This Row],[Valor Extra 2]]/FT_RF_26[[#This Row],[Muestra]]),"0")</f>
        <v>0</v>
      </c>
      <c r="AH15" s="40">
        <v>126</v>
      </c>
      <c r="AI15" s="39">
        <f>+IFERROR((FT_RF_26[[#This Row],[Hongos]]/FT_RF_26[[#This Row],[Muestra]]),"0")</f>
        <v>0.126</v>
      </c>
      <c r="AJ15" s="38">
        <v>0</v>
      </c>
      <c r="AK15" s="39">
        <f>+IFERROR((FT_RF_26[[#This Row],[Block]]/FT_RF_26[[#This Row],[Muestra]]),"0")</f>
        <v>0</v>
      </c>
      <c r="AL15" s="41">
        <v>0</v>
      </c>
      <c r="AM15" s="42">
        <v>0</v>
      </c>
      <c r="AN15" s="38">
        <v>0</v>
      </c>
      <c r="AO15" s="39">
        <f>+IFERROR((FT_RF_26[[#This Row],[Fuera de calibre &lt;12mm]]/FT_RF_26[[#This Row],[Muestra]]),"0")</f>
        <v>0</v>
      </c>
      <c r="AP15" s="38">
        <v>0</v>
      </c>
      <c r="AQ15" s="39">
        <f>+IFERROR((FT_RF_26[[#This Row],[Calibre &lt;25]]/FT_RF_26[[#This Row],[Muestra]]),"0")</f>
        <v>0</v>
      </c>
      <c r="AR15" s="38">
        <v>0</v>
      </c>
      <c r="AS15" s="39">
        <f>+IFERROR((FT_RF_26[[#This Row],[Calibre &gt;12]]/FT_RF_26[[#This Row],[Muestra]]),"0")</f>
        <v>0</v>
      </c>
      <c r="AT15" s="38">
        <v>0</v>
      </c>
      <c r="AU15" s="39">
        <f>+IFERROR((FT_RF_26[[#This Row],[Calibre &lt;14]]/FT_RF_26[[#This Row],[Muestra]]),"0")</f>
        <v>0</v>
      </c>
      <c r="AV15" s="38">
        <v>0</v>
      </c>
      <c r="AW15" s="39">
        <f>+IFERROR((FT_RF_26[[#This Row],[Calibre &gt;14]]/FT_RF_26[[#This Row],[Muestra]]),"0")</f>
        <v>0</v>
      </c>
      <c r="AX15" s="38">
        <v>0</v>
      </c>
      <c r="AY15" s="39">
        <f>+IFERROR((FT_RF_26[[#This Row],[Calibre &lt;10]]/FT_RF_26[[#This Row],[Muestra]]),"0")</f>
        <v>0</v>
      </c>
      <c r="AZ15" s="38">
        <v>0</v>
      </c>
      <c r="BA15" s="39">
        <f>+IFERROR((FT_RF_26[[#This Row],[Calibre &gt;13]]/FT_RF_26[[#This Row],[Muestra]]),"0")</f>
        <v>0</v>
      </c>
      <c r="BB15" s="41" t="s">
        <v>897</v>
      </c>
      <c r="BC15" s="38" t="s">
        <v>897</v>
      </c>
      <c r="BD15" s="38" t="s">
        <v>897</v>
      </c>
      <c r="BE15" s="38" t="s">
        <v>897</v>
      </c>
      <c r="BF15" s="38" t="s">
        <v>897</v>
      </c>
      <c r="BG15" s="42" t="s">
        <v>897</v>
      </c>
      <c r="BH15" s="43">
        <v>0</v>
      </c>
      <c r="BI15" s="29" t="s">
        <v>894</v>
      </c>
      <c r="BJ15" s="29" t="s">
        <v>894</v>
      </c>
      <c r="BK1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234</v>
      </c>
      <c r="BL1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0.23399999999999999</v>
      </c>
      <c r="BM15" s="27" t="s">
        <v>899</v>
      </c>
      <c r="BN15" s="45">
        <f>1-FT_RF_26[[#This Row],[% Defectos]]</f>
        <v>0.76600000000000001</v>
      </c>
      <c r="BO15" s="60" t="s">
        <v>900</v>
      </c>
      <c r="BP15" s="12">
        <f>SUM(FT_RF_26[[#This Row],[Hoja (Un.)]:[Larvas Caja]])</f>
        <v>0</v>
      </c>
      <c r="BQ15" s="12">
        <f>SUM(FT_RF_26[[#This Row],[Vidrios]:[Plástico]])</f>
        <v>0</v>
      </c>
      <c r="BR15" s="12" t="str">
        <f>IF(ISBLANK(FT_RF_26[[#This Row],[Descripción del producto]]),"",FT_RF_26[[#This Row],[Descripción del producto]])</f>
        <v>FT AB Conv. S/C PSP 13,61 kg en Caja</v>
      </c>
      <c r="BS15" s="29">
        <f>IF(ISBLANK(FT_RF_26[[#This Row],[N° de Lote]]),"",FT_RF_26[[#This Row],[N° de Lote]])</f>
        <v>304895</v>
      </c>
      <c r="BT15" s="29">
        <f>IF(ISBLANK(FT_RF_26[[#This Row],[N° de Pallet]]),"",FT_RF_26[[#This Row],[N° de Pallet]])</f>
        <v>49394</v>
      </c>
    </row>
    <row r="16" spans="1:72">
      <c r="A16" s="28">
        <v>46037</v>
      </c>
      <c r="B16" s="29">
        <f>+_xlfn.ISOWEEKNUM(FT_RF_26[[#This Row],[Fecha]])</f>
        <v>3</v>
      </c>
      <c r="C16" s="30">
        <v>2</v>
      </c>
      <c r="D16" s="29">
        <v>3</v>
      </c>
      <c r="E16" s="31">
        <v>303132000</v>
      </c>
      <c r="F16" s="12" t="str">
        <f>IFERROR(""&amp;_xlfn.XLOOKUP(FT_RF_26[[#This Row],[Código]],BD_Cod[SKU],BD_Cod[Descripción]),"")</f>
        <v>FT AB Conv. S/C PSP 13,61 kg en Caja</v>
      </c>
      <c r="G16" s="32" t="str">
        <f>IFERROR(""&amp;_xlfn.XLOOKUP(FT_RF_26[[#This Row],[Código]],BD_Cod[SKU],BD_Cod[Familia Calidad]),"")</f>
        <v>PSP</v>
      </c>
      <c r="H16" s="12">
        <v>49395</v>
      </c>
      <c r="I16" s="12">
        <v>304895</v>
      </c>
      <c r="J16" s="33">
        <v>1000</v>
      </c>
      <c r="K16" s="34">
        <v>0.97638888888888886</v>
      </c>
      <c r="L16" s="30" t="s">
        <v>244</v>
      </c>
      <c r="M16" s="35">
        <v>14175</v>
      </c>
      <c r="N16" s="36">
        <v>-17.3</v>
      </c>
      <c r="O16" s="30" t="s">
        <v>894</v>
      </c>
      <c r="P16" s="29" t="s">
        <v>894</v>
      </c>
      <c r="Q16" s="37">
        <f>1-FT_RF_26[[#This Row],[% Defectos]]</f>
        <v>0.65900000000000003</v>
      </c>
      <c r="R16" s="38">
        <v>0</v>
      </c>
      <c r="S16" s="39">
        <f>+IFERROR((FT_RF_26[[#This Row],[Inmadura]]/FT_RF_26[[#This Row],[Muestra]]),"0")</f>
        <v>0</v>
      </c>
      <c r="T16" s="38">
        <v>45</v>
      </c>
      <c r="U16" s="39">
        <f>+IFERROR((FT_RF_26[[#This Row],[Partidas]]/FT_RF_26[[#This Row],[Muestra]]),"0")</f>
        <v>4.4999999999999998E-2</v>
      </c>
      <c r="V16" s="38">
        <v>99</v>
      </c>
      <c r="W16" s="39">
        <f>+IFERROR((FT_RF_26[[#This Row],[Daño Insecto]]/FT_RF_26[[#This Row],[Muestra]]),"0")</f>
        <v>9.9000000000000005E-2</v>
      </c>
      <c r="X16" s="38">
        <v>156</v>
      </c>
      <c r="Y16" s="39">
        <f>+IFERROR((FT_RF_26[[#This Row],[Sobremadura]]/FT_RF_26[[#This Row],[Muestra]]),"0")</f>
        <v>0.156</v>
      </c>
      <c r="Z16" s="38">
        <v>0</v>
      </c>
      <c r="AA16" s="39">
        <f>+IFERROR((FT_RF_26[[#This Row],[Deforme]]/FT_RF_26[[#This Row],[Muestra]]),"0")</f>
        <v>0</v>
      </c>
      <c r="AB16" s="27"/>
      <c r="AC16" s="38">
        <v>0</v>
      </c>
      <c r="AD16" s="39">
        <f>+IFERROR((FT_RF_26[[#This Row],[Valor Extra 1]]/FT_RF_26[[#This Row],[Muestra]]),"0")</f>
        <v>0</v>
      </c>
      <c r="AF16" s="38">
        <v>0</v>
      </c>
      <c r="AG16" s="39">
        <f>+IFERROR((FT_RF_26[[#This Row],[Valor Extra 2]]/FT_RF_26[[#This Row],[Muestra]]),"0")</f>
        <v>0</v>
      </c>
      <c r="AH16" s="40">
        <v>41</v>
      </c>
      <c r="AI16" s="39">
        <f>+IFERROR((FT_RF_26[[#This Row],[Hongos]]/FT_RF_26[[#This Row],[Muestra]]),"0")</f>
        <v>4.1000000000000002E-2</v>
      </c>
      <c r="AJ16" s="38">
        <v>0</v>
      </c>
      <c r="AK16" s="39">
        <f>+IFERROR((FT_RF_26[[#This Row],[Block]]/FT_RF_26[[#This Row],[Muestra]]),"0")</f>
        <v>0</v>
      </c>
      <c r="AL16" s="41">
        <v>0</v>
      </c>
      <c r="AM16" s="42">
        <v>0</v>
      </c>
      <c r="AN16" s="38">
        <v>0</v>
      </c>
      <c r="AO16" s="39">
        <f>+IFERROR((FT_RF_26[[#This Row],[Fuera de calibre &lt;12mm]]/FT_RF_26[[#This Row],[Muestra]]),"0")</f>
        <v>0</v>
      </c>
      <c r="AP16" s="38">
        <v>0</v>
      </c>
      <c r="AQ16" s="39">
        <f>+IFERROR((FT_RF_26[[#This Row],[Calibre &lt;25]]/FT_RF_26[[#This Row],[Muestra]]),"0")</f>
        <v>0</v>
      </c>
      <c r="AR16" s="38">
        <v>0</v>
      </c>
      <c r="AS16" s="39">
        <f>+IFERROR((FT_RF_26[[#This Row],[Calibre &gt;12]]/FT_RF_26[[#This Row],[Muestra]]),"0")</f>
        <v>0</v>
      </c>
      <c r="AT16" s="38">
        <v>0</v>
      </c>
      <c r="AU16" s="39">
        <f>+IFERROR((FT_RF_26[[#This Row],[Calibre &lt;14]]/FT_RF_26[[#This Row],[Muestra]]),"0")</f>
        <v>0</v>
      </c>
      <c r="AV16" s="38">
        <v>0</v>
      </c>
      <c r="AW16" s="39">
        <f>+IFERROR((FT_RF_26[[#This Row],[Calibre &gt;14]]/FT_RF_26[[#This Row],[Muestra]]),"0")</f>
        <v>0</v>
      </c>
      <c r="AX16" s="38">
        <v>0</v>
      </c>
      <c r="AY16" s="39">
        <f>+IFERROR((FT_RF_26[[#This Row],[Calibre &lt;10]]/FT_RF_26[[#This Row],[Muestra]]),"0")</f>
        <v>0</v>
      </c>
      <c r="AZ16" s="38">
        <v>0</v>
      </c>
      <c r="BA16" s="39">
        <f>+IFERROR((FT_RF_26[[#This Row],[Calibre &gt;13]]/FT_RF_26[[#This Row],[Muestra]]),"0")</f>
        <v>0</v>
      </c>
      <c r="BB16" s="41" t="s">
        <v>897</v>
      </c>
      <c r="BC16" s="38" t="s">
        <v>897</v>
      </c>
      <c r="BD16" s="38" t="s">
        <v>897</v>
      </c>
      <c r="BE16" s="38" t="s">
        <v>897</v>
      </c>
      <c r="BF16" s="38" t="s">
        <v>897</v>
      </c>
      <c r="BG16" s="42" t="s">
        <v>897</v>
      </c>
      <c r="BH16" s="43">
        <v>0</v>
      </c>
      <c r="BI16" s="29" t="s">
        <v>894</v>
      </c>
      <c r="BJ16" s="29" t="s">
        <v>894</v>
      </c>
      <c r="BK1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341</v>
      </c>
      <c r="BL1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0.34100000000000003</v>
      </c>
      <c r="BM16" s="27" t="s">
        <v>899</v>
      </c>
      <c r="BN16" s="45">
        <f>1-FT_RF_26[[#This Row],[% Defectos]]</f>
        <v>0.65900000000000003</v>
      </c>
      <c r="BO16" s="60" t="s">
        <v>900</v>
      </c>
      <c r="BP16" s="12">
        <f>SUM(FT_RF_26[[#This Row],[Hoja (Un.)]:[Larvas Caja]])</f>
        <v>0</v>
      </c>
      <c r="BQ16" s="12">
        <f>SUM(FT_RF_26[[#This Row],[Vidrios]:[Plástico]])</f>
        <v>0</v>
      </c>
      <c r="BR16" s="12" t="str">
        <f>IF(ISBLANK(FT_RF_26[[#This Row],[Descripción del producto]]),"",FT_RF_26[[#This Row],[Descripción del producto]])</f>
        <v>FT AB Conv. S/C PSP 13,61 kg en Caja</v>
      </c>
      <c r="BS16" s="29">
        <f>IF(ISBLANK(FT_RF_26[[#This Row],[N° de Lote]]),"",FT_RF_26[[#This Row],[N° de Lote]])</f>
        <v>304895</v>
      </c>
      <c r="BT16" s="29">
        <f>IF(ISBLANK(FT_RF_26[[#This Row],[N° de Pallet]]),"",FT_RF_26[[#This Row],[N° de Pallet]])</f>
        <v>49395</v>
      </c>
    </row>
    <row r="17" spans="1:72">
      <c r="A17" s="28">
        <v>46037</v>
      </c>
      <c r="B17" s="29">
        <f>+_xlfn.ISOWEEKNUM(FT_RF_26[[#This Row],[Fecha]])</f>
        <v>3</v>
      </c>
      <c r="C17" s="30">
        <v>2</v>
      </c>
      <c r="D17" s="29">
        <v>3</v>
      </c>
      <c r="E17" s="31">
        <v>303132000</v>
      </c>
      <c r="F17" s="12" t="str">
        <f>IFERROR(""&amp;_xlfn.XLOOKUP(FT_RF_26[[#This Row],[Código]],BD_Cod[SKU],BD_Cod[Descripción]),"")</f>
        <v>FT AB Conv. S/C PSP 13,61 kg en Caja</v>
      </c>
      <c r="G17" s="32" t="str">
        <f>IFERROR(""&amp;_xlfn.XLOOKUP(FT_RF_26[[#This Row],[Código]],BD_Cod[SKU],BD_Cod[Familia Calidad]),"")</f>
        <v>PSP</v>
      </c>
      <c r="H17" s="12">
        <v>49396</v>
      </c>
      <c r="I17" s="12">
        <v>304895</v>
      </c>
      <c r="J17" s="33">
        <v>1000</v>
      </c>
      <c r="K17" s="34">
        <v>0.9868055555555556</v>
      </c>
      <c r="L17" s="30" t="s">
        <v>244</v>
      </c>
      <c r="M17" s="35">
        <v>14260</v>
      </c>
      <c r="N17" s="36">
        <v>-16.7</v>
      </c>
      <c r="O17" s="30" t="s">
        <v>894</v>
      </c>
      <c r="P17" s="29" t="s">
        <v>894</v>
      </c>
      <c r="Q17" s="37">
        <f>1-FT_RF_26[[#This Row],[% Defectos]]</f>
        <v>0.82899999999999996</v>
      </c>
      <c r="R17" s="38">
        <v>0</v>
      </c>
      <c r="S17" s="39">
        <f>+IFERROR((FT_RF_26[[#This Row],[Inmadura]]/FT_RF_26[[#This Row],[Muestra]]),"0")</f>
        <v>0</v>
      </c>
      <c r="T17" s="38">
        <v>0</v>
      </c>
      <c r="U17" s="39">
        <f>+IFERROR((FT_RF_26[[#This Row],[Partidas]]/FT_RF_26[[#This Row],[Muestra]]),"0")</f>
        <v>0</v>
      </c>
      <c r="V17" s="38">
        <v>0</v>
      </c>
      <c r="W17" s="39">
        <f>+IFERROR((FT_RF_26[[#This Row],[Daño Insecto]]/FT_RF_26[[#This Row],[Muestra]]),"0")</f>
        <v>0</v>
      </c>
      <c r="X17" s="38">
        <v>171</v>
      </c>
      <c r="Y17" s="39">
        <f>+IFERROR((FT_RF_26[[#This Row],[Sobremadura]]/FT_RF_26[[#This Row],[Muestra]]),"0")</f>
        <v>0.17100000000000001</v>
      </c>
      <c r="Z17" s="38">
        <v>0</v>
      </c>
      <c r="AA17" s="39">
        <f>+IFERROR((FT_RF_26[[#This Row],[Deforme]]/FT_RF_26[[#This Row],[Muestra]]),"0")</f>
        <v>0</v>
      </c>
      <c r="AB17" s="27"/>
      <c r="AC17" s="38">
        <v>0</v>
      </c>
      <c r="AD17" s="39">
        <f>+IFERROR((FT_RF_26[[#This Row],[Valor Extra 1]]/FT_RF_26[[#This Row],[Muestra]]),"0")</f>
        <v>0</v>
      </c>
      <c r="AF17" s="38">
        <v>0</v>
      </c>
      <c r="AG17" s="39">
        <f>+IFERROR((FT_RF_26[[#This Row],[Valor Extra 2]]/FT_RF_26[[#This Row],[Muestra]]),"0")</f>
        <v>0</v>
      </c>
      <c r="AH17" s="40">
        <v>0</v>
      </c>
      <c r="AI17" s="39">
        <f>+IFERROR((FT_RF_26[[#This Row],[Hongos]]/FT_RF_26[[#This Row],[Muestra]]),"0")</f>
        <v>0</v>
      </c>
      <c r="AJ17" s="38">
        <v>0</v>
      </c>
      <c r="AK17" s="39">
        <f>+IFERROR((FT_RF_26[[#This Row],[Block]]/FT_RF_26[[#This Row],[Muestra]]),"0")</f>
        <v>0</v>
      </c>
      <c r="AL17" s="41">
        <v>0</v>
      </c>
      <c r="AM17" s="42">
        <v>0</v>
      </c>
      <c r="AN17" s="38">
        <v>0</v>
      </c>
      <c r="AO17" s="39">
        <f>+IFERROR((FT_RF_26[[#This Row],[Fuera de calibre &lt;12mm]]/FT_RF_26[[#This Row],[Muestra]]),"0")</f>
        <v>0</v>
      </c>
      <c r="AP17" s="38">
        <v>0</v>
      </c>
      <c r="AQ17" s="39">
        <f>+IFERROR((FT_RF_26[[#This Row],[Calibre &lt;25]]/FT_RF_26[[#This Row],[Muestra]]),"0")</f>
        <v>0</v>
      </c>
      <c r="AR17" s="38">
        <v>0</v>
      </c>
      <c r="AS17" s="39">
        <f>+IFERROR((FT_RF_26[[#This Row],[Calibre &gt;12]]/FT_RF_26[[#This Row],[Muestra]]),"0")</f>
        <v>0</v>
      </c>
      <c r="AT17" s="38">
        <v>0</v>
      </c>
      <c r="AU17" s="39">
        <f>+IFERROR((FT_RF_26[[#This Row],[Calibre &lt;14]]/FT_RF_26[[#This Row],[Muestra]]),"0")</f>
        <v>0</v>
      </c>
      <c r="AV17" s="38">
        <v>0</v>
      </c>
      <c r="AW17" s="39">
        <f>+IFERROR((FT_RF_26[[#This Row],[Calibre &gt;14]]/FT_RF_26[[#This Row],[Muestra]]),"0")</f>
        <v>0</v>
      </c>
      <c r="AX17" s="38">
        <v>0</v>
      </c>
      <c r="AY17" s="39">
        <f>+IFERROR((FT_RF_26[[#This Row],[Calibre &lt;10]]/FT_RF_26[[#This Row],[Muestra]]),"0")</f>
        <v>0</v>
      </c>
      <c r="AZ17" s="38">
        <v>0</v>
      </c>
      <c r="BA17" s="39">
        <f>+IFERROR((FT_RF_26[[#This Row],[Calibre &gt;13]]/FT_RF_26[[#This Row],[Muestra]]),"0")</f>
        <v>0</v>
      </c>
      <c r="BB17" s="41" t="s">
        <v>897</v>
      </c>
      <c r="BC17" s="38" t="s">
        <v>897</v>
      </c>
      <c r="BD17" s="38" t="s">
        <v>897</v>
      </c>
      <c r="BE17" s="38" t="s">
        <v>897</v>
      </c>
      <c r="BF17" s="38" t="s">
        <v>897</v>
      </c>
      <c r="BG17" s="42" t="s">
        <v>897</v>
      </c>
      <c r="BH17" s="43">
        <v>0</v>
      </c>
      <c r="BI17" s="29" t="s">
        <v>894</v>
      </c>
      <c r="BJ17" s="29" t="s">
        <v>894</v>
      </c>
      <c r="BK1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171</v>
      </c>
      <c r="BL1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0.17100000000000001</v>
      </c>
      <c r="BM17" s="27" t="s">
        <v>899</v>
      </c>
      <c r="BN17" s="45">
        <f>1-FT_RF_26[[#This Row],[% Defectos]]</f>
        <v>0.82899999999999996</v>
      </c>
      <c r="BO17" s="60" t="s">
        <v>900</v>
      </c>
      <c r="BP17" s="12">
        <f>SUM(FT_RF_26[[#This Row],[Hoja (Un.)]:[Larvas Caja]])</f>
        <v>0</v>
      </c>
      <c r="BQ17" s="12">
        <f>SUM(FT_RF_26[[#This Row],[Vidrios]:[Plástico]])</f>
        <v>0</v>
      </c>
      <c r="BR17" s="12" t="str">
        <f>IF(ISBLANK(FT_RF_26[[#This Row],[Descripción del producto]]),"",FT_RF_26[[#This Row],[Descripción del producto]])</f>
        <v>FT AB Conv. S/C PSP 13,61 kg en Caja</v>
      </c>
      <c r="BS17" s="29">
        <f>IF(ISBLANK(FT_RF_26[[#This Row],[N° de Lote]]),"",FT_RF_26[[#This Row],[N° de Lote]])</f>
        <v>304895</v>
      </c>
      <c r="BT17" s="29">
        <f>IF(ISBLANK(FT_RF_26[[#This Row],[N° de Pallet]]),"",FT_RF_26[[#This Row],[N° de Pallet]])</f>
        <v>49396</v>
      </c>
    </row>
    <row r="18" spans="1:72">
      <c r="A18" s="28">
        <v>46037</v>
      </c>
      <c r="B18" s="29">
        <f>+_xlfn.ISOWEEKNUM(FT_RF_26[[#This Row],[Fecha]])</f>
        <v>3</v>
      </c>
      <c r="C18" s="30">
        <v>2</v>
      </c>
      <c r="D18" s="29">
        <v>3</v>
      </c>
      <c r="E18" s="31">
        <v>303132000</v>
      </c>
      <c r="F18" s="12" t="str">
        <f>IFERROR(""&amp;_xlfn.XLOOKUP(FT_RF_26[[#This Row],[Código]],BD_Cod[SKU],BD_Cod[Descripción]),"")</f>
        <v>FT AB Conv. S/C PSP 13,61 kg en Caja</v>
      </c>
      <c r="G18" s="32" t="str">
        <f>IFERROR(""&amp;_xlfn.XLOOKUP(FT_RF_26[[#This Row],[Código]],BD_Cod[SKU],BD_Cod[Familia Calidad]),"")</f>
        <v>PSP</v>
      </c>
      <c r="H18" s="12">
        <v>49397</v>
      </c>
      <c r="I18" s="12">
        <v>304895</v>
      </c>
      <c r="J18" s="33">
        <v>1000</v>
      </c>
      <c r="K18" s="34">
        <v>0.99722222222222223</v>
      </c>
      <c r="L18" s="30" t="s">
        <v>244</v>
      </c>
      <c r="M18" s="35">
        <v>14225</v>
      </c>
      <c r="N18" s="36">
        <v>-16.600000000000001</v>
      </c>
      <c r="O18" s="30" t="s">
        <v>894</v>
      </c>
      <c r="P18" s="29" t="s">
        <v>894</v>
      </c>
      <c r="Q18" s="37">
        <f>1-FT_RF_26[[#This Row],[% Defectos]]</f>
        <v>0.71199999999999997</v>
      </c>
      <c r="R18" s="38">
        <v>0</v>
      </c>
      <c r="S18" s="39">
        <f>+IFERROR((FT_RF_26[[#This Row],[Inmadura]]/FT_RF_26[[#This Row],[Muestra]]),"0")</f>
        <v>0</v>
      </c>
      <c r="T18" s="38">
        <v>0</v>
      </c>
      <c r="U18" s="39">
        <f>+IFERROR((FT_RF_26[[#This Row],[Partidas]]/FT_RF_26[[#This Row],[Muestra]]),"0")</f>
        <v>0</v>
      </c>
      <c r="V18" s="38">
        <v>44</v>
      </c>
      <c r="W18" s="39">
        <f>+IFERROR((FT_RF_26[[#This Row],[Daño Insecto]]/FT_RF_26[[#This Row],[Muestra]]),"0")</f>
        <v>4.3999999999999997E-2</v>
      </c>
      <c r="X18" s="38">
        <v>160</v>
      </c>
      <c r="Y18" s="39">
        <f>+IFERROR((FT_RF_26[[#This Row],[Sobremadura]]/FT_RF_26[[#This Row],[Muestra]]),"0")</f>
        <v>0.16</v>
      </c>
      <c r="Z18" s="38">
        <v>0</v>
      </c>
      <c r="AA18" s="39">
        <f>+IFERROR((FT_RF_26[[#This Row],[Deforme]]/FT_RF_26[[#This Row],[Muestra]]),"0")</f>
        <v>0</v>
      </c>
      <c r="AB18" s="27"/>
      <c r="AC18" s="38">
        <v>0</v>
      </c>
      <c r="AD18" s="39">
        <f>+IFERROR((FT_RF_26[[#This Row],[Valor Extra 1]]/FT_RF_26[[#This Row],[Muestra]]),"0")</f>
        <v>0</v>
      </c>
      <c r="AF18" s="38">
        <v>0</v>
      </c>
      <c r="AG18" s="39">
        <f>+IFERROR((FT_RF_26[[#This Row],[Valor Extra 2]]/FT_RF_26[[#This Row],[Muestra]]),"0")</f>
        <v>0</v>
      </c>
      <c r="AH18" s="40">
        <v>84</v>
      </c>
      <c r="AI18" s="39">
        <f>+IFERROR((FT_RF_26[[#This Row],[Hongos]]/FT_RF_26[[#This Row],[Muestra]]),"0")</f>
        <v>8.4000000000000005E-2</v>
      </c>
      <c r="AJ18" s="38">
        <v>0</v>
      </c>
      <c r="AK18" s="39">
        <f>+IFERROR((FT_RF_26[[#This Row],[Block]]/FT_RF_26[[#This Row],[Muestra]]),"0")</f>
        <v>0</v>
      </c>
      <c r="AL18" s="41">
        <v>0</v>
      </c>
      <c r="AM18" s="42">
        <v>0</v>
      </c>
      <c r="AN18" s="38">
        <v>0</v>
      </c>
      <c r="AO18" s="39">
        <f>+IFERROR((FT_RF_26[[#This Row],[Fuera de calibre &lt;12mm]]/FT_RF_26[[#This Row],[Muestra]]),"0")</f>
        <v>0</v>
      </c>
      <c r="AP18" s="38">
        <v>0</v>
      </c>
      <c r="AQ18" s="39">
        <f>+IFERROR((FT_RF_26[[#This Row],[Calibre &lt;25]]/FT_RF_26[[#This Row],[Muestra]]),"0")</f>
        <v>0</v>
      </c>
      <c r="AR18" s="38">
        <v>0</v>
      </c>
      <c r="AS18" s="39">
        <f>+IFERROR((FT_RF_26[[#This Row],[Calibre &gt;12]]/FT_RF_26[[#This Row],[Muestra]]),"0")</f>
        <v>0</v>
      </c>
      <c r="AT18" s="38">
        <v>0</v>
      </c>
      <c r="AU18" s="39">
        <f>+IFERROR((FT_RF_26[[#This Row],[Calibre &lt;14]]/FT_RF_26[[#This Row],[Muestra]]),"0")</f>
        <v>0</v>
      </c>
      <c r="AV18" s="38">
        <v>0</v>
      </c>
      <c r="AW18" s="39">
        <f>+IFERROR((FT_RF_26[[#This Row],[Calibre &gt;14]]/FT_RF_26[[#This Row],[Muestra]]),"0")</f>
        <v>0</v>
      </c>
      <c r="AX18" s="38">
        <v>0</v>
      </c>
      <c r="AY18" s="39">
        <f>+IFERROR((FT_RF_26[[#This Row],[Calibre &lt;10]]/FT_RF_26[[#This Row],[Muestra]]),"0")</f>
        <v>0</v>
      </c>
      <c r="AZ18" s="38">
        <v>0</v>
      </c>
      <c r="BA18" s="39">
        <f>+IFERROR((FT_RF_26[[#This Row],[Calibre &gt;13]]/FT_RF_26[[#This Row],[Muestra]]),"0")</f>
        <v>0</v>
      </c>
      <c r="BB18" s="41" t="s">
        <v>897</v>
      </c>
      <c r="BC18" s="38" t="s">
        <v>897</v>
      </c>
      <c r="BD18" s="38" t="s">
        <v>897</v>
      </c>
      <c r="BE18" s="38" t="s">
        <v>897</v>
      </c>
      <c r="BF18" s="38" t="s">
        <v>897</v>
      </c>
      <c r="BG18" s="42" t="s">
        <v>897</v>
      </c>
      <c r="BH18" s="43">
        <v>0</v>
      </c>
      <c r="BI18" s="29" t="s">
        <v>894</v>
      </c>
      <c r="BJ18" s="29" t="s">
        <v>894</v>
      </c>
      <c r="BK1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288</v>
      </c>
      <c r="BL1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0.28800000000000003</v>
      </c>
      <c r="BM18" s="27" t="s">
        <v>899</v>
      </c>
      <c r="BN18" s="45">
        <f>1-FT_RF_26[[#This Row],[% Defectos]]</f>
        <v>0.71199999999999997</v>
      </c>
      <c r="BO18" s="60" t="s">
        <v>900</v>
      </c>
      <c r="BP18" s="12">
        <f>SUM(FT_RF_26[[#This Row],[Hoja (Un.)]:[Larvas Caja]])</f>
        <v>0</v>
      </c>
      <c r="BQ18" s="12">
        <f>SUM(FT_RF_26[[#This Row],[Vidrios]:[Plástico]])</f>
        <v>0</v>
      </c>
      <c r="BR18" s="12" t="str">
        <f>IF(ISBLANK(FT_RF_26[[#This Row],[Descripción del producto]]),"",FT_RF_26[[#This Row],[Descripción del producto]])</f>
        <v>FT AB Conv. S/C PSP 13,61 kg en Caja</v>
      </c>
      <c r="BS18" s="29">
        <f>IF(ISBLANK(FT_RF_26[[#This Row],[N° de Lote]]),"",FT_RF_26[[#This Row],[N° de Lote]])</f>
        <v>304895</v>
      </c>
      <c r="BT18" s="29">
        <f>IF(ISBLANK(FT_RF_26[[#This Row],[N° de Pallet]]),"",FT_RF_26[[#This Row],[N° de Pallet]])</f>
        <v>49397</v>
      </c>
    </row>
    <row r="19" spans="1:72">
      <c r="A19" s="28">
        <v>46038</v>
      </c>
      <c r="B19" s="29">
        <f>+_xlfn.ISOWEEKNUM(FT_RF_26[[#This Row],[Fecha]])</f>
        <v>3</v>
      </c>
      <c r="C19" s="30">
        <v>2</v>
      </c>
      <c r="D19" s="29">
        <v>3</v>
      </c>
      <c r="E19" s="31">
        <v>303132000</v>
      </c>
      <c r="F19" s="12" t="str">
        <f>IFERROR(""&amp;_xlfn.XLOOKUP(FT_RF_26[[#This Row],[Código]],BD_Cod[SKU],BD_Cod[Descripción]),"")</f>
        <v>FT AB Conv. S/C PSP 13,61 kg en Caja</v>
      </c>
      <c r="G19" s="32" t="str">
        <f>IFERROR(""&amp;_xlfn.XLOOKUP(FT_RF_26[[#This Row],[Código]],BD_Cod[SKU],BD_Cod[Familia Calidad]),"")</f>
        <v>PSP</v>
      </c>
      <c r="H19" s="12">
        <v>49402</v>
      </c>
      <c r="I19" s="12">
        <v>304896</v>
      </c>
      <c r="J19" s="33">
        <v>1000</v>
      </c>
      <c r="K19" s="34">
        <v>0.91041666666666665</v>
      </c>
      <c r="L19" s="30" t="s">
        <v>244</v>
      </c>
      <c r="M19" s="35">
        <v>14123</v>
      </c>
      <c r="N19" s="36">
        <v>-16.7</v>
      </c>
      <c r="O19" s="30" t="s">
        <v>894</v>
      </c>
      <c r="P19" s="29" t="s">
        <v>894</v>
      </c>
      <c r="Q19" s="37">
        <f>1-FT_RF_26[[#This Row],[% Defectos]]</f>
        <v>0.46499999999999997</v>
      </c>
      <c r="R19" s="38">
        <v>0</v>
      </c>
      <c r="S19" s="39">
        <f>+IFERROR((FT_RF_26[[#This Row],[Inmadura]]/FT_RF_26[[#This Row],[Muestra]]),"0")</f>
        <v>0</v>
      </c>
      <c r="T19" s="38">
        <v>0</v>
      </c>
      <c r="U19" s="39">
        <f>+IFERROR((FT_RF_26[[#This Row],[Partidas]]/FT_RF_26[[#This Row],[Muestra]]),"0")</f>
        <v>0</v>
      </c>
      <c r="V19" s="38">
        <v>0</v>
      </c>
      <c r="W19" s="39">
        <f>+IFERROR((FT_RF_26[[#This Row],[Daño Insecto]]/FT_RF_26[[#This Row],[Muestra]]),"0")</f>
        <v>0</v>
      </c>
      <c r="X19" s="38">
        <v>0</v>
      </c>
      <c r="Y19" s="39">
        <f>+IFERROR((FT_RF_26[[#This Row],[Sobremadura]]/FT_RF_26[[#This Row],[Muestra]]),"0")</f>
        <v>0</v>
      </c>
      <c r="Z19" s="38">
        <v>180</v>
      </c>
      <c r="AA19" s="39">
        <f>+IFERROR((FT_RF_26[[#This Row],[Deforme]]/FT_RF_26[[#This Row],[Muestra]]),"0")</f>
        <v>0.18</v>
      </c>
      <c r="AB19" s="27"/>
      <c r="AC19" s="38">
        <v>0</v>
      </c>
      <c r="AD19" s="39">
        <f>+IFERROR((FT_RF_26[[#This Row],[Valor Extra 1]]/FT_RF_26[[#This Row],[Muestra]]),"0")</f>
        <v>0</v>
      </c>
      <c r="AF19" s="38">
        <v>0</v>
      </c>
      <c r="AG19" s="39">
        <f>+IFERROR((FT_RF_26[[#This Row],[Valor Extra 2]]/FT_RF_26[[#This Row],[Muestra]]),"0")</f>
        <v>0</v>
      </c>
      <c r="AH19" s="40">
        <v>40</v>
      </c>
      <c r="AI19" s="39">
        <f>+IFERROR((FT_RF_26[[#This Row],[Hongos]]/FT_RF_26[[#This Row],[Muestra]]),"0")</f>
        <v>0.04</v>
      </c>
      <c r="AJ19" s="38">
        <v>315</v>
      </c>
      <c r="AK19" s="39">
        <f>+IFERROR((FT_RF_26[[#This Row],[Block]]/FT_RF_26[[#This Row],[Muestra]]),"0")</f>
        <v>0.315</v>
      </c>
      <c r="AL19" s="41">
        <v>0</v>
      </c>
      <c r="AM19" s="42">
        <v>0</v>
      </c>
      <c r="AN19" s="38">
        <v>0</v>
      </c>
      <c r="AO19" s="39">
        <f>+IFERROR((FT_RF_26[[#This Row],[Fuera de calibre &lt;12mm]]/FT_RF_26[[#This Row],[Muestra]]),"0")</f>
        <v>0</v>
      </c>
      <c r="AP19" s="38">
        <v>0</v>
      </c>
      <c r="AQ19" s="39">
        <f>+IFERROR((FT_RF_26[[#This Row],[Calibre &lt;25]]/FT_RF_26[[#This Row],[Muestra]]),"0")</f>
        <v>0</v>
      </c>
      <c r="AR19" s="38">
        <v>0</v>
      </c>
      <c r="AS19" s="39">
        <f>+IFERROR((FT_RF_26[[#This Row],[Calibre &gt;12]]/FT_RF_26[[#This Row],[Muestra]]),"0")</f>
        <v>0</v>
      </c>
      <c r="AT19" s="38">
        <v>0</v>
      </c>
      <c r="AU19" s="39">
        <f>+IFERROR((FT_RF_26[[#This Row],[Calibre &lt;14]]/FT_RF_26[[#This Row],[Muestra]]),"0")</f>
        <v>0</v>
      </c>
      <c r="AV19" s="38">
        <v>0</v>
      </c>
      <c r="AW19" s="39">
        <f>+IFERROR((FT_RF_26[[#This Row],[Calibre &gt;14]]/FT_RF_26[[#This Row],[Muestra]]),"0")</f>
        <v>0</v>
      </c>
      <c r="AX19" s="38">
        <v>0</v>
      </c>
      <c r="AY19" s="39">
        <f>+IFERROR((FT_RF_26[[#This Row],[Calibre &lt;10]]/FT_RF_26[[#This Row],[Muestra]]),"0")</f>
        <v>0</v>
      </c>
      <c r="AZ19" s="38">
        <v>0</v>
      </c>
      <c r="BA19" s="39">
        <f>+IFERROR((FT_RF_26[[#This Row],[Calibre &gt;13]]/FT_RF_26[[#This Row],[Muestra]]),"0")</f>
        <v>0</v>
      </c>
      <c r="BB19" s="41" t="s">
        <v>897</v>
      </c>
      <c r="BC19" s="38" t="s">
        <v>897</v>
      </c>
      <c r="BD19" s="38" t="s">
        <v>897</v>
      </c>
      <c r="BE19" s="38" t="s">
        <v>897</v>
      </c>
      <c r="BF19" s="38" t="s">
        <v>897</v>
      </c>
      <c r="BG19" s="42" t="s">
        <v>897</v>
      </c>
      <c r="BH19" s="43">
        <v>0</v>
      </c>
      <c r="BI19" s="29" t="s">
        <v>894</v>
      </c>
      <c r="BJ19" s="29" t="s">
        <v>894</v>
      </c>
      <c r="BK1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535</v>
      </c>
      <c r="BL1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0.53500000000000003</v>
      </c>
      <c r="BM19" s="27" t="s">
        <v>899</v>
      </c>
      <c r="BN19" s="45">
        <f>1-FT_RF_26[[#This Row],[% Defectos]]</f>
        <v>0.46499999999999997</v>
      </c>
      <c r="BO19" s="60" t="s">
        <v>901</v>
      </c>
      <c r="BP19" s="12">
        <f>SUM(FT_RF_26[[#This Row],[Hoja (Un.)]:[Larvas Caja]])</f>
        <v>0</v>
      </c>
      <c r="BQ19" s="12">
        <f>SUM(FT_RF_26[[#This Row],[Vidrios]:[Plástico]])</f>
        <v>0</v>
      </c>
      <c r="BR19" s="12" t="str">
        <f>IF(ISBLANK(FT_RF_26[[#This Row],[Descripción del producto]]),"",FT_RF_26[[#This Row],[Descripción del producto]])</f>
        <v>FT AB Conv. S/C PSP 13,61 kg en Caja</v>
      </c>
      <c r="BS19" s="29">
        <f>IF(ISBLANK(FT_RF_26[[#This Row],[N° de Lote]]),"",FT_RF_26[[#This Row],[N° de Lote]])</f>
        <v>304896</v>
      </c>
      <c r="BT19" s="29">
        <f>IF(ISBLANK(FT_RF_26[[#This Row],[N° de Pallet]]),"",FT_RF_26[[#This Row],[N° de Pallet]])</f>
        <v>49402</v>
      </c>
    </row>
    <row r="20" spans="1:72">
      <c r="A20" s="28">
        <v>46038</v>
      </c>
      <c r="B20" s="29">
        <f>+_xlfn.ISOWEEKNUM(FT_RF_26[[#This Row],[Fecha]])</f>
        <v>3</v>
      </c>
      <c r="C20" s="30">
        <v>2</v>
      </c>
      <c r="D20" s="29">
        <v>3</v>
      </c>
      <c r="E20" s="31">
        <v>302132000</v>
      </c>
      <c r="F20" s="12" t="str">
        <f>IFERROR(""&amp;_xlfn.XLOOKUP(FT_RF_26[[#This Row],[Código]],BD_Cod[SKU],BD_Cod[Descripción]),"")</f>
        <v>FB MK Conv. S/C PSP 12 kg en Caja</v>
      </c>
      <c r="G20" s="32" t="str">
        <f>IFERROR(""&amp;_xlfn.XLOOKUP(FT_RF_26[[#This Row],[Código]],BD_Cod[SKU],BD_Cod[Familia Calidad]),"")</f>
        <v>PSP</v>
      </c>
      <c r="H20" s="12">
        <v>49403</v>
      </c>
      <c r="I20" s="12">
        <v>304896</v>
      </c>
      <c r="J20" s="33">
        <v>1000</v>
      </c>
      <c r="K20" s="34">
        <v>0.92500000000000004</v>
      </c>
      <c r="L20" s="30" t="s">
        <v>244</v>
      </c>
      <c r="M20" s="35">
        <v>14115</v>
      </c>
      <c r="N20" s="36">
        <v>-11.2</v>
      </c>
      <c r="O20" s="30" t="s">
        <v>894</v>
      </c>
      <c r="P20" s="29" t="s">
        <v>894</v>
      </c>
      <c r="Q20" s="37">
        <f>1-FT_RF_26[[#This Row],[% Defectos]]</f>
        <v>0.31499999999999995</v>
      </c>
      <c r="R20" s="38">
        <v>0</v>
      </c>
      <c r="S20" s="39">
        <f>+IFERROR((FT_RF_26[[#This Row],[Inmadura]]/FT_RF_26[[#This Row],[Muestra]]),"0")</f>
        <v>0</v>
      </c>
      <c r="T20" s="38">
        <v>0</v>
      </c>
      <c r="U20" s="39">
        <f>+IFERROR((FT_RF_26[[#This Row],[Partidas]]/FT_RF_26[[#This Row],[Muestra]]),"0")</f>
        <v>0</v>
      </c>
      <c r="V20" s="38">
        <v>50</v>
      </c>
      <c r="W20" s="39">
        <f>+IFERROR((FT_RF_26[[#This Row],[Daño Insecto]]/FT_RF_26[[#This Row],[Muestra]]),"0")</f>
        <v>0.05</v>
      </c>
      <c r="X20" s="38">
        <v>0</v>
      </c>
      <c r="Y20" s="39">
        <f>+IFERROR((FT_RF_26[[#This Row],[Sobremadura]]/FT_RF_26[[#This Row],[Muestra]]),"0")</f>
        <v>0</v>
      </c>
      <c r="Z20" s="38">
        <v>415</v>
      </c>
      <c r="AA20" s="39">
        <f>+IFERROR((FT_RF_26[[#This Row],[Deforme]]/FT_RF_26[[#This Row],[Muestra]]),"0")</f>
        <v>0.41499999999999998</v>
      </c>
      <c r="AB20" s="27"/>
      <c r="AC20" s="38">
        <v>0</v>
      </c>
      <c r="AD20" s="39">
        <f>+IFERROR((FT_RF_26[[#This Row],[Valor Extra 1]]/FT_RF_26[[#This Row],[Muestra]]),"0")</f>
        <v>0</v>
      </c>
      <c r="AF20" s="38">
        <v>0</v>
      </c>
      <c r="AG20" s="39">
        <f>+IFERROR((FT_RF_26[[#This Row],[Valor Extra 2]]/FT_RF_26[[#This Row],[Muestra]]),"0")</f>
        <v>0</v>
      </c>
      <c r="AH20" s="40">
        <v>20</v>
      </c>
      <c r="AI20" s="39">
        <f>+IFERROR((FT_RF_26[[#This Row],[Hongos]]/FT_RF_26[[#This Row],[Muestra]]),"0")</f>
        <v>0.02</v>
      </c>
      <c r="AJ20" s="38">
        <v>200</v>
      </c>
      <c r="AK20" s="39">
        <f>+IFERROR((FT_RF_26[[#This Row],[Block]]/FT_RF_26[[#This Row],[Muestra]]),"0")</f>
        <v>0.2</v>
      </c>
      <c r="AL20" s="41">
        <v>0</v>
      </c>
      <c r="AM20" s="42">
        <v>0</v>
      </c>
      <c r="AN20" s="38">
        <v>0</v>
      </c>
      <c r="AO20" s="39">
        <f>+IFERROR((FT_RF_26[[#This Row],[Fuera de calibre &lt;12mm]]/FT_RF_26[[#This Row],[Muestra]]),"0")</f>
        <v>0</v>
      </c>
      <c r="AP20" s="38">
        <v>0</v>
      </c>
      <c r="AQ20" s="39">
        <f>+IFERROR((FT_RF_26[[#This Row],[Calibre &lt;25]]/FT_RF_26[[#This Row],[Muestra]]),"0")</f>
        <v>0</v>
      </c>
      <c r="AR20" s="38">
        <v>0</v>
      </c>
      <c r="AS20" s="39">
        <f>+IFERROR((FT_RF_26[[#This Row],[Calibre &gt;12]]/FT_RF_26[[#This Row],[Muestra]]),"0")</f>
        <v>0</v>
      </c>
      <c r="AT20" s="38">
        <v>0</v>
      </c>
      <c r="AU20" s="39">
        <f>+IFERROR((FT_RF_26[[#This Row],[Calibre &lt;14]]/FT_RF_26[[#This Row],[Muestra]]),"0")</f>
        <v>0</v>
      </c>
      <c r="AV20" s="38">
        <v>0</v>
      </c>
      <c r="AW20" s="39">
        <f>+IFERROR((FT_RF_26[[#This Row],[Calibre &gt;14]]/FT_RF_26[[#This Row],[Muestra]]),"0")</f>
        <v>0</v>
      </c>
      <c r="AX20" s="38">
        <v>0</v>
      </c>
      <c r="AY20" s="39">
        <f>+IFERROR((FT_RF_26[[#This Row],[Calibre &lt;10]]/FT_RF_26[[#This Row],[Muestra]]),"0")</f>
        <v>0</v>
      </c>
      <c r="AZ20" s="38">
        <v>0</v>
      </c>
      <c r="BA20" s="39">
        <f>+IFERROR((FT_RF_26[[#This Row],[Calibre &gt;13]]/FT_RF_26[[#This Row],[Muestra]]),"0")</f>
        <v>0</v>
      </c>
      <c r="BB20" s="41" t="s">
        <v>897</v>
      </c>
      <c r="BC20" s="38" t="s">
        <v>897</v>
      </c>
      <c r="BD20" s="38" t="s">
        <v>897</v>
      </c>
      <c r="BE20" s="38" t="s">
        <v>897</v>
      </c>
      <c r="BF20" s="38" t="s">
        <v>897</v>
      </c>
      <c r="BG20" s="42" t="s">
        <v>897</v>
      </c>
      <c r="BH20" s="43">
        <v>0</v>
      </c>
      <c r="BI20" s="29" t="s">
        <v>894</v>
      </c>
      <c r="BJ20" s="29" t="s">
        <v>894</v>
      </c>
      <c r="BK2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685</v>
      </c>
      <c r="BL2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0.68500000000000005</v>
      </c>
      <c r="BM20" s="27" t="s">
        <v>899</v>
      </c>
      <c r="BN20" s="45">
        <f>1-FT_RF_26[[#This Row],[% Defectos]]</f>
        <v>0.31499999999999995</v>
      </c>
      <c r="BO20" s="60" t="s">
        <v>901</v>
      </c>
      <c r="BP20" s="12">
        <f>SUM(FT_RF_26[[#This Row],[Hoja (Un.)]:[Larvas Caja]])</f>
        <v>0</v>
      </c>
      <c r="BQ20" s="12">
        <f>SUM(FT_RF_26[[#This Row],[Vidrios]:[Plástico]])</f>
        <v>0</v>
      </c>
      <c r="BR20" s="12" t="str">
        <f>IF(ISBLANK(FT_RF_26[[#This Row],[Descripción del producto]]),"",FT_RF_26[[#This Row],[Descripción del producto]])</f>
        <v>FB MK Conv. S/C PSP 12 kg en Caja</v>
      </c>
      <c r="BS20" s="29">
        <f>IF(ISBLANK(FT_RF_26[[#This Row],[N° de Lote]]),"",FT_RF_26[[#This Row],[N° de Lote]])</f>
        <v>304896</v>
      </c>
      <c r="BT20" s="29">
        <f>IF(ISBLANK(FT_RF_26[[#This Row],[N° de Pallet]]),"",FT_RF_26[[#This Row],[N° de Pallet]])</f>
        <v>49403</v>
      </c>
    </row>
    <row r="21" spans="1:72">
      <c r="B21" s="29">
        <f>+_xlfn.ISOWEEKNUM(FT_RF_26[[#This Row],[Fecha]])</f>
        <v>52</v>
      </c>
      <c r="E21" s="31"/>
      <c r="F21" s="12" t="str">
        <f>IFERROR(""&amp;_xlfn.XLOOKUP(FT_RF_26[[#This Row],[Código]],BD_Cod[SKU],BD_Cod[Descripción]),"")</f>
        <v/>
      </c>
      <c r="G21" s="32" t="str">
        <f>IFERROR(""&amp;_xlfn.XLOOKUP(FT_RF_26[[#This Row],[Código]],BD_Cod[SKU],BD_Cod[Familia Calidad]),"")</f>
        <v/>
      </c>
      <c r="J21" s="33">
        <v>1000</v>
      </c>
      <c r="L21" s="30" t="s">
        <v>244</v>
      </c>
      <c r="O21" s="30" t="s">
        <v>894</v>
      </c>
      <c r="P21" s="29" t="s">
        <v>894</v>
      </c>
      <c r="Q21" s="37">
        <f>1-FT_RF_26[[#This Row],[% Defectos]]</f>
        <v>1</v>
      </c>
      <c r="R21" s="38">
        <v>0</v>
      </c>
      <c r="S21" s="39">
        <f>+IFERROR((FT_RF_26[[#This Row],[Inmadura]]/FT_RF_26[[#This Row],[Muestra]]),"0")</f>
        <v>0</v>
      </c>
      <c r="T21" s="38">
        <v>0</v>
      </c>
      <c r="U21" s="39">
        <f>+IFERROR((FT_RF_26[[#This Row],[Partidas]]/FT_RF_26[[#This Row],[Muestra]]),"0")</f>
        <v>0</v>
      </c>
      <c r="V21" s="38">
        <v>0</v>
      </c>
      <c r="W21" s="39">
        <f>+IFERROR((FT_RF_26[[#This Row],[Daño Insecto]]/FT_RF_26[[#This Row],[Muestra]]),"0")</f>
        <v>0</v>
      </c>
      <c r="X21" s="38">
        <v>0</v>
      </c>
      <c r="Y21" s="39">
        <f>+IFERROR((FT_RF_26[[#This Row],[Sobremadura]]/FT_RF_26[[#This Row],[Muestra]]),"0")</f>
        <v>0</v>
      </c>
      <c r="Z21" s="38">
        <v>0</v>
      </c>
      <c r="AA21" s="39">
        <f>+IFERROR((FT_RF_26[[#This Row],[Deforme]]/FT_RF_26[[#This Row],[Muestra]]),"0")</f>
        <v>0</v>
      </c>
      <c r="AB21" s="27"/>
      <c r="AC21" s="38">
        <v>0</v>
      </c>
      <c r="AD21" s="39">
        <f>+IFERROR((FT_RF_26[[#This Row],[Valor Extra 1]]/FT_RF_26[[#This Row],[Muestra]]),"0")</f>
        <v>0</v>
      </c>
      <c r="AF21" s="38">
        <v>0</v>
      </c>
      <c r="AG21" s="39">
        <f>+IFERROR((FT_RF_26[[#This Row],[Valor Extra 2]]/FT_RF_26[[#This Row],[Muestra]]),"0")</f>
        <v>0</v>
      </c>
      <c r="AH21" s="40">
        <v>0</v>
      </c>
      <c r="AI21" s="39">
        <f>+IFERROR((FT_RF_26[[#This Row],[Hongos]]/FT_RF_26[[#This Row],[Muestra]]),"0")</f>
        <v>0</v>
      </c>
      <c r="AJ21" s="38">
        <v>0</v>
      </c>
      <c r="AK21" s="39">
        <f>+IFERROR((FT_RF_26[[#This Row],[Block]]/FT_RF_26[[#This Row],[Muestra]]),"0")</f>
        <v>0</v>
      </c>
      <c r="AL21" s="41">
        <v>0</v>
      </c>
      <c r="AM21" s="42">
        <v>0</v>
      </c>
      <c r="AN21" s="38">
        <v>0</v>
      </c>
      <c r="AO21" s="39">
        <f>+IFERROR((FT_RF_26[[#This Row],[Fuera de calibre &lt;12mm]]/FT_RF_26[[#This Row],[Muestra]]),"0")</f>
        <v>0</v>
      </c>
      <c r="AP21" s="38">
        <v>0</v>
      </c>
      <c r="AQ21" s="39">
        <f>+IFERROR((FT_RF_26[[#This Row],[Calibre &lt;25]]/FT_RF_26[[#This Row],[Muestra]]),"0")</f>
        <v>0</v>
      </c>
      <c r="AR21" s="38">
        <v>0</v>
      </c>
      <c r="AS21" s="39">
        <f>+IFERROR((FT_RF_26[[#This Row],[Calibre &gt;12]]/FT_RF_26[[#This Row],[Muestra]]),"0")</f>
        <v>0</v>
      </c>
      <c r="AT21" s="38">
        <v>0</v>
      </c>
      <c r="AU21" s="39">
        <f>+IFERROR((FT_RF_26[[#This Row],[Calibre &lt;14]]/FT_RF_26[[#This Row],[Muestra]]),"0")</f>
        <v>0</v>
      </c>
      <c r="AV21" s="38">
        <v>0</v>
      </c>
      <c r="AW21" s="39">
        <f>+IFERROR((FT_RF_26[[#This Row],[Calibre &gt;14]]/FT_RF_26[[#This Row],[Muestra]]),"0")</f>
        <v>0</v>
      </c>
      <c r="AX21" s="38">
        <v>0</v>
      </c>
      <c r="AY21" s="39">
        <f>+IFERROR((FT_RF_26[[#This Row],[Calibre &lt;10]]/FT_RF_26[[#This Row],[Muestra]]),"0")</f>
        <v>0</v>
      </c>
      <c r="AZ21" s="38">
        <v>0</v>
      </c>
      <c r="BA21" s="39">
        <f>+IFERROR((FT_RF_26[[#This Row],[Calibre &gt;13]]/FT_RF_26[[#This Row],[Muestra]]),"0")</f>
        <v>0</v>
      </c>
      <c r="BB21" s="41"/>
      <c r="BG21" s="42"/>
      <c r="BH21" s="43">
        <v>0</v>
      </c>
      <c r="BI21" s="29" t="s">
        <v>894</v>
      </c>
      <c r="BJ21" s="29" t="s">
        <v>894</v>
      </c>
      <c r="BK2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1" s="45">
        <f>1-FT_RF_26[[#This Row],[% Defectos]]</f>
        <v>1</v>
      </c>
      <c r="BO21" s="60"/>
      <c r="BP21" s="12">
        <f>SUM(FT_RF_26[[#This Row],[Hoja (Un.)]:[Larvas Caja]])</f>
        <v>0</v>
      </c>
      <c r="BQ21" s="12">
        <f>SUM(FT_RF_26[[#This Row],[Vidrios]:[Plástico]])</f>
        <v>0</v>
      </c>
      <c r="BR21" s="12" t="str">
        <f>IF(ISBLANK(FT_RF_26[[#This Row],[Descripción del producto]]),"",FT_RF_26[[#This Row],[Descripción del producto]])</f>
        <v/>
      </c>
      <c r="BS21" s="29" t="str">
        <f>IF(ISBLANK(FT_RF_26[[#This Row],[N° de Lote]]),"",FT_RF_26[[#This Row],[N° de Lote]])</f>
        <v/>
      </c>
      <c r="BT21" s="29" t="str">
        <f>IF(ISBLANK(FT_RF_26[[#This Row],[N° de Pallet]]),"",FT_RF_26[[#This Row],[N° de Pallet]])</f>
        <v/>
      </c>
    </row>
    <row r="22" spans="1:72">
      <c r="B22" s="29">
        <f>+_xlfn.ISOWEEKNUM(FT_RF_26[[#This Row],[Fecha]])</f>
        <v>52</v>
      </c>
      <c r="E22" s="31"/>
      <c r="F22" s="12" t="str">
        <f>IFERROR(""&amp;_xlfn.XLOOKUP(FT_RF_26[[#This Row],[Código]],BD_Cod[SKU],BD_Cod[Descripción]),"")</f>
        <v/>
      </c>
      <c r="G22" s="32" t="str">
        <f>IFERROR(""&amp;_xlfn.XLOOKUP(FT_RF_26[[#This Row],[Código]],BD_Cod[SKU],BD_Cod[Familia Calidad]),"")</f>
        <v/>
      </c>
      <c r="J22" s="33">
        <v>1000</v>
      </c>
      <c r="L22" s="30" t="s">
        <v>244</v>
      </c>
      <c r="O22" s="30" t="s">
        <v>894</v>
      </c>
      <c r="P22" s="29" t="s">
        <v>894</v>
      </c>
      <c r="Q22" s="37">
        <f>1-FT_RF_26[[#This Row],[% Defectos]]</f>
        <v>1</v>
      </c>
      <c r="R22" s="38">
        <v>0</v>
      </c>
      <c r="S22" s="39">
        <f>+IFERROR((FT_RF_26[[#This Row],[Inmadura]]/FT_RF_26[[#This Row],[Muestra]]),"0")</f>
        <v>0</v>
      </c>
      <c r="T22" s="38">
        <v>0</v>
      </c>
      <c r="U22" s="39">
        <f>+IFERROR((FT_RF_26[[#This Row],[Partidas]]/FT_RF_26[[#This Row],[Muestra]]),"0")</f>
        <v>0</v>
      </c>
      <c r="V22" s="38">
        <v>0</v>
      </c>
      <c r="W22" s="39">
        <f>+IFERROR((FT_RF_26[[#This Row],[Daño Insecto]]/FT_RF_26[[#This Row],[Muestra]]),"0")</f>
        <v>0</v>
      </c>
      <c r="X22" s="38">
        <v>0</v>
      </c>
      <c r="Y22" s="39">
        <f>+IFERROR((FT_RF_26[[#This Row],[Sobremadura]]/FT_RF_26[[#This Row],[Muestra]]),"0")</f>
        <v>0</v>
      </c>
      <c r="Z22" s="38">
        <v>0</v>
      </c>
      <c r="AA22" s="39">
        <f>+IFERROR((FT_RF_26[[#This Row],[Deforme]]/FT_RF_26[[#This Row],[Muestra]]),"0")</f>
        <v>0</v>
      </c>
      <c r="AB22" s="27"/>
      <c r="AC22" s="38">
        <v>0</v>
      </c>
      <c r="AD22" s="39">
        <f>+IFERROR((FT_RF_26[[#This Row],[Valor Extra 1]]/FT_RF_26[[#This Row],[Muestra]]),"0")</f>
        <v>0</v>
      </c>
      <c r="AF22" s="38">
        <v>0</v>
      </c>
      <c r="AG22" s="39">
        <f>+IFERROR((FT_RF_26[[#This Row],[Valor Extra 2]]/FT_RF_26[[#This Row],[Muestra]]),"0")</f>
        <v>0</v>
      </c>
      <c r="AH22" s="40">
        <v>0</v>
      </c>
      <c r="AI22" s="39">
        <f>+IFERROR((FT_RF_26[[#This Row],[Hongos]]/FT_RF_26[[#This Row],[Muestra]]),"0")</f>
        <v>0</v>
      </c>
      <c r="AJ22" s="38">
        <v>0</v>
      </c>
      <c r="AK22" s="39">
        <f>+IFERROR((FT_RF_26[[#This Row],[Block]]/FT_RF_26[[#This Row],[Muestra]]),"0")</f>
        <v>0</v>
      </c>
      <c r="AL22" s="41">
        <v>0</v>
      </c>
      <c r="AM22" s="42">
        <v>0</v>
      </c>
      <c r="AN22" s="38">
        <v>0</v>
      </c>
      <c r="AO22" s="39">
        <f>+IFERROR((FT_RF_26[[#This Row],[Fuera de calibre &lt;12mm]]/FT_RF_26[[#This Row],[Muestra]]),"0")</f>
        <v>0</v>
      </c>
      <c r="AP22" s="38">
        <v>0</v>
      </c>
      <c r="AQ22" s="39">
        <f>+IFERROR((FT_RF_26[[#This Row],[Calibre &lt;25]]/FT_RF_26[[#This Row],[Muestra]]),"0")</f>
        <v>0</v>
      </c>
      <c r="AR22" s="38">
        <v>0</v>
      </c>
      <c r="AS22" s="39">
        <f>+IFERROR((FT_RF_26[[#This Row],[Calibre &gt;12]]/FT_RF_26[[#This Row],[Muestra]]),"0")</f>
        <v>0</v>
      </c>
      <c r="AT22" s="38">
        <v>0</v>
      </c>
      <c r="AU22" s="39">
        <f>+IFERROR((FT_RF_26[[#This Row],[Calibre &lt;14]]/FT_RF_26[[#This Row],[Muestra]]),"0")</f>
        <v>0</v>
      </c>
      <c r="AV22" s="38">
        <v>0</v>
      </c>
      <c r="AW22" s="39">
        <f>+IFERROR((FT_RF_26[[#This Row],[Calibre &gt;14]]/FT_RF_26[[#This Row],[Muestra]]),"0")</f>
        <v>0</v>
      </c>
      <c r="AX22" s="38">
        <v>0</v>
      </c>
      <c r="AY22" s="39">
        <f>+IFERROR((FT_RF_26[[#This Row],[Calibre &lt;10]]/FT_RF_26[[#This Row],[Muestra]]),"0")</f>
        <v>0</v>
      </c>
      <c r="AZ22" s="38">
        <v>0</v>
      </c>
      <c r="BA22" s="39">
        <f>+IFERROR((FT_RF_26[[#This Row],[Calibre &gt;13]]/FT_RF_26[[#This Row],[Muestra]]),"0")</f>
        <v>0</v>
      </c>
      <c r="BB22" s="41"/>
      <c r="BG22" s="42"/>
      <c r="BH22" s="43">
        <v>0</v>
      </c>
      <c r="BI22" s="29" t="s">
        <v>894</v>
      </c>
      <c r="BJ22" s="29" t="s">
        <v>894</v>
      </c>
      <c r="BK2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2" s="45">
        <f>1-FT_RF_26[[#This Row],[% Defectos]]</f>
        <v>1</v>
      </c>
      <c r="BO22" s="60"/>
      <c r="BP22" s="12">
        <f>SUM(FT_RF_26[[#This Row],[Hoja (Un.)]:[Larvas Caja]])</f>
        <v>0</v>
      </c>
      <c r="BQ22" s="12">
        <f>SUM(FT_RF_26[[#This Row],[Vidrios]:[Plástico]])</f>
        <v>0</v>
      </c>
      <c r="BR22" s="12" t="str">
        <f>IF(ISBLANK(FT_RF_26[[#This Row],[Descripción del producto]]),"",FT_RF_26[[#This Row],[Descripción del producto]])</f>
        <v/>
      </c>
      <c r="BS22" s="29" t="str">
        <f>IF(ISBLANK(FT_RF_26[[#This Row],[N° de Lote]]),"",FT_RF_26[[#This Row],[N° de Lote]])</f>
        <v/>
      </c>
      <c r="BT22" s="29" t="str">
        <f>IF(ISBLANK(FT_RF_26[[#This Row],[N° de Pallet]]),"",FT_RF_26[[#This Row],[N° de Pallet]])</f>
        <v/>
      </c>
    </row>
    <row r="23" spans="1:72">
      <c r="B23" s="29">
        <f>+_xlfn.ISOWEEKNUM(FT_RF_26[[#This Row],[Fecha]])</f>
        <v>52</v>
      </c>
      <c r="E23" s="31"/>
      <c r="F23" s="12" t="str">
        <f>IFERROR(""&amp;_xlfn.XLOOKUP(FT_RF_26[[#This Row],[Código]],BD_Cod[SKU],BD_Cod[Descripción]),"")</f>
        <v/>
      </c>
      <c r="G23" s="32" t="str">
        <f>IFERROR(""&amp;_xlfn.XLOOKUP(FT_RF_26[[#This Row],[Código]],BD_Cod[SKU],BD_Cod[Familia Calidad]),"")</f>
        <v/>
      </c>
      <c r="J23" s="33">
        <v>1000</v>
      </c>
      <c r="L23" s="30" t="s">
        <v>244</v>
      </c>
      <c r="O23" s="30" t="s">
        <v>894</v>
      </c>
      <c r="P23" s="29" t="s">
        <v>894</v>
      </c>
      <c r="Q23" s="37">
        <f>1-FT_RF_26[[#This Row],[% Defectos]]</f>
        <v>1</v>
      </c>
      <c r="R23" s="38">
        <v>0</v>
      </c>
      <c r="S23" s="39">
        <f>+IFERROR((FT_RF_26[[#This Row],[Inmadura]]/FT_RF_26[[#This Row],[Muestra]]),"0")</f>
        <v>0</v>
      </c>
      <c r="T23" s="38">
        <v>0</v>
      </c>
      <c r="U23" s="39">
        <f>+IFERROR((FT_RF_26[[#This Row],[Partidas]]/FT_RF_26[[#This Row],[Muestra]]),"0")</f>
        <v>0</v>
      </c>
      <c r="V23" s="38">
        <v>0</v>
      </c>
      <c r="W23" s="39">
        <f>+IFERROR((FT_RF_26[[#This Row],[Daño Insecto]]/FT_RF_26[[#This Row],[Muestra]]),"0")</f>
        <v>0</v>
      </c>
      <c r="X23" s="38">
        <v>0</v>
      </c>
      <c r="Y23" s="39">
        <f>+IFERROR((FT_RF_26[[#This Row],[Sobremadura]]/FT_RF_26[[#This Row],[Muestra]]),"0")</f>
        <v>0</v>
      </c>
      <c r="Z23" s="38">
        <v>0</v>
      </c>
      <c r="AA23" s="39">
        <f>+IFERROR((FT_RF_26[[#This Row],[Deforme]]/FT_RF_26[[#This Row],[Muestra]]),"0")</f>
        <v>0</v>
      </c>
      <c r="AB23" s="27"/>
      <c r="AC23" s="38">
        <v>0</v>
      </c>
      <c r="AD23" s="39">
        <f>+IFERROR((FT_RF_26[[#This Row],[Valor Extra 1]]/FT_RF_26[[#This Row],[Muestra]]),"0")</f>
        <v>0</v>
      </c>
      <c r="AF23" s="38">
        <v>0</v>
      </c>
      <c r="AG23" s="39">
        <f>+IFERROR((FT_RF_26[[#This Row],[Valor Extra 2]]/FT_RF_26[[#This Row],[Muestra]]),"0")</f>
        <v>0</v>
      </c>
      <c r="AH23" s="40">
        <v>0</v>
      </c>
      <c r="AI23" s="39">
        <f>+IFERROR((FT_RF_26[[#This Row],[Hongos]]/FT_RF_26[[#This Row],[Muestra]]),"0")</f>
        <v>0</v>
      </c>
      <c r="AJ23" s="38">
        <v>0</v>
      </c>
      <c r="AK23" s="39">
        <f>+IFERROR((FT_RF_26[[#This Row],[Block]]/FT_RF_26[[#This Row],[Muestra]]),"0")</f>
        <v>0</v>
      </c>
      <c r="AL23" s="41">
        <v>0</v>
      </c>
      <c r="AM23" s="42">
        <v>0</v>
      </c>
      <c r="AN23" s="38">
        <v>0</v>
      </c>
      <c r="AO23" s="39">
        <f>+IFERROR((FT_RF_26[[#This Row],[Fuera de calibre &lt;12mm]]/FT_RF_26[[#This Row],[Muestra]]),"0")</f>
        <v>0</v>
      </c>
      <c r="AP23" s="38">
        <v>0</v>
      </c>
      <c r="AQ23" s="39">
        <f>+IFERROR((FT_RF_26[[#This Row],[Calibre &lt;25]]/FT_RF_26[[#This Row],[Muestra]]),"0")</f>
        <v>0</v>
      </c>
      <c r="AR23" s="38">
        <v>0</v>
      </c>
      <c r="AS23" s="39">
        <f>+IFERROR((FT_RF_26[[#This Row],[Calibre &gt;12]]/FT_RF_26[[#This Row],[Muestra]]),"0")</f>
        <v>0</v>
      </c>
      <c r="AT23" s="38">
        <v>0</v>
      </c>
      <c r="AU23" s="39">
        <f>+IFERROR((FT_RF_26[[#This Row],[Calibre &lt;14]]/FT_RF_26[[#This Row],[Muestra]]),"0")</f>
        <v>0</v>
      </c>
      <c r="AV23" s="38">
        <v>0</v>
      </c>
      <c r="AW23" s="39">
        <f>+IFERROR((FT_RF_26[[#This Row],[Calibre &gt;14]]/FT_RF_26[[#This Row],[Muestra]]),"0")</f>
        <v>0</v>
      </c>
      <c r="AX23" s="38">
        <v>0</v>
      </c>
      <c r="AY23" s="39">
        <f>+IFERROR((FT_RF_26[[#This Row],[Calibre &lt;10]]/FT_RF_26[[#This Row],[Muestra]]),"0")</f>
        <v>0</v>
      </c>
      <c r="AZ23" s="38">
        <v>0</v>
      </c>
      <c r="BA23" s="39">
        <f>+IFERROR((FT_RF_26[[#This Row],[Calibre &gt;13]]/FT_RF_26[[#This Row],[Muestra]]),"0")</f>
        <v>0</v>
      </c>
      <c r="BB23" s="41"/>
      <c r="BG23" s="42"/>
      <c r="BH23" s="43">
        <v>0</v>
      </c>
      <c r="BI23" s="29" t="s">
        <v>894</v>
      </c>
      <c r="BJ23" s="29" t="s">
        <v>894</v>
      </c>
      <c r="BK2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3" s="45">
        <f>1-FT_RF_26[[#This Row],[% Defectos]]</f>
        <v>1</v>
      </c>
      <c r="BO23" s="60"/>
      <c r="BP23" s="12">
        <f>SUM(FT_RF_26[[#This Row],[Hoja (Un.)]:[Larvas Caja]])</f>
        <v>0</v>
      </c>
      <c r="BQ23" s="12">
        <f>SUM(FT_RF_26[[#This Row],[Vidrios]:[Plástico]])</f>
        <v>0</v>
      </c>
      <c r="BR23" s="12" t="str">
        <f>IF(ISBLANK(FT_RF_26[[#This Row],[Descripción del producto]]),"",FT_RF_26[[#This Row],[Descripción del producto]])</f>
        <v/>
      </c>
      <c r="BS23" s="29" t="str">
        <f>IF(ISBLANK(FT_RF_26[[#This Row],[N° de Lote]]),"",FT_RF_26[[#This Row],[N° de Lote]])</f>
        <v/>
      </c>
      <c r="BT23" s="29" t="str">
        <f>IF(ISBLANK(FT_RF_26[[#This Row],[N° de Pallet]]),"",FT_RF_26[[#This Row],[N° de Pallet]])</f>
        <v/>
      </c>
    </row>
    <row r="24" spans="1:72">
      <c r="B24" s="29">
        <f>+_xlfn.ISOWEEKNUM(FT_RF_26[[#This Row],[Fecha]])</f>
        <v>52</v>
      </c>
      <c r="E24" s="31"/>
      <c r="F24" s="12" t="str">
        <f>IFERROR(""&amp;_xlfn.XLOOKUP(FT_RF_26[[#This Row],[Código]],BD_Cod[SKU],BD_Cod[Descripción]),"")</f>
        <v/>
      </c>
      <c r="G24" s="32" t="str">
        <f>IFERROR(""&amp;_xlfn.XLOOKUP(FT_RF_26[[#This Row],[Código]],BD_Cod[SKU],BD_Cod[Familia Calidad]),"")</f>
        <v/>
      </c>
      <c r="J24" s="33">
        <v>1000</v>
      </c>
      <c r="L24" s="30" t="s">
        <v>244</v>
      </c>
      <c r="O24" s="30" t="s">
        <v>894</v>
      </c>
      <c r="P24" s="29" t="s">
        <v>894</v>
      </c>
      <c r="Q24" s="37">
        <f>1-FT_RF_26[[#This Row],[% Defectos]]</f>
        <v>1</v>
      </c>
      <c r="R24" s="38">
        <v>0</v>
      </c>
      <c r="S24" s="39">
        <f>+IFERROR((FT_RF_26[[#This Row],[Inmadura]]/FT_RF_26[[#This Row],[Muestra]]),"0")</f>
        <v>0</v>
      </c>
      <c r="T24" s="38">
        <v>0</v>
      </c>
      <c r="U24" s="39">
        <f>+IFERROR((FT_RF_26[[#This Row],[Partidas]]/FT_RF_26[[#This Row],[Muestra]]),"0")</f>
        <v>0</v>
      </c>
      <c r="V24" s="38">
        <v>0</v>
      </c>
      <c r="W24" s="39">
        <f>+IFERROR((FT_RF_26[[#This Row],[Daño Insecto]]/FT_RF_26[[#This Row],[Muestra]]),"0")</f>
        <v>0</v>
      </c>
      <c r="X24" s="38">
        <v>0</v>
      </c>
      <c r="Y24" s="39">
        <f>+IFERROR((FT_RF_26[[#This Row],[Sobremadura]]/FT_RF_26[[#This Row],[Muestra]]),"0")</f>
        <v>0</v>
      </c>
      <c r="Z24" s="38">
        <v>0</v>
      </c>
      <c r="AA24" s="39">
        <f>+IFERROR((FT_RF_26[[#This Row],[Deforme]]/FT_RF_26[[#This Row],[Muestra]]),"0")</f>
        <v>0</v>
      </c>
      <c r="AB24" s="27"/>
      <c r="AC24" s="38">
        <v>0</v>
      </c>
      <c r="AD24" s="39">
        <f>+IFERROR((FT_RF_26[[#This Row],[Valor Extra 1]]/FT_RF_26[[#This Row],[Muestra]]),"0")</f>
        <v>0</v>
      </c>
      <c r="AF24" s="38">
        <v>0</v>
      </c>
      <c r="AG24" s="39">
        <f>+IFERROR((FT_RF_26[[#This Row],[Valor Extra 2]]/FT_RF_26[[#This Row],[Muestra]]),"0")</f>
        <v>0</v>
      </c>
      <c r="AH24" s="40">
        <v>0</v>
      </c>
      <c r="AI24" s="39">
        <f>+IFERROR((FT_RF_26[[#This Row],[Hongos]]/FT_RF_26[[#This Row],[Muestra]]),"0")</f>
        <v>0</v>
      </c>
      <c r="AJ24" s="38">
        <v>0</v>
      </c>
      <c r="AK24" s="39">
        <f>+IFERROR((FT_RF_26[[#This Row],[Block]]/FT_RF_26[[#This Row],[Muestra]]),"0")</f>
        <v>0</v>
      </c>
      <c r="AL24" s="41">
        <v>0</v>
      </c>
      <c r="AM24" s="42">
        <v>0</v>
      </c>
      <c r="AN24" s="38">
        <v>0</v>
      </c>
      <c r="AO24" s="39">
        <f>+IFERROR((FT_RF_26[[#This Row],[Fuera de calibre &lt;12mm]]/FT_RF_26[[#This Row],[Muestra]]),"0")</f>
        <v>0</v>
      </c>
      <c r="AP24" s="38">
        <v>0</v>
      </c>
      <c r="AQ24" s="39">
        <f>+IFERROR((FT_RF_26[[#This Row],[Calibre &lt;25]]/FT_RF_26[[#This Row],[Muestra]]),"0")</f>
        <v>0</v>
      </c>
      <c r="AR24" s="38">
        <v>0</v>
      </c>
      <c r="AS24" s="39">
        <f>+IFERROR((FT_RF_26[[#This Row],[Calibre &gt;12]]/FT_RF_26[[#This Row],[Muestra]]),"0")</f>
        <v>0</v>
      </c>
      <c r="AT24" s="38">
        <v>0</v>
      </c>
      <c r="AU24" s="39">
        <f>+IFERROR((FT_RF_26[[#This Row],[Calibre &lt;14]]/FT_RF_26[[#This Row],[Muestra]]),"0")</f>
        <v>0</v>
      </c>
      <c r="AV24" s="38">
        <v>0</v>
      </c>
      <c r="AW24" s="39">
        <f>+IFERROR((FT_RF_26[[#This Row],[Calibre &gt;14]]/FT_RF_26[[#This Row],[Muestra]]),"0")</f>
        <v>0</v>
      </c>
      <c r="AX24" s="38">
        <v>0</v>
      </c>
      <c r="AY24" s="39">
        <f>+IFERROR((FT_RF_26[[#This Row],[Calibre &lt;10]]/FT_RF_26[[#This Row],[Muestra]]),"0")</f>
        <v>0</v>
      </c>
      <c r="AZ24" s="38">
        <v>0</v>
      </c>
      <c r="BA24" s="39">
        <f>+IFERROR((FT_RF_26[[#This Row],[Calibre &gt;13]]/FT_RF_26[[#This Row],[Muestra]]),"0")</f>
        <v>0</v>
      </c>
      <c r="BB24" s="41"/>
      <c r="BG24" s="42"/>
      <c r="BH24" s="43">
        <v>0</v>
      </c>
      <c r="BI24" s="29" t="s">
        <v>894</v>
      </c>
      <c r="BJ24" s="29" t="s">
        <v>894</v>
      </c>
      <c r="BK2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4" s="45">
        <f>1-FT_RF_26[[#This Row],[% Defectos]]</f>
        <v>1</v>
      </c>
      <c r="BO24" s="60"/>
      <c r="BP24" s="12">
        <f>SUM(FT_RF_26[[#This Row],[Hoja (Un.)]:[Larvas Caja]])</f>
        <v>0</v>
      </c>
      <c r="BQ24" s="12">
        <f>SUM(FT_RF_26[[#This Row],[Vidrios]:[Plástico]])</f>
        <v>0</v>
      </c>
      <c r="BR24" s="12" t="str">
        <f>IF(ISBLANK(FT_RF_26[[#This Row],[Descripción del producto]]),"",FT_RF_26[[#This Row],[Descripción del producto]])</f>
        <v/>
      </c>
      <c r="BS24" s="29" t="str">
        <f>IF(ISBLANK(FT_RF_26[[#This Row],[N° de Lote]]),"",FT_RF_26[[#This Row],[N° de Lote]])</f>
        <v/>
      </c>
      <c r="BT24" s="29" t="str">
        <f>IF(ISBLANK(FT_RF_26[[#This Row],[N° de Pallet]]),"",FT_RF_26[[#This Row],[N° de Pallet]])</f>
        <v/>
      </c>
    </row>
    <row r="25" spans="1:72">
      <c r="B25" s="29">
        <f>+_xlfn.ISOWEEKNUM(FT_RF_26[[#This Row],[Fecha]])</f>
        <v>52</v>
      </c>
      <c r="E25" s="31"/>
      <c r="F25" s="12" t="str">
        <f>IFERROR(""&amp;_xlfn.XLOOKUP(FT_RF_26[[#This Row],[Código]],BD_Cod[SKU],BD_Cod[Descripción]),"")</f>
        <v/>
      </c>
      <c r="G25" s="32" t="str">
        <f>IFERROR(""&amp;_xlfn.XLOOKUP(FT_RF_26[[#This Row],[Código]],BD_Cod[SKU],BD_Cod[Familia Calidad]),"")</f>
        <v/>
      </c>
      <c r="J25" s="33">
        <v>1000</v>
      </c>
      <c r="L25" s="30" t="s">
        <v>244</v>
      </c>
      <c r="O25" s="30" t="s">
        <v>894</v>
      </c>
      <c r="P25" s="29" t="s">
        <v>894</v>
      </c>
      <c r="Q25" s="37">
        <f>1-FT_RF_26[[#This Row],[% Defectos]]</f>
        <v>1</v>
      </c>
      <c r="R25" s="38">
        <v>0</v>
      </c>
      <c r="S25" s="39">
        <f>+IFERROR((FT_RF_26[[#This Row],[Inmadura]]/FT_RF_26[[#This Row],[Muestra]]),"0")</f>
        <v>0</v>
      </c>
      <c r="T25" s="38">
        <v>0</v>
      </c>
      <c r="U25" s="39">
        <f>+IFERROR((FT_RF_26[[#This Row],[Partidas]]/FT_RF_26[[#This Row],[Muestra]]),"0")</f>
        <v>0</v>
      </c>
      <c r="V25" s="38">
        <v>0</v>
      </c>
      <c r="W25" s="39">
        <f>+IFERROR((FT_RF_26[[#This Row],[Daño Insecto]]/FT_RF_26[[#This Row],[Muestra]]),"0")</f>
        <v>0</v>
      </c>
      <c r="X25" s="38">
        <v>0</v>
      </c>
      <c r="Y25" s="39">
        <f>+IFERROR((FT_RF_26[[#This Row],[Sobremadura]]/FT_RF_26[[#This Row],[Muestra]]),"0")</f>
        <v>0</v>
      </c>
      <c r="Z25" s="38">
        <v>0</v>
      </c>
      <c r="AA25" s="39">
        <f>+IFERROR((FT_RF_26[[#This Row],[Deforme]]/FT_RF_26[[#This Row],[Muestra]]),"0")</f>
        <v>0</v>
      </c>
      <c r="AB25" s="27"/>
      <c r="AC25" s="38">
        <v>0</v>
      </c>
      <c r="AD25" s="39">
        <f>+IFERROR((FT_RF_26[[#This Row],[Valor Extra 1]]/FT_RF_26[[#This Row],[Muestra]]),"0")</f>
        <v>0</v>
      </c>
      <c r="AF25" s="38">
        <v>0</v>
      </c>
      <c r="AG25" s="39">
        <f>+IFERROR((FT_RF_26[[#This Row],[Valor Extra 2]]/FT_RF_26[[#This Row],[Muestra]]),"0")</f>
        <v>0</v>
      </c>
      <c r="AH25" s="40">
        <v>0</v>
      </c>
      <c r="AI25" s="39">
        <f>+IFERROR((FT_RF_26[[#This Row],[Hongos]]/FT_RF_26[[#This Row],[Muestra]]),"0")</f>
        <v>0</v>
      </c>
      <c r="AJ25" s="38">
        <v>0</v>
      </c>
      <c r="AK25" s="39">
        <f>+IFERROR((FT_RF_26[[#This Row],[Block]]/FT_RF_26[[#This Row],[Muestra]]),"0")</f>
        <v>0</v>
      </c>
      <c r="AL25" s="41">
        <v>0</v>
      </c>
      <c r="AM25" s="42">
        <v>0</v>
      </c>
      <c r="AN25" s="38">
        <v>0</v>
      </c>
      <c r="AO25" s="39">
        <f>+IFERROR((FT_RF_26[[#This Row],[Fuera de calibre &lt;12mm]]/FT_RF_26[[#This Row],[Muestra]]),"0")</f>
        <v>0</v>
      </c>
      <c r="AP25" s="38">
        <v>0</v>
      </c>
      <c r="AQ25" s="39">
        <f>+IFERROR((FT_RF_26[[#This Row],[Calibre &lt;25]]/FT_RF_26[[#This Row],[Muestra]]),"0")</f>
        <v>0</v>
      </c>
      <c r="AR25" s="38">
        <v>0</v>
      </c>
      <c r="AS25" s="39">
        <f>+IFERROR((FT_RF_26[[#This Row],[Calibre &gt;12]]/FT_RF_26[[#This Row],[Muestra]]),"0")</f>
        <v>0</v>
      </c>
      <c r="AT25" s="38">
        <v>0</v>
      </c>
      <c r="AU25" s="39">
        <f>+IFERROR((FT_RF_26[[#This Row],[Calibre &lt;14]]/FT_RF_26[[#This Row],[Muestra]]),"0")</f>
        <v>0</v>
      </c>
      <c r="AV25" s="38">
        <v>0</v>
      </c>
      <c r="AW25" s="39">
        <f>+IFERROR((FT_RF_26[[#This Row],[Calibre &gt;14]]/FT_RF_26[[#This Row],[Muestra]]),"0")</f>
        <v>0</v>
      </c>
      <c r="AX25" s="38">
        <v>0</v>
      </c>
      <c r="AY25" s="39">
        <f>+IFERROR((FT_RF_26[[#This Row],[Calibre &lt;10]]/FT_RF_26[[#This Row],[Muestra]]),"0")</f>
        <v>0</v>
      </c>
      <c r="AZ25" s="38">
        <v>0</v>
      </c>
      <c r="BA25" s="39">
        <f>+IFERROR((FT_RF_26[[#This Row],[Calibre &gt;13]]/FT_RF_26[[#This Row],[Muestra]]),"0")</f>
        <v>0</v>
      </c>
      <c r="BB25" s="41"/>
      <c r="BG25" s="42"/>
      <c r="BH25" s="43">
        <v>0</v>
      </c>
      <c r="BI25" s="29" t="s">
        <v>894</v>
      </c>
      <c r="BJ25" s="29" t="s">
        <v>894</v>
      </c>
      <c r="BK2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5" s="45">
        <f>1-FT_RF_26[[#This Row],[% Defectos]]</f>
        <v>1</v>
      </c>
      <c r="BO25" s="60"/>
      <c r="BP25" s="12">
        <f>SUM(FT_RF_26[[#This Row],[Hoja (Un.)]:[Larvas Caja]])</f>
        <v>0</v>
      </c>
      <c r="BQ25" s="12">
        <f>SUM(FT_RF_26[[#This Row],[Vidrios]:[Plástico]])</f>
        <v>0</v>
      </c>
      <c r="BR25" s="12" t="str">
        <f>IF(ISBLANK(FT_RF_26[[#This Row],[Descripción del producto]]),"",FT_RF_26[[#This Row],[Descripción del producto]])</f>
        <v/>
      </c>
      <c r="BS25" s="29" t="str">
        <f>IF(ISBLANK(FT_RF_26[[#This Row],[N° de Lote]]),"",FT_RF_26[[#This Row],[N° de Lote]])</f>
        <v/>
      </c>
      <c r="BT25" s="29" t="str">
        <f>IF(ISBLANK(FT_RF_26[[#This Row],[N° de Pallet]]),"",FT_RF_26[[#This Row],[N° de Pallet]])</f>
        <v/>
      </c>
    </row>
    <row r="26" spans="1:72">
      <c r="B26" s="29">
        <f>+_xlfn.ISOWEEKNUM(FT_RF_26[[#This Row],[Fecha]])</f>
        <v>52</v>
      </c>
      <c r="E26" s="31"/>
      <c r="F26" s="12" t="str">
        <f>IFERROR(""&amp;_xlfn.XLOOKUP(FT_RF_26[[#This Row],[Código]],BD_Cod[SKU],BD_Cod[Descripción]),"")</f>
        <v/>
      </c>
      <c r="G26" s="32" t="str">
        <f>IFERROR(""&amp;_xlfn.XLOOKUP(FT_RF_26[[#This Row],[Código]],BD_Cod[SKU],BD_Cod[Familia Calidad]),"")</f>
        <v/>
      </c>
      <c r="J26" s="33">
        <v>1000</v>
      </c>
      <c r="L26" s="30" t="s">
        <v>244</v>
      </c>
      <c r="O26" s="30" t="s">
        <v>894</v>
      </c>
      <c r="P26" s="29" t="s">
        <v>894</v>
      </c>
      <c r="Q26" s="37">
        <f>1-FT_RF_26[[#This Row],[% Defectos]]</f>
        <v>1</v>
      </c>
      <c r="R26" s="38">
        <v>0</v>
      </c>
      <c r="S26" s="39">
        <f>+IFERROR((FT_RF_26[[#This Row],[Inmadura]]/FT_RF_26[[#This Row],[Muestra]]),"0")</f>
        <v>0</v>
      </c>
      <c r="T26" s="38">
        <v>0</v>
      </c>
      <c r="U26" s="39">
        <f>+IFERROR((FT_RF_26[[#This Row],[Partidas]]/FT_RF_26[[#This Row],[Muestra]]),"0")</f>
        <v>0</v>
      </c>
      <c r="V26" s="38">
        <v>0</v>
      </c>
      <c r="W26" s="39">
        <f>+IFERROR((FT_RF_26[[#This Row],[Daño Insecto]]/FT_RF_26[[#This Row],[Muestra]]),"0")</f>
        <v>0</v>
      </c>
      <c r="X26" s="38">
        <v>0</v>
      </c>
      <c r="Y26" s="39">
        <f>+IFERROR((FT_RF_26[[#This Row],[Sobremadura]]/FT_RF_26[[#This Row],[Muestra]]),"0")</f>
        <v>0</v>
      </c>
      <c r="Z26" s="38">
        <v>0</v>
      </c>
      <c r="AA26" s="39">
        <f>+IFERROR((FT_RF_26[[#This Row],[Deforme]]/FT_RF_26[[#This Row],[Muestra]]),"0")</f>
        <v>0</v>
      </c>
      <c r="AB26" s="27"/>
      <c r="AC26" s="38">
        <v>0</v>
      </c>
      <c r="AD26" s="39">
        <f>+IFERROR((FT_RF_26[[#This Row],[Valor Extra 1]]/FT_RF_26[[#This Row],[Muestra]]),"0")</f>
        <v>0</v>
      </c>
      <c r="AF26" s="38">
        <v>0</v>
      </c>
      <c r="AG26" s="39">
        <f>+IFERROR((FT_RF_26[[#This Row],[Valor Extra 2]]/FT_RF_26[[#This Row],[Muestra]]),"0")</f>
        <v>0</v>
      </c>
      <c r="AH26" s="40">
        <v>0</v>
      </c>
      <c r="AI26" s="39">
        <f>+IFERROR((FT_RF_26[[#This Row],[Hongos]]/FT_RF_26[[#This Row],[Muestra]]),"0")</f>
        <v>0</v>
      </c>
      <c r="AJ26" s="38">
        <v>0</v>
      </c>
      <c r="AK26" s="39">
        <f>+IFERROR((FT_RF_26[[#This Row],[Block]]/FT_RF_26[[#This Row],[Muestra]]),"0")</f>
        <v>0</v>
      </c>
      <c r="AL26" s="41">
        <v>0</v>
      </c>
      <c r="AM26" s="42">
        <v>0</v>
      </c>
      <c r="AN26" s="38">
        <v>0</v>
      </c>
      <c r="AO26" s="39">
        <f>+IFERROR((FT_RF_26[[#This Row],[Fuera de calibre &lt;12mm]]/FT_RF_26[[#This Row],[Muestra]]),"0")</f>
        <v>0</v>
      </c>
      <c r="AP26" s="38">
        <v>0</v>
      </c>
      <c r="AQ26" s="39">
        <f>+IFERROR((FT_RF_26[[#This Row],[Calibre &lt;25]]/FT_RF_26[[#This Row],[Muestra]]),"0")</f>
        <v>0</v>
      </c>
      <c r="AR26" s="38">
        <v>0</v>
      </c>
      <c r="AS26" s="39">
        <f>+IFERROR((FT_RF_26[[#This Row],[Calibre &gt;12]]/FT_RF_26[[#This Row],[Muestra]]),"0")</f>
        <v>0</v>
      </c>
      <c r="AT26" s="38">
        <v>0</v>
      </c>
      <c r="AU26" s="39">
        <f>+IFERROR((FT_RF_26[[#This Row],[Calibre &lt;14]]/FT_RF_26[[#This Row],[Muestra]]),"0")</f>
        <v>0</v>
      </c>
      <c r="AV26" s="38">
        <v>0</v>
      </c>
      <c r="AW26" s="39">
        <f>+IFERROR((FT_RF_26[[#This Row],[Calibre &gt;14]]/FT_RF_26[[#This Row],[Muestra]]),"0")</f>
        <v>0</v>
      </c>
      <c r="AX26" s="38">
        <v>0</v>
      </c>
      <c r="AY26" s="39">
        <f>+IFERROR((FT_RF_26[[#This Row],[Calibre &lt;10]]/FT_RF_26[[#This Row],[Muestra]]),"0")</f>
        <v>0</v>
      </c>
      <c r="AZ26" s="38">
        <v>0</v>
      </c>
      <c r="BA26" s="39">
        <f>+IFERROR((FT_RF_26[[#This Row],[Calibre &gt;13]]/FT_RF_26[[#This Row],[Muestra]]),"0")</f>
        <v>0</v>
      </c>
      <c r="BB26" s="41"/>
      <c r="BG26" s="42"/>
      <c r="BH26" s="43">
        <v>0</v>
      </c>
      <c r="BI26" s="29" t="s">
        <v>894</v>
      </c>
      <c r="BJ26" s="29" t="s">
        <v>894</v>
      </c>
      <c r="BK2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6" s="45">
        <f>1-FT_RF_26[[#This Row],[% Defectos]]</f>
        <v>1</v>
      </c>
      <c r="BO26" s="60"/>
      <c r="BP26" s="12">
        <f>SUM(FT_RF_26[[#This Row],[Hoja (Un.)]:[Larvas Caja]])</f>
        <v>0</v>
      </c>
      <c r="BQ26" s="12">
        <f>SUM(FT_RF_26[[#This Row],[Vidrios]:[Plástico]])</f>
        <v>0</v>
      </c>
      <c r="BR26" s="12" t="str">
        <f>IF(ISBLANK(FT_RF_26[[#This Row],[Descripción del producto]]),"",FT_RF_26[[#This Row],[Descripción del producto]])</f>
        <v/>
      </c>
      <c r="BS26" s="29" t="str">
        <f>IF(ISBLANK(FT_RF_26[[#This Row],[N° de Lote]]),"",FT_RF_26[[#This Row],[N° de Lote]])</f>
        <v/>
      </c>
      <c r="BT26" s="29" t="str">
        <f>IF(ISBLANK(FT_RF_26[[#This Row],[N° de Pallet]]),"",FT_RF_26[[#This Row],[N° de Pallet]])</f>
        <v/>
      </c>
    </row>
    <row r="27" spans="1:72">
      <c r="B27" s="29">
        <f>+_xlfn.ISOWEEKNUM(FT_RF_26[[#This Row],[Fecha]])</f>
        <v>52</v>
      </c>
      <c r="E27" s="31"/>
      <c r="F27" s="12" t="str">
        <f>IFERROR(""&amp;_xlfn.XLOOKUP(FT_RF_26[[#This Row],[Código]],BD_Cod[SKU],BD_Cod[Descripción]),"")</f>
        <v/>
      </c>
      <c r="G27" s="32" t="str">
        <f>IFERROR(""&amp;_xlfn.XLOOKUP(FT_RF_26[[#This Row],[Código]],BD_Cod[SKU],BD_Cod[Familia Calidad]),"")</f>
        <v/>
      </c>
      <c r="J27" s="33">
        <v>1000</v>
      </c>
      <c r="L27" s="30" t="s">
        <v>244</v>
      </c>
      <c r="O27" s="30" t="s">
        <v>894</v>
      </c>
      <c r="P27" s="29" t="s">
        <v>894</v>
      </c>
      <c r="Q27" s="37">
        <f>1-FT_RF_26[[#This Row],[% Defectos]]</f>
        <v>1</v>
      </c>
      <c r="R27" s="38">
        <v>0</v>
      </c>
      <c r="S27" s="39">
        <f>+IFERROR((FT_RF_26[[#This Row],[Inmadura]]/FT_RF_26[[#This Row],[Muestra]]),"0")</f>
        <v>0</v>
      </c>
      <c r="T27" s="38">
        <v>0</v>
      </c>
      <c r="U27" s="39">
        <f>+IFERROR((FT_RF_26[[#This Row],[Partidas]]/FT_RF_26[[#This Row],[Muestra]]),"0")</f>
        <v>0</v>
      </c>
      <c r="V27" s="38">
        <v>0</v>
      </c>
      <c r="W27" s="39">
        <f>+IFERROR((FT_RF_26[[#This Row],[Daño Insecto]]/FT_RF_26[[#This Row],[Muestra]]),"0")</f>
        <v>0</v>
      </c>
      <c r="X27" s="38">
        <v>0</v>
      </c>
      <c r="Y27" s="39">
        <f>+IFERROR((FT_RF_26[[#This Row],[Sobremadura]]/FT_RF_26[[#This Row],[Muestra]]),"0")</f>
        <v>0</v>
      </c>
      <c r="Z27" s="38">
        <v>0</v>
      </c>
      <c r="AA27" s="39">
        <f>+IFERROR((FT_RF_26[[#This Row],[Deforme]]/FT_RF_26[[#This Row],[Muestra]]),"0")</f>
        <v>0</v>
      </c>
      <c r="AB27" s="27"/>
      <c r="AC27" s="38">
        <v>0</v>
      </c>
      <c r="AD27" s="39">
        <f>+IFERROR((FT_RF_26[[#This Row],[Valor Extra 1]]/FT_RF_26[[#This Row],[Muestra]]),"0")</f>
        <v>0</v>
      </c>
      <c r="AF27" s="38">
        <v>0</v>
      </c>
      <c r="AG27" s="39">
        <f>+IFERROR((FT_RF_26[[#This Row],[Valor Extra 2]]/FT_RF_26[[#This Row],[Muestra]]),"0")</f>
        <v>0</v>
      </c>
      <c r="AH27" s="40">
        <v>0</v>
      </c>
      <c r="AI27" s="39">
        <f>+IFERROR((FT_RF_26[[#This Row],[Hongos]]/FT_RF_26[[#This Row],[Muestra]]),"0")</f>
        <v>0</v>
      </c>
      <c r="AJ27" s="38">
        <v>0</v>
      </c>
      <c r="AK27" s="39">
        <f>+IFERROR((FT_RF_26[[#This Row],[Block]]/FT_RF_26[[#This Row],[Muestra]]),"0")</f>
        <v>0</v>
      </c>
      <c r="AL27" s="41">
        <v>0</v>
      </c>
      <c r="AM27" s="42">
        <v>0</v>
      </c>
      <c r="AN27" s="38">
        <v>0</v>
      </c>
      <c r="AO27" s="39">
        <f>+IFERROR((FT_RF_26[[#This Row],[Fuera de calibre &lt;12mm]]/FT_RF_26[[#This Row],[Muestra]]),"0")</f>
        <v>0</v>
      </c>
      <c r="AP27" s="38">
        <v>0</v>
      </c>
      <c r="AQ27" s="39">
        <f>+IFERROR((FT_RF_26[[#This Row],[Calibre &lt;25]]/FT_RF_26[[#This Row],[Muestra]]),"0")</f>
        <v>0</v>
      </c>
      <c r="AR27" s="38">
        <v>0</v>
      </c>
      <c r="AS27" s="39">
        <f>+IFERROR((FT_RF_26[[#This Row],[Calibre &gt;12]]/FT_RF_26[[#This Row],[Muestra]]),"0")</f>
        <v>0</v>
      </c>
      <c r="AT27" s="38">
        <v>0</v>
      </c>
      <c r="AU27" s="39">
        <f>+IFERROR((FT_RF_26[[#This Row],[Calibre &lt;14]]/FT_RF_26[[#This Row],[Muestra]]),"0")</f>
        <v>0</v>
      </c>
      <c r="AV27" s="38">
        <v>0</v>
      </c>
      <c r="AW27" s="39">
        <f>+IFERROR((FT_RF_26[[#This Row],[Calibre &gt;14]]/FT_RF_26[[#This Row],[Muestra]]),"0")</f>
        <v>0</v>
      </c>
      <c r="AX27" s="38">
        <v>0</v>
      </c>
      <c r="AY27" s="39">
        <f>+IFERROR((FT_RF_26[[#This Row],[Calibre &lt;10]]/FT_RF_26[[#This Row],[Muestra]]),"0")</f>
        <v>0</v>
      </c>
      <c r="AZ27" s="38">
        <v>0</v>
      </c>
      <c r="BA27" s="39">
        <f>+IFERROR((FT_RF_26[[#This Row],[Calibre &gt;13]]/FT_RF_26[[#This Row],[Muestra]]),"0")</f>
        <v>0</v>
      </c>
      <c r="BB27" s="41"/>
      <c r="BG27" s="42"/>
      <c r="BH27" s="43">
        <v>0</v>
      </c>
      <c r="BI27" s="29" t="s">
        <v>894</v>
      </c>
      <c r="BJ27" s="29" t="s">
        <v>894</v>
      </c>
      <c r="BK2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7" s="45">
        <f>1-FT_RF_26[[#This Row],[% Defectos]]</f>
        <v>1</v>
      </c>
      <c r="BO27" s="60"/>
      <c r="BP27" s="12">
        <f>SUM(FT_RF_26[[#This Row],[Hoja (Un.)]:[Larvas Caja]])</f>
        <v>0</v>
      </c>
      <c r="BQ27" s="12">
        <f>SUM(FT_RF_26[[#This Row],[Vidrios]:[Plástico]])</f>
        <v>0</v>
      </c>
      <c r="BR27" s="12" t="str">
        <f>IF(ISBLANK(FT_RF_26[[#This Row],[Descripción del producto]]),"",FT_RF_26[[#This Row],[Descripción del producto]])</f>
        <v/>
      </c>
      <c r="BS27" s="29" t="str">
        <f>IF(ISBLANK(FT_RF_26[[#This Row],[N° de Lote]]),"",FT_RF_26[[#This Row],[N° de Lote]])</f>
        <v/>
      </c>
      <c r="BT27" s="29" t="str">
        <f>IF(ISBLANK(FT_RF_26[[#This Row],[N° de Pallet]]),"",FT_RF_26[[#This Row],[N° de Pallet]])</f>
        <v/>
      </c>
    </row>
    <row r="28" spans="1:72">
      <c r="B28" s="29">
        <f>+_xlfn.ISOWEEKNUM(FT_RF_26[[#This Row],[Fecha]])</f>
        <v>52</v>
      </c>
      <c r="E28" s="31"/>
      <c r="F28" s="12" t="str">
        <f>IFERROR(""&amp;_xlfn.XLOOKUP(FT_RF_26[[#This Row],[Código]],BD_Cod[SKU],BD_Cod[Descripción]),"")</f>
        <v/>
      </c>
      <c r="G28" s="32" t="str">
        <f>IFERROR(""&amp;_xlfn.XLOOKUP(FT_RF_26[[#This Row],[Código]],BD_Cod[SKU],BD_Cod[Familia Calidad]),"")</f>
        <v/>
      </c>
      <c r="J28" s="33">
        <v>1000</v>
      </c>
      <c r="L28" s="30" t="s">
        <v>244</v>
      </c>
      <c r="O28" s="30" t="s">
        <v>894</v>
      </c>
      <c r="P28" s="29" t="s">
        <v>894</v>
      </c>
      <c r="Q28" s="37">
        <f>1-FT_RF_26[[#This Row],[% Defectos]]</f>
        <v>1</v>
      </c>
      <c r="R28" s="38">
        <v>0</v>
      </c>
      <c r="S28" s="39">
        <f>+IFERROR((FT_RF_26[[#This Row],[Inmadura]]/FT_RF_26[[#This Row],[Muestra]]),"0")</f>
        <v>0</v>
      </c>
      <c r="T28" s="38">
        <v>0</v>
      </c>
      <c r="U28" s="39">
        <f>+IFERROR((FT_RF_26[[#This Row],[Partidas]]/FT_RF_26[[#This Row],[Muestra]]),"0")</f>
        <v>0</v>
      </c>
      <c r="V28" s="38">
        <v>0</v>
      </c>
      <c r="W28" s="39">
        <f>+IFERROR((FT_RF_26[[#This Row],[Daño Insecto]]/FT_RF_26[[#This Row],[Muestra]]),"0")</f>
        <v>0</v>
      </c>
      <c r="X28" s="38">
        <v>0</v>
      </c>
      <c r="Y28" s="39">
        <f>+IFERROR((FT_RF_26[[#This Row],[Sobremadura]]/FT_RF_26[[#This Row],[Muestra]]),"0")</f>
        <v>0</v>
      </c>
      <c r="Z28" s="38">
        <v>0</v>
      </c>
      <c r="AA28" s="39">
        <f>+IFERROR((FT_RF_26[[#This Row],[Deforme]]/FT_RF_26[[#This Row],[Muestra]]),"0")</f>
        <v>0</v>
      </c>
      <c r="AB28" s="27"/>
      <c r="AC28" s="38">
        <v>0</v>
      </c>
      <c r="AD28" s="39">
        <f>+IFERROR((FT_RF_26[[#This Row],[Valor Extra 1]]/FT_RF_26[[#This Row],[Muestra]]),"0")</f>
        <v>0</v>
      </c>
      <c r="AF28" s="38">
        <v>0</v>
      </c>
      <c r="AG28" s="39">
        <f>+IFERROR((FT_RF_26[[#This Row],[Valor Extra 2]]/FT_RF_26[[#This Row],[Muestra]]),"0")</f>
        <v>0</v>
      </c>
      <c r="AH28" s="40">
        <v>0</v>
      </c>
      <c r="AI28" s="39">
        <f>+IFERROR((FT_RF_26[[#This Row],[Hongos]]/FT_RF_26[[#This Row],[Muestra]]),"0")</f>
        <v>0</v>
      </c>
      <c r="AJ28" s="38">
        <v>0</v>
      </c>
      <c r="AK28" s="39">
        <f>+IFERROR((FT_RF_26[[#This Row],[Block]]/FT_RF_26[[#This Row],[Muestra]]),"0")</f>
        <v>0</v>
      </c>
      <c r="AL28" s="41">
        <v>0</v>
      </c>
      <c r="AM28" s="42">
        <v>0</v>
      </c>
      <c r="AN28" s="38">
        <v>0</v>
      </c>
      <c r="AO28" s="39">
        <f>+IFERROR((FT_RF_26[[#This Row],[Fuera de calibre &lt;12mm]]/FT_RF_26[[#This Row],[Muestra]]),"0")</f>
        <v>0</v>
      </c>
      <c r="AP28" s="38">
        <v>0</v>
      </c>
      <c r="AQ28" s="39">
        <f>+IFERROR((FT_RF_26[[#This Row],[Calibre &lt;25]]/FT_RF_26[[#This Row],[Muestra]]),"0")</f>
        <v>0</v>
      </c>
      <c r="AR28" s="38">
        <v>0</v>
      </c>
      <c r="AS28" s="39">
        <f>+IFERROR((FT_RF_26[[#This Row],[Calibre &gt;12]]/FT_RF_26[[#This Row],[Muestra]]),"0")</f>
        <v>0</v>
      </c>
      <c r="AT28" s="38">
        <v>0</v>
      </c>
      <c r="AU28" s="39">
        <f>+IFERROR((FT_RF_26[[#This Row],[Calibre &lt;14]]/FT_RF_26[[#This Row],[Muestra]]),"0")</f>
        <v>0</v>
      </c>
      <c r="AV28" s="38">
        <v>0</v>
      </c>
      <c r="AW28" s="39">
        <f>+IFERROR((FT_RF_26[[#This Row],[Calibre &gt;14]]/FT_RF_26[[#This Row],[Muestra]]),"0")</f>
        <v>0</v>
      </c>
      <c r="AX28" s="38">
        <v>0</v>
      </c>
      <c r="AY28" s="39">
        <f>+IFERROR((FT_RF_26[[#This Row],[Calibre &lt;10]]/FT_RF_26[[#This Row],[Muestra]]),"0")</f>
        <v>0</v>
      </c>
      <c r="AZ28" s="38">
        <v>0</v>
      </c>
      <c r="BA28" s="39">
        <f>+IFERROR((FT_RF_26[[#This Row],[Calibre &gt;13]]/FT_RF_26[[#This Row],[Muestra]]),"0")</f>
        <v>0</v>
      </c>
      <c r="BB28" s="41"/>
      <c r="BG28" s="42"/>
      <c r="BH28" s="43">
        <v>0</v>
      </c>
      <c r="BI28" s="29" t="s">
        <v>894</v>
      </c>
      <c r="BJ28" s="29" t="s">
        <v>894</v>
      </c>
      <c r="BK2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8" s="45">
        <f>1-FT_RF_26[[#This Row],[% Defectos]]</f>
        <v>1</v>
      </c>
      <c r="BO28" s="60"/>
      <c r="BP28" s="12">
        <f>SUM(FT_RF_26[[#This Row],[Hoja (Un.)]:[Larvas Caja]])</f>
        <v>0</v>
      </c>
      <c r="BQ28" s="12">
        <f>SUM(FT_RF_26[[#This Row],[Vidrios]:[Plástico]])</f>
        <v>0</v>
      </c>
      <c r="BR28" s="12" t="str">
        <f>IF(ISBLANK(FT_RF_26[[#This Row],[Descripción del producto]]),"",FT_RF_26[[#This Row],[Descripción del producto]])</f>
        <v/>
      </c>
      <c r="BS28" s="29" t="str">
        <f>IF(ISBLANK(FT_RF_26[[#This Row],[N° de Lote]]),"",FT_RF_26[[#This Row],[N° de Lote]])</f>
        <v/>
      </c>
      <c r="BT28" s="29" t="str">
        <f>IF(ISBLANK(FT_RF_26[[#This Row],[N° de Pallet]]),"",FT_RF_26[[#This Row],[N° de Pallet]])</f>
        <v/>
      </c>
    </row>
    <row r="29" spans="1:72">
      <c r="B29" s="29">
        <f>+_xlfn.ISOWEEKNUM(FT_RF_26[[#This Row],[Fecha]])</f>
        <v>52</v>
      </c>
      <c r="E29" s="31"/>
      <c r="F29" s="12" t="str">
        <f>IFERROR(""&amp;_xlfn.XLOOKUP(FT_RF_26[[#This Row],[Código]],BD_Cod[SKU],BD_Cod[Descripción]),"")</f>
        <v/>
      </c>
      <c r="G29" s="32" t="str">
        <f>IFERROR(""&amp;_xlfn.XLOOKUP(FT_RF_26[[#This Row],[Código]],BD_Cod[SKU],BD_Cod[Familia Calidad]),"")</f>
        <v/>
      </c>
      <c r="J29" s="33">
        <v>1000</v>
      </c>
      <c r="L29" s="30" t="s">
        <v>244</v>
      </c>
      <c r="O29" s="30" t="s">
        <v>894</v>
      </c>
      <c r="P29" s="29" t="s">
        <v>894</v>
      </c>
      <c r="Q29" s="37">
        <f>1-FT_RF_26[[#This Row],[% Defectos]]</f>
        <v>1</v>
      </c>
      <c r="R29" s="38">
        <v>0</v>
      </c>
      <c r="S29" s="39">
        <f>+IFERROR((FT_RF_26[[#This Row],[Inmadura]]/FT_RF_26[[#This Row],[Muestra]]),"0")</f>
        <v>0</v>
      </c>
      <c r="T29" s="38">
        <v>0</v>
      </c>
      <c r="U29" s="39">
        <f>+IFERROR((FT_RF_26[[#This Row],[Partidas]]/FT_RF_26[[#This Row],[Muestra]]),"0")</f>
        <v>0</v>
      </c>
      <c r="V29" s="38">
        <v>0</v>
      </c>
      <c r="W29" s="39">
        <f>+IFERROR((FT_RF_26[[#This Row],[Daño Insecto]]/FT_RF_26[[#This Row],[Muestra]]),"0")</f>
        <v>0</v>
      </c>
      <c r="X29" s="38">
        <v>0</v>
      </c>
      <c r="Y29" s="39">
        <f>+IFERROR((FT_RF_26[[#This Row],[Sobremadura]]/FT_RF_26[[#This Row],[Muestra]]),"0")</f>
        <v>0</v>
      </c>
      <c r="Z29" s="38">
        <v>0</v>
      </c>
      <c r="AA29" s="39">
        <f>+IFERROR((FT_RF_26[[#This Row],[Deforme]]/FT_RF_26[[#This Row],[Muestra]]),"0")</f>
        <v>0</v>
      </c>
      <c r="AB29" s="27"/>
      <c r="AC29" s="38">
        <v>0</v>
      </c>
      <c r="AD29" s="39">
        <f>+IFERROR((FT_RF_26[[#This Row],[Valor Extra 1]]/FT_RF_26[[#This Row],[Muestra]]),"0")</f>
        <v>0</v>
      </c>
      <c r="AF29" s="38">
        <v>0</v>
      </c>
      <c r="AG29" s="39">
        <f>+IFERROR((FT_RF_26[[#This Row],[Valor Extra 2]]/FT_RF_26[[#This Row],[Muestra]]),"0")</f>
        <v>0</v>
      </c>
      <c r="AH29" s="40">
        <v>0</v>
      </c>
      <c r="AI29" s="39">
        <f>+IFERROR((FT_RF_26[[#This Row],[Hongos]]/FT_RF_26[[#This Row],[Muestra]]),"0")</f>
        <v>0</v>
      </c>
      <c r="AJ29" s="38">
        <v>0</v>
      </c>
      <c r="AK29" s="39">
        <f>+IFERROR((FT_RF_26[[#This Row],[Block]]/FT_RF_26[[#This Row],[Muestra]]),"0")</f>
        <v>0</v>
      </c>
      <c r="AL29" s="41">
        <v>0</v>
      </c>
      <c r="AM29" s="42">
        <v>0</v>
      </c>
      <c r="AN29" s="38">
        <v>0</v>
      </c>
      <c r="AO29" s="39">
        <f>+IFERROR((FT_RF_26[[#This Row],[Fuera de calibre &lt;12mm]]/FT_RF_26[[#This Row],[Muestra]]),"0")</f>
        <v>0</v>
      </c>
      <c r="AP29" s="38">
        <v>0</v>
      </c>
      <c r="AQ29" s="39">
        <f>+IFERROR((FT_RF_26[[#This Row],[Calibre &lt;25]]/FT_RF_26[[#This Row],[Muestra]]),"0")</f>
        <v>0</v>
      </c>
      <c r="AR29" s="38">
        <v>0</v>
      </c>
      <c r="AS29" s="39">
        <f>+IFERROR((FT_RF_26[[#This Row],[Calibre &gt;12]]/FT_RF_26[[#This Row],[Muestra]]),"0")</f>
        <v>0</v>
      </c>
      <c r="AT29" s="38">
        <v>0</v>
      </c>
      <c r="AU29" s="39">
        <f>+IFERROR((FT_RF_26[[#This Row],[Calibre &lt;14]]/FT_RF_26[[#This Row],[Muestra]]),"0")</f>
        <v>0</v>
      </c>
      <c r="AV29" s="38">
        <v>0</v>
      </c>
      <c r="AW29" s="39">
        <f>+IFERROR((FT_RF_26[[#This Row],[Calibre &gt;14]]/FT_RF_26[[#This Row],[Muestra]]),"0")</f>
        <v>0</v>
      </c>
      <c r="AX29" s="38">
        <v>0</v>
      </c>
      <c r="AY29" s="39">
        <f>+IFERROR((FT_RF_26[[#This Row],[Calibre &lt;10]]/FT_RF_26[[#This Row],[Muestra]]),"0")</f>
        <v>0</v>
      </c>
      <c r="AZ29" s="38">
        <v>0</v>
      </c>
      <c r="BA29" s="39">
        <f>+IFERROR((FT_RF_26[[#This Row],[Calibre &gt;13]]/FT_RF_26[[#This Row],[Muestra]]),"0")</f>
        <v>0</v>
      </c>
      <c r="BB29" s="41"/>
      <c r="BG29" s="42"/>
      <c r="BH29" s="43">
        <v>0</v>
      </c>
      <c r="BI29" s="29" t="s">
        <v>894</v>
      </c>
      <c r="BJ29" s="29" t="s">
        <v>894</v>
      </c>
      <c r="BK2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9" s="45">
        <f>1-FT_RF_26[[#This Row],[% Defectos]]</f>
        <v>1</v>
      </c>
      <c r="BO29" s="60"/>
      <c r="BP29" s="12">
        <f>SUM(FT_RF_26[[#This Row],[Hoja (Un.)]:[Larvas Caja]])</f>
        <v>0</v>
      </c>
      <c r="BQ29" s="12">
        <f>SUM(FT_RF_26[[#This Row],[Vidrios]:[Plástico]])</f>
        <v>0</v>
      </c>
      <c r="BR29" s="12" t="str">
        <f>IF(ISBLANK(FT_RF_26[[#This Row],[Descripción del producto]]),"",FT_RF_26[[#This Row],[Descripción del producto]])</f>
        <v/>
      </c>
      <c r="BS29" s="29" t="str">
        <f>IF(ISBLANK(FT_RF_26[[#This Row],[N° de Lote]]),"",FT_RF_26[[#This Row],[N° de Lote]])</f>
        <v/>
      </c>
      <c r="BT29" s="29" t="str">
        <f>IF(ISBLANK(FT_RF_26[[#This Row],[N° de Pallet]]),"",FT_RF_26[[#This Row],[N° de Pallet]])</f>
        <v/>
      </c>
    </row>
    <row r="30" spans="1:72">
      <c r="B30" s="29">
        <f>+_xlfn.ISOWEEKNUM(FT_RF_26[[#This Row],[Fecha]])</f>
        <v>52</v>
      </c>
      <c r="E30" s="31"/>
      <c r="F30" s="12" t="str">
        <f>IFERROR(""&amp;_xlfn.XLOOKUP(FT_RF_26[[#This Row],[Código]],BD_Cod[SKU],BD_Cod[Descripción]),"")</f>
        <v/>
      </c>
      <c r="G30" s="32" t="str">
        <f>IFERROR(""&amp;_xlfn.XLOOKUP(FT_RF_26[[#This Row],[Código]],BD_Cod[SKU],BD_Cod[Familia Calidad]),"")</f>
        <v/>
      </c>
      <c r="J30" s="33">
        <v>1000</v>
      </c>
      <c r="L30" s="30" t="s">
        <v>244</v>
      </c>
      <c r="O30" s="30" t="s">
        <v>894</v>
      </c>
      <c r="P30" s="29" t="s">
        <v>894</v>
      </c>
      <c r="Q30" s="37">
        <f>1-FT_RF_26[[#This Row],[% Defectos]]</f>
        <v>1</v>
      </c>
      <c r="R30" s="38">
        <v>0</v>
      </c>
      <c r="S30" s="39">
        <f>+IFERROR((FT_RF_26[[#This Row],[Inmadura]]/FT_RF_26[[#This Row],[Muestra]]),"0")</f>
        <v>0</v>
      </c>
      <c r="T30" s="38">
        <v>0</v>
      </c>
      <c r="U30" s="39">
        <f>+IFERROR((FT_RF_26[[#This Row],[Partidas]]/FT_RF_26[[#This Row],[Muestra]]),"0")</f>
        <v>0</v>
      </c>
      <c r="V30" s="38">
        <v>0</v>
      </c>
      <c r="W30" s="39">
        <f>+IFERROR((FT_RF_26[[#This Row],[Daño Insecto]]/FT_RF_26[[#This Row],[Muestra]]),"0")</f>
        <v>0</v>
      </c>
      <c r="X30" s="38">
        <v>0</v>
      </c>
      <c r="Y30" s="39">
        <f>+IFERROR((FT_RF_26[[#This Row],[Sobremadura]]/FT_RF_26[[#This Row],[Muestra]]),"0")</f>
        <v>0</v>
      </c>
      <c r="Z30" s="38">
        <v>0</v>
      </c>
      <c r="AA30" s="39">
        <f>+IFERROR((FT_RF_26[[#This Row],[Deforme]]/FT_RF_26[[#This Row],[Muestra]]),"0")</f>
        <v>0</v>
      </c>
      <c r="AB30" s="27"/>
      <c r="AC30" s="38">
        <v>0</v>
      </c>
      <c r="AD30" s="39">
        <f>+IFERROR((FT_RF_26[[#This Row],[Valor Extra 1]]/FT_RF_26[[#This Row],[Muestra]]),"0")</f>
        <v>0</v>
      </c>
      <c r="AF30" s="38">
        <v>0</v>
      </c>
      <c r="AG30" s="39">
        <f>+IFERROR((FT_RF_26[[#This Row],[Valor Extra 2]]/FT_RF_26[[#This Row],[Muestra]]),"0")</f>
        <v>0</v>
      </c>
      <c r="AH30" s="40">
        <v>0</v>
      </c>
      <c r="AI30" s="39">
        <f>+IFERROR((FT_RF_26[[#This Row],[Hongos]]/FT_RF_26[[#This Row],[Muestra]]),"0")</f>
        <v>0</v>
      </c>
      <c r="AJ30" s="38">
        <v>0</v>
      </c>
      <c r="AK30" s="39">
        <f>+IFERROR((FT_RF_26[[#This Row],[Block]]/FT_RF_26[[#This Row],[Muestra]]),"0")</f>
        <v>0</v>
      </c>
      <c r="AL30" s="41">
        <v>0</v>
      </c>
      <c r="AM30" s="42">
        <v>0</v>
      </c>
      <c r="AN30" s="38">
        <v>0</v>
      </c>
      <c r="AO30" s="39">
        <f>+IFERROR((FT_RF_26[[#This Row],[Fuera de calibre &lt;12mm]]/FT_RF_26[[#This Row],[Muestra]]),"0")</f>
        <v>0</v>
      </c>
      <c r="AP30" s="38">
        <v>0</v>
      </c>
      <c r="AQ30" s="39">
        <f>+IFERROR((FT_RF_26[[#This Row],[Calibre &lt;25]]/FT_RF_26[[#This Row],[Muestra]]),"0")</f>
        <v>0</v>
      </c>
      <c r="AR30" s="38">
        <v>0</v>
      </c>
      <c r="AS30" s="39">
        <f>+IFERROR((FT_RF_26[[#This Row],[Calibre &gt;12]]/FT_RF_26[[#This Row],[Muestra]]),"0")</f>
        <v>0</v>
      </c>
      <c r="AT30" s="38">
        <v>0</v>
      </c>
      <c r="AU30" s="39">
        <f>+IFERROR((FT_RF_26[[#This Row],[Calibre &lt;14]]/FT_RF_26[[#This Row],[Muestra]]),"0")</f>
        <v>0</v>
      </c>
      <c r="AV30" s="38">
        <v>0</v>
      </c>
      <c r="AW30" s="39">
        <f>+IFERROR((FT_RF_26[[#This Row],[Calibre &gt;14]]/FT_RF_26[[#This Row],[Muestra]]),"0")</f>
        <v>0</v>
      </c>
      <c r="AX30" s="38">
        <v>0</v>
      </c>
      <c r="AY30" s="39">
        <f>+IFERROR((FT_RF_26[[#This Row],[Calibre &lt;10]]/FT_RF_26[[#This Row],[Muestra]]),"0")</f>
        <v>0</v>
      </c>
      <c r="AZ30" s="38">
        <v>0</v>
      </c>
      <c r="BA30" s="39">
        <f>+IFERROR((FT_RF_26[[#This Row],[Calibre &gt;13]]/FT_RF_26[[#This Row],[Muestra]]),"0")</f>
        <v>0</v>
      </c>
      <c r="BB30" s="41"/>
      <c r="BG30" s="42"/>
      <c r="BH30" s="43">
        <v>0</v>
      </c>
      <c r="BI30" s="29" t="s">
        <v>894</v>
      </c>
      <c r="BJ30" s="29" t="s">
        <v>894</v>
      </c>
      <c r="BK3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0" s="45">
        <f>1-FT_RF_26[[#This Row],[% Defectos]]</f>
        <v>1</v>
      </c>
      <c r="BO30" s="60"/>
      <c r="BP30" s="12">
        <f>SUM(FT_RF_26[[#This Row],[Hoja (Un.)]:[Larvas Caja]])</f>
        <v>0</v>
      </c>
      <c r="BQ30" s="12">
        <f>SUM(FT_RF_26[[#This Row],[Vidrios]:[Plástico]])</f>
        <v>0</v>
      </c>
      <c r="BR30" s="12" t="str">
        <f>IF(ISBLANK(FT_RF_26[[#This Row],[Descripción del producto]]),"",FT_RF_26[[#This Row],[Descripción del producto]])</f>
        <v/>
      </c>
      <c r="BS30" s="29" t="str">
        <f>IF(ISBLANK(FT_RF_26[[#This Row],[N° de Lote]]),"",FT_RF_26[[#This Row],[N° de Lote]])</f>
        <v/>
      </c>
      <c r="BT30" s="29" t="str">
        <f>IF(ISBLANK(FT_RF_26[[#This Row],[N° de Pallet]]),"",FT_RF_26[[#This Row],[N° de Pallet]])</f>
        <v/>
      </c>
    </row>
    <row r="31" spans="1:72">
      <c r="B31" s="29">
        <f>+_xlfn.ISOWEEKNUM(FT_RF_26[[#This Row],[Fecha]])</f>
        <v>52</v>
      </c>
      <c r="E31" s="31"/>
      <c r="F31" s="12" t="str">
        <f>IFERROR(""&amp;_xlfn.XLOOKUP(FT_RF_26[[#This Row],[Código]],BD_Cod[SKU],BD_Cod[Descripción]),"")</f>
        <v/>
      </c>
      <c r="G31" s="32" t="str">
        <f>IFERROR(""&amp;_xlfn.XLOOKUP(FT_RF_26[[#This Row],[Código]],BD_Cod[SKU],BD_Cod[Familia Calidad]),"")</f>
        <v/>
      </c>
      <c r="J31" s="33">
        <v>1000</v>
      </c>
      <c r="L31" s="30" t="s">
        <v>244</v>
      </c>
      <c r="O31" s="30" t="s">
        <v>894</v>
      </c>
      <c r="P31" s="29" t="s">
        <v>894</v>
      </c>
      <c r="Q31" s="37">
        <f>1-FT_RF_26[[#This Row],[% Defectos]]</f>
        <v>1</v>
      </c>
      <c r="R31" s="38">
        <v>0</v>
      </c>
      <c r="S31" s="39">
        <f>+IFERROR((FT_RF_26[[#This Row],[Inmadura]]/FT_RF_26[[#This Row],[Muestra]]),"0")</f>
        <v>0</v>
      </c>
      <c r="T31" s="38">
        <v>0</v>
      </c>
      <c r="U31" s="39">
        <f>+IFERROR((FT_RF_26[[#This Row],[Partidas]]/FT_RF_26[[#This Row],[Muestra]]),"0")</f>
        <v>0</v>
      </c>
      <c r="V31" s="38">
        <v>0</v>
      </c>
      <c r="W31" s="39">
        <f>+IFERROR((FT_RF_26[[#This Row],[Daño Insecto]]/FT_RF_26[[#This Row],[Muestra]]),"0")</f>
        <v>0</v>
      </c>
      <c r="X31" s="38">
        <v>0</v>
      </c>
      <c r="Y31" s="39">
        <f>+IFERROR((FT_RF_26[[#This Row],[Sobremadura]]/FT_RF_26[[#This Row],[Muestra]]),"0")</f>
        <v>0</v>
      </c>
      <c r="Z31" s="38">
        <v>0</v>
      </c>
      <c r="AA31" s="39">
        <f>+IFERROR((FT_RF_26[[#This Row],[Deforme]]/FT_RF_26[[#This Row],[Muestra]]),"0")</f>
        <v>0</v>
      </c>
      <c r="AB31" s="27"/>
      <c r="AC31" s="38">
        <v>0</v>
      </c>
      <c r="AD31" s="39">
        <f>+IFERROR((FT_RF_26[[#This Row],[Valor Extra 1]]/FT_RF_26[[#This Row],[Muestra]]),"0")</f>
        <v>0</v>
      </c>
      <c r="AF31" s="38">
        <v>0</v>
      </c>
      <c r="AG31" s="39">
        <f>+IFERROR((FT_RF_26[[#This Row],[Valor Extra 2]]/FT_RF_26[[#This Row],[Muestra]]),"0")</f>
        <v>0</v>
      </c>
      <c r="AH31" s="40">
        <v>0</v>
      </c>
      <c r="AI31" s="39">
        <f>+IFERROR((FT_RF_26[[#This Row],[Hongos]]/FT_RF_26[[#This Row],[Muestra]]),"0")</f>
        <v>0</v>
      </c>
      <c r="AJ31" s="38">
        <v>0</v>
      </c>
      <c r="AK31" s="39">
        <f>+IFERROR((FT_RF_26[[#This Row],[Block]]/FT_RF_26[[#This Row],[Muestra]]),"0")</f>
        <v>0</v>
      </c>
      <c r="AL31" s="41">
        <v>0</v>
      </c>
      <c r="AM31" s="42">
        <v>0</v>
      </c>
      <c r="AN31" s="38">
        <v>0</v>
      </c>
      <c r="AO31" s="39">
        <f>+IFERROR((FT_RF_26[[#This Row],[Fuera de calibre &lt;12mm]]/FT_RF_26[[#This Row],[Muestra]]),"0")</f>
        <v>0</v>
      </c>
      <c r="AP31" s="38">
        <v>0</v>
      </c>
      <c r="AQ31" s="39">
        <f>+IFERROR((FT_RF_26[[#This Row],[Calibre &lt;25]]/FT_RF_26[[#This Row],[Muestra]]),"0")</f>
        <v>0</v>
      </c>
      <c r="AR31" s="38">
        <v>0</v>
      </c>
      <c r="AS31" s="39">
        <f>+IFERROR((FT_RF_26[[#This Row],[Calibre &gt;12]]/FT_RF_26[[#This Row],[Muestra]]),"0")</f>
        <v>0</v>
      </c>
      <c r="AT31" s="38">
        <v>0</v>
      </c>
      <c r="AU31" s="39">
        <f>+IFERROR((FT_RF_26[[#This Row],[Calibre &lt;14]]/FT_RF_26[[#This Row],[Muestra]]),"0")</f>
        <v>0</v>
      </c>
      <c r="AV31" s="38">
        <v>0</v>
      </c>
      <c r="AW31" s="39">
        <f>+IFERROR((FT_RF_26[[#This Row],[Calibre &gt;14]]/FT_RF_26[[#This Row],[Muestra]]),"0")</f>
        <v>0</v>
      </c>
      <c r="AX31" s="38">
        <v>0</v>
      </c>
      <c r="AY31" s="39">
        <f>+IFERROR((FT_RF_26[[#This Row],[Calibre &lt;10]]/FT_RF_26[[#This Row],[Muestra]]),"0")</f>
        <v>0</v>
      </c>
      <c r="AZ31" s="38">
        <v>0</v>
      </c>
      <c r="BA31" s="39">
        <f>+IFERROR((FT_RF_26[[#This Row],[Calibre &gt;13]]/FT_RF_26[[#This Row],[Muestra]]),"0")</f>
        <v>0</v>
      </c>
      <c r="BB31" s="41"/>
      <c r="BG31" s="42"/>
      <c r="BH31" s="43">
        <v>0</v>
      </c>
      <c r="BI31" s="29" t="s">
        <v>894</v>
      </c>
      <c r="BJ31" s="29" t="s">
        <v>894</v>
      </c>
      <c r="BK3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1" s="45">
        <f>1-FT_RF_26[[#This Row],[% Defectos]]</f>
        <v>1</v>
      </c>
      <c r="BO31" s="60"/>
      <c r="BP31" s="12">
        <f>SUM(FT_RF_26[[#This Row],[Hoja (Un.)]:[Larvas Caja]])</f>
        <v>0</v>
      </c>
      <c r="BQ31" s="12">
        <f>SUM(FT_RF_26[[#This Row],[Vidrios]:[Plástico]])</f>
        <v>0</v>
      </c>
      <c r="BR31" s="12" t="str">
        <f>IF(ISBLANK(FT_RF_26[[#This Row],[Descripción del producto]]),"",FT_RF_26[[#This Row],[Descripción del producto]])</f>
        <v/>
      </c>
      <c r="BS31" s="29" t="str">
        <f>IF(ISBLANK(FT_RF_26[[#This Row],[N° de Lote]]),"",FT_RF_26[[#This Row],[N° de Lote]])</f>
        <v/>
      </c>
      <c r="BT31" s="29" t="str">
        <f>IF(ISBLANK(FT_RF_26[[#This Row],[N° de Pallet]]),"",FT_RF_26[[#This Row],[N° de Pallet]])</f>
        <v/>
      </c>
    </row>
    <row r="32" spans="1:72">
      <c r="B32" s="29">
        <f>+_xlfn.ISOWEEKNUM(FT_RF_26[[#This Row],[Fecha]])</f>
        <v>52</v>
      </c>
      <c r="E32" s="31"/>
      <c r="F32" s="12" t="str">
        <f>IFERROR(""&amp;_xlfn.XLOOKUP(FT_RF_26[[#This Row],[Código]],BD_Cod[SKU],BD_Cod[Descripción]),"")</f>
        <v/>
      </c>
      <c r="G32" s="32" t="str">
        <f>IFERROR(""&amp;_xlfn.XLOOKUP(FT_RF_26[[#This Row],[Código]],BD_Cod[SKU],BD_Cod[Familia Calidad]),"")</f>
        <v/>
      </c>
      <c r="J32" s="33">
        <v>1000</v>
      </c>
      <c r="L32" s="30" t="s">
        <v>244</v>
      </c>
      <c r="O32" s="30" t="s">
        <v>894</v>
      </c>
      <c r="P32" s="29" t="s">
        <v>894</v>
      </c>
      <c r="Q32" s="37">
        <f>1-FT_RF_26[[#This Row],[% Defectos]]</f>
        <v>1</v>
      </c>
      <c r="R32" s="38">
        <v>0</v>
      </c>
      <c r="S32" s="39">
        <f>+IFERROR((FT_RF_26[[#This Row],[Inmadura]]/FT_RF_26[[#This Row],[Muestra]]),"0")</f>
        <v>0</v>
      </c>
      <c r="T32" s="38">
        <v>0</v>
      </c>
      <c r="U32" s="39">
        <f>+IFERROR((FT_RF_26[[#This Row],[Partidas]]/FT_RF_26[[#This Row],[Muestra]]),"0")</f>
        <v>0</v>
      </c>
      <c r="V32" s="38">
        <v>0</v>
      </c>
      <c r="W32" s="39">
        <f>+IFERROR((FT_RF_26[[#This Row],[Daño Insecto]]/FT_RF_26[[#This Row],[Muestra]]),"0")</f>
        <v>0</v>
      </c>
      <c r="X32" s="38">
        <v>0</v>
      </c>
      <c r="Y32" s="39">
        <f>+IFERROR((FT_RF_26[[#This Row],[Sobremadura]]/FT_RF_26[[#This Row],[Muestra]]),"0")</f>
        <v>0</v>
      </c>
      <c r="Z32" s="38">
        <v>0</v>
      </c>
      <c r="AA32" s="39">
        <f>+IFERROR((FT_RF_26[[#This Row],[Deforme]]/FT_RF_26[[#This Row],[Muestra]]),"0")</f>
        <v>0</v>
      </c>
      <c r="AB32" s="27"/>
      <c r="AC32" s="38">
        <v>0</v>
      </c>
      <c r="AD32" s="39">
        <f>+IFERROR((FT_RF_26[[#This Row],[Valor Extra 1]]/FT_RF_26[[#This Row],[Muestra]]),"0")</f>
        <v>0</v>
      </c>
      <c r="AF32" s="38">
        <v>0</v>
      </c>
      <c r="AG32" s="39">
        <f>+IFERROR((FT_RF_26[[#This Row],[Valor Extra 2]]/FT_RF_26[[#This Row],[Muestra]]),"0")</f>
        <v>0</v>
      </c>
      <c r="AH32" s="40">
        <v>0</v>
      </c>
      <c r="AI32" s="39">
        <f>+IFERROR((FT_RF_26[[#This Row],[Hongos]]/FT_RF_26[[#This Row],[Muestra]]),"0")</f>
        <v>0</v>
      </c>
      <c r="AJ32" s="38">
        <v>0</v>
      </c>
      <c r="AK32" s="39">
        <f>+IFERROR((FT_RF_26[[#This Row],[Block]]/FT_RF_26[[#This Row],[Muestra]]),"0")</f>
        <v>0</v>
      </c>
      <c r="AL32" s="41">
        <v>0</v>
      </c>
      <c r="AM32" s="42">
        <v>0</v>
      </c>
      <c r="AN32" s="38">
        <v>0</v>
      </c>
      <c r="AO32" s="39">
        <f>+IFERROR((FT_RF_26[[#This Row],[Fuera de calibre &lt;12mm]]/FT_RF_26[[#This Row],[Muestra]]),"0")</f>
        <v>0</v>
      </c>
      <c r="AP32" s="38">
        <v>0</v>
      </c>
      <c r="AQ32" s="39">
        <f>+IFERROR((FT_RF_26[[#This Row],[Calibre &lt;25]]/FT_RF_26[[#This Row],[Muestra]]),"0")</f>
        <v>0</v>
      </c>
      <c r="AR32" s="38">
        <v>0</v>
      </c>
      <c r="AS32" s="39">
        <f>+IFERROR((FT_RF_26[[#This Row],[Calibre &gt;12]]/FT_RF_26[[#This Row],[Muestra]]),"0")</f>
        <v>0</v>
      </c>
      <c r="AT32" s="38">
        <v>0</v>
      </c>
      <c r="AU32" s="39">
        <f>+IFERROR((FT_RF_26[[#This Row],[Calibre &lt;14]]/FT_RF_26[[#This Row],[Muestra]]),"0")</f>
        <v>0</v>
      </c>
      <c r="AV32" s="38">
        <v>0</v>
      </c>
      <c r="AW32" s="39">
        <f>+IFERROR((FT_RF_26[[#This Row],[Calibre &gt;14]]/FT_RF_26[[#This Row],[Muestra]]),"0")</f>
        <v>0</v>
      </c>
      <c r="AX32" s="38">
        <v>0</v>
      </c>
      <c r="AY32" s="39">
        <f>+IFERROR((FT_RF_26[[#This Row],[Calibre &lt;10]]/FT_RF_26[[#This Row],[Muestra]]),"0")</f>
        <v>0</v>
      </c>
      <c r="AZ32" s="38">
        <v>0</v>
      </c>
      <c r="BA32" s="39">
        <f>+IFERROR((FT_RF_26[[#This Row],[Calibre &gt;13]]/FT_RF_26[[#This Row],[Muestra]]),"0")</f>
        <v>0</v>
      </c>
      <c r="BB32" s="41"/>
      <c r="BG32" s="42"/>
      <c r="BH32" s="43">
        <v>0</v>
      </c>
      <c r="BI32" s="29" t="s">
        <v>894</v>
      </c>
      <c r="BJ32" s="29" t="s">
        <v>894</v>
      </c>
      <c r="BK3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2" s="45">
        <f>1-FT_RF_26[[#This Row],[% Defectos]]</f>
        <v>1</v>
      </c>
      <c r="BO32" s="60"/>
      <c r="BP32" s="12">
        <f>SUM(FT_RF_26[[#This Row],[Hoja (Un.)]:[Larvas Caja]])</f>
        <v>0</v>
      </c>
      <c r="BQ32" s="12">
        <f>SUM(FT_RF_26[[#This Row],[Vidrios]:[Plástico]])</f>
        <v>0</v>
      </c>
      <c r="BR32" s="12" t="str">
        <f>IF(ISBLANK(FT_RF_26[[#This Row],[Descripción del producto]]),"",FT_RF_26[[#This Row],[Descripción del producto]])</f>
        <v/>
      </c>
      <c r="BS32" s="29" t="str">
        <f>IF(ISBLANK(FT_RF_26[[#This Row],[N° de Lote]]),"",FT_RF_26[[#This Row],[N° de Lote]])</f>
        <v/>
      </c>
      <c r="BT32" s="29" t="str">
        <f>IF(ISBLANK(FT_RF_26[[#This Row],[N° de Pallet]]),"",FT_RF_26[[#This Row],[N° de Pallet]])</f>
        <v/>
      </c>
    </row>
    <row r="33" spans="2:72">
      <c r="B33" s="29">
        <f>+_xlfn.ISOWEEKNUM(FT_RF_26[[#This Row],[Fecha]])</f>
        <v>52</v>
      </c>
      <c r="E33" s="31"/>
      <c r="F33" s="12" t="str">
        <f>IFERROR(""&amp;_xlfn.XLOOKUP(FT_RF_26[[#This Row],[Código]],BD_Cod[SKU],BD_Cod[Descripción]),"")</f>
        <v/>
      </c>
      <c r="G33" s="32" t="str">
        <f>IFERROR(""&amp;_xlfn.XLOOKUP(FT_RF_26[[#This Row],[Código]],BD_Cod[SKU],BD_Cod[Familia Calidad]),"")</f>
        <v/>
      </c>
      <c r="J33" s="33">
        <v>1000</v>
      </c>
      <c r="L33" s="30" t="s">
        <v>244</v>
      </c>
      <c r="O33" s="30" t="s">
        <v>894</v>
      </c>
      <c r="P33" s="29" t="s">
        <v>894</v>
      </c>
      <c r="Q33" s="37">
        <f>1-FT_RF_26[[#This Row],[% Defectos]]</f>
        <v>1</v>
      </c>
      <c r="R33" s="38">
        <v>0</v>
      </c>
      <c r="S33" s="39">
        <f>+IFERROR((FT_RF_26[[#This Row],[Inmadura]]/FT_RF_26[[#This Row],[Muestra]]),"0")</f>
        <v>0</v>
      </c>
      <c r="T33" s="38">
        <v>0</v>
      </c>
      <c r="U33" s="39">
        <f>+IFERROR((FT_RF_26[[#This Row],[Partidas]]/FT_RF_26[[#This Row],[Muestra]]),"0")</f>
        <v>0</v>
      </c>
      <c r="V33" s="38">
        <v>0</v>
      </c>
      <c r="W33" s="39">
        <f>+IFERROR((FT_RF_26[[#This Row],[Daño Insecto]]/FT_RF_26[[#This Row],[Muestra]]),"0")</f>
        <v>0</v>
      </c>
      <c r="X33" s="38">
        <v>0</v>
      </c>
      <c r="Y33" s="39">
        <f>+IFERROR((FT_RF_26[[#This Row],[Sobremadura]]/FT_RF_26[[#This Row],[Muestra]]),"0")</f>
        <v>0</v>
      </c>
      <c r="Z33" s="38">
        <v>0</v>
      </c>
      <c r="AA33" s="39">
        <f>+IFERROR((FT_RF_26[[#This Row],[Deforme]]/FT_RF_26[[#This Row],[Muestra]]),"0")</f>
        <v>0</v>
      </c>
      <c r="AB33" s="27"/>
      <c r="AC33" s="38">
        <v>0</v>
      </c>
      <c r="AD33" s="39">
        <f>+IFERROR((FT_RF_26[[#This Row],[Valor Extra 1]]/FT_RF_26[[#This Row],[Muestra]]),"0")</f>
        <v>0</v>
      </c>
      <c r="AF33" s="38">
        <v>0</v>
      </c>
      <c r="AG33" s="39">
        <f>+IFERROR((FT_RF_26[[#This Row],[Valor Extra 2]]/FT_RF_26[[#This Row],[Muestra]]),"0")</f>
        <v>0</v>
      </c>
      <c r="AH33" s="40">
        <v>0</v>
      </c>
      <c r="AI33" s="39">
        <f>+IFERROR((FT_RF_26[[#This Row],[Hongos]]/FT_RF_26[[#This Row],[Muestra]]),"0")</f>
        <v>0</v>
      </c>
      <c r="AJ33" s="38">
        <v>0</v>
      </c>
      <c r="AK33" s="39">
        <f>+IFERROR((FT_RF_26[[#This Row],[Block]]/FT_RF_26[[#This Row],[Muestra]]),"0")</f>
        <v>0</v>
      </c>
      <c r="AL33" s="41">
        <v>0</v>
      </c>
      <c r="AM33" s="42">
        <v>0</v>
      </c>
      <c r="AN33" s="38">
        <v>0</v>
      </c>
      <c r="AO33" s="39">
        <f>+IFERROR((FT_RF_26[[#This Row],[Fuera de calibre &lt;12mm]]/FT_RF_26[[#This Row],[Muestra]]),"0")</f>
        <v>0</v>
      </c>
      <c r="AP33" s="38">
        <v>0</v>
      </c>
      <c r="AQ33" s="39">
        <f>+IFERROR((FT_RF_26[[#This Row],[Calibre &lt;25]]/FT_RF_26[[#This Row],[Muestra]]),"0")</f>
        <v>0</v>
      </c>
      <c r="AR33" s="38">
        <v>0</v>
      </c>
      <c r="AS33" s="39">
        <f>+IFERROR((FT_RF_26[[#This Row],[Calibre &gt;12]]/FT_RF_26[[#This Row],[Muestra]]),"0")</f>
        <v>0</v>
      </c>
      <c r="AT33" s="38">
        <v>0</v>
      </c>
      <c r="AU33" s="39">
        <f>+IFERROR((FT_RF_26[[#This Row],[Calibre &lt;14]]/FT_RF_26[[#This Row],[Muestra]]),"0")</f>
        <v>0</v>
      </c>
      <c r="AV33" s="38">
        <v>0</v>
      </c>
      <c r="AW33" s="39">
        <f>+IFERROR((FT_RF_26[[#This Row],[Calibre &gt;14]]/FT_RF_26[[#This Row],[Muestra]]),"0")</f>
        <v>0</v>
      </c>
      <c r="AX33" s="38">
        <v>0</v>
      </c>
      <c r="AY33" s="39">
        <f>+IFERROR((FT_RF_26[[#This Row],[Calibre &lt;10]]/FT_RF_26[[#This Row],[Muestra]]),"0")</f>
        <v>0</v>
      </c>
      <c r="AZ33" s="38">
        <v>0</v>
      </c>
      <c r="BA33" s="39">
        <f>+IFERROR((FT_RF_26[[#This Row],[Calibre &gt;13]]/FT_RF_26[[#This Row],[Muestra]]),"0")</f>
        <v>0</v>
      </c>
      <c r="BB33" s="41"/>
      <c r="BG33" s="42"/>
      <c r="BH33" s="43">
        <v>0</v>
      </c>
      <c r="BI33" s="29" t="s">
        <v>894</v>
      </c>
      <c r="BJ33" s="29" t="s">
        <v>894</v>
      </c>
      <c r="BK3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3" s="45">
        <f>1-FT_RF_26[[#This Row],[% Defectos]]</f>
        <v>1</v>
      </c>
      <c r="BO33" s="60"/>
      <c r="BP33" s="12">
        <f>SUM(FT_RF_26[[#This Row],[Hoja (Un.)]:[Larvas Caja]])</f>
        <v>0</v>
      </c>
      <c r="BQ33" s="12">
        <f>SUM(FT_RF_26[[#This Row],[Vidrios]:[Plástico]])</f>
        <v>0</v>
      </c>
      <c r="BR33" s="12" t="str">
        <f>IF(ISBLANK(FT_RF_26[[#This Row],[Descripción del producto]]),"",FT_RF_26[[#This Row],[Descripción del producto]])</f>
        <v/>
      </c>
      <c r="BS33" s="29" t="str">
        <f>IF(ISBLANK(FT_RF_26[[#This Row],[N° de Lote]]),"",FT_RF_26[[#This Row],[N° de Lote]])</f>
        <v/>
      </c>
      <c r="BT33" s="29" t="str">
        <f>IF(ISBLANK(FT_RF_26[[#This Row],[N° de Pallet]]),"",FT_RF_26[[#This Row],[N° de Pallet]])</f>
        <v/>
      </c>
    </row>
    <row r="34" spans="2:72">
      <c r="B34" s="29">
        <f>+_xlfn.ISOWEEKNUM(FT_RF_26[[#This Row],[Fecha]])</f>
        <v>52</v>
      </c>
      <c r="E34" s="31"/>
      <c r="F34" s="12" t="str">
        <f>IFERROR(""&amp;_xlfn.XLOOKUP(FT_RF_26[[#This Row],[Código]],BD_Cod[SKU],BD_Cod[Descripción]),"")</f>
        <v/>
      </c>
      <c r="G34" s="32" t="str">
        <f>IFERROR(""&amp;_xlfn.XLOOKUP(FT_RF_26[[#This Row],[Código]],BD_Cod[SKU],BD_Cod[Familia Calidad]),"")</f>
        <v/>
      </c>
      <c r="J34" s="33">
        <v>1000</v>
      </c>
      <c r="L34" s="30" t="s">
        <v>244</v>
      </c>
      <c r="O34" s="30" t="s">
        <v>894</v>
      </c>
      <c r="P34" s="29" t="s">
        <v>894</v>
      </c>
      <c r="Q34" s="37">
        <f>1-FT_RF_26[[#This Row],[% Defectos]]</f>
        <v>1</v>
      </c>
      <c r="R34" s="38">
        <v>0</v>
      </c>
      <c r="S34" s="39">
        <f>+IFERROR((FT_RF_26[[#This Row],[Inmadura]]/FT_RF_26[[#This Row],[Muestra]]),"0")</f>
        <v>0</v>
      </c>
      <c r="T34" s="38">
        <v>0</v>
      </c>
      <c r="U34" s="39">
        <f>+IFERROR((FT_RF_26[[#This Row],[Partidas]]/FT_RF_26[[#This Row],[Muestra]]),"0")</f>
        <v>0</v>
      </c>
      <c r="V34" s="38">
        <v>0</v>
      </c>
      <c r="W34" s="39">
        <f>+IFERROR((FT_RF_26[[#This Row],[Daño Insecto]]/FT_RF_26[[#This Row],[Muestra]]),"0")</f>
        <v>0</v>
      </c>
      <c r="X34" s="38">
        <v>0</v>
      </c>
      <c r="Y34" s="39">
        <f>+IFERROR((FT_RF_26[[#This Row],[Sobremadura]]/FT_RF_26[[#This Row],[Muestra]]),"0")</f>
        <v>0</v>
      </c>
      <c r="Z34" s="38">
        <v>0</v>
      </c>
      <c r="AA34" s="39">
        <f>+IFERROR((FT_RF_26[[#This Row],[Deforme]]/FT_RF_26[[#This Row],[Muestra]]),"0")</f>
        <v>0</v>
      </c>
      <c r="AB34" s="27"/>
      <c r="AC34" s="38">
        <v>0</v>
      </c>
      <c r="AD34" s="39">
        <f>+IFERROR((FT_RF_26[[#This Row],[Valor Extra 1]]/FT_RF_26[[#This Row],[Muestra]]),"0")</f>
        <v>0</v>
      </c>
      <c r="AF34" s="38">
        <v>0</v>
      </c>
      <c r="AG34" s="39">
        <f>+IFERROR((FT_RF_26[[#This Row],[Valor Extra 2]]/FT_RF_26[[#This Row],[Muestra]]),"0")</f>
        <v>0</v>
      </c>
      <c r="AH34" s="40">
        <v>0</v>
      </c>
      <c r="AI34" s="39">
        <f>+IFERROR((FT_RF_26[[#This Row],[Hongos]]/FT_RF_26[[#This Row],[Muestra]]),"0")</f>
        <v>0</v>
      </c>
      <c r="AJ34" s="38">
        <v>0</v>
      </c>
      <c r="AK34" s="39">
        <f>+IFERROR((FT_RF_26[[#This Row],[Block]]/FT_RF_26[[#This Row],[Muestra]]),"0")</f>
        <v>0</v>
      </c>
      <c r="AL34" s="41">
        <v>0</v>
      </c>
      <c r="AM34" s="42">
        <v>0</v>
      </c>
      <c r="AN34" s="38">
        <v>0</v>
      </c>
      <c r="AO34" s="39">
        <f>+IFERROR((FT_RF_26[[#This Row],[Fuera de calibre &lt;12mm]]/FT_RF_26[[#This Row],[Muestra]]),"0")</f>
        <v>0</v>
      </c>
      <c r="AP34" s="38">
        <v>0</v>
      </c>
      <c r="AQ34" s="39">
        <f>+IFERROR((FT_RF_26[[#This Row],[Calibre &lt;25]]/FT_RF_26[[#This Row],[Muestra]]),"0")</f>
        <v>0</v>
      </c>
      <c r="AR34" s="38">
        <v>0</v>
      </c>
      <c r="AS34" s="39">
        <f>+IFERROR((FT_RF_26[[#This Row],[Calibre &gt;12]]/FT_RF_26[[#This Row],[Muestra]]),"0")</f>
        <v>0</v>
      </c>
      <c r="AT34" s="38">
        <v>0</v>
      </c>
      <c r="AU34" s="39">
        <f>+IFERROR((FT_RF_26[[#This Row],[Calibre &lt;14]]/FT_RF_26[[#This Row],[Muestra]]),"0")</f>
        <v>0</v>
      </c>
      <c r="AV34" s="38">
        <v>0</v>
      </c>
      <c r="AW34" s="39">
        <f>+IFERROR((FT_RF_26[[#This Row],[Calibre &gt;14]]/FT_RF_26[[#This Row],[Muestra]]),"0")</f>
        <v>0</v>
      </c>
      <c r="AX34" s="38">
        <v>0</v>
      </c>
      <c r="AY34" s="39">
        <f>+IFERROR((FT_RF_26[[#This Row],[Calibre &lt;10]]/FT_RF_26[[#This Row],[Muestra]]),"0")</f>
        <v>0</v>
      </c>
      <c r="AZ34" s="38">
        <v>0</v>
      </c>
      <c r="BA34" s="39">
        <f>+IFERROR((FT_RF_26[[#This Row],[Calibre &gt;13]]/FT_RF_26[[#This Row],[Muestra]]),"0")</f>
        <v>0</v>
      </c>
      <c r="BB34" s="41"/>
      <c r="BG34" s="42"/>
      <c r="BH34" s="43">
        <v>0</v>
      </c>
      <c r="BI34" s="29" t="s">
        <v>894</v>
      </c>
      <c r="BJ34" s="29" t="s">
        <v>894</v>
      </c>
      <c r="BK3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4" s="45">
        <f>1-FT_RF_26[[#This Row],[% Defectos]]</f>
        <v>1</v>
      </c>
      <c r="BO34" s="60"/>
      <c r="BP34" s="12">
        <f>SUM(FT_RF_26[[#This Row],[Hoja (Un.)]:[Larvas Caja]])</f>
        <v>0</v>
      </c>
      <c r="BQ34" s="12">
        <f>SUM(FT_RF_26[[#This Row],[Vidrios]:[Plástico]])</f>
        <v>0</v>
      </c>
      <c r="BR34" s="12" t="str">
        <f>IF(ISBLANK(FT_RF_26[[#This Row],[Descripción del producto]]),"",FT_RF_26[[#This Row],[Descripción del producto]])</f>
        <v/>
      </c>
      <c r="BS34" s="29" t="str">
        <f>IF(ISBLANK(FT_RF_26[[#This Row],[N° de Lote]]),"",FT_RF_26[[#This Row],[N° de Lote]])</f>
        <v/>
      </c>
      <c r="BT34" s="29" t="str">
        <f>IF(ISBLANK(FT_RF_26[[#This Row],[N° de Pallet]]),"",FT_RF_26[[#This Row],[N° de Pallet]])</f>
        <v/>
      </c>
    </row>
    <row r="35" spans="2:72">
      <c r="B35" s="29">
        <f>+_xlfn.ISOWEEKNUM(FT_RF_26[[#This Row],[Fecha]])</f>
        <v>52</v>
      </c>
      <c r="E35" s="31"/>
      <c r="F35" s="12" t="str">
        <f>IFERROR(""&amp;_xlfn.XLOOKUP(FT_RF_26[[#This Row],[Código]],BD_Cod[SKU],BD_Cod[Descripción]),"")</f>
        <v/>
      </c>
      <c r="G35" s="32" t="str">
        <f>IFERROR(""&amp;_xlfn.XLOOKUP(FT_RF_26[[#This Row],[Código]],BD_Cod[SKU],BD_Cod[Familia Calidad]),"")</f>
        <v/>
      </c>
      <c r="J35" s="33">
        <v>1000</v>
      </c>
      <c r="L35" s="30" t="s">
        <v>244</v>
      </c>
      <c r="O35" s="30" t="s">
        <v>894</v>
      </c>
      <c r="P35" s="29" t="s">
        <v>894</v>
      </c>
      <c r="Q35" s="37">
        <f>1-FT_RF_26[[#This Row],[% Defectos]]</f>
        <v>1</v>
      </c>
      <c r="R35" s="38">
        <v>0</v>
      </c>
      <c r="S35" s="39">
        <f>+IFERROR((FT_RF_26[[#This Row],[Inmadura]]/FT_RF_26[[#This Row],[Muestra]]),"0")</f>
        <v>0</v>
      </c>
      <c r="T35" s="38">
        <v>0</v>
      </c>
      <c r="U35" s="39">
        <f>+IFERROR((FT_RF_26[[#This Row],[Partidas]]/FT_RF_26[[#This Row],[Muestra]]),"0")</f>
        <v>0</v>
      </c>
      <c r="V35" s="38">
        <v>0</v>
      </c>
      <c r="W35" s="39">
        <f>+IFERROR((FT_RF_26[[#This Row],[Daño Insecto]]/FT_RF_26[[#This Row],[Muestra]]),"0")</f>
        <v>0</v>
      </c>
      <c r="X35" s="38">
        <v>0</v>
      </c>
      <c r="Y35" s="39">
        <f>+IFERROR((FT_RF_26[[#This Row],[Sobremadura]]/FT_RF_26[[#This Row],[Muestra]]),"0")</f>
        <v>0</v>
      </c>
      <c r="Z35" s="38">
        <v>0</v>
      </c>
      <c r="AA35" s="39">
        <f>+IFERROR((FT_RF_26[[#This Row],[Deforme]]/FT_RF_26[[#This Row],[Muestra]]),"0")</f>
        <v>0</v>
      </c>
      <c r="AB35" s="27"/>
      <c r="AC35" s="38">
        <v>0</v>
      </c>
      <c r="AD35" s="39">
        <f>+IFERROR((FT_RF_26[[#This Row],[Valor Extra 1]]/FT_RF_26[[#This Row],[Muestra]]),"0")</f>
        <v>0</v>
      </c>
      <c r="AF35" s="38">
        <v>0</v>
      </c>
      <c r="AG35" s="39">
        <f>+IFERROR((FT_RF_26[[#This Row],[Valor Extra 2]]/FT_RF_26[[#This Row],[Muestra]]),"0")</f>
        <v>0</v>
      </c>
      <c r="AH35" s="40">
        <v>0</v>
      </c>
      <c r="AI35" s="39">
        <f>+IFERROR((FT_RF_26[[#This Row],[Hongos]]/FT_RF_26[[#This Row],[Muestra]]),"0")</f>
        <v>0</v>
      </c>
      <c r="AJ35" s="38">
        <v>0</v>
      </c>
      <c r="AK35" s="39">
        <f>+IFERROR((FT_RF_26[[#This Row],[Block]]/FT_RF_26[[#This Row],[Muestra]]),"0")</f>
        <v>0</v>
      </c>
      <c r="AL35" s="41">
        <v>0</v>
      </c>
      <c r="AM35" s="42">
        <v>0</v>
      </c>
      <c r="AN35" s="38">
        <v>0</v>
      </c>
      <c r="AO35" s="39">
        <f>+IFERROR((FT_RF_26[[#This Row],[Fuera de calibre &lt;12mm]]/FT_RF_26[[#This Row],[Muestra]]),"0")</f>
        <v>0</v>
      </c>
      <c r="AP35" s="38">
        <v>0</v>
      </c>
      <c r="AQ35" s="39">
        <f>+IFERROR((FT_RF_26[[#This Row],[Calibre &lt;25]]/FT_RF_26[[#This Row],[Muestra]]),"0")</f>
        <v>0</v>
      </c>
      <c r="AR35" s="38">
        <v>0</v>
      </c>
      <c r="AS35" s="39">
        <f>+IFERROR((FT_RF_26[[#This Row],[Calibre &gt;12]]/FT_RF_26[[#This Row],[Muestra]]),"0")</f>
        <v>0</v>
      </c>
      <c r="AT35" s="38">
        <v>0</v>
      </c>
      <c r="AU35" s="39">
        <f>+IFERROR((FT_RF_26[[#This Row],[Calibre &lt;14]]/FT_RF_26[[#This Row],[Muestra]]),"0")</f>
        <v>0</v>
      </c>
      <c r="AV35" s="38">
        <v>0</v>
      </c>
      <c r="AW35" s="39">
        <f>+IFERROR((FT_RF_26[[#This Row],[Calibre &gt;14]]/FT_RF_26[[#This Row],[Muestra]]),"0")</f>
        <v>0</v>
      </c>
      <c r="AX35" s="38">
        <v>0</v>
      </c>
      <c r="AY35" s="39">
        <f>+IFERROR((FT_RF_26[[#This Row],[Calibre &lt;10]]/FT_RF_26[[#This Row],[Muestra]]),"0")</f>
        <v>0</v>
      </c>
      <c r="AZ35" s="38">
        <v>0</v>
      </c>
      <c r="BA35" s="39">
        <f>+IFERROR((FT_RF_26[[#This Row],[Calibre &gt;13]]/FT_RF_26[[#This Row],[Muestra]]),"0")</f>
        <v>0</v>
      </c>
      <c r="BB35" s="41"/>
      <c r="BG35" s="42"/>
      <c r="BH35" s="43">
        <v>0</v>
      </c>
      <c r="BI35" s="29" t="s">
        <v>894</v>
      </c>
      <c r="BJ35" s="29" t="s">
        <v>894</v>
      </c>
      <c r="BK3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5" s="45">
        <f>1-FT_RF_26[[#This Row],[% Defectos]]</f>
        <v>1</v>
      </c>
      <c r="BO35" s="60"/>
      <c r="BP35" s="12">
        <f>SUM(FT_RF_26[[#This Row],[Hoja (Un.)]:[Larvas Caja]])</f>
        <v>0</v>
      </c>
      <c r="BQ35" s="12">
        <f>SUM(FT_RF_26[[#This Row],[Vidrios]:[Plástico]])</f>
        <v>0</v>
      </c>
      <c r="BR35" s="12" t="str">
        <f>IF(ISBLANK(FT_RF_26[[#This Row],[Descripción del producto]]),"",FT_RF_26[[#This Row],[Descripción del producto]])</f>
        <v/>
      </c>
      <c r="BS35" s="29" t="str">
        <f>IF(ISBLANK(FT_RF_26[[#This Row],[N° de Lote]]),"",FT_RF_26[[#This Row],[N° de Lote]])</f>
        <v/>
      </c>
      <c r="BT35" s="29" t="str">
        <f>IF(ISBLANK(FT_RF_26[[#This Row],[N° de Pallet]]),"",FT_RF_26[[#This Row],[N° de Pallet]])</f>
        <v/>
      </c>
    </row>
    <row r="36" spans="2:72">
      <c r="B36" s="29">
        <f>+_xlfn.ISOWEEKNUM(FT_RF_26[[#This Row],[Fecha]])</f>
        <v>52</v>
      </c>
      <c r="E36" s="31"/>
      <c r="F36" s="12" t="str">
        <f>IFERROR(""&amp;_xlfn.XLOOKUP(FT_RF_26[[#This Row],[Código]],BD_Cod[SKU],BD_Cod[Descripción]),"")</f>
        <v/>
      </c>
      <c r="G36" s="32" t="str">
        <f>IFERROR(""&amp;_xlfn.XLOOKUP(FT_RF_26[[#This Row],[Código]],BD_Cod[SKU],BD_Cod[Familia Calidad]),"")</f>
        <v/>
      </c>
      <c r="J36" s="33">
        <v>1000</v>
      </c>
      <c r="L36" s="30" t="s">
        <v>244</v>
      </c>
      <c r="O36" s="30" t="s">
        <v>894</v>
      </c>
      <c r="P36" s="29" t="s">
        <v>894</v>
      </c>
      <c r="Q36" s="37">
        <f>1-FT_RF_26[[#This Row],[% Defectos]]</f>
        <v>1</v>
      </c>
      <c r="R36" s="38">
        <v>0</v>
      </c>
      <c r="S36" s="39">
        <f>+IFERROR((FT_RF_26[[#This Row],[Inmadura]]/FT_RF_26[[#This Row],[Muestra]]),"0")</f>
        <v>0</v>
      </c>
      <c r="T36" s="38">
        <v>0</v>
      </c>
      <c r="U36" s="39">
        <f>+IFERROR((FT_RF_26[[#This Row],[Partidas]]/FT_RF_26[[#This Row],[Muestra]]),"0")</f>
        <v>0</v>
      </c>
      <c r="V36" s="38">
        <v>0</v>
      </c>
      <c r="W36" s="39">
        <f>+IFERROR((FT_RF_26[[#This Row],[Daño Insecto]]/FT_RF_26[[#This Row],[Muestra]]),"0")</f>
        <v>0</v>
      </c>
      <c r="X36" s="38">
        <v>0</v>
      </c>
      <c r="Y36" s="39">
        <f>+IFERROR((FT_RF_26[[#This Row],[Sobremadura]]/FT_RF_26[[#This Row],[Muestra]]),"0")</f>
        <v>0</v>
      </c>
      <c r="Z36" s="38">
        <v>0</v>
      </c>
      <c r="AA36" s="39">
        <f>+IFERROR((FT_RF_26[[#This Row],[Deforme]]/FT_RF_26[[#This Row],[Muestra]]),"0")</f>
        <v>0</v>
      </c>
      <c r="AB36" s="27"/>
      <c r="AC36" s="38">
        <v>0</v>
      </c>
      <c r="AD36" s="39">
        <f>+IFERROR((FT_RF_26[[#This Row],[Valor Extra 1]]/FT_RF_26[[#This Row],[Muestra]]),"0")</f>
        <v>0</v>
      </c>
      <c r="AF36" s="38">
        <v>0</v>
      </c>
      <c r="AG36" s="39">
        <f>+IFERROR((FT_RF_26[[#This Row],[Valor Extra 2]]/FT_RF_26[[#This Row],[Muestra]]),"0")</f>
        <v>0</v>
      </c>
      <c r="AH36" s="40">
        <v>0</v>
      </c>
      <c r="AI36" s="39">
        <f>+IFERROR((FT_RF_26[[#This Row],[Hongos]]/FT_RF_26[[#This Row],[Muestra]]),"0")</f>
        <v>0</v>
      </c>
      <c r="AJ36" s="38">
        <v>0</v>
      </c>
      <c r="AK36" s="39">
        <f>+IFERROR((FT_RF_26[[#This Row],[Block]]/FT_RF_26[[#This Row],[Muestra]]),"0")</f>
        <v>0</v>
      </c>
      <c r="AL36" s="41">
        <v>0</v>
      </c>
      <c r="AM36" s="42">
        <v>0</v>
      </c>
      <c r="AN36" s="38">
        <v>0</v>
      </c>
      <c r="AO36" s="39">
        <f>+IFERROR((FT_RF_26[[#This Row],[Fuera de calibre &lt;12mm]]/FT_RF_26[[#This Row],[Muestra]]),"0")</f>
        <v>0</v>
      </c>
      <c r="AP36" s="38">
        <v>0</v>
      </c>
      <c r="AQ36" s="39">
        <f>+IFERROR((FT_RF_26[[#This Row],[Calibre &lt;25]]/FT_RF_26[[#This Row],[Muestra]]),"0")</f>
        <v>0</v>
      </c>
      <c r="AR36" s="38">
        <v>0</v>
      </c>
      <c r="AS36" s="39">
        <f>+IFERROR((FT_RF_26[[#This Row],[Calibre &gt;12]]/FT_RF_26[[#This Row],[Muestra]]),"0")</f>
        <v>0</v>
      </c>
      <c r="AT36" s="38">
        <v>0</v>
      </c>
      <c r="AU36" s="39">
        <f>+IFERROR((FT_RF_26[[#This Row],[Calibre &lt;14]]/FT_RF_26[[#This Row],[Muestra]]),"0")</f>
        <v>0</v>
      </c>
      <c r="AV36" s="38">
        <v>0</v>
      </c>
      <c r="AW36" s="39">
        <f>+IFERROR((FT_RF_26[[#This Row],[Calibre &gt;14]]/FT_RF_26[[#This Row],[Muestra]]),"0")</f>
        <v>0</v>
      </c>
      <c r="AX36" s="38">
        <v>0</v>
      </c>
      <c r="AY36" s="39">
        <f>+IFERROR((FT_RF_26[[#This Row],[Calibre &lt;10]]/FT_RF_26[[#This Row],[Muestra]]),"0")</f>
        <v>0</v>
      </c>
      <c r="AZ36" s="38">
        <v>0</v>
      </c>
      <c r="BA36" s="39">
        <f>+IFERROR((FT_RF_26[[#This Row],[Calibre &gt;13]]/FT_RF_26[[#This Row],[Muestra]]),"0")</f>
        <v>0</v>
      </c>
      <c r="BB36" s="41"/>
      <c r="BG36" s="42"/>
      <c r="BH36" s="43">
        <v>0</v>
      </c>
      <c r="BI36" s="29" t="s">
        <v>894</v>
      </c>
      <c r="BJ36" s="29" t="s">
        <v>894</v>
      </c>
      <c r="BK3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6" s="45">
        <f>1-FT_RF_26[[#This Row],[% Defectos]]</f>
        <v>1</v>
      </c>
      <c r="BO36" s="60"/>
      <c r="BP36" s="12">
        <f>SUM(FT_RF_26[[#This Row],[Hoja (Un.)]:[Larvas Caja]])</f>
        <v>0</v>
      </c>
      <c r="BQ36" s="12">
        <f>SUM(FT_RF_26[[#This Row],[Vidrios]:[Plástico]])</f>
        <v>0</v>
      </c>
      <c r="BR36" s="12" t="str">
        <f>IF(ISBLANK(FT_RF_26[[#This Row],[Descripción del producto]]),"",FT_RF_26[[#This Row],[Descripción del producto]])</f>
        <v/>
      </c>
      <c r="BS36" s="29" t="str">
        <f>IF(ISBLANK(FT_RF_26[[#This Row],[N° de Lote]]),"",FT_RF_26[[#This Row],[N° de Lote]])</f>
        <v/>
      </c>
      <c r="BT36" s="29" t="str">
        <f>IF(ISBLANK(FT_RF_26[[#This Row],[N° de Pallet]]),"",FT_RF_26[[#This Row],[N° de Pallet]])</f>
        <v/>
      </c>
    </row>
    <row r="37" spans="2:72">
      <c r="B37" s="29">
        <f>+_xlfn.ISOWEEKNUM(FT_RF_26[[#This Row],[Fecha]])</f>
        <v>52</v>
      </c>
      <c r="E37" s="31"/>
      <c r="F37" s="12" t="str">
        <f>IFERROR(""&amp;_xlfn.XLOOKUP(FT_RF_26[[#This Row],[Código]],BD_Cod[SKU],BD_Cod[Descripción]),"")</f>
        <v/>
      </c>
      <c r="G37" s="32" t="str">
        <f>IFERROR(""&amp;_xlfn.XLOOKUP(FT_RF_26[[#This Row],[Código]],BD_Cod[SKU],BD_Cod[Familia Calidad]),"")</f>
        <v/>
      </c>
      <c r="J37" s="33">
        <v>1000</v>
      </c>
      <c r="L37" s="30" t="s">
        <v>244</v>
      </c>
      <c r="O37" s="30" t="s">
        <v>894</v>
      </c>
      <c r="P37" s="29" t="s">
        <v>894</v>
      </c>
      <c r="Q37" s="37">
        <f>1-FT_RF_26[[#This Row],[% Defectos]]</f>
        <v>1</v>
      </c>
      <c r="R37" s="38">
        <v>0</v>
      </c>
      <c r="S37" s="39">
        <f>+IFERROR((FT_RF_26[[#This Row],[Inmadura]]/FT_RF_26[[#This Row],[Muestra]]),"0")</f>
        <v>0</v>
      </c>
      <c r="T37" s="38">
        <v>0</v>
      </c>
      <c r="U37" s="39">
        <f>+IFERROR((FT_RF_26[[#This Row],[Partidas]]/FT_RF_26[[#This Row],[Muestra]]),"0")</f>
        <v>0</v>
      </c>
      <c r="V37" s="38">
        <v>0</v>
      </c>
      <c r="W37" s="39">
        <f>+IFERROR((FT_RF_26[[#This Row],[Daño Insecto]]/FT_RF_26[[#This Row],[Muestra]]),"0")</f>
        <v>0</v>
      </c>
      <c r="X37" s="38">
        <v>0</v>
      </c>
      <c r="Y37" s="39">
        <f>+IFERROR((FT_RF_26[[#This Row],[Sobremadura]]/FT_RF_26[[#This Row],[Muestra]]),"0")</f>
        <v>0</v>
      </c>
      <c r="Z37" s="38">
        <v>0</v>
      </c>
      <c r="AA37" s="39">
        <f>+IFERROR((FT_RF_26[[#This Row],[Deforme]]/FT_RF_26[[#This Row],[Muestra]]),"0")</f>
        <v>0</v>
      </c>
      <c r="AB37" s="27"/>
      <c r="AC37" s="38">
        <v>0</v>
      </c>
      <c r="AD37" s="39">
        <f>+IFERROR((FT_RF_26[[#This Row],[Valor Extra 1]]/FT_RF_26[[#This Row],[Muestra]]),"0")</f>
        <v>0</v>
      </c>
      <c r="AF37" s="38">
        <v>0</v>
      </c>
      <c r="AG37" s="39">
        <f>+IFERROR((FT_RF_26[[#This Row],[Valor Extra 2]]/FT_RF_26[[#This Row],[Muestra]]),"0")</f>
        <v>0</v>
      </c>
      <c r="AH37" s="40">
        <v>0</v>
      </c>
      <c r="AI37" s="39">
        <f>+IFERROR((FT_RF_26[[#This Row],[Hongos]]/FT_RF_26[[#This Row],[Muestra]]),"0")</f>
        <v>0</v>
      </c>
      <c r="AJ37" s="38">
        <v>0</v>
      </c>
      <c r="AK37" s="39">
        <f>+IFERROR((FT_RF_26[[#This Row],[Block]]/FT_RF_26[[#This Row],[Muestra]]),"0")</f>
        <v>0</v>
      </c>
      <c r="AL37" s="41">
        <v>0</v>
      </c>
      <c r="AM37" s="42">
        <v>0</v>
      </c>
      <c r="AN37" s="38">
        <v>0</v>
      </c>
      <c r="AO37" s="39">
        <f>+IFERROR((FT_RF_26[[#This Row],[Fuera de calibre &lt;12mm]]/FT_RF_26[[#This Row],[Muestra]]),"0")</f>
        <v>0</v>
      </c>
      <c r="AP37" s="38">
        <v>0</v>
      </c>
      <c r="AQ37" s="39">
        <f>+IFERROR((FT_RF_26[[#This Row],[Calibre &lt;25]]/FT_RF_26[[#This Row],[Muestra]]),"0")</f>
        <v>0</v>
      </c>
      <c r="AR37" s="38">
        <v>0</v>
      </c>
      <c r="AS37" s="39">
        <f>+IFERROR((FT_RF_26[[#This Row],[Calibre &gt;12]]/FT_RF_26[[#This Row],[Muestra]]),"0")</f>
        <v>0</v>
      </c>
      <c r="AT37" s="38">
        <v>0</v>
      </c>
      <c r="AU37" s="39">
        <f>+IFERROR((FT_RF_26[[#This Row],[Calibre &lt;14]]/FT_RF_26[[#This Row],[Muestra]]),"0")</f>
        <v>0</v>
      </c>
      <c r="AV37" s="38">
        <v>0</v>
      </c>
      <c r="AW37" s="39">
        <f>+IFERROR((FT_RF_26[[#This Row],[Calibre &gt;14]]/FT_RF_26[[#This Row],[Muestra]]),"0")</f>
        <v>0</v>
      </c>
      <c r="AX37" s="38">
        <v>0</v>
      </c>
      <c r="AY37" s="39">
        <f>+IFERROR((FT_RF_26[[#This Row],[Calibre &lt;10]]/FT_RF_26[[#This Row],[Muestra]]),"0")</f>
        <v>0</v>
      </c>
      <c r="AZ37" s="38">
        <v>0</v>
      </c>
      <c r="BA37" s="39">
        <f>+IFERROR((FT_RF_26[[#This Row],[Calibre &gt;13]]/FT_RF_26[[#This Row],[Muestra]]),"0")</f>
        <v>0</v>
      </c>
      <c r="BB37" s="41"/>
      <c r="BG37" s="42"/>
      <c r="BH37" s="43">
        <v>0</v>
      </c>
      <c r="BI37" s="29" t="s">
        <v>894</v>
      </c>
      <c r="BJ37" s="29" t="s">
        <v>894</v>
      </c>
      <c r="BK3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7" s="45">
        <f>1-FT_RF_26[[#This Row],[% Defectos]]</f>
        <v>1</v>
      </c>
      <c r="BO37" s="60"/>
      <c r="BP37" s="12">
        <f>SUM(FT_RF_26[[#This Row],[Hoja (Un.)]:[Larvas Caja]])</f>
        <v>0</v>
      </c>
      <c r="BQ37" s="12">
        <f>SUM(FT_RF_26[[#This Row],[Vidrios]:[Plástico]])</f>
        <v>0</v>
      </c>
      <c r="BR37" s="12" t="str">
        <f>IF(ISBLANK(FT_RF_26[[#This Row],[Descripción del producto]]),"",FT_RF_26[[#This Row],[Descripción del producto]])</f>
        <v/>
      </c>
      <c r="BS37" s="29" t="str">
        <f>IF(ISBLANK(FT_RF_26[[#This Row],[N° de Lote]]),"",FT_RF_26[[#This Row],[N° de Lote]])</f>
        <v/>
      </c>
      <c r="BT37" s="29" t="str">
        <f>IF(ISBLANK(FT_RF_26[[#This Row],[N° de Pallet]]),"",FT_RF_26[[#This Row],[N° de Pallet]])</f>
        <v/>
      </c>
    </row>
    <row r="38" spans="2:72">
      <c r="B38" s="29">
        <f>+_xlfn.ISOWEEKNUM(FT_RF_26[[#This Row],[Fecha]])</f>
        <v>52</v>
      </c>
      <c r="E38" s="31"/>
      <c r="F38" s="12" t="str">
        <f>IFERROR(""&amp;_xlfn.XLOOKUP(FT_RF_26[[#This Row],[Código]],BD_Cod[SKU],BD_Cod[Descripción]),"")</f>
        <v/>
      </c>
      <c r="G38" s="32" t="str">
        <f>IFERROR(""&amp;_xlfn.XLOOKUP(FT_RF_26[[#This Row],[Código]],BD_Cod[SKU],BD_Cod[Familia Calidad]),"")</f>
        <v/>
      </c>
      <c r="J38" s="33">
        <v>1000</v>
      </c>
      <c r="L38" s="30" t="s">
        <v>244</v>
      </c>
      <c r="O38" s="30" t="s">
        <v>894</v>
      </c>
      <c r="P38" s="29" t="s">
        <v>894</v>
      </c>
      <c r="Q38" s="37">
        <f>1-FT_RF_26[[#This Row],[% Defectos]]</f>
        <v>1</v>
      </c>
      <c r="R38" s="38">
        <v>0</v>
      </c>
      <c r="S38" s="39">
        <f>+IFERROR((FT_RF_26[[#This Row],[Inmadura]]/FT_RF_26[[#This Row],[Muestra]]),"0")</f>
        <v>0</v>
      </c>
      <c r="T38" s="38">
        <v>0</v>
      </c>
      <c r="U38" s="39">
        <f>+IFERROR((FT_RF_26[[#This Row],[Partidas]]/FT_RF_26[[#This Row],[Muestra]]),"0")</f>
        <v>0</v>
      </c>
      <c r="V38" s="38">
        <v>0</v>
      </c>
      <c r="W38" s="39">
        <f>+IFERROR((FT_RF_26[[#This Row],[Daño Insecto]]/FT_RF_26[[#This Row],[Muestra]]),"0")</f>
        <v>0</v>
      </c>
      <c r="X38" s="38">
        <v>0</v>
      </c>
      <c r="Y38" s="39">
        <f>+IFERROR((FT_RF_26[[#This Row],[Sobremadura]]/FT_RF_26[[#This Row],[Muestra]]),"0")</f>
        <v>0</v>
      </c>
      <c r="Z38" s="38">
        <v>0</v>
      </c>
      <c r="AA38" s="39">
        <f>+IFERROR((FT_RF_26[[#This Row],[Deforme]]/FT_RF_26[[#This Row],[Muestra]]),"0")</f>
        <v>0</v>
      </c>
      <c r="AB38" s="27"/>
      <c r="AC38" s="38">
        <v>0</v>
      </c>
      <c r="AD38" s="39">
        <f>+IFERROR((FT_RF_26[[#This Row],[Valor Extra 1]]/FT_RF_26[[#This Row],[Muestra]]),"0")</f>
        <v>0</v>
      </c>
      <c r="AF38" s="38">
        <v>0</v>
      </c>
      <c r="AG38" s="39">
        <f>+IFERROR((FT_RF_26[[#This Row],[Valor Extra 2]]/FT_RF_26[[#This Row],[Muestra]]),"0")</f>
        <v>0</v>
      </c>
      <c r="AH38" s="40">
        <v>0</v>
      </c>
      <c r="AI38" s="39">
        <f>+IFERROR((FT_RF_26[[#This Row],[Hongos]]/FT_RF_26[[#This Row],[Muestra]]),"0")</f>
        <v>0</v>
      </c>
      <c r="AJ38" s="38">
        <v>0</v>
      </c>
      <c r="AK38" s="39">
        <f>+IFERROR((FT_RF_26[[#This Row],[Block]]/FT_RF_26[[#This Row],[Muestra]]),"0")</f>
        <v>0</v>
      </c>
      <c r="AL38" s="41">
        <v>0</v>
      </c>
      <c r="AM38" s="42">
        <v>0</v>
      </c>
      <c r="AN38" s="38">
        <v>0</v>
      </c>
      <c r="AO38" s="39">
        <f>+IFERROR((FT_RF_26[[#This Row],[Fuera de calibre &lt;12mm]]/FT_RF_26[[#This Row],[Muestra]]),"0")</f>
        <v>0</v>
      </c>
      <c r="AP38" s="38">
        <v>0</v>
      </c>
      <c r="AQ38" s="39">
        <f>+IFERROR((FT_RF_26[[#This Row],[Calibre &lt;25]]/FT_RF_26[[#This Row],[Muestra]]),"0")</f>
        <v>0</v>
      </c>
      <c r="AR38" s="38">
        <v>0</v>
      </c>
      <c r="AS38" s="39">
        <f>+IFERROR((FT_RF_26[[#This Row],[Calibre &gt;12]]/FT_RF_26[[#This Row],[Muestra]]),"0")</f>
        <v>0</v>
      </c>
      <c r="AT38" s="38">
        <v>0</v>
      </c>
      <c r="AU38" s="39">
        <f>+IFERROR((FT_RF_26[[#This Row],[Calibre &lt;14]]/FT_RF_26[[#This Row],[Muestra]]),"0")</f>
        <v>0</v>
      </c>
      <c r="AV38" s="38">
        <v>0</v>
      </c>
      <c r="AW38" s="39">
        <f>+IFERROR((FT_RF_26[[#This Row],[Calibre &gt;14]]/FT_RF_26[[#This Row],[Muestra]]),"0")</f>
        <v>0</v>
      </c>
      <c r="AX38" s="38">
        <v>0</v>
      </c>
      <c r="AY38" s="39">
        <f>+IFERROR((FT_RF_26[[#This Row],[Calibre &lt;10]]/FT_RF_26[[#This Row],[Muestra]]),"0")</f>
        <v>0</v>
      </c>
      <c r="AZ38" s="38">
        <v>0</v>
      </c>
      <c r="BA38" s="39">
        <f>+IFERROR((FT_RF_26[[#This Row],[Calibre &gt;13]]/FT_RF_26[[#This Row],[Muestra]]),"0")</f>
        <v>0</v>
      </c>
      <c r="BB38" s="41"/>
      <c r="BG38" s="42"/>
      <c r="BH38" s="43">
        <v>0</v>
      </c>
      <c r="BI38" s="29" t="s">
        <v>894</v>
      </c>
      <c r="BJ38" s="29" t="s">
        <v>894</v>
      </c>
      <c r="BK3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8" s="45">
        <f>1-FT_RF_26[[#This Row],[% Defectos]]</f>
        <v>1</v>
      </c>
      <c r="BO38" s="60"/>
      <c r="BP38" s="12">
        <f>SUM(FT_RF_26[[#This Row],[Hoja (Un.)]:[Larvas Caja]])</f>
        <v>0</v>
      </c>
      <c r="BQ38" s="12">
        <f>SUM(FT_RF_26[[#This Row],[Vidrios]:[Plástico]])</f>
        <v>0</v>
      </c>
      <c r="BR38" s="12" t="str">
        <f>IF(ISBLANK(FT_RF_26[[#This Row],[Descripción del producto]]),"",FT_RF_26[[#This Row],[Descripción del producto]])</f>
        <v/>
      </c>
      <c r="BS38" s="29" t="str">
        <f>IF(ISBLANK(FT_RF_26[[#This Row],[N° de Lote]]),"",FT_RF_26[[#This Row],[N° de Lote]])</f>
        <v/>
      </c>
      <c r="BT38" s="29" t="str">
        <f>IF(ISBLANK(FT_RF_26[[#This Row],[N° de Pallet]]),"",FT_RF_26[[#This Row],[N° de Pallet]])</f>
        <v/>
      </c>
    </row>
    <row r="39" spans="2:72">
      <c r="B39" s="29">
        <f>+_xlfn.ISOWEEKNUM(FT_RF_26[[#This Row],[Fecha]])</f>
        <v>52</v>
      </c>
      <c r="E39" s="31"/>
      <c r="F39" s="12" t="str">
        <f>IFERROR(""&amp;_xlfn.XLOOKUP(FT_RF_26[[#This Row],[Código]],BD_Cod[SKU],BD_Cod[Descripción]),"")</f>
        <v/>
      </c>
      <c r="G39" s="32" t="str">
        <f>IFERROR(""&amp;_xlfn.XLOOKUP(FT_RF_26[[#This Row],[Código]],BD_Cod[SKU],BD_Cod[Familia Calidad]),"")</f>
        <v/>
      </c>
      <c r="J39" s="33">
        <v>1000</v>
      </c>
      <c r="L39" s="30" t="s">
        <v>244</v>
      </c>
      <c r="O39" s="30" t="s">
        <v>894</v>
      </c>
      <c r="P39" s="29" t="s">
        <v>894</v>
      </c>
      <c r="Q39" s="37">
        <f>1-FT_RF_26[[#This Row],[% Defectos]]</f>
        <v>1</v>
      </c>
      <c r="R39" s="38">
        <v>0</v>
      </c>
      <c r="S39" s="39">
        <f>+IFERROR((FT_RF_26[[#This Row],[Inmadura]]/FT_RF_26[[#This Row],[Muestra]]),"0")</f>
        <v>0</v>
      </c>
      <c r="T39" s="38">
        <v>0</v>
      </c>
      <c r="U39" s="39">
        <f>+IFERROR((FT_RF_26[[#This Row],[Partidas]]/FT_RF_26[[#This Row],[Muestra]]),"0")</f>
        <v>0</v>
      </c>
      <c r="V39" s="38">
        <v>0</v>
      </c>
      <c r="W39" s="39">
        <f>+IFERROR((FT_RF_26[[#This Row],[Daño Insecto]]/FT_RF_26[[#This Row],[Muestra]]),"0")</f>
        <v>0</v>
      </c>
      <c r="X39" s="38">
        <v>0</v>
      </c>
      <c r="Y39" s="39">
        <f>+IFERROR((FT_RF_26[[#This Row],[Sobremadura]]/FT_RF_26[[#This Row],[Muestra]]),"0")</f>
        <v>0</v>
      </c>
      <c r="Z39" s="38">
        <v>0</v>
      </c>
      <c r="AA39" s="39">
        <f>+IFERROR((FT_RF_26[[#This Row],[Deforme]]/FT_RF_26[[#This Row],[Muestra]]),"0")</f>
        <v>0</v>
      </c>
      <c r="AB39" s="27"/>
      <c r="AC39" s="38">
        <v>0</v>
      </c>
      <c r="AD39" s="39">
        <f>+IFERROR((FT_RF_26[[#This Row],[Valor Extra 1]]/FT_RF_26[[#This Row],[Muestra]]),"0")</f>
        <v>0</v>
      </c>
      <c r="AF39" s="38">
        <v>0</v>
      </c>
      <c r="AG39" s="39">
        <f>+IFERROR((FT_RF_26[[#This Row],[Valor Extra 2]]/FT_RF_26[[#This Row],[Muestra]]),"0")</f>
        <v>0</v>
      </c>
      <c r="AH39" s="40">
        <v>0</v>
      </c>
      <c r="AI39" s="39">
        <f>+IFERROR((FT_RF_26[[#This Row],[Hongos]]/FT_RF_26[[#This Row],[Muestra]]),"0")</f>
        <v>0</v>
      </c>
      <c r="AJ39" s="38">
        <v>0</v>
      </c>
      <c r="AK39" s="39">
        <f>+IFERROR((FT_RF_26[[#This Row],[Block]]/FT_RF_26[[#This Row],[Muestra]]),"0")</f>
        <v>0</v>
      </c>
      <c r="AL39" s="41">
        <v>0</v>
      </c>
      <c r="AM39" s="42">
        <v>0</v>
      </c>
      <c r="AN39" s="38">
        <v>0</v>
      </c>
      <c r="AO39" s="39">
        <f>+IFERROR((FT_RF_26[[#This Row],[Fuera de calibre &lt;12mm]]/FT_RF_26[[#This Row],[Muestra]]),"0")</f>
        <v>0</v>
      </c>
      <c r="AP39" s="38">
        <v>0</v>
      </c>
      <c r="AQ39" s="39">
        <f>+IFERROR((FT_RF_26[[#This Row],[Calibre &lt;25]]/FT_RF_26[[#This Row],[Muestra]]),"0")</f>
        <v>0</v>
      </c>
      <c r="AR39" s="38">
        <v>0</v>
      </c>
      <c r="AS39" s="39">
        <f>+IFERROR((FT_RF_26[[#This Row],[Calibre &gt;12]]/FT_RF_26[[#This Row],[Muestra]]),"0")</f>
        <v>0</v>
      </c>
      <c r="AT39" s="38">
        <v>0</v>
      </c>
      <c r="AU39" s="39">
        <f>+IFERROR((FT_RF_26[[#This Row],[Calibre &lt;14]]/FT_RF_26[[#This Row],[Muestra]]),"0")</f>
        <v>0</v>
      </c>
      <c r="AV39" s="38">
        <v>0</v>
      </c>
      <c r="AW39" s="39">
        <f>+IFERROR((FT_RF_26[[#This Row],[Calibre &gt;14]]/FT_RF_26[[#This Row],[Muestra]]),"0")</f>
        <v>0</v>
      </c>
      <c r="AX39" s="38">
        <v>0</v>
      </c>
      <c r="AY39" s="39">
        <f>+IFERROR((FT_RF_26[[#This Row],[Calibre &lt;10]]/FT_RF_26[[#This Row],[Muestra]]),"0")</f>
        <v>0</v>
      </c>
      <c r="AZ39" s="38">
        <v>0</v>
      </c>
      <c r="BA39" s="39">
        <f>+IFERROR((FT_RF_26[[#This Row],[Calibre &gt;13]]/FT_RF_26[[#This Row],[Muestra]]),"0")</f>
        <v>0</v>
      </c>
      <c r="BB39" s="41"/>
      <c r="BG39" s="42"/>
      <c r="BH39" s="43">
        <v>0</v>
      </c>
      <c r="BI39" s="29" t="s">
        <v>894</v>
      </c>
      <c r="BJ39" s="29" t="s">
        <v>894</v>
      </c>
      <c r="BK3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9" s="45">
        <f>1-FT_RF_26[[#This Row],[% Defectos]]</f>
        <v>1</v>
      </c>
      <c r="BO39" s="60"/>
      <c r="BP39" s="12">
        <f>SUM(FT_RF_26[[#This Row],[Hoja (Un.)]:[Larvas Caja]])</f>
        <v>0</v>
      </c>
      <c r="BQ39" s="12">
        <f>SUM(FT_RF_26[[#This Row],[Vidrios]:[Plástico]])</f>
        <v>0</v>
      </c>
      <c r="BR39" s="12" t="str">
        <f>IF(ISBLANK(FT_RF_26[[#This Row],[Descripción del producto]]),"",FT_RF_26[[#This Row],[Descripción del producto]])</f>
        <v/>
      </c>
      <c r="BS39" s="29" t="str">
        <f>IF(ISBLANK(FT_RF_26[[#This Row],[N° de Lote]]),"",FT_RF_26[[#This Row],[N° de Lote]])</f>
        <v/>
      </c>
      <c r="BT39" s="29" t="str">
        <f>IF(ISBLANK(FT_RF_26[[#This Row],[N° de Pallet]]),"",FT_RF_26[[#This Row],[N° de Pallet]])</f>
        <v/>
      </c>
    </row>
    <row r="40" spans="2:72">
      <c r="B40" s="29">
        <f>+_xlfn.ISOWEEKNUM(FT_RF_26[[#This Row],[Fecha]])</f>
        <v>52</v>
      </c>
      <c r="E40" s="31"/>
      <c r="F40" s="12" t="str">
        <f>IFERROR(""&amp;_xlfn.XLOOKUP(FT_RF_26[[#This Row],[Código]],BD_Cod[SKU],BD_Cod[Descripción]),"")</f>
        <v/>
      </c>
      <c r="G40" s="32" t="str">
        <f>IFERROR(""&amp;_xlfn.XLOOKUP(FT_RF_26[[#This Row],[Código]],BD_Cod[SKU],BD_Cod[Familia Calidad]),"")</f>
        <v/>
      </c>
      <c r="J40" s="33">
        <v>1000</v>
      </c>
      <c r="L40" s="30" t="s">
        <v>244</v>
      </c>
      <c r="O40" s="30" t="s">
        <v>894</v>
      </c>
      <c r="P40" s="29" t="s">
        <v>894</v>
      </c>
      <c r="Q40" s="37">
        <f>1-FT_RF_26[[#This Row],[% Defectos]]</f>
        <v>1</v>
      </c>
      <c r="R40" s="38">
        <v>0</v>
      </c>
      <c r="S40" s="39">
        <f>+IFERROR((FT_RF_26[[#This Row],[Inmadura]]/FT_RF_26[[#This Row],[Muestra]]),"0")</f>
        <v>0</v>
      </c>
      <c r="T40" s="38">
        <v>0</v>
      </c>
      <c r="U40" s="39">
        <f>+IFERROR((FT_RF_26[[#This Row],[Partidas]]/FT_RF_26[[#This Row],[Muestra]]),"0")</f>
        <v>0</v>
      </c>
      <c r="V40" s="38">
        <v>0</v>
      </c>
      <c r="W40" s="39">
        <f>+IFERROR((FT_RF_26[[#This Row],[Daño Insecto]]/FT_RF_26[[#This Row],[Muestra]]),"0")</f>
        <v>0</v>
      </c>
      <c r="X40" s="38">
        <v>0</v>
      </c>
      <c r="Y40" s="39">
        <f>+IFERROR((FT_RF_26[[#This Row],[Sobremadura]]/FT_RF_26[[#This Row],[Muestra]]),"0")</f>
        <v>0</v>
      </c>
      <c r="Z40" s="38">
        <v>0</v>
      </c>
      <c r="AA40" s="39">
        <f>+IFERROR((FT_RF_26[[#This Row],[Deforme]]/FT_RF_26[[#This Row],[Muestra]]),"0")</f>
        <v>0</v>
      </c>
      <c r="AB40" s="27"/>
      <c r="AC40" s="38">
        <v>0</v>
      </c>
      <c r="AD40" s="39">
        <f>+IFERROR((FT_RF_26[[#This Row],[Valor Extra 1]]/FT_RF_26[[#This Row],[Muestra]]),"0")</f>
        <v>0</v>
      </c>
      <c r="AF40" s="38">
        <v>0</v>
      </c>
      <c r="AG40" s="39">
        <f>+IFERROR((FT_RF_26[[#This Row],[Valor Extra 2]]/FT_RF_26[[#This Row],[Muestra]]),"0")</f>
        <v>0</v>
      </c>
      <c r="AH40" s="40">
        <v>0</v>
      </c>
      <c r="AI40" s="39">
        <f>+IFERROR((FT_RF_26[[#This Row],[Hongos]]/FT_RF_26[[#This Row],[Muestra]]),"0")</f>
        <v>0</v>
      </c>
      <c r="AJ40" s="38">
        <v>0</v>
      </c>
      <c r="AK40" s="39">
        <f>+IFERROR((FT_RF_26[[#This Row],[Block]]/FT_RF_26[[#This Row],[Muestra]]),"0")</f>
        <v>0</v>
      </c>
      <c r="AL40" s="41">
        <v>0</v>
      </c>
      <c r="AM40" s="42">
        <v>0</v>
      </c>
      <c r="AN40" s="38">
        <v>0</v>
      </c>
      <c r="AO40" s="39">
        <f>+IFERROR((FT_RF_26[[#This Row],[Fuera de calibre &lt;12mm]]/FT_RF_26[[#This Row],[Muestra]]),"0")</f>
        <v>0</v>
      </c>
      <c r="AP40" s="38">
        <v>0</v>
      </c>
      <c r="AQ40" s="39">
        <f>+IFERROR((FT_RF_26[[#This Row],[Calibre &lt;25]]/FT_RF_26[[#This Row],[Muestra]]),"0")</f>
        <v>0</v>
      </c>
      <c r="AR40" s="38">
        <v>0</v>
      </c>
      <c r="AS40" s="39">
        <f>+IFERROR((FT_RF_26[[#This Row],[Calibre &gt;12]]/FT_RF_26[[#This Row],[Muestra]]),"0")</f>
        <v>0</v>
      </c>
      <c r="AT40" s="38">
        <v>0</v>
      </c>
      <c r="AU40" s="39">
        <f>+IFERROR((FT_RF_26[[#This Row],[Calibre &lt;14]]/FT_RF_26[[#This Row],[Muestra]]),"0")</f>
        <v>0</v>
      </c>
      <c r="AV40" s="38">
        <v>0</v>
      </c>
      <c r="AW40" s="39">
        <f>+IFERROR((FT_RF_26[[#This Row],[Calibre &gt;14]]/FT_RF_26[[#This Row],[Muestra]]),"0")</f>
        <v>0</v>
      </c>
      <c r="AX40" s="38">
        <v>0</v>
      </c>
      <c r="AY40" s="39">
        <f>+IFERROR((FT_RF_26[[#This Row],[Calibre &lt;10]]/FT_RF_26[[#This Row],[Muestra]]),"0")</f>
        <v>0</v>
      </c>
      <c r="AZ40" s="38">
        <v>0</v>
      </c>
      <c r="BA40" s="39">
        <f>+IFERROR((FT_RF_26[[#This Row],[Calibre &gt;13]]/FT_RF_26[[#This Row],[Muestra]]),"0")</f>
        <v>0</v>
      </c>
      <c r="BB40" s="41"/>
      <c r="BG40" s="42"/>
      <c r="BH40" s="43">
        <v>0</v>
      </c>
      <c r="BI40" s="29" t="s">
        <v>894</v>
      </c>
      <c r="BJ40" s="29" t="s">
        <v>894</v>
      </c>
      <c r="BK4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4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40" s="45">
        <f>1-FT_RF_26[[#This Row],[% Defectos]]</f>
        <v>1</v>
      </c>
      <c r="BO40" s="60"/>
      <c r="BP40" s="12">
        <f>SUM(FT_RF_26[[#This Row],[Hoja (Un.)]:[Larvas Caja]])</f>
        <v>0</v>
      </c>
      <c r="BQ40" s="12">
        <f>SUM(FT_RF_26[[#This Row],[Vidrios]:[Plástico]])</f>
        <v>0</v>
      </c>
      <c r="BR40" s="12" t="str">
        <f>IF(ISBLANK(FT_RF_26[[#This Row],[Descripción del producto]]),"",FT_RF_26[[#This Row],[Descripción del producto]])</f>
        <v/>
      </c>
      <c r="BS40" s="29" t="str">
        <f>IF(ISBLANK(FT_RF_26[[#This Row],[N° de Lote]]),"",FT_RF_26[[#This Row],[N° de Lote]])</f>
        <v/>
      </c>
      <c r="BT40" s="29" t="str">
        <f>IF(ISBLANK(FT_RF_26[[#This Row],[N° de Pallet]]),"",FT_RF_26[[#This Row],[N° de Pallet]])</f>
        <v/>
      </c>
    </row>
    <row r="41" spans="2:72">
      <c r="B41" s="29">
        <f>+_xlfn.ISOWEEKNUM(FT_RF_26[[#This Row],[Fecha]])</f>
        <v>52</v>
      </c>
      <c r="E41" s="31"/>
      <c r="F41" s="12" t="str">
        <f>IFERROR(""&amp;_xlfn.XLOOKUP(FT_RF_26[[#This Row],[Código]],BD_Cod[SKU],BD_Cod[Descripción]),"")</f>
        <v/>
      </c>
      <c r="G41" s="32" t="str">
        <f>IFERROR(""&amp;_xlfn.XLOOKUP(FT_RF_26[[#This Row],[Código]],BD_Cod[SKU],BD_Cod[Familia Calidad]),"")</f>
        <v/>
      </c>
      <c r="J41" s="33">
        <v>1000</v>
      </c>
      <c r="L41" s="30" t="s">
        <v>244</v>
      </c>
      <c r="O41" s="30" t="s">
        <v>894</v>
      </c>
      <c r="P41" s="29" t="s">
        <v>894</v>
      </c>
      <c r="Q41" s="37">
        <f>1-FT_RF_26[[#This Row],[% Defectos]]</f>
        <v>1</v>
      </c>
      <c r="R41" s="38">
        <v>0</v>
      </c>
      <c r="S41" s="39">
        <f>+IFERROR((FT_RF_26[[#This Row],[Inmadura]]/FT_RF_26[[#This Row],[Muestra]]),"0")</f>
        <v>0</v>
      </c>
      <c r="T41" s="38">
        <v>0</v>
      </c>
      <c r="U41" s="39">
        <f>+IFERROR((FT_RF_26[[#This Row],[Partidas]]/FT_RF_26[[#This Row],[Muestra]]),"0")</f>
        <v>0</v>
      </c>
      <c r="V41" s="38">
        <v>0</v>
      </c>
      <c r="W41" s="39">
        <f>+IFERROR((FT_RF_26[[#This Row],[Daño Insecto]]/FT_RF_26[[#This Row],[Muestra]]),"0")</f>
        <v>0</v>
      </c>
      <c r="X41" s="38">
        <v>0</v>
      </c>
      <c r="Y41" s="39">
        <f>+IFERROR((FT_RF_26[[#This Row],[Sobremadura]]/FT_RF_26[[#This Row],[Muestra]]),"0")</f>
        <v>0</v>
      </c>
      <c r="Z41" s="38">
        <v>0</v>
      </c>
      <c r="AA41" s="39">
        <f>+IFERROR((FT_RF_26[[#This Row],[Deforme]]/FT_RF_26[[#This Row],[Muestra]]),"0")</f>
        <v>0</v>
      </c>
      <c r="AB41" s="27"/>
      <c r="AC41" s="38">
        <v>0</v>
      </c>
      <c r="AD41" s="39">
        <f>+IFERROR((FT_RF_26[[#This Row],[Valor Extra 1]]/FT_RF_26[[#This Row],[Muestra]]),"0")</f>
        <v>0</v>
      </c>
      <c r="AF41" s="38">
        <v>0</v>
      </c>
      <c r="AG41" s="39">
        <f>+IFERROR((FT_RF_26[[#This Row],[Valor Extra 2]]/FT_RF_26[[#This Row],[Muestra]]),"0")</f>
        <v>0</v>
      </c>
      <c r="AH41" s="40">
        <v>0</v>
      </c>
      <c r="AI41" s="39">
        <f>+IFERROR((FT_RF_26[[#This Row],[Hongos]]/FT_RF_26[[#This Row],[Muestra]]),"0")</f>
        <v>0</v>
      </c>
      <c r="AJ41" s="38">
        <v>0</v>
      </c>
      <c r="AK41" s="39">
        <f>+IFERROR((FT_RF_26[[#This Row],[Block]]/FT_RF_26[[#This Row],[Muestra]]),"0")</f>
        <v>0</v>
      </c>
      <c r="AL41" s="41">
        <v>0</v>
      </c>
      <c r="AM41" s="42">
        <v>0</v>
      </c>
      <c r="AN41" s="38">
        <v>0</v>
      </c>
      <c r="AO41" s="39">
        <f>+IFERROR((FT_RF_26[[#This Row],[Fuera de calibre &lt;12mm]]/FT_RF_26[[#This Row],[Muestra]]),"0")</f>
        <v>0</v>
      </c>
      <c r="AP41" s="38">
        <v>0</v>
      </c>
      <c r="AQ41" s="39">
        <f>+IFERROR((FT_RF_26[[#This Row],[Calibre &lt;25]]/FT_RF_26[[#This Row],[Muestra]]),"0")</f>
        <v>0</v>
      </c>
      <c r="AR41" s="38">
        <v>0</v>
      </c>
      <c r="AS41" s="39">
        <f>+IFERROR((FT_RF_26[[#This Row],[Calibre &gt;12]]/FT_RF_26[[#This Row],[Muestra]]),"0")</f>
        <v>0</v>
      </c>
      <c r="AT41" s="38">
        <v>0</v>
      </c>
      <c r="AU41" s="39">
        <f>+IFERROR((FT_RF_26[[#This Row],[Calibre &lt;14]]/FT_RF_26[[#This Row],[Muestra]]),"0")</f>
        <v>0</v>
      </c>
      <c r="AV41" s="38">
        <v>0</v>
      </c>
      <c r="AW41" s="39">
        <f>+IFERROR((FT_RF_26[[#This Row],[Calibre &gt;14]]/FT_RF_26[[#This Row],[Muestra]]),"0")</f>
        <v>0</v>
      </c>
      <c r="AX41" s="38">
        <v>0</v>
      </c>
      <c r="AY41" s="39">
        <f>+IFERROR((FT_RF_26[[#This Row],[Calibre &lt;10]]/FT_RF_26[[#This Row],[Muestra]]),"0")</f>
        <v>0</v>
      </c>
      <c r="AZ41" s="38">
        <v>0</v>
      </c>
      <c r="BA41" s="39">
        <f>+IFERROR((FT_RF_26[[#This Row],[Calibre &gt;13]]/FT_RF_26[[#This Row],[Muestra]]),"0")</f>
        <v>0</v>
      </c>
      <c r="BB41" s="41"/>
      <c r="BG41" s="42"/>
      <c r="BH41" s="43">
        <v>0</v>
      </c>
      <c r="BI41" s="29" t="s">
        <v>894</v>
      </c>
      <c r="BJ41" s="29" t="s">
        <v>894</v>
      </c>
      <c r="BK4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4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41" s="45">
        <f>1-FT_RF_26[[#This Row],[% Defectos]]</f>
        <v>1</v>
      </c>
      <c r="BO41" s="60"/>
      <c r="BP41" s="12">
        <f>SUM(FT_RF_26[[#This Row],[Hoja (Un.)]:[Larvas Caja]])</f>
        <v>0</v>
      </c>
      <c r="BQ41" s="12">
        <f>SUM(FT_RF_26[[#This Row],[Vidrios]:[Plástico]])</f>
        <v>0</v>
      </c>
      <c r="BR41" s="12" t="str">
        <f>IF(ISBLANK(FT_RF_26[[#This Row],[Descripción del producto]]),"",FT_RF_26[[#This Row],[Descripción del producto]])</f>
        <v/>
      </c>
      <c r="BS41" s="29" t="str">
        <f>IF(ISBLANK(FT_RF_26[[#This Row],[N° de Lote]]),"",FT_RF_26[[#This Row],[N° de Lote]])</f>
        <v/>
      </c>
      <c r="BT41" s="29" t="str">
        <f>IF(ISBLANK(FT_RF_26[[#This Row],[N° de Pallet]]),"",FT_RF_26[[#This Row],[N° de Pallet]])</f>
        <v/>
      </c>
    </row>
    <row r="42" spans="2:72">
      <c r="B42" s="29">
        <f>+_xlfn.ISOWEEKNUM(FT_RF_26[[#This Row],[Fecha]])</f>
        <v>52</v>
      </c>
      <c r="E42" s="31"/>
      <c r="F42" s="12" t="str">
        <f>IFERROR(""&amp;_xlfn.XLOOKUP(FT_RF_26[[#This Row],[Código]],BD_Cod[SKU],BD_Cod[Descripción]),"")</f>
        <v/>
      </c>
      <c r="G42" s="32" t="str">
        <f>IFERROR(""&amp;_xlfn.XLOOKUP(FT_RF_26[[#This Row],[Código]],BD_Cod[SKU],BD_Cod[Familia Calidad]),"")</f>
        <v/>
      </c>
      <c r="J42" s="33">
        <v>1000</v>
      </c>
      <c r="L42" s="30" t="s">
        <v>244</v>
      </c>
      <c r="O42" s="30" t="s">
        <v>894</v>
      </c>
      <c r="P42" s="29" t="s">
        <v>894</v>
      </c>
      <c r="Q42" s="37">
        <f>1-FT_RF_26[[#This Row],[% Defectos]]</f>
        <v>1</v>
      </c>
      <c r="R42" s="38">
        <v>0</v>
      </c>
      <c r="S42" s="39">
        <f>+IFERROR((FT_RF_26[[#This Row],[Inmadura]]/FT_RF_26[[#This Row],[Muestra]]),"0")</f>
        <v>0</v>
      </c>
      <c r="T42" s="38">
        <v>0</v>
      </c>
      <c r="U42" s="39">
        <f>+IFERROR((FT_RF_26[[#This Row],[Partidas]]/FT_RF_26[[#This Row],[Muestra]]),"0")</f>
        <v>0</v>
      </c>
      <c r="V42" s="38">
        <v>0</v>
      </c>
      <c r="W42" s="39">
        <f>+IFERROR((FT_RF_26[[#This Row],[Daño Insecto]]/FT_RF_26[[#This Row],[Muestra]]),"0")</f>
        <v>0</v>
      </c>
      <c r="X42" s="38">
        <v>0</v>
      </c>
      <c r="Y42" s="39">
        <f>+IFERROR((FT_RF_26[[#This Row],[Sobremadura]]/FT_RF_26[[#This Row],[Muestra]]),"0")</f>
        <v>0</v>
      </c>
      <c r="Z42" s="38">
        <v>0</v>
      </c>
      <c r="AA42" s="39">
        <f>+IFERROR((FT_RF_26[[#This Row],[Deforme]]/FT_RF_26[[#This Row],[Muestra]]),"0")</f>
        <v>0</v>
      </c>
      <c r="AB42" s="27"/>
      <c r="AC42" s="38">
        <v>0</v>
      </c>
      <c r="AD42" s="39">
        <f>+IFERROR((FT_RF_26[[#This Row],[Valor Extra 1]]/FT_RF_26[[#This Row],[Muestra]]),"0")</f>
        <v>0</v>
      </c>
      <c r="AF42" s="38">
        <v>0</v>
      </c>
      <c r="AG42" s="39">
        <f>+IFERROR((FT_RF_26[[#This Row],[Valor Extra 2]]/FT_RF_26[[#This Row],[Muestra]]),"0")</f>
        <v>0</v>
      </c>
      <c r="AH42" s="40">
        <v>0</v>
      </c>
      <c r="AI42" s="39">
        <f>+IFERROR((FT_RF_26[[#This Row],[Hongos]]/FT_RF_26[[#This Row],[Muestra]]),"0")</f>
        <v>0</v>
      </c>
      <c r="AJ42" s="38">
        <v>0</v>
      </c>
      <c r="AK42" s="39">
        <f>+IFERROR((FT_RF_26[[#This Row],[Block]]/FT_RF_26[[#This Row],[Muestra]]),"0")</f>
        <v>0</v>
      </c>
      <c r="AL42" s="41">
        <v>0</v>
      </c>
      <c r="AM42" s="42">
        <v>0</v>
      </c>
      <c r="AN42" s="38">
        <v>0</v>
      </c>
      <c r="AO42" s="39">
        <f>+IFERROR((FT_RF_26[[#This Row],[Fuera de calibre &lt;12mm]]/FT_RF_26[[#This Row],[Muestra]]),"0")</f>
        <v>0</v>
      </c>
      <c r="AP42" s="38">
        <v>0</v>
      </c>
      <c r="AQ42" s="39">
        <f>+IFERROR((FT_RF_26[[#This Row],[Calibre &lt;25]]/FT_RF_26[[#This Row],[Muestra]]),"0")</f>
        <v>0</v>
      </c>
      <c r="AR42" s="38">
        <v>0</v>
      </c>
      <c r="AS42" s="39">
        <f>+IFERROR((FT_RF_26[[#This Row],[Calibre &gt;12]]/FT_RF_26[[#This Row],[Muestra]]),"0")</f>
        <v>0</v>
      </c>
      <c r="AT42" s="38">
        <v>0</v>
      </c>
      <c r="AU42" s="39">
        <f>+IFERROR((FT_RF_26[[#This Row],[Calibre &lt;14]]/FT_RF_26[[#This Row],[Muestra]]),"0")</f>
        <v>0</v>
      </c>
      <c r="AV42" s="38">
        <v>0</v>
      </c>
      <c r="AW42" s="39">
        <f>+IFERROR((FT_RF_26[[#This Row],[Calibre &gt;14]]/FT_RF_26[[#This Row],[Muestra]]),"0")</f>
        <v>0</v>
      </c>
      <c r="AX42" s="38">
        <v>0</v>
      </c>
      <c r="AY42" s="39">
        <f>+IFERROR((FT_RF_26[[#This Row],[Calibre &lt;10]]/FT_RF_26[[#This Row],[Muestra]]),"0")</f>
        <v>0</v>
      </c>
      <c r="AZ42" s="38">
        <v>0</v>
      </c>
      <c r="BA42" s="39">
        <f>+IFERROR((FT_RF_26[[#This Row],[Calibre &gt;13]]/FT_RF_26[[#This Row],[Muestra]]),"0")</f>
        <v>0</v>
      </c>
      <c r="BB42" s="41"/>
      <c r="BG42" s="42"/>
      <c r="BH42" s="43">
        <v>0</v>
      </c>
      <c r="BI42" s="29" t="s">
        <v>894</v>
      </c>
      <c r="BJ42" s="29" t="s">
        <v>894</v>
      </c>
      <c r="BK4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4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42" s="45">
        <f>1-FT_RF_26[[#This Row],[% Defectos]]</f>
        <v>1</v>
      </c>
      <c r="BO42" s="60"/>
      <c r="BP42" s="12">
        <f>SUM(FT_RF_26[[#This Row],[Hoja (Un.)]:[Larvas Caja]])</f>
        <v>0</v>
      </c>
      <c r="BQ42" s="12">
        <f>SUM(FT_RF_26[[#This Row],[Vidrios]:[Plástico]])</f>
        <v>0</v>
      </c>
      <c r="BR42" s="12" t="str">
        <f>IF(ISBLANK(FT_RF_26[[#This Row],[Descripción del producto]]),"",FT_RF_26[[#This Row],[Descripción del producto]])</f>
        <v/>
      </c>
      <c r="BS42" s="29" t="str">
        <f>IF(ISBLANK(FT_RF_26[[#This Row],[N° de Lote]]),"",FT_RF_26[[#This Row],[N° de Lote]])</f>
        <v/>
      </c>
      <c r="BT42" s="29" t="str">
        <f>IF(ISBLANK(FT_RF_26[[#This Row],[N° de Pallet]]),"",FT_RF_26[[#This Row],[N° de Pallet]])</f>
        <v/>
      </c>
    </row>
    <row r="43" spans="2:72">
      <c r="B43" s="29">
        <f>+_xlfn.ISOWEEKNUM(FT_RF_26[[#This Row],[Fecha]])</f>
        <v>52</v>
      </c>
      <c r="E43" s="31"/>
      <c r="F43" s="12" t="str">
        <f>IFERROR(""&amp;_xlfn.XLOOKUP(FT_RF_26[[#This Row],[Código]],BD_Cod[SKU],BD_Cod[Descripción]),"")</f>
        <v/>
      </c>
      <c r="G43" s="32" t="str">
        <f>IFERROR(""&amp;_xlfn.XLOOKUP(FT_RF_26[[#This Row],[Código]],BD_Cod[SKU],BD_Cod[Familia Calidad]),"")</f>
        <v/>
      </c>
      <c r="J43" s="33">
        <v>1000</v>
      </c>
      <c r="L43" s="30" t="s">
        <v>244</v>
      </c>
      <c r="O43" s="30" t="s">
        <v>894</v>
      </c>
      <c r="P43" s="29" t="s">
        <v>894</v>
      </c>
      <c r="Q43" s="37">
        <f>1-FT_RF_26[[#This Row],[% Defectos]]</f>
        <v>1</v>
      </c>
      <c r="R43" s="38">
        <v>0</v>
      </c>
      <c r="S43" s="39">
        <f>+IFERROR((FT_RF_26[[#This Row],[Inmadura]]/FT_RF_26[[#This Row],[Muestra]]),"0")</f>
        <v>0</v>
      </c>
      <c r="T43" s="38">
        <v>0</v>
      </c>
      <c r="U43" s="39">
        <f>+IFERROR((FT_RF_26[[#This Row],[Partidas]]/FT_RF_26[[#This Row],[Muestra]]),"0")</f>
        <v>0</v>
      </c>
      <c r="V43" s="38">
        <v>0</v>
      </c>
      <c r="W43" s="39">
        <f>+IFERROR((FT_RF_26[[#This Row],[Daño Insecto]]/FT_RF_26[[#This Row],[Muestra]]),"0")</f>
        <v>0</v>
      </c>
      <c r="X43" s="38">
        <v>0</v>
      </c>
      <c r="Y43" s="39">
        <f>+IFERROR((FT_RF_26[[#This Row],[Sobremadura]]/FT_RF_26[[#This Row],[Muestra]]),"0")</f>
        <v>0</v>
      </c>
      <c r="Z43" s="38">
        <v>0</v>
      </c>
      <c r="AA43" s="39">
        <f>+IFERROR((FT_RF_26[[#This Row],[Deforme]]/FT_RF_26[[#This Row],[Muestra]]),"0")</f>
        <v>0</v>
      </c>
      <c r="AB43" s="27"/>
      <c r="AC43" s="38">
        <v>0</v>
      </c>
      <c r="AD43" s="39">
        <f>+IFERROR((FT_RF_26[[#This Row],[Valor Extra 1]]/FT_RF_26[[#This Row],[Muestra]]),"0")</f>
        <v>0</v>
      </c>
      <c r="AF43" s="38">
        <v>0</v>
      </c>
      <c r="AG43" s="39">
        <f>+IFERROR((FT_RF_26[[#This Row],[Valor Extra 2]]/FT_RF_26[[#This Row],[Muestra]]),"0")</f>
        <v>0</v>
      </c>
      <c r="AH43" s="40">
        <v>0</v>
      </c>
      <c r="AI43" s="39">
        <f>+IFERROR((FT_RF_26[[#This Row],[Hongos]]/FT_RF_26[[#This Row],[Muestra]]),"0")</f>
        <v>0</v>
      </c>
      <c r="AJ43" s="38">
        <v>0</v>
      </c>
      <c r="AK43" s="39">
        <f>+IFERROR((FT_RF_26[[#This Row],[Block]]/FT_RF_26[[#This Row],[Muestra]]),"0")</f>
        <v>0</v>
      </c>
      <c r="AL43" s="41">
        <v>0</v>
      </c>
      <c r="AM43" s="42">
        <v>0</v>
      </c>
      <c r="AN43" s="38">
        <v>0</v>
      </c>
      <c r="AO43" s="39">
        <f>+IFERROR((FT_RF_26[[#This Row],[Fuera de calibre &lt;12mm]]/FT_RF_26[[#This Row],[Muestra]]),"0")</f>
        <v>0</v>
      </c>
      <c r="AP43" s="38">
        <v>0</v>
      </c>
      <c r="AQ43" s="39">
        <f>+IFERROR((FT_RF_26[[#This Row],[Calibre &lt;25]]/FT_RF_26[[#This Row],[Muestra]]),"0")</f>
        <v>0</v>
      </c>
      <c r="AR43" s="38">
        <v>0</v>
      </c>
      <c r="AS43" s="39">
        <f>+IFERROR((FT_RF_26[[#This Row],[Calibre &gt;12]]/FT_RF_26[[#This Row],[Muestra]]),"0")</f>
        <v>0</v>
      </c>
      <c r="AT43" s="38">
        <v>0</v>
      </c>
      <c r="AU43" s="39">
        <f>+IFERROR((FT_RF_26[[#This Row],[Calibre &lt;14]]/FT_RF_26[[#This Row],[Muestra]]),"0")</f>
        <v>0</v>
      </c>
      <c r="AV43" s="38">
        <v>0</v>
      </c>
      <c r="AW43" s="39">
        <f>+IFERROR((FT_RF_26[[#This Row],[Calibre &gt;14]]/FT_RF_26[[#This Row],[Muestra]]),"0")</f>
        <v>0</v>
      </c>
      <c r="AX43" s="38">
        <v>0</v>
      </c>
      <c r="AY43" s="39">
        <f>+IFERROR((FT_RF_26[[#This Row],[Calibre &lt;10]]/FT_RF_26[[#This Row],[Muestra]]),"0")</f>
        <v>0</v>
      </c>
      <c r="AZ43" s="38">
        <v>0</v>
      </c>
      <c r="BA43" s="39">
        <f>+IFERROR((FT_RF_26[[#This Row],[Calibre &gt;13]]/FT_RF_26[[#This Row],[Muestra]]),"0")</f>
        <v>0</v>
      </c>
      <c r="BB43" s="41"/>
      <c r="BG43" s="42"/>
      <c r="BH43" s="43">
        <v>0</v>
      </c>
      <c r="BI43" s="29" t="s">
        <v>894</v>
      </c>
      <c r="BJ43" s="29" t="s">
        <v>894</v>
      </c>
      <c r="BK4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4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43" s="45">
        <f>1-FT_RF_26[[#This Row],[% Defectos]]</f>
        <v>1</v>
      </c>
      <c r="BO43" s="60"/>
      <c r="BP43" s="12">
        <f>SUM(FT_RF_26[[#This Row],[Hoja (Un.)]:[Larvas Caja]])</f>
        <v>0</v>
      </c>
      <c r="BQ43" s="12">
        <f>SUM(FT_RF_26[[#This Row],[Vidrios]:[Plástico]])</f>
        <v>0</v>
      </c>
      <c r="BR43" s="12" t="str">
        <f>IF(ISBLANK(FT_RF_26[[#This Row],[Descripción del producto]]),"",FT_RF_26[[#This Row],[Descripción del producto]])</f>
        <v/>
      </c>
      <c r="BS43" s="29" t="str">
        <f>IF(ISBLANK(FT_RF_26[[#This Row],[N° de Lote]]),"",FT_RF_26[[#This Row],[N° de Lote]])</f>
        <v/>
      </c>
      <c r="BT43" s="29" t="str">
        <f>IF(ISBLANK(FT_RF_26[[#This Row],[N° de Pallet]]),"",FT_RF_26[[#This Row],[N° de Pallet]])</f>
        <v/>
      </c>
    </row>
    <row r="44" spans="2:72">
      <c r="B44" s="29">
        <f>+_xlfn.ISOWEEKNUM(FT_RF_26[[#This Row],[Fecha]])</f>
        <v>52</v>
      </c>
      <c r="E44" s="31"/>
      <c r="F44" s="12" t="str">
        <f>IFERROR(""&amp;_xlfn.XLOOKUP(FT_RF_26[[#This Row],[Código]],BD_Cod[SKU],BD_Cod[Descripción]),"")</f>
        <v/>
      </c>
      <c r="G44" s="32" t="str">
        <f>IFERROR(""&amp;_xlfn.XLOOKUP(FT_RF_26[[#This Row],[Código]],BD_Cod[SKU],BD_Cod[Familia Calidad]),"")</f>
        <v/>
      </c>
      <c r="J44" s="33">
        <v>1000</v>
      </c>
      <c r="L44" s="30" t="s">
        <v>244</v>
      </c>
      <c r="O44" s="30" t="s">
        <v>894</v>
      </c>
      <c r="P44" s="29" t="s">
        <v>894</v>
      </c>
      <c r="Q44" s="37">
        <f>1-FT_RF_26[[#This Row],[% Defectos]]</f>
        <v>1</v>
      </c>
      <c r="R44" s="38">
        <v>0</v>
      </c>
      <c r="S44" s="39">
        <f>+IFERROR((FT_RF_26[[#This Row],[Inmadura]]/FT_RF_26[[#This Row],[Muestra]]),"0")</f>
        <v>0</v>
      </c>
      <c r="T44" s="38">
        <v>0</v>
      </c>
      <c r="U44" s="39">
        <f>+IFERROR((FT_RF_26[[#This Row],[Partidas]]/FT_RF_26[[#This Row],[Muestra]]),"0")</f>
        <v>0</v>
      </c>
      <c r="V44" s="38">
        <v>0</v>
      </c>
      <c r="W44" s="39">
        <f>+IFERROR((FT_RF_26[[#This Row],[Daño Insecto]]/FT_RF_26[[#This Row],[Muestra]]),"0")</f>
        <v>0</v>
      </c>
      <c r="X44" s="38">
        <v>0</v>
      </c>
      <c r="Y44" s="39">
        <f>+IFERROR((FT_RF_26[[#This Row],[Sobremadura]]/FT_RF_26[[#This Row],[Muestra]]),"0")</f>
        <v>0</v>
      </c>
      <c r="Z44" s="38">
        <v>0</v>
      </c>
      <c r="AA44" s="39">
        <f>+IFERROR((FT_RF_26[[#This Row],[Deforme]]/FT_RF_26[[#This Row],[Muestra]]),"0")</f>
        <v>0</v>
      </c>
      <c r="AB44" s="27"/>
      <c r="AC44" s="38">
        <v>0</v>
      </c>
      <c r="AD44" s="39">
        <f>+IFERROR((FT_RF_26[[#This Row],[Valor Extra 1]]/FT_RF_26[[#This Row],[Muestra]]),"0")</f>
        <v>0</v>
      </c>
      <c r="AF44" s="38">
        <v>0</v>
      </c>
      <c r="AG44" s="39">
        <f>+IFERROR((FT_RF_26[[#This Row],[Valor Extra 2]]/FT_RF_26[[#This Row],[Muestra]]),"0")</f>
        <v>0</v>
      </c>
      <c r="AH44" s="40">
        <v>0</v>
      </c>
      <c r="AI44" s="39">
        <f>+IFERROR((FT_RF_26[[#This Row],[Hongos]]/FT_RF_26[[#This Row],[Muestra]]),"0")</f>
        <v>0</v>
      </c>
      <c r="AJ44" s="38">
        <v>0</v>
      </c>
      <c r="AK44" s="39">
        <f>+IFERROR((FT_RF_26[[#This Row],[Block]]/FT_RF_26[[#This Row],[Muestra]]),"0")</f>
        <v>0</v>
      </c>
      <c r="AL44" s="41">
        <v>0</v>
      </c>
      <c r="AM44" s="42">
        <v>0</v>
      </c>
      <c r="AN44" s="38">
        <v>0</v>
      </c>
      <c r="AO44" s="39">
        <f>+IFERROR((FT_RF_26[[#This Row],[Fuera de calibre &lt;12mm]]/FT_RF_26[[#This Row],[Muestra]]),"0")</f>
        <v>0</v>
      </c>
      <c r="AP44" s="38">
        <v>0</v>
      </c>
      <c r="AQ44" s="39">
        <f>+IFERROR((FT_RF_26[[#This Row],[Calibre &lt;25]]/FT_RF_26[[#This Row],[Muestra]]),"0")</f>
        <v>0</v>
      </c>
      <c r="AR44" s="38">
        <v>0</v>
      </c>
      <c r="AS44" s="39">
        <f>+IFERROR((FT_RF_26[[#This Row],[Calibre &gt;12]]/FT_RF_26[[#This Row],[Muestra]]),"0")</f>
        <v>0</v>
      </c>
      <c r="AT44" s="38">
        <v>0</v>
      </c>
      <c r="AU44" s="39">
        <f>+IFERROR((FT_RF_26[[#This Row],[Calibre &lt;14]]/FT_RF_26[[#This Row],[Muestra]]),"0")</f>
        <v>0</v>
      </c>
      <c r="AV44" s="38">
        <v>0</v>
      </c>
      <c r="AW44" s="39">
        <f>+IFERROR((FT_RF_26[[#This Row],[Calibre &gt;14]]/FT_RF_26[[#This Row],[Muestra]]),"0")</f>
        <v>0</v>
      </c>
      <c r="AX44" s="38">
        <v>0</v>
      </c>
      <c r="AY44" s="39">
        <f>+IFERROR((FT_RF_26[[#This Row],[Calibre &lt;10]]/FT_RF_26[[#This Row],[Muestra]]),"0")</f>
        <v>0</v>
      </c>
      <c r="AZ44" s="38">
        <v>0</v>
      </c>
      <c r="BA44" s="39">
        <f>+IFERROR((FT_RF_26[[#This Row],[Calibre &gt;13]]/FT_RF_26[[#This Row],[Muestra]]),"0")</f>
        <v>0</v>
      </c>
      <c r="BB44" s="41"/>
      <c r="BG44" s="42"/>
      <c r="BH44" s="43">
        <v>0</v>
      </c>
      <c r="BI44" s="29" t="s">
        <v>894</v>
      </c>
      <c r="BJ44" s="29" t="s">
        <v>894</v>
      </c>
      <c r="BK4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4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44" s="45">
        <f>1-FT_RF_26[[#This Row],[% Defectos]]</f>
        <v>1</v>
      </c>
      <c r="BO44" s="60"/>
      <c r="BP44" s="12">
        <f>SUM(FT_RF_26[[#This Row],[Hoja (Un.)]:[Larvas Caja]])</f>
        <v>0</v>
      </c>
      <c r="BQ44" s="12">
        <f>SUM(FT_RF_26[[#This Row],[Vidrios]:[Plástico]])</f>
        <v>0</v>
      </c>
      <c r="BR44" s="12" t="str">
        <f>IF(ISBLANK(FT_RF_26[[#This Row],[Descripción del producto]]),"",FT_RF_26[[#This Row],[Descripción del producto]])</f>
        <v/>
      </c>
      <c r="BS44" s="29" t="str">
        <f>IF(ISBLANK(FT_RF_26[[#This Row],[N° de Lote]]),"",FT_RF_26[[#This Row],[N° de Lote]])</f>
        <v/>
      </c>
      <c r="BT44" s="29" t="str">
        <f>IF(ISBLANK(FT_RF_26[[#This Row],[N° de Pallet]]),"",FT_RF_26[[#This Row],[N° de Pallet]])</f>
        <v/>
      </c>
    </row>
    <row r="45" spans="2:72">
      <c r="B45" s="29">
        <f>+_xlfn.ISOWEEKNUM(FT_RF_26[[#This Row],[Fecha]])</f>
        <v>52</v>
      </c>
      <c r="E45" s="31"/>
      <c r="F45" s="12" t="str">
        <f>IFERROR(""&amp;_xlfn.XLOOKUP(FT_RF_26[[#This Row],[Código]],BD_Cod[SKU],BD_Cod[Descripción]),"")</f>
        <v/>
      </c>
      <c r="G45" s="32" t="str">
        <f>IFERROR(""&amp;_xlfn.XLOOKUP(FT_RF_26[[#This Row],[Código]],BD_Cod[SKU],BD_Cod[Familia Calidad]),"")</f>
        <v/>
      </c>
      <c r="J45" s="33">
        <v>1000</v>
      </c>
      <c r="L45" s="30" t="s">
        <v>244</v>
      </c>
      <c r="O45" s="30" t="s">
        <v>894</v>
      </c>
      <c r="P45" s="29" t="s">
        <v>894</v>
      </c>
      <c r="Q45" s="37">
        <f>1-FT_RF_26[[#This Row],[% Defectos]]</f>
        <v>1</v>
      </c>
      <c r="R45" s="38">
        <v>0</v>
      </c>
      <c r="S45" s="39">
        <f>+IFERROR((FT_RF_26[[#This Row],[Inmadura]]/FT_RF_26[[#This Row],[Muestra]]),"0")</f>
        <v>0</v>
      </c>
      <c r="T45" s="38">
        <v>0</v>
      </c>
      <c r="U45" s="39">
        <f>+IFERROR((FT_RF_26[[#This Row],[Partidas]]/FT_RF_26[[#This Row],[Muestra]]),"0")</f>
        <v>0</v>
      </c>
      <c r="V45" s="38">
        <v>0</v>
      </c>
      <c r="W45" s="39">
        <f>+IFERROR((FT_RF_26[[#This Row],[Daño Insecto]]/FT_RF_26[[#This Row],[Muestra]]),"0")</f>
        <v>0</v>
      </c>
      <c r="X45" s="38">
        <v>0</v>
      </c>
      <c r="Y45" s="39">
        <f>+IFERROR((FT_RF_26[[#This Row],[Sobremadura]]/FT_RF_26[[#This Row],[Muestra]]),"0")</f>
        <v>0</v>
      </c>
      <c r="Z45" s="38">
        <v>0</v>
      </c>
      <c r="AA45" s="39">
        <f>+IFERROR((FT_RF_26[[#This Row],[Deforme]]/FT_RF_26[[#This Row],[Muestra]]),"0")</f>
        <v>0</v>
      </c>
      <c r="AB45" s="27"/>
      <c r="AC45" s="38">
        <v>0</v>
      </c>
      <c r="AD45" s="39">
        <f>+IFERROR((FT_RF_26[[#This Row],[Valor Extra 1]]/FT_RF_26[[#This Row],[Muestra]]),"0")</f>
        <v>0</v>
      </c>
      <c r="AF45" s="38">
        <v>0</v>
      </c>
      <c r="AG45" s="39">
        <f>+IFERROR((FT_RF_26[[#This Row],[Valor Extra 2]]/FT_RF_26[[#This Row],[Muestra]]),"0")</f>
        <v>0</v>
      </c>
      <c r="AH45" s="40">
        <v>0</v>
      </c>
      <c r="AI45" s="39">
        <f>+IFERROR((FT_RF_26[[#This Row],[Hongos]]/FT_RF_26[[#This Row],[Muestra]]),"0")</f>
        <v>0</v>
      </c>
      <c r="AJ45" s="38">
        <v>0</v>
      </c>
      <c r="AK45" s="39">
        <f>+IFERROR((FT_RF_26[[#This Row],[Block]]/FT_RF_26[[#This Row],[Muestra]]),"0")</f>
        <v>0</v>
      </c>
      <c r="AL45" s="41">
        <v>0</v>
      </c>
      <c r="AM45" s="42">
        <v>0</v>
      </c>
      <c r="AN45" s="38">
        <v>0</v>
      </c>
      <c r="AO45" s="39">
        <f>+IFERROR((FT_RF_26[[#This Row],[Fuera de calibre &lt;12mm]]/FT_RF_26[[#This Row],[Muestra]]),"0")</f>
        <v>0</v>
      </c>
      <c r="AP45" s="38">
        <v>0</v>
      </c>
      <c r="AQ45" s="39">
        <f>+IFERROR((FT_RF_26[[#This Row],[Calibre &lt;25]]/FT_RF_26[[#This Row],[Muestra]]),"0")</f>
        <v>0</v>
      </c>
      <c r="AR45" s="38">
        <v>0</v>
      </c>
      <c r="AS45" s="39">
        <f>+IFERROR((FT_RF_26[[#This Row],[Calibre &gt;12]]/FT_RF_26[[#This Row],[Muestra]]),"0")</f>
        <v>0</v>
      </c>
      <c r="AT45" s="38">
        <v>0</v>
      </c>
      <c r="AU45" s="39">
        <f>+IFERROR((FT_RF_26[[#This Row],[Calibre &lt;14]]/FT_RF_26[[#This Row],[Muestra]]),"0")</f>
        <v>0</v>
      </c>
      <c r="AV45" s="38">
        <v>0</v>
      </c>
      <c r="AW45" s="39">
        <f>+IFERROR((FT_RF_26[[#This Row],[Calibre &gt;14]]/FT_RF_26[[#This Row],[Muestra]]),"0")</f>
        <v>0</v>
      </c>
      <c r="AX45" s="38">
        <v>0</v>
      </c>
      <c r="AY45" s="39">
        <f>+IFERROR((FT_RF_26[[#This Row],[Calibre &lt;10]]/FT_RF_26[[#This Row],[Muestra]]),"0")</f>
        <v>0</v>
      </c>
      <c r="AZ45" s="38">
        <v>0</v>
      </c>
      <c r="BA45" s="39">
        <f>+IFERROR((FT_RF_26[[#This Row],[Calibre &gt;13]]/FT_RF_26[[#This Row],[Muestra]]),"0")</f>
        <v>0</v>
      </c>
      <c r="BB45" s="41"/>
      <c r="BG45" s="42"/>
      <c r="BH45" s="43">
        <v>0</v>
      </c>
      <c r="BI45" s="29" t="s">
        <v>894</v>
      </c>
      <c r="BJ45" s="29" t="s">
        <v>894</v>
      </c>
      <c r="BK4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4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45" s="45">
        <f>1-FT_RF_26[[#This Row],[% Defectos]]</f>
        <v>1</v>
      </c>
      <c r="BO45" s="60"/>
      <c r="BP45" s="12">
        <f>SUM(FT_RF_26[[#This Row],[Hoja (Un.)]:[Larvas Caja]])</f>
        <v>0</v>
      </c>
      <c r="BQ45" s="12">
        <f>SUM(FT_RF_26[[#This Row],[Vidrios]:[Plástico]])</f>
        <v>0</v>
      </c>
      <c r="BR45" s="12" t="str">
        <f>IF(ISBLANK(FT_RF_26[[#This Row],[Descripción del producto]]),"",FT_RF_26[[#This Row],[Descripción del producto]])</f>
        <v/>
      </c>
      <c r="BS45" s="29" t="str">
        <f>IF(ISBLANK(FT_RF_26[[#This Row],[N° de Lote]]),"",FT_RF_26[[#This Row],[N° de Lote]])</f>
        <v/>
      </c>
      <c r="BT45" s="29" t="str">
        <f>IF(ISBLANK(FT_RF_26[[#This Row],[N° de Pallet]]),"",FT_RF_26[[#This Row],[N° de Pallet]])</f>
        <v/>
      </c>
    </row>
    <row r="46" spans="2:72">
      <c r="B46" s="29">
        <f>+_xlfn.ISOWEEKNUM(FT_RF_26[[#This Row],[Fecha]])</f>
        <v>52</v>
      </c>
      <c r="E46" s="31"/>
      <c r="F46" s="12" t="str">
        <f>IFERROR(""&amp;_xlfn.XLOOKUP(FT_RF_26[[#This Row],[Código]],BD_Cod[SKU],BD_Cod[Descripción]),"")</f>
        <v/>
      </c>
      <c r="G46" s="32" t="str">
        <f>IFERROR(""&amp;_xlfn.XLOOKUP(FT_RF_26[[#This Row],[Código]],BD_Cod[SKU],BD_Cod[Familia Calidad]),"")</f>
        <v/>
      </c>
      <c r="J46" s="33">
        <v>1000</v>
      </c>
      <c r="L46" s="30" t="s">
        <v>244</v>
      </c>
      <c r="O46" s="30" t="s">
        <v>894</v>
      </c>
      <c r="P46" s="29" t="s">
        <v>894</v>
      </c>
      <c r="Q46" s="37">
        <f>1-FT_RF_26[[#This Row],[% Defectos]]</f>
        <v>1</v>
      </c>
      <c r="R46" s="38">
        <v>0</v>
      </c>
      <c r="S46" s="39">
        <f>+IFERROR((FT_RF_26[[#This Row],[Inmadura]]/FT_RF_26[[#This Row],[Muestra]]),"0")</f>
        <v>0</v>
      </c>
      <c r="T46" s="38">
        <v>0</v>
      </c>
      <c r="U46" s="39">
        <f>+IFERROR((FT_RF_26[[#This Row],[Partidas]]/FT_RF_26[[#This Row],[Muestra]]),"0")</f>
        <v>0</v>
      </c>
      <c r="V46" s="38">
        <v>0</v>
      </c>
      <c r="W46" s="39">
        <f>+IFERROR((FT_RF_26[[#This Row],[Daño Insecto]]/FT_RF_26[[#This Row],[Muestra]]),"0")</f>
        <v>0</v>
      </c>
      <c r="X46" s="38">
        <v>0</v>
      </c>
      <c r="Y46" s="39">
        <f>+IFERROR((FT_RF_26[[#This Row],[Sobremadura]]/FT_RF_26[[#This Row],[Muestra]]),"0")</f>
        <v>0</v>
      </c>
      <c r="Z46" s="38">
        <v>0</v>
      </c>
      <c r="AA46" s="39">
        <f>+IFERROR((FT_RF_26[[#This Row],[Deforme]]/FT_RF_26[[#This Row],[Muestra]]),"0")</f>
        <v>0</v>
      </c>
      <c r="AB46" s="27"/>
      <c r="AC46" s="38">
        <v>0</v>
      </c>
      <c r="AD46" s="39">
        <f>+IFERROR((FT_RF_26[[#This Row],[Valor Extra 1]]/FT_RF_26[[#This Row],[Muestra]]),"0")</f>
        <v>0</v>
      </c>
      <c r="AF46" s="38">
        <v>0</v>
      </c>
      <c r="AG46" s="39">
        <f>+IFERROR((FT_RF_26[[#This Row],[Valor Extra 2]]/FT_RF_26[[#This Row],[Muestra]]),"0")</f>
        <v>0</v>
      </c>
      <c r="AH46" s="40">
        <v>0</v>
      </c>
      <c r="AI46" s="39">
        <f>+IFERROR((FT_RF_26[[#This Row],[Hongos]]/FT_RF_26[[#This Row],[Muestra]]),"0")</f>
        <v>0</v>
      </c>
      <c r="AJ46" s="38">
        <v>0</v>
      </c>
      <c r="AK46" s="39">
        <f>+IFERROR((FT_RF_26[[#This Row],[Block]]/FT_RF_26[[#This Row],[Muestra]]),"0")</f>
        <v>0</v>
      </c>
      <c r="AL46" s="41">
        <v>0</v>
      </c>
      <c r="AM46" s="42">
        <v>0</v>
      </c>
      <c r="AN46" s="38">
        <v>0</v>
      </c>
      <c r="AO46" s="39">
        <f>+IFERROR((FT_RF_26[[#This Row],[Fuera de calibre &lt;12mm]]/FT_RF_26[[#This Row],[Muestra]]),"0")</f>
        <v>0</v>
      </c>
      <c r="AP46" s="38">
        <v>0</v>
      </c>
      <c r="AQ46" s="39">
        <f>+IFERROR((FT_RF_26[[#This Row],[Calibre &lt;25]]/FT_RF_26[[#This Row],[Muestra]]),"0")</f>
        <v>0</v>
      </c>
      <c r="AR46" s="38">
        <v>0</v>
      </c>
      <c r="AS46" s="39">
        <f>+IFERROR((FT_RF_26[[#This Row],[Calibre &gt;12]]/FT_RF_26[[#This Row],[Muestra]]),"0")</f>
        <v>0</v>
      </c>
      <c r="AT46" s="38">
        <v>0</v>
      </c>
      <c r="AU46" s="39">
        <f>+IFERROR((FT_RF_26[[#This Row],[Calibre &lt;14]]/FT_RF_26[[#This Row],[Muestra]]),"0")</f>
        <v>0</v>
      </c>
      <c r="AV46" s="38">
        <v>0</v>
      </c>
      <c r="AW46" s="39">
        <f>+IFERROR((FT_RF_26[[#This Row],[Calibre &gt;14]]/FT_RF_26[[#This Row],[Muestra]]),"0")</f>
        <v>0</v>
      </c>
      <c r="AX46" s="38">
        <v>0</v>
      </c>
      <c r="AY46" s="39">
        <f>+IFERROR((FT_RF_26[[#This Row],[Calibre &lt;10]]/FT_RF_26[[#This Row],[Muestra]]),"0")</f>
        <v>0</v>
      </c>
      <c r="AZ46" s="38">
        <v>0</v>
      </c>
      <c r="BA46" s="39">
        <f>+IFERROR((FT_RF_26[[#This Row],[Calibre &gt;13]]/FT_RF_26[[#This Row],[Muestra]]),"0")</f>
        <v>0</v>
      </c>
      <c r="BB46" s="41"/>
      <c r="BG46" s="42"/>
      <c r="BH46" s="43">
        <v>0</v>
      </c>
      <c r="BI46" s="29" t="s">
        <v>894</v>
      </c>
      <c r="BJ46" s="29" t="s">
        <v>894</v>
      </c>
      <c r="BK4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4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46" s="45">
        <f>1-FT_RF_26[[#This Row],[% Defectos]]</f>
        <v>1</v>
      </c>
      <c r="BO46" s="60"/>
      <c r="BP46" s="12">
        <f>SUM(FT_RF_26[[#This Row],[Hoja (Un.)]:[Larvas Caja]])</f>
        <v>0</v>
      </c>
      <c r="BQ46" s="12">
        <f>SUM(FT_RF_26[[#This Row],[Vidrios]:[Plástico]])</f>
        <v>0</v>
      </c>
      <c r="BR46" s="12" t="str">
        <f>IF(ISBLANK(FT_RF_26[[#This Row],[Descripción del producto]]),"",FT_RF_26[[#This Row],[Descripción del producto]])</f>
        <v/>
      </c>
      <c r="BS46" s="29" t="str">
        <f>IF(ISBLANK(FT_RF_26[[#This Row],[N° de Lote]]),"",FT_RF_26[[#This Row],[N° de Lote]])</f>
        <v/>
      </c>
      <c r="BT46" s="29" t="str">
        <f>IF(ISBLANK(FT_RF_26[[#This Row],[N° de Pallet]]),"",FT_RF_26[[#This Row],[N° de Pallet]])</f>
        <v/>
      </c>
    </row>
    <row r="47" spans="2:72">
      <c r="B47" s="29">
        <f>+_xlfn.ISOWEEKNUM(FT_RF_26[[#This Row],[Fecha]])</f>
        <v>52</v>
      </c>
      <c r="E47" s="31"/>
      <c r="F47" s="12" t="str">
        <f>IFERROR(""&amp;_xlfn.XLOOKUP(FT_RF_26[[#This Row],[Código]],BD_Cod[SKU],BD_Cod[Descripción]),"")</f>
        <v/>
      </c>
      <c r="G47" s="32" t="str">
        <f>IFERROR(""&amp;_xlfn.XLOOKUP(FT_RF_26[[#This Row],[Código]],BD_Cod[SKU],BD_Cod[Familia Calidad]),"")</f>
        <v/>
      </c>
      <c r="J47" s="33">
        <v>1000</v>
      </c>
      <c r="L47" s="30" t="s">
        <v>244</v>
      </c>
      <c r="O47" s="30" t="s">
        <v>894</v>
      </c>
      <c r="P47" s="29" t="s">
        <v>894</v>
      </c>
      <c r="Q47" s="37">
        <f>1-FT_RF_26[[#This Row],[% Defectos]]</f>
        <v>1</v>
      </c>
      <c r="R47" s="38">
        <v>0</v>
      </c>
      <c r="S47" s="39">
        <f>+IFERROR((FT_RF_26[[#This Row],[Inmadura]]/FT_RF_26[[#This Row],[Muestra]]),"0")</f>
        <v>0</v>
      </c>
      <c r="T47" s="38">
        <v>0</v>
      </c>
      <c r="U47" s="39">
        <f>+IFERROR((FT_RF_26[[#This Row],[Partidas]]/FT_RF_26[[#This Row],[Muestra]]),"0")</f>
        <v>0</v>
      </c>
      <c r="V47" s="38">
        <v>0</v>
      </c>
      <c r="W47" s="39">
        <f>+IFERROR((FT_RF_26[[#This Row],[Daño Insecto]]/FT_RF_26[[#This Row],[Muestra]]),"0")</f>
        <v>0</v>
      </c>
      <c r="X47" s="38">
        <v>0</v>
      </c>
      <c r="Y47" s="39">
        <f>+IFERROR((FT_RF_26[[#This Row],[Sobremadura]]/FT_RF_26[[#This Row],[Muestra]]),"0")</f>
        <v>0</v>
      </c>
      <c r="Z47" s="38">
        <v>0</v>
      </c>
      <c r="AA47" s="39">
        <f>+IFERROR((FT_RF_26[[#This Row],[Deforme]]/FT_RF_26[[#This Row],[Muestra]]),"0")</f>
        <v>0</v>
      </c>
      <c r="AB47" s="27"/>
      <c r="AC47" s="38">
        <v>0</v>
      </c>
      <c r="AD47" s="39">
        <f>+IFERROR((FT_RF_26[[#This Row],[Valor Extra 1]]/FT_RF_26[[#This Row],[Muestra]]),"0")</f>
        <v>0</v>
      </c>
      <c r="AF47" s="38">
        <v>0</v>
      </c>
      <c r="AG47" s="39">
        <f>+IFERROR((FT_RF_26[[#This Row],[Valor Extra 2]]/FT_RF_26[[#This Row],[Muestra]]),"0")</f>
        <v>0</v>
      </c>
      <c r="AH47" s="40">
        <v>0</v>
      </c>
      <c r="AI47" s="39">
        <f>+IFERROR((FT_RF_26[[#This Row],[Hongos]]/FT_RF_26[[#This Row],[Muestra]]),"0")</f>
        <v>0</v>
      </c>
      <c r="AJ47" s="38">
        <v>0</v>
      </c>
      <c r="AK47" s="39">
        <f>+IFERROR((FT_RF_26[[#This Row],[Block]]/FT_RF_26[[#This Row],[Muestra]]),"0")</f>
        <v>0</v>
      </c>
      <c r="AL47" s="41">
        <v>0</v>
      </c>
      <c r="AM47" s="42">
        <v>0</v>
      </c>
      <c r="AN47" s="38">
        <v>0</v>
      </c>
      <c r="AO47" s="39">
        <f>+IFERROR((FT_RF_26[[#This Row],[Fuera de calibre &lt;12mm]]/FT_RF_26[[#This Row],[Muestra]]),"0")</f>
        <v>0</v>
      </c>
      <c r="AP47" s="38">
        <v>0</v>
      </c>
      <c r="AQ47" s="39">
        <f>+IFERROR((FT_RF_26[[#This Row],[Calibre &lt;25]]/FT_RF_26[[#This Row],[Muestra]]),"0")</f>
        <v>0</v>
      </c>
      <c r="AR47" s="38">
        <v>0</v>
      </c>
      <c r="AS47" s="39">
        <f>+IFERROR((FT_RF_26[[#This Row],[Calibre &gt;12]]/FT_RF_26[[#This Row],[Muestra]]),"0")</f>
        <v>0</v>
      </c>
      <c r="AT47" s="38">
        <v>0</v>
      </c>
      <c r="AU47" s="39">
        <f>+IFERROR((FT_RF_26[[#This Row],[Calibre &lt;14]]/FT_RF_26[[#This Row],[Muestra]]),"0")</f>
        <v>0</v>
      </c>
      <c r="AV47" s="38">
        <v>0</v>
      </c>
      <c r="AW47" s="39">
        <f>+IFERROR((FT_RF_26[[#This Row],[Calibre &gt;14]]/FT_RF_26[[#This Row],[Muestra]]),"0")</f>
        <v>0</v>
      </c>
      <c r="AX47" s="38">
        <v>0</v>
      </c>
      <c r="AY47" s="39">
        <f>+IFERROR((FT_RF_26[[#This Row],[Calibre &lt;10]]/FT_RF_26[[#This Row],[Muestra]]),"0")</f>
        <v>0</v>
      </c>
      <c r="AZ47" s="38">
        <v>0</v>
      </c>
      <c r="BA47" s="39">
        <f>+IFERROR((FT_RF_26[[#This Row],[Calibre &gt;13]]/FT_RF_26[[#This Row],[Muestra]]),"0")</f>
        <v>0</v>
      </c>
      <c r="BB47" s="41"/>
      <c r="BG47" s="42"/>
      <c r="BH47" s="43">
        <v>0</v>
      </c>
      <c r="BI47" s="29" t="s">
        <v>894</v>
      </c>
      <c r="BJ47" s="29" t="s">
        <v>894</v>
      </c>
      <c r="BK4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4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47" s="45">
        <f>1-FT_RF_26[[#This Row],[% Defectos]]</f>
        <v>1</v>
      </c>
      <c r="BO47" s="60"/>
      <c r="BP47" s="12">
        <f>SUM(FT_RF_26[[#This Row],[Hoja (Un.)]:[Larvas Caja]])</f>
        <v>0</v>
      </c>
      <c r="BQ47" s="12">
        <f>SUM(FT_RF_26[[#This Row],[Vidrios]:[Plástico]])</f>
        <v>0</v>
      </c>
      <c r="BR47" s="12" t="str">
        <f>IF(ISBLANK(FT_RF_26[[#This Row],[Descripción del producto]]),"",FT_RF_26[[#This Row],[Descripción del producto]])</f>
        <v/>
      </c>
      <c r="BS47" s="29" t="str">
        <f>IF(ISBLANK(FT_RF_26[[#This Row],[N° de Lote]]),"",FT_RF_26[[#This Row],[N° de Lote]])</f>
        <v/>
      </c>
      <c r="BT47" s="29" t="str">
        <f>IF(ISBLANK(FT_RF_26[[#This Row],[N° de Pallet]]),"",FT_RF_26[[#This Row],[N° de Pallet]])</f>
        <v/>
      </c>
    </row>
    <row r="48" spans="2:72">
      <c r="B48" s="29">
        <f>+_xlfn.ISOWEEKNUM(FT_RF_26[[#This Row],[Fecha]])</f>
        <v>52</v>
      </c>
      <c r="E48" s="31"/>
      <c r="F48" s="12" t="str">
        <f>IFERROR(""&amp;_xlfn.XLOOKUP(FT_RF_26[[#This Row],[Código]],BD_Cod[SKU],BD_Cod[Descripción]),"")</f>
        <v/>
      </c>
      <c r="G48" s="32" t="str">
        <f>IFERROR(""&amp;_xlfn.XLOOKUP(FT_RF_26[[#This Row],[Código]],BD_Cod[SKU],BD_Cod[Familia Calidad]),"")</f>
        <v/>
      </c>
      <c r="J48" s="33">
        <v>1000</v>
      </c>
      <c r="L48" s="30" t="s">
        <v>244</v>
      </c>
      <c r="O48" s="30" t="s">
        <v>894</v>
      </c>
      <c r="P48" s="29" t="s">
        <v>894</v>
      </c>
      <c r="Q48" s="37">
        <f>1-FT_RF_26[[#This Row],[% Defectos]]</f>
        <v>1</v>
      </c>
      <c r="R48" s="38">
        <v>0</v>
      </c>
      <c r="S48" s="39">
        <f>+IFERROR((FT_RF_26[[#This Row],[Inmadura]]/FT_RF_26[[#This Row],[Muestra]]),"0")</f>
        <v>0</v>
      </c>
      <c r="T48" s="38">
        <v>0</v>
      </c>
      <c r="U48" s="39">
        <f>+IFERROR((FT_RF_26[[#This Row],[Partidas]]/FT_RF_26[[#This Row],[Muestra]]),"0")</f>
        <v>0</v>
      </c>
      <c r="V48" s="38">
        <v>0</v>
      </c>
      <c r="W48" s="39">
        <f>+IFERROR((FT_RF_26[[#This Row],[Daño Insecto]]/FT_RF_26[[#This Row],[Muestra]]),"0")</f>
        <v>0</v>
      </c>
      <c r="X48" s="38">
        <v>0</v>
      </c>
      <c r="Y48" s="39">
        <f>+IFERROR((FT_RF_26[[#This Row],[Sobremadura]]/FT_RF_26[[#This Row],[Muestra]]),"0")</f>
        <v>0</v>
      </c>
      <c r="Z48" s="38">
        <v>0</v>
      </c>
      <c r="AA48" s="39">
        <f>+IFERROR((FT_RF_26[[#This Row],[Deforme]]/FT_RF_26[[#This Row],[Muestra]]),"0")</f>
        <v>0</v>
      </c>
      <c r="AB48" s="27"/>
      <c r="AC48" s="38">
        <v>0</v>
      </c>
      <c r="AD48" s="39">
        <f>+IFERROR((FT_RF_26[[#This Row],[Valor Extra 1]]/FT_RF_26[[#This Row],[Muestra]]),"0")</f>
        <v>0</v>
      </c>
      <c r="AF48" s="38">
        <v>0</v>
      </c>
      <c r="AG48" s="39">
        <f>+IFERROR((FT_RF_26[[#This Row],[Valor Extra 2]]/FT_RF_26[[#This Row],[Muestra]]),"0")</f>
        <v>0</v>
      </c>
      <c r="AH48" s="40">
        <v>0</v>
      </c>
      <c r="AI48" s="39">
        <f>+IFERROR((FT_RF_26[[#This Row],[Hongos]]/FT_RF_26[[#This Row],[Muestra]]),"0")</f>
        <v>0</v>
      </c>
      <c r="AJ48" s="38">
        <v>0</v>
      </c>
      <c r="AK48" s="39">
        <f>+IFERROR((FT_RF_26[[#This Row],[Block]]/FT_RF_26[[#This Row],[Muestra]]),"0")</f>
        <v>0</v>
      </c>
      <c r="AL48" s="41">
        <v>0</v>
      </c>
      <c r="AM48" s="42">
        <v>0</v>
      </c>
      <c r="AN48" s="38">
        <v>0</v>
      </c>
      <c r="AO48" s="39">
        <f>+IFERROR((FT_RF_26[[#This Row],[Fuera de calibre &lt;12mm]]/FT_RF_26[[#This Row],[Muestra]]),"0")</f>
        <v>0</v>
      </c>
      <c r="AP48" s="38">
        <v>0</v>
      </c>
      <c r="AQ48" s="39">
        <f>+IFERROR((FT_RF_26[[#This Row],[Calibre &lt;25]]/FT_RF_26[[#This Row],[Muestra]]),"0")</f>
        <v>0</v>
      </c>
      <c r="AR48" s="38">
        <v>0</v>
      </c>
      <c r="AS48" s="39">
        <f>+IFERROR((FT_RF_26[[#This Row],[Calibre &gt;12]]/FT_RF_26[[#This Row],[Muestra]]),"0")</f>
        <v>0</v>
      </c>
      <c r="AT48" s="38">
        <v>0</v>
      </c>
      <c r="AU48" s="39">
        <f>+IFERROR((FT_RF_26[[#This Row],[Calibre &lt;14]]/FT_RF_26[[#This Row],[Muestra]]),"0")</f>
        <v>0</v>
      </c>
      <c r="AV48" s="38">
        <v>0</v>
      </c>
      <c r="AW48" s="39">
        <f>+IFERROR((FT_RF_26[[#This Row],[Calibre &gt;14]]/FT_RF_26[[#This Row],[Muestra]]),"0")</f>
        <v>0</v>
      </c>
      <c r="AX48" s="38">
        <v>0</v>
      </c>
      <c r="AY48" s="39">
        <f>+IFERROR((FT_RF_26[[#This Row],[Calibre &lt;10]]/FT_RF_26[[#This Row],[Muestra]]),"0")</f>
        <v>0</v>
      </c>
      <c r="AZ48" s="38">
        <v>0</v>
      </c>
      <c r="BA48" s="39">
        <f>+IFERROR((FT_RF_26[[#This Row],[Calibre &gt;13]]/FT_RF_26[[#This Row],[Muestra]]),"0")</f>
        <v>0</v>
      </c>
      <c r="BB48" s="41"/>
      <c r="BG48" s="42"/>
      <c r="BH48" s="43">
        <v>0</v>
      </c>
      <c r="BI48" s="29" t="s">
        <v>894</v>
      </c>
      <c r="BJ48" s="29" t="s">
        <v>894</v>
      </c>
      <c r="BK4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4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48" s="45">
        <f>1-FT_RF_26[[#This Row],[% Defectos]]</f>
        <v>1</v>
      </c>
      <c r="BO48" s="60"/>
      <c r="BP48" s="12">
        <f>SUM(FT_RF_26[[#This Row],[Hoja (Un.)]:[Larvas Caja]])</f>
        <v>0</v>
      </c>
      <c r="BQ48" s="12">
        <f>SUM(FT_RF_26[[#This Row],[Vidrios]:[Plástico]])</f>
        <v>0</v>
      </c>
      <c r="BR48" s="12" t="str">
        <f>IF(ISBLANK(FT_RF_26[[#This Row],[Descripción del producto]]),"",FT_RF_26[[#This Row],[Descripción del producto]])</f>
        <v/>
      </c>
      <c r="BS48" s="29" t="str">
        <f>IF(ISBLANK(FT_RF_26[[#This Row],[N° de Lote]]),"",FT_RF_26[[#This Row],[N° de Lote]])</f>
        <v/>
      </c>
      <c r="BT48" s="29" t="str">
        <f>IF(ISBLANK(FT_RF_26[[#This Row],[N° de Pallet]]),"",FT_RF_26[[#This Row],[N° de Pallet]])</f>
        <v/>
      </c>
    </row>
    <row r="49" spans="2:72">
      <c r="B49" s="29">
        <f>+_xlfn.ISOWEEKNUM(FT_RF_26[[#This Row],[Fecha]])</f>
        <v>52</v>
      </c>
      <c r="E49" s="31"/>
      <c r="F49" s="12" t="str">
        <f>IFERROR(""&amp;_xlfn.XLOOKUP(FT_RF_26[[#This Row],[Código]],BD_Cod[SKU],BD_Cod[Descripción]),"")</f>
        <v/>
      </c>
      <c r="G49" s="32" t="str">
        <f>IFERROR(""&amp;_xlfn.XLOOKUP(FT_RF_26[[#This Row],[Código]],BD_Cod[SKU],BD_Cod[Familia Calidad]),"")</f>
        <v/>
      </c>
      <c r="J49" s="33">
        <v>1000</v>
      </c>
      <c r="L49" s="30" t="s">
        <v>244</v>
      </c>
      <c r="O49" s="30" t="s">
        <v>894</v>
      </c>
      <c r="P49" s="29" t="s">
        <v>894</v>
      </c>
      <c r="Q49" s="37">
        <f>1-FT_RF_26[[#This Row],[% Defectos]]</f>
        <v>1</v>
      </c>
      <c r="R49" s="38">
        <v>0</v>
      </c>
      <c r="S49" s="39">
        <f>+IFERROR((FT_RF_26[[#This Row],[Inmadura]]/FT_RF_26[[#This Row],[Muestra]]),"0")</f>
        <v>0</v>
      </c>
      <c r="T49" s="38">
        <v>0</v>
      </c>
      <c r="U49" s="39">
        <f>+IFERROR((FT_RF_26[[#This Row],[Partidas]]/FT_RF_26[[#This Row],[Muestra]]),"0")</f>
        <v>0</v>
      </c>
      <c r="V49" s="38">
        <v>0</v>
      </c>
      <c r="W49" s="39">
        <f>+IFERROR((FT_RF_26[[#This Row],[Daño Insecto]]/FT_RF_26[[#This Row],[Muestra]]),"0")</f>
        <v>0</v>
      </c>
      <c r="X49" s="38">
        <v>0</v>
      </c>
      <c r="Y49" s="39">
        <f>+IFERROR((FT_RF_26[[#This Row],[Sobremadura]]/FT_RF_26[[#This Row],[Muestra]]),"0")</f>
        <v>0</v>
      </c>
      <c r="Z49" s="38">
        <v>0</v>
      </c>
      <c r="AA49" s="39">
        <f>+IFERROR((FT_RF_26[[#This Row],[Deforme]]/FT_RF_26[[#This Row],[Muestra]]),"0")</f>
        <v>0</v>
      </c>
      <c r="AB49" s="27"/>
      <c r="AC49" s="38">
        <v>0</v>
      </c>
      <c r="AD49" s="39">
        <f>+IFERROR((FT_RF_26[[#This Row],[Valor Extra 1]]/FT_RF_26[[#This Row],[Muestra]]),"0")</f>
        <v>0</v>
      </c>
      <c r="AF49" s="38">
        <v>0</v>
      </c>
      <c r="AG49" s="39">
        <f>+IFERROR((FT_RF_26[[#This Row],[Valor Extra 2]]/FT_RF_26[[#This Row],[Muestra]]),"0")</f>
        <v>0</v>
      </c>
      <c r="AH49" s="40">
        <v>0</v>
      </c>
      <c r="AI49" s="39">
        <f>+IFERROR((FT_RF_26[[#This Row],[Hongos]]/FT_RF_26[[#This Row],[Muestra]]),"0")</f>
        <v>0</v>
      </c>
      <c r="AJ49" s="38">
        <v>0</v>
      </c>
      <c r="AK49" s="39">
        <f>+IFERROR((FT_RF_26[[#This Row],[Block]]/FT_RF_26[[#This Row],[Muestra]]),"0")</f>
        <v>0</v>
      </c>
      <c r="AL49" s="41">
        <v>0</v>
      </c>
      <c r="AM49" s="42">
        <v>0</v>
      </c>
      <c r="AN49" s="38">
        <v>0</v>
      </c>
      <c r="AO49" s="39">
        <f>+IFERROR((FT_RF_26[[#This Row],[Fuera de calibre &lt;12mm]]/FT_RF_26[[#This Row],[Muestra]]),"0")</f>
        <v>0</v>
      </c>
      <c r="AP49" s="38">
        <v>0</v>
      </c>
      <c r="AQ49" s="39">
        <f>+IFERROR((FT_RF_26[[#This Row],[Calibre &lt;25]]/FT_RF_26[[#This Row],[Muestra]]),"0")</f>
        <v>0</v>
      </c>
      <c r="AR49" s="38">
        <v>0</v>
      </c>
      <c r="AS49" s="39">
        <f>+IFERROR((FT_RF_26[[#This Row],[Calibre &gt;12]]/FT_RF_26[[#This Row],[Muestra]]),"0")</f>
        <v>0</v>
      </c>
      <c r="AT49" s="38">
        <v>0</v>
      </c>
      <c r="AU49" s="39">
        <f>+IFERROR((FT_RF_26[[#This Row],[Calibre &lt;14]]/FT_RF_26[[#This Row],[Muestra]]),"0")</f>
        <v>0</v>
      </c>
      <c r="AV49" s="38">
        <v>0</v>
      </c>
      <c r="AW49" s="39">
        <f>+IFERROR((FT_RF_26[[#This Row],[Calibre &gt;14]]/FT_RF_26[[#This Row],[Muestra]]),"0")</f>
        <v>0</v>
      </c>
      <c r="AX49" s="38">
        <v>0</v>
      </c>
      <c r="AY49" s="39">
        <f>+IFERROR((FT_RF_26[[#This Row],[Calibre &lt;10]]/FT_RF_26[[#This Row],[Muestra]]),"0")</f>
        <v>0</v>
      </c>
      <c r="AZ49" s="38">
        <v>0</v>
      </c>
      <c r="BA49" s="39">
        <f>+IFERROR((FT_RF_26[[#This Row],[Calibre &gt;13]]/FT_RF_26[[#This Row],[Muestra]]),"0")</f>
        <v>0</v>
      </c>
      <c r="BB49" s="41"/>
      <c r="BG49" s="42"/>
      <c r="BH49" s="43">
        <v>0</v>
      </c>
      <c r="BI49" s="29" t="s">
        <v>894</v>
      </c>
      <c r="BJ49" s="29" t="s">
        <v>894</v>
      </c>
      <c r="BK4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4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49" s="45">
        <f>1-FT_RF_26[[#This Row],[% Defectos]]</f>
        <v>1</v>
      </c>
      <c r="BO49" s="60"/>
      <c r="BP49" s="12">
        <f>SUM(FT_RF_26[[#This Row],[Hoja (Un.)]:[Larvas Caja]])</f>
        <v>0</v>
      </c>
      <c r="BQ49" s="12">
        <f>SUM(FT_RF_26[[#This Row],[Vidrios]:[Plástico]])</f>
        <v>0</v>
      </c>
      <c r="BR49" s="12" t="str">
        <f>IF(ISBLANK(FT_RF_26[[#This Row],[Descripción del producto]]),"",FT_RF_26[[#This Row],[Descripción del producto]])</f>
        <v/>
      </c>
      <c r="BS49" s="29" t="str">
        <f>IF(ISBLANK(FT_RF_26[[#This Row],[N° de Lote]]),"",FT_RF_26[[#This Row],[N° de Lote]])</f>
        <v/>
      </c>
      <c r="BT49" s="29" t="str">
        <f>IF(ISBLANK(FT_RF_26[[#This Row],[N° de Pallet]]),"",FT_RF_26[[#This Row],[N° de Pallet]])</f>
        <v/>
      </c>
    </row>
    <row r="50" spans="2:72">
      <c r="B50" s="29">
        <f>+_xlfn.ISOWEEKNUM(FT_RF_26[[#This Row],[Fecha]])</f>
        <v>52</v>
      </c>
      <c r="E50" s="31"/>
      <c r="F50" s="12" t="str">
        <f>IFERROR(""&amp;_xlfn.XLOOKUP(FT_RF_26[[#This Row],[Código]],BD_Cod[SKU],BD_Cod[Descripción]),"")</f>
        <v/>
      </c>
      <c r="G50" s="32" t="str">
        <f>IFERROR(""&amp;_xlfn.XLOOKUP(FT_RF_26[[#This Row],[Código]],BD_Cod[SKU],BD_Cod[Familia Calidad]),"")</f>
        <v/>
      </c>
      <c r="J50" s="33">
        <v>1000</v>
      </c>
      <c r="L50" s="30" t="s">
        <v>244</v>
      </c>
      <c r="O50" s="30" t="s">
        <v>894</v>
      </c>
      <c r="P50" s="29" t="s">
        <v>894</v>
      </c>
      <c r="Q50" s="37">
        <f>1-FT_RF_26[[#This Row],[% Defectos]]</f>
        <v>1</v>
      </c>
      <c r="R50" s="38">
        <v>0</v>
      </c>
      <c r="S50" s="39">
        <f>+IFERROR((FT_RF_26[[#This Row],[Inmadura]]/FT_RF_26[[#This Row],[Muestra]]),"0")</f>
        <v>0</v>
      </c>
      <c r="T50" s="38">
        <v>0</v>
      </c>
      <c r="U50" s="39">
        <f>+IFERROR((FT_RF_26[[#This Row],[Partidas]]/FT_RF_26[[#This Row],[Muestra]]),"0")</f>
        <v>0</v>
      </c>
      <c r="V50" s="38">
        <v>0</v>
      </c>
      <c r="W50" s="39">
        <f>+IFERROR((FT_RF_26[[#This Row],[Daño Insecto]]/FT_RF_26[[#This Row],[Muestra]]),"0")</f>
        <v>0</v>
      </c>
      <c r="X50" s="38">
        <v>0</v>
      </c>
      <c r="Y50" s="39">
        <f>+IFERROR((FT_RF_26[[#This Row],[Sobremadura]]/FT_RF_26[[#This Row],[Muestra]]),"0")</f>
        <v>0</v>
      </c>
      <c r="Z50" s="38">
        <v>0</v>
      </c>
      <c r="AA50" s="39">
        <f>+IFERROR((FT_RF_26[[#This Row],[Deforme]]/FT_RF_26[[#This Row],[Muestra]]),"0")</f>
        <v>0</v>
      </c>
      <c r="AB50" s="27"/>
      <c r="AC50" s="38">
        <v>0</v>
      </c>
      <c r="AD50" s="39">
        <f>+IFERROR((FT_RF_26[[#This Row],[Valor Extra 1]]/FT_RF_26[[#This Row],[Muestra]]),"0")</f>
        <v>0</v>
      </c>
      <c r="AF50" s="38">
        <v>0</v>
      </c>
      <c r="AG50" s="39">
        <f>+IFERROR((FT_RF_26[[#This Row],[Valor Extra 2]]/FT_RF_26[[#This Row],[Muestra]]),"0")</f>
        <v>0</v>
      </c>
      <c r="AH50" s="40">
        <v>0</v>
      </c>
      <c r="AI50" s="39">
        <f>+IFERROR((FT_RF_26[[#This Row],[Hongos]]/FT_RF_26[[#This Row],[Muestra]]),"0")</f>
        <v>0</v>
      </c>
      <c r="AJ50" s="38">
        <v>0</v>
      </c>
      <c r="AK50" s="39">
        <f>+IFERROR((FT_RF_26[[#This Row],[Block]]/FT_RF_26[[#This Row],[Muestra]]),"0")</f>
        <v>0</v>
      </c>
      <c r="AL50" s="41">
        <v>0</v>
      </c>
      <c r="AM50" s="42">
        <v>0</v>
      </c>
      <c r="AN50" s="38">
        <v>0</v>
      </c>
      <c r="AO50" s="39">
        <f>+IFERROR((FT_RF_26[[#This Row],[Fuera de calibre &lt;12mm]]/FT_RF_26[[#This Row],[Muestra]]),"0")</f>
        <v>0</v>
      </c>
      <c r="AP50" s="38">
        <v>0</v>
      </c>
      <c r="AQ50" s="39">
        <f>+IFERROR((FT_RF_26[[#This Row],[Calibre &lt;25]]/FT_RF_26[[#This Row],[Muestra]]),"0")</f>
        <v>0</v>
      </c>
      <c r="AR50" s="38">
        <v>0</v>
      </c>
      <c r="AS50" s="39">
        <f>+IFERROR((FT_RF_26[[#This Row],[Calibre &gt;12]]/FT_RF_26[[#This Row],[Muestra]]),"0")</f>
        <v>0</v>
      </c>
      <c r="AT50" s="38">
        <v>0</v>
      </c>
      <c r="AU50" s="39">
        <f>+IFERROR((FT_RF_26[[#This Row],[Calibre &lt;14]]/FT_RF_26[[#This Row],[Muestra]]),"0")</f>
        <v>0</v>
      </c>
      <c r="AV50" s="38">
        <v>0</v>
      </c>
      <c r="AW50" s="39">
        <f>+IFERROR((FT_RF_26[[#This Row],[Calibre &gt;14]]/FT_RF_26[[#This Row],[Muestra]]),"0")</f>
        <v>0</v>
      </c>
      <c r="AX50" s="38">
        <v>0</v>
      </c>
      <c r="AY50" s="39">
        <f>+IFERROR((FT_RF_26[[#This Row],[Calibre &lt;10]]/FT_RF_26[[#This Row],[Muestra]]),"0")</f>
        <v>0</v>
      </c>
      <c r="AZ50" s="38">
        <v>0</v>
      </c>
      <c r="BA50" s="39">
        <f>+IFERROR((FT_RF_26[[#This Row],[Calibre &gt;13]]/FT_RF_26[[#This Row],[Muestra]]),"0")</f>
        <v>0</v>
      </c>
      <c r="BB50" s="41"/>
      <c r="BG50" s="42"/>
      <c r="BH50" s="43">
        <v>0</v>
      </c>
      <c r="BI50" s="29" t="s">
        <v>894</v>
      </c>
      <c r="BJ50" s="29" t="s">
        <v>894</v>
      </c>
      <c r="BK5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5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50" s="45">
        <f>1-FT_RF_26[[#This Row],[% Defectos]]</f>
        <v>1</v>
      </c>
      <c r="BO50" s="60"/>
      <c r="BP50" s="12">
        <f>SUM(FT_RF_26[[#This Row],[Hoja (Un.)]:[Larvas Caja]])</f>
        <v>0</v>
      </c>
      <c r="BQ50" s="12">
        <f>SUM(FT_RF_26[[#This Row],[Vidrios]:[Plástico]])</f>
        <v>0</v>
      </c>
      <c r="BR50" s="12" t="str">
        <f>IF(ISBLANK(FT_RF_26[[#This Row],[Descripción del producto]]),"",FT_RF_26[[#This Row],[Descripción del producto]])</f>
        <v/>
      </c>
      <c r="BS50" s="29" t="str">
        <f>IF(ISBLANK(FT_RF_26[[#This Row],[N° de Lote]]),"",FT_RF_26[[#This Row],[N° de Lote]])</f>
        <v/>
      </c>
      <c r="BT50" s="29" t="str">
        <f>IF(ISBLANK(FT_RF_26[[#This Row],[N° de Pallet]]),"",FT_RF_26[[#This Row],[N° de Pallet]])</f>
        <v/>
      </c>
    </row>
    <row r="51" spans="2:72">
      <c r="B51" s="29">
        <f>+_xlfn.ISOWEEKNUM(FT_RF_26[[#This Row],[Fecha]])</f>
        <v>52</v>
      </c>
      <c r="E51" s="31"/>
      <c r="F51" s="12" t="str">
        <f>IFERROR(""&amp;_xlfn.XLOOKUP(FT_RF_26[[#This Row],[Código]],BD_Cod[SKU],BD_Cod[Descripción]),"")</f>
        <v/>
      </c>
      <c r="G51" s="32" t="str">
        <f>IFERROR(""&amp;_xlfn.XLOOKUP(FT_RF_26[[#This Row],[Código]],BD_Cod[SKU],BD_Cod[Familia Calidad]),"")</f>
        <v/>
      </c>
      <c r="J51" s="33">
        <v>1000</v>
      </c>
      <c r="L51" s="30" t="s">
        <v>244</v>
      </c>
      <c r="O51" s="30" t="s">
        <v>894</v>
      </c>
      <c r="P51" s="29" t="s">
        <v>894</v>
      </c>
      <c r="Q51" s="37">
        <f>1-FT_RF_26[[#This Row],[% Defectos]]</f>
        <v>1</v>
      </c>
      <c r="R51" s="38">
        <v>0</v>
      </c>
      <c r="S51" s="39">
        <f>+IFERROR((FT_RF_26[[#This Row],[Inmadura]]/FT_RF_26[[#This Row],[Muestra]]),"0")</f>
        <v>0</v>
      </c>
      <c r="T51" s="38">
        <v>0</v>
      </c>
      <c r="U51" s="39">
        <f>+IFERROR((FT_RF_26[[#This Row],[Partidas]]/FT_RF_26[[#This Row],[Muestra]]),"0")</f>
        <v>0</v>
      </c>
      <c r="V51" s="38">
        <v>0</v>
      </c>
      <c r="W51" s="39">
        <f>+IFERROR((FT_RF_26[[#This Row],[Daño Insecto]]/FT_RF_26[[#This Row],[Muestra]]),"0")</f>
        <v>0</v>
      </c>
      <c r="X51" s="38">
        <v>0</v>
      </c>
      <c r="Y51" s="39">
        <f>+IFERROR((FT_RF_26[[#This Row],[Sobremadura]]/FT_RF_26[[#This Row],[Muestra]]),"0")</f>
        <v>0</v>
      </c>
      <c r="Z51" s="38">
        <v>0</v>
      </c>
      <c r="AA51" s="39">
        <f>+IFERROR((FT_RF_26[[#This Row],[Deforme]]/FT_RF_26[[#This Row],[Muestra]]),"0")</f>
        <v>0</v>
      </c>
      <c r="AB51" s="27"/>
      <c r="AC51" s="38">
        <v>0</v>
      </c>
      <c r="AD51" s="39">
        <f>+IFERROR((FT_RF_26[[#This Row],[Valor Extra 1]]/FT_RF_26[[#This Row],[Muestra]]),"0")</f>
        <v>0</v>
      </c>
      <c r="AF51" s="38">
        <v>0</v>
      </c>
      <c r="AG51" s="39">
        <f>+IFERROR((FT_RF_26[[#This Row],[Valor Extra 2]]/FT_RF_26[[#This Row],[Muestra]]),"0")</f>
        <v>0</v>
      </c>
      <c r="AH51" s="40">
        <v>0</v>
      </c>
      <c r="AI51" s="39">
        <f>+IFERROR((FT_RF_26[[#This Row],[Hongos]]/FT_RF_26[[#This Row],[Muestra]]),"0")</f>
        <v>0</v>
      </c>
      <c r="AJ51" s="38">
        <v>0</v>
      </c>
      <c r="AK51" s="39">
        <f>+IFERROR((FT_RF_26[[#This Row],[Block]]/FT_RF_26[[#This Row],[Muestra]]),"0")</f>
        <v>0</v>
      </c>
      <c r="AL51" s="41">
        <v>0</v>
      </c>
      <c r="AM51" s="42">
        <v>0</v>
      </c>
      <c r="AN51" s="38">
        <v>0</v>
      </c>
      <c r="AO51" s="39">
        <f>+IFERROR((FT_RF_26[[#This Row],[Fuera de calibre &lt;12mm]]/FT_RF_26[[#This Row],[Muestra]]),"0")</f>
        <v>0</v>
      </c>
      <c r="AP51" s="38">
        <v>0</v>
      </c>
      <c r="AQ51" s="39">
        <f>+IFERROR((FT_RF_26[[#This Row],[Calibre &lt;25]]/FT_RF_26[[#This Row],[Muestra]]),"0")</f>
        <v>0</v>
      </c>
      <c r="AR51" s="38">
        <v>0</v>
      </c>
      <c r="AS51" s="39">
        <f>+IFERROR((FT_RF_26[[#This Row],[Calibre &gt;12]]/FT_RF_26[[#This Row],[Muestra]]),"0")</f>
        <v>0</v>
      </c>
      <c r="AT51" s="38">
        <v>0</v>
      </c>
      <c r="AU51" s="39">
        <f>+IFERROR((FT_RF_26[[#This Row],[Calibre &lt;14]]/FT_RF_26[[#This Row],[Muestra]]),"0")</f>
        <v>0</v>
      </c>
      <c r="AV51" s="38">
        <v>0</v>
      </c>
      <c r="AW51" s="39">
        <f>+IFERROR((FT_RF_26[[#This Row],[Calibre &gt;14]]/FT_RF_26[[#This Row],[Muestra]]),"0")</f>
        <v>0</v>
      </c>
      <c r="AX51" s="38">
        <v>0</v>
      </c>
      <c r="AY51" s="39">
        <f>+IFERROR((FT_RF_26[[#This Row],[Calibre &lt;10]]/FT_RF_26[[#This Row],[Muestra]]),"0")</f>
        <v>0</v>
      </c>
      <c r="AZ51" s="38">
        <v>0</v>
      </c>
      <c r="BA51" s="39">
        <f>+IFERROR((FT_RF_26[[#This Row],[Calibre &gt;13]]/FT_RF_26[[#This Row],[Muestra]]),"0")</f>
        <v>0</v>
      </c>
      <c r="BB51" s="41"/>
      <c r="BG51" s="42"/>
      <c r="BH51" s="43">
        <v>0</v>
      </c>
      <c r="BI51" s="29" t="s">
        <v>894</v>
      </c>
      <c r="BJ51" s="29" t="s">
        <v>894</v>
      </c>
      <c r="BK5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5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51" s="45">
        <f>1-FT_RF_26[[#This Row],[% Defectos]]</f>
        <v>1</v>
      </c>
      <c r="BO51" s="60"/>
      <c r="BP51" s="12">
        <f>SUM(FT_RF_26[[#This Row],[Hoja (Un.)]:[Larvas Caja]])</f>
        <v>0</v>
      </c>
      <c r="BQ51" s="12">
        <f>SUM(FT_RF_26[[#This Row],[Vidrios]:[Plástico]])</f>
        <v>0</v>
      </c>
      <c r="BR51" s="12" t="str">
        <f>IF(ISBLANK(FT_RF_26[[#This Row],[Descripción del producto]]),"",FT_RF_26[[#This Row],[Descripción del producto]])</f>
        <v/>
      </c>
      <c r="BS51" s="29" t="str">
        <f>IF(ISBLANK(FT_RF_26[[#This Row],[N° de Lote]]),"",FT_RF_26[[#This Row],[N° de Lote]])</f>
        <v/>
      </c>
      <c r="BT51" s="29" t="str">
        <f>IF(ISBLANK(FT_RF_26[[#This Row],[N° de Pallet]]),"",FT_RF_26[[#This Row],[N° de Pallet]])</f>
        <v/>
      </c>
    </row>
    <row r="52" spans="2:72">
      <c r="B52" s="29">
        <f>+_xlfn.ISOWEEKNUM(FT_RF_26[[#This Row],[Fecha]])</f>
        <v>52</v>
      </c>
      <c r="E52" s="31"/>
      <c r="F52" s="12" t="str">
        <f>IFERROR(""&amp;_xlfn.XLOOKUP(FT_RF_26[[#This Row],[Código]],BD_Cod[SKU],BD_Cod[Descripción]),"")</f>
        <v/>
      </c>
      <c r="G52" s="32" t="str">
        <f>IFERROR(""&amp;_xlfn.XLOOKUP(FT_RF_26[[#This Row],[Código]],BD_Cod[SKU],BD_Cod[Familia Calidad]),"")</f>
        <v/>
      </c>
      <c r="J52" s="33">
        <v>1000</v>
      </c>
      <c r="L52" s="30" t="s">
        <v>244</v>
      </c>
      <c r="O52" s="30" t="s">
        <v>894</v>
      </c>
      <c r="P52" s="29" t="s">
        <v>894</v>
      </c>
      <c r="Q52" s="37">
        <f>1-FT_RF_26[[#This Row],[% Defectos]]</f>
        <v>1</v>
      </c>
      <c r="R52" s="38">
        <v>0</v>
      </c>
      <c r="S52" s="39">
        <f>+IFERROR((FT_RF_26[[#This Row],[Inmadura]]/FT_RF_26[[#This Row],[Muestra]]),"0")</f>
        <v>0</v>
      </c>
      <c r="T52" s="38">
        <v>0</v>
      </c>
      <c r="U52" s="39">
        <f>+IFERROR((FT_RF_26[[#This Row],[Partidas]]/FT_RF_26[[#This Row],[Muestra]]),"0")</f>
        <v>0</v>
      </c>
      <c r="V52" s="38">
        <v>0</v>
      </c>
      <c r="W52" s="39">
        <f>+IFERROR((FT_RF_26[[#This Row],[Daño Insecto]]/FT_RF_26[[#This Row],[Muestra]]),"0")</f>
        <v>0</v>
      </c>
      <c r="X52" s="38">
        <v>0</v>
      </c>
      <c r="Y52" s="39">
        <f>+IFERROR((FT_RF_26[[#This Row],[Sobremadura]]/FT_RF_26[[#This Row],[Muestra]]),"0")</f>
        <v>0</v>
      </c>
      <c r="Z52" s="38">
        <v>0</v>
      </c>
      <c r="AA52" s="39">
        <f>+IFERROR((FT_RF_26[[#This Row],[Deforme]]/FT_RF_26[[#This Row],[Muestra]]),"0")</f>
        <v>0</v>
      </c>
      <c r="AB52" s="27"/>
      <c r="AC52" s="38">
        <v>0</v>
      </c>
      <c r="AD52" s="39">
        <f>+IFERROR((FT_RF_26[[#This Row],[Valor Extra 1]]/FT_RF_26[[#This Row],[Muestra]]),"0")</f>
        <v>0</v>
      </c>
      <c r="AF52" s="38">
        <v>0</v>
      </c>
      <c r="AG52" s="39">
        <f>+IFERROR((FT_RF_26[[#This Row],[Valor Extra 2]]/FT_RF_26[[#This Row],[Muestra]]),"0")</f>
        <v>0</v>
      </c>
      <c r="AH52" s="40">
        <v>0</v>
      </c>
      <c r="AI52" s="39">
        <f>+IFERROR((FT_RF_26[[#This Row],[Hongos]]/FT_RF_26[[#This Row],[Muestra]]),"0")</f>
        <v>0</v>
      </c>
      <c r="AJ52" s="38">
        <v>0</v>
      </c>
      <c r="AK52" s="39">
        <f>+IFERROR((FT_RF_26[[#This Row],[Block]]/FT_RF_26[[#This Row],[Muestra]]),"0")</f>
        <v>0</v>
      </c>
      <c r="AL52" s="41">
        <v>0</v>
      </c>
      <c r="AM52" s="42">
        <v>0</v>
      </c>
      <c r="AN52" s="38">
        <v>0</v>
      </c>
      <c r="AO52" s="39">
        <f>+IFERROR((FT_RF_26[[#This Row],[Fuera de calibre &lt;12mm]]/FT_RF_26[[#This Row],[Muestra]]),"0")</f>
        <v>0</v>
      </c>
      <c r="AP52" s="38">
        <v>0</v>
      </c>
      <c r="AQ52" s="39">
        <f>+IFERROR((FT_RF_26[[#This Row],[Calibre &lt;25]]/FT_RF_26[[#This Row],[Muestra]]),"0")</f>
        <v>0</v>
      </c>
      <c r="AR52" s="38">
        <v>0</v>
      </c>
      <c r="AS52" s="39">
        <f>+IFERROR((FT_RF_26[[#This Row],[Calibre &gt;12]]/FT_RF_26[[#This Row],[Muestra]]),"0")</f>
        <v>0</v>
      </c>
      <c r="AT52" s="38">
        <v>0</v>
      </c>
      <c r="AU52" s="39">
        <f>+IFERROR((FT_RF_26[[#This Row],[Calibre &lt;14]]/FT_RF_26[[#This Row],[Muestra]]),"0")</f>
        <v>0</v>
      </c>
      <c r="AV52" s="38">
        <v>0</v>
      </c>
      <c r="AW52" s="39">
        <f>+IFERROR((FT_RF_26[[#This Row],[Calibre &gt;14]]/FT_RF_26[[#This Row],[Muestra]]),"0")</f>
        <v>0</v>
      </c>
      <c r="AX52" s="38">
        <v>0</v>
      </c>
      <c r="AY52" s="39">
        <f>+IFERROR((FT_RF_26[[#This Row],[Calibre &lt;10]]/FT_RF_26[[#This Row],[Muestra]]),"0")</f>
        <v>0</v>
      </c>
      <c r="AZ52" s="38">
        <v>0</v>
      </c>
      <c r="BA52" s="39">
        <f>+IFERROR((FT_RF_26[[#This Row],[Calibre &gt;13]]/FT_RF_26[[#This Row],[Muestra]]),"0")</f>
        <v>0</v>
      </c>
      <c r="BB52" s="41"/>
      <c r="BG52" s="42"/>
      <c r="BH52" s="43">
        <v>0</v>
      </c>
      <c r="BI52" s="29" t="s">
        <v>894</v>
      </c>
      <c r="BJ52" s="29" t="s">
        <v>894</v>
      </c>
      <c r="BK5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5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52" s="45">
        <f>1-FT_RF_26[[#This Row],[% Defectos]]</f>
        <v>1</v>
      </c>
      <c r="BO52" s="60"/>
      <c r="BP52" s="12">
        <f>SUM(FT_RF_26[[#This Row],[Hoja (Un.)]:[Larvas Caja]])</f>
        <v>0</v>
      </c>
      <c r="BQ52" s="12">
        <f>SUM(FT_RF_26[[#This Row],[Vidrios]:[Plástico]])</f>
        <v>0</v>
      </c>
      <c r="BR52" s="12" t="str">
        <f>IF(ISBLANK(FT_RF_26[[#This Row],[Descripción del producto]]),"",FT_RF_26[[#This Row],[Descripción del producto]])</f>
        <v/>
      </c>
      <c r="BS52" s="29" t="str">
        <f>IF(ISBLANK(FT_RF_26[[#This Row],[N° de Lote]]),"",FT_RF_26[[#This Row],[N° de Lote]])</f>
        <v/>
      </c>
      <c r="BT52" s="29" t="str">
        <f>IF(ISBLANK(FT_RF_26[[#This Row],[N° de Pallet]]),"",FT_RF_26[[#This Row],[N° de Pallet]])</f>
        <v/>
      </c>
    </row>
    <row r="53" spans="2:72">
      <c r="B53" s="29">
        <f>+_xlfn.ISOWEEKNUM(FT_RF_26[[#This Row],[Fecha]])</f>
        <v>52</v>
      </c>
      <c r="E53" s="31"/>
      <c r="F53" s="12" t="str">
        <f>IFERROR(""&amp;_xlfn.XLOOKUP(FT_RF_26[[#This Row],[Código]],BD_Cod[SKU],BD_Cod[Descripción]),"")</f>
        <v/>
      </c>
      <c r="G53" s="32" t="str">
        <f>IFERROR(""&amp;_xlfn.XLOOKUP(FT_RF_26[[#This Row],[Código]],BD_Cod[SKU],BD_Cod[Familia Calidad]),"")</f>
        <v/>
      </c>
      <c r="J53" s="33">
        <v>1000</v>
      </c>
      <c r="L53" s="30" t="s">
        <v>244</v>
      </c>
      <c r="O53" s="30" t="s">
        <v>894</v>
      </c>
      <c r="P53" s="29" t="s">
        <v>894</v>
      </c>
      <c r="Q53" s="37">
        <f>1-FT_RF_26[[#This Row],[% Defectos]]</f>
        <v>1</v>
      </c>
      <c r="R53" s="38">
        <v>0</v>
      </c>
      <c r="S53" s="39">
        <f>+IFERROR((FT_RF_26[[#This Row],[Inmadura]]/FT_RF_26[[#This Row],[Muestra]]),"0")</f>
        <v>0</v>
      </c>
      <c r="T53" s="38">
        <v>0</v>
      </c>
      <c r="U53" s="39">
        <f>+IFERROR((FT_RF_26[[#This Row],[Partidas]]/FT_RF_26[[#This Row],[Muestra]]),"0")</f>
        <v>0</v>
      </c>
      <c r="V53" s="38">
        <v>0</v>
      </c>
      <c r="W53" s="39">
        <f>+IFERROR((FT_RF_26[[#This Row],[Daño Insecto]]/FT_RF_26[[#This Row],[Muestra]]),"0")</f>
        <v>0</v>
      </c>
      <c r="X53" s="38">
        <v>0</v>
      </c>
      <c r="Y53" s="39">
        <f>+IFERROR((FT_RF_26[[#This Row],[Sobremadura]]/FT_RF_26[[#This Row],[Muestra]]),"0")</f>
        <v>0</v>
      </c>
      <c r="Z53" s="38">
        <v>0</v>
      </c>
      <c r="AA53" s="39">
        <f>+IFERROR((FT_RF_26[[#This Row],[Deforme]]/FT_RF_26[[#This Row],[Muestra]]),"0")</f>
        <v>0</v>
      </c>
      <c r="AB53" s="27"/>
      <c r="AC53" s="38">
        <v>0</v>
      </c>
      <c r="AD53" s="39">
        <f>+IFERROR((FT_RF_26[[#This Row],[Valor Extra 1]]/FT_RF_26[[#This Row],[Muestra]]),"0")</f>
        <v>0</v>
      </c>
      <c r="AF53" s="38">
        <v>0</v>
      </c>
      <c r="AG53" s="39">
        <f>+IFERROR((FT_RF_26[[#This Row],[Valor Extra 2]]/FT_RF_26[[#This Row],[Muestra]]),"0")</f>
        <v>0</v>
      </c>
      <c r="AH53" s="40">
        <v>0</v>
      </c>
      <c r="AI53" s="39">
        <f>+IFERROR((FT_RF_26[[#This Row],[Hongos]]/FT_RF_26[[#This Row],[Muestra]]),"0")</f>
        <v>0</v>
      </c>
      <c r="AJ53" s="38">
        <v>0</v>
      </c>
      <c r="AK53" s="39">
        <f>+IFERROR((FT_RF_26[[#This Row],[Block]]/FT_RF_26[[#This Row],[Muestra]]),"0")</f>
        <v>0</v>
      </c>
      <c r="AL53" s="41">
        <v>0</v>
      </c>
      <c r="AM53" s="42">
        <v>0</v>
      </c>
      <c r="AN53" s="38">
        <v>0</v>
      </c>
      <c r="AO53" s="39">
        <f>+IFERROR((FT_RF_26[[#This Row],[Fuera de calibre &lt;12mm]]/FT_RF_26[[#This Row],[Muestra]]),"0")</f>
        <v>0</v>
      </c>
      <c r="AP53" s="38">
        <v>0</v>
      </c>
      <c r="AQ53" s="39">
        <f>+IFERROR((FT_RF_26[[#This Row],[Calibre &lt;25]]/FT_RF_26[[#This Row],[Muestra]]),"0")</f>
        <v>0</v>
      </c>
      <c r="AR53" s="38">
        <v>0</v>
      </c>
      <c r="AS53" s="39">
        <f>+IFERROR((FT_RF_26[[#This Row],[Calibre &gt;12]]/FT_RF_26[[#This Row],[Muestra]]),"0")</f>
        <v>0</v>
      </c>
      <c r="AT53" s="38">
        <v>0</v>
      </c>
      <c r="AU53" s="39">
        <f>+IFERROR((FT_RF_26[[#This Row],[Calibre &lt;14]]/FT_RF_26[[#This Row],[Muestra]]),"0")</f>
        <v>0</v>
      </c>
      <c r="AV53" s="38">
        <v>0</v>
      </c>
      <c r="AW53" s="39">
        <f>+IFERROR((FT_RF_26[[#This Row],[Calibre &gt;14]]/FT_RF_26[[#This Row],[Muestra]]),"0")</f>
        <v>0</v>
      </c>
      <c r="AX53" s="38">
        <v>0</v>
      </c>
      <c r="AY53" s="39">
        <f>+IFERROR((FT_RF_26[[#This Row],[Calibre &lt;10]]/FT_RF_26[[#This Row],[Muestra]]),"0")</f>
        <v>0</v>
      </c>
      <c r="AZ53" s="38">
        <v>0</v>
      </c>
      <c r="BA53" s="39">
        <f>+IFERROR((FT_RF_26[[#This Row],[Calibre &gt;13]]/FT_RF_26[[#This Row],[Muestra]]),"0")</f>
        <v>0</v>
      </c>
      <c r="BB53" s="41"/>
      <c r="BG53" s="42"/>
      <c r="BH53" s="43">
        <v>0</v>
      </c>
      <c r="BI53" s="29" t="s">
        <v>894</v>
      </c>
      <c r="BJ53" s="29" t="s">
        <v>894</v>
      </c>
      <c r="BK5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5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53" s="45">
        <f>1-FT_RF_26[[#This Row],[% Defectos]]</f>
        <v>1</v>
      </c>
      <c r="BO53" s="60"/>
      <c r="BP53" s="12">
        <f>SUM(FT_RF_26[[#This Row],[Hoja (Un.)]:[Larvas Caja]])</f>
        <v>0</v>
      </c>
      <c r="BQ53" s="12">
        <f>SUM(FT_RF_26[[#This Row],[Vidrios]:[Plástico]])</f>
        <v>0</v>
      </c>
      <c r="BR53" s="12" t="str">
        <f>IF(ISBLANK(FT_RF_26[[#This Row],[Descripción del producto]]),"",FT_RF_26[[#This Row],[Descripción del producto]])</f>
        <v/>
      </c>
      <c r="BS53" s="29" t="str">
        <f>IF(ISBLANK(FT_RF_26[[#This Row],[N° de Lote]]),"",FT_RF_26[[#This Row],[N° de Lote]])</f>
        <v/>
      </c>
      <c r="BT53" s="29" t="str">
        <f>IF(ISBLANK(FT_RF_26[[#This Row],[N° de Pallet]]),"",FT_RF_26[[#This Row],[N° de Pallet]])</f>
        <v/>
      </c>
    </row>
    <row r="54" spans="2:72">
      <c r="B54" s="29">
        <f>+_xlfn.ISOWEEKNUM(FT_RF_26[[#This Row],[Fecha]])</f>
        <v>52</v>
      </c>
      <c r="E54" s="31"/>
      <c r="F54" s="12" t="str">
        <f>IFERROR(""&amp;_xlfn.XLOOKUP(FT_RF_26[[#This Row],[Código]],BD_Cod[SKU],BD_Cod[Descripción]),"")</f>
        <v/>
      </c>
      <c r="G54" s="32" t="str">
        <f>IFERROR(""&amp;_xlfn.XLOOKUP(FT_RF_26[[#This Row],[Código]],BD_Cod[SKU],BD_Cod[Familia Calidad]),"")</f>
        <v/>
      </c>
      <c r="J54" s="33">
        <v>1000</v>
      </c>
      <c r="L54" s="30" t="s">
        <v>244</v>
      </c>
      <c r="O54" s="30" t="s">
        <v>894</v>
      </c>
      <c r="P54" s="29" t="s">
        <v>894</v>
      </c>
      <c r="Q54" s="37">
        <f>1-FT_RF_26[[#This Row],[% Defectos]]</f>
        <v>1</v>
      </c>
      <c r="R54" s="38">
        <v>0</v>
      </c>
      <c r="S54" s="39">
        <f>+IFERROR((FT_RF_26[[#This Row],[Inmadura]]/FT_RF_26[[#This Row],[Muestra]]),"0")</f>
        <v>0</v>
      </c>
      <c r="T54" s="38">
        <v>0</v>
      </c>
      <c r="U54" s="39">
        <f>+IFERROR((FT_RF_26[[#This Row],[Partidas]]/FT_RF_26[[#This Row],[Muestra]]),"0")</f>
        <v>0</v>
      </c>
      <c r="V54" s="38">
        <v>0</v>
      </c>
      <c r="W54" s="39">
        <f>+IFERROR((FT_RF_26[[#This Row],[Daño Insecto]]/FT_RF_26[[#This Row],[Muestra]]),"0")</f>
        <v>0</v>
      </c>
      <c r="X54" s="38">
        <v>0</v>
      </c>
      <c r="Y54" s="39">
        <f>+IFERROR((FT_RF_26[[#This Row],[Sobremadura]]/FT_RF_26[[#This Row],[Muestra]]),"0")</f>
        <v>0</v>
      </c>
      <c r="Z54" s="38">
        <v>0</v>
      </c>
      <c r="AA54" s="39">
        <f>+IFERROR((FT_RF_26[[#This Row],[Deforme]]/FT_RF_26[[#This Row],[Muestra]]),"0")</f>
        <v>0</v>
      </c>
      <c r="AB54" s="27"/>
      <c r="AC54" s="38">
        <v>0</v>
      </c>
      <c r="AD54" s="39">
        <f>+IFERROR((FT_RF_26[[#This Row],[Valor Extra 1]]/FT_RF_26[[#This Row],[Muestra]]),"0")</f>
        <v>0</v>
      </c>
      <c r="AF54" s="38">
        <v>0</v>
      </c>
      <c r="AG54" s="39">
        <f>+IFERROR((FT_RF_26[[#This Row],[Valor Extra 2]]/FT_RF_26[[#This Row],[Muestra]]),"0")</f>
        <v>0</v>
      </c>
      <c r="AH54" s="40">
        <v>0</v>
      </c>
      <c r="AI54" s="39">
        <f>+IFERROR((FT_RF_26[[#This Row],[Hongos]]/FT_RF_26[[#This Row],[Muestra]]),"0")</f>
        <v>0</v>
      </c>
      <c r="AJ54" s="38">
        <v>0</v>
      </c>
      <c r="AK54" s="39">
        <f>+IFERROR((FT_RF_26[[#This Row],[Block]]/FT_RF_26[[#This Row],[Muestra]]),"0")</f>
        <v>0</v>
      </c>
      <c r="AL54" s="41">
        <v>0</v>
      </c>
      <c r="AM54" s="42">
        <v>0</v>
      </c>
      <c r="AN54" s="38">
        <v>0</v>
      </c>
      <c r="AO54" s="39">
        <f>+IFERROR((FT_RF_26[[#This Row],[Fuera de calibre &lt;12mm]]/FT_RF_26[[#This Row],[Muestra]]),"0")</f>
        <v>0</v>
      </c>
      <c r="AP54" s="38">
        <v>0</v>
      </c>
      <c r="AQ54" s="39">
        <f>+IFERROR((FT_RF_26[[#This Row],[Calibre &lt;25]]/FT_RF_26[[#This Row],[Muestra]]),"0")</f>
        <v>0</v>
      </c>
      <c r="AR54" s="38">
        <v>0</v>
      </c>
      <c r="AS54" s="39">
        <f>+IFERROR((FT_RF_26[[#This Row],[Calibre &gt;12]]/FT_RF_26[[#This Row],[Muestra]]),"0")</f>
        <v>0</v>
      </c>
      <c r="AT54" s="38">
        <v>0</v>
      </c>
      <c r="AU54" s="39">
        <f>+IFERROR((FT_RF_26[[#This Row],[Calibre &lt;14]]/FT_RF_26[[#This Row],[Muestra]]),"0")</f>
        <v>0</v>
      </c>
      <c r="AV54" s="38">
        <v>0</v>
      </c>
      <c r="AW54" s="39">
        <f>+IFERROR((FT_RF_26[[#This Row],[Calibre &gt;14]]/FT_RF_26[[#This Row],[Muestra]]),"0")</f>
        <v>0</v>
      </c>
      <c r="AX54" s="38">
        <v>0</v>
      </c>
      <c r="AY54" s="39">
        <f>+IFERROR((FT_RF_26[[#This Row],[Calibre &lt;10]]/FT_RF_26[[#This Row],[Muestra]]),"0")</f>
        <v>0</v>
      </c>
      <c r="AZ54" s="38">
        <v>0</v>
      </c>
      <c r="BA54" s="39">
        <f>+IFERROR((FT_RF_26[[#This Row],[Calibre &gt;13]]/FT_RF_26[[#This Row],[Muestra]]),"0")</f>
        <v>0</v>
      </c>
      <c r="BB54" s="41"/>
      <c r="BG54" s="42"/>
      <c r="BH54" s="43">
        <v>0</v>
      </c>
      <c r="BI54" s="29" t="s">
        <v>894</v>
      </c>
      <c r="BJ54" s="29" t="s">
        <v>894</v>
      </c>
      <c r="BK5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5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54" s="45">
        <f>1-FT_RF_26[[#This Row],[% Defectos]]</f>
        <v>1</v>
      </c>
      <c r="BO54" s="60"/>
      <c r="BP54" s="12">
        <f>SUM(FT_RF_26[[#This Row],[Hoja (Un.)]:[Larvas Caja]])</f>
        <v>0</v>
      </c>
      <c r="BQ54" s="12">
        <f>SUM(FT_RF_26[[#This Row],[Vidrios]:[Plástico]])</f>
        <v>0</v>
      </c>
      <c r="BR54" s="12" t="str">
        <f>IF(ISBLANK(FT_RF_26[[#This Row],[Descripción del producto]]),"",FT_RF_26[[#This Row],[Descripción del producto]])</f>
        <v/>
      </c>
      <c r="BS54" s="29" t="str">
        <f>IF(ISBLANK(FT_RF_26[[#This Row],[N° de Lote]]),"",FT_RF_26[[#This Row],[N° de Lote]])</f>
        <v/>
      </c>
      <c r="BT54" s="29" t="str">
        <f>IF(ISBLANK(FT_RF_26[[#This Row],[N° de Pallet]]),"",FT_RF_26[[#This Row],[N° de Pallet]])</f>
        <v/>
      </c>
    </row>
    <row r="55" spans="2:72">
      <c r="B55" s="29">
        <f>+_xlfn.ISOWEEKNUM(FT_RF_26[[#This Row],[Fecha]])</f>
        <v>52</v>
      </c>
      <c r="E55" s="31"/>
      <c r="F55" s="12" t="str">
        <f>IFERROR(""&amp;_xlfn.XLOOKUP(FT_RF_26[[#This Row],[Código]],BD_Cod[SKU],BD_Cod[Descripción]),"")</f>
        <v/>
      </c>
      <c r="G55" s="32" t="str">
        <f>IFERROR(""&amp;_xlfn.XLOOKUP(FT_RF_26[[#This Row],[Código]],BD_Cod[SKU],BD_Cod[Familia Calidad]),"")</f>
        <v/>
      </c>
      <c r="J55" s="33">
        <v>1000</v>
      </c>
      <c r="L55" s="30" t="s">
        <v>244</v>
      </c>
      <c r="O55" s="30" t="s">
        <v>894</v>
      </c>
      <c r="P55" s="29" t="s">
        <v>894</v>
      </c>
      <c r="Q55" s="37">
        <f>1-FT_RF_26[[#This Row],[% Defectos]]</f>
        <v>1</v>
      </c>
      <c r="R55" s="38">
        <v>0</v>
      </c>
      <c r="S55" s="39">
        <f>+IFERROR((FT_RF_26[[#This Row],[Inmadura]]/FT_RF_26[[#This Row],[Muestra]]),"0")</f>
        <v>0</v>
      </c>
      <c r="T55" s="38">
        <v>0</v>
      </c>
      <c r="U55" s="39">
        <f>+IFERROR((FT_RF_26[[#This Row],[Partidas]]/FT_RF_26[[#This Row],[Muestra]]),"0")</f>
        <v>0</v>
      </c>
      <c r="V55" s="38">
        <v>0</v>
      </c>
      <c r="W55" s="39">
        <f>+IFERROR((FT_RF_26[[#This Row],[Daño Insecto]]/FT_RF_26[[#This Row],[Muestra]]),"0")</f>
        <v>0</v>
      </c>
      <c r="X55" s="38">
        <v>0</v>
      </c>
      <c r="Y55" s="39">
        <f>+IFERROR((FT_RF_26[[#This Row],[Sobremadura]]/FT_RF_26[[#This Row],[Muestra]]),"0")</f>
        <v>0</v>
      </c>
      <c r="Z55" s="38">
        <v>0</v>
      </c>
      <c r="AA55" s="39">
        <f>+IFERROR((FT_RF_26[[#This Row],[Deforme]]/FT_RF_26[[#This Row],[Muestra]]),"0")</f>
        <v>0</v>
      </c>
      <c r="AB55" s="27"/>
      <c r="AC55" s="38">
        <v>0</v>
      </c>
      <c r="AD55" s="39">
        <f>+IFERROR((FT_RF_26[[#This Row],[Valor Extra 1]]/FT_RF_26[[#This Row],[Muestra]]),"0")</f>
        <v>0</v>
      </c>
      <c r="AF55" s="38">
        <v>0</v>
      </c>
      <c r="AG55" s="39">
        <f>+IFERROR((FT_RF_26[[#This Row],[Valor Extra 2]]/FT_RF_26[[#This Row],[Muestra]]),"0")</f>
        <v>0</v>
      </c>
      <c r="AH55" s="40">
        <v>0</v>
      </c>
      <c r="AI55" s="39">
        <f>+IFERROR((FT_RF_26[[#This Row],[Hongos]]/FT_RF_26[[#This Row],[Muestra]]),"0")</f>
        <v>0</v>
      </c>
      <c r="AJ55" s="38">
        <v>0</v>
      </c>
      <c r="AK55" s="39">
        <f>+IFERROR((FT_RF_26[[#This Row],[Block]]/FT_RF_26[[#This Row],[Muestra]]),"0")</f>
        <v>0</v>
      </c>
      <c r="AL55" s="41">
        <v>0</v>
      </c>
      <c r="AM55" s="42">
        <v>0</v>
      </c>
      <c r="AN55" s="38">
        <v>0</v>
      </c>
      <c r="AO55" s="39">
        <f>+IFERROR((FT_RF_26[[#This Row],[Fuera de calibre &lt;12mm]]/FT_RF_26[[#This Row],[Muestra]]),"0")</f>
        <v>0</v>
      </c>
      <c r="AP55" s="38">
        <v>0</v>
      </c>
      <c r="AQ55" s="39">
        <f>+IFERROR((FT_RF_26[[#This Row],[Calibre &lt;25]]/FT_RF_26[[#This Row],[Muestra]]),"0")</f>
        <v>0</v>
      </c>
      <c r="AR55" s="38">
        <v>0</v>
      </c>
      <c r="AS55" s="39">
        <f>+IFERROR((FT_RF_26[[#This Row],[Calibre &gt;12]]/FT_RF_26[[#This Row],[Muestra]]),"0")</f>
        <v>0</v>
      </c>
      <c r="AT55" s="38">
        <v>0</v>
      </c>
      <c r="AU55" s="39">
        <f>+IFERROR((FT_RF_26[[#This Row],[Calibre &lt;14]]/FT_RF_26[[#This Row],[Muestra]]),"0")</f>
        <v>0</v>
      </c>
      <c r="AV55" s="38">
        <v>0</v>
      </c>
      <c r="AW55" s="39">
        <f>+IFERROR((FT_RF_26[[#This Row],[Calibre &gt;14]]/FT_RF_26[[#This Row],[Muestra]]),"0")</f>
        <v>0</v>
      </c>
      <c r="AX55" s="38">
        <v>0</v>
      </c>
      <c r="AY55" s="39">
        <f>+IFERROR((FT_RF_26[[#This Row],[Calibre &lt;10]]/FT_RF_26[[#This Row],[Muestra]]),"0")</f>
        <v>0</v>
      </c>
      <c r="AZ55" s="38">
        <v>0</v>
      </c>
      <c r="BA55" s="39">
        <f>+IFERROR((FT_RF_26[[#This Row],[Calibre &gt;13]]/FT_RF_26[[#This Row],[Muestra]]),"0")</f>
        <v>0</v>
      </c>
      <c r="BB55" s="41"/>
      <c r="BG55" s="42"/>
      <c r="BH55" s="43">
        <v>0</v>
      </c>
      <c r="BI55" s="29" t="s">
        <v>894</v>
      </c>
      <c r="BJ55" s="29" t="s">
        <v>894</v>
      </c>
      <c r="BK5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5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55" s="45">
        <f>1-FT_RF_26[[#This Row],[% Defectos]]</f>
        <v>1</v>
      </c>
      <c r="BO55" s="60"/>
      <c r="BP55" s="12">
        <f>SUM(FT_RF_26[[#This Row],[Hoja (Un.)]:[Larvas Caja]])</f>
        <v>0</v>
      </c>
      <c r="BQ55" s="12">
        <f>SUM(FT_RF_26[[#This Row],[Vidrios]:[Plástico]])</f>
        <v>0</v>
      </c>
      <c r="BR55" s="12" t="str">
        <f>IF(ISBLANK(FT_RF_26[[#This Row],[Descripción del producto]]),"",FT_RF_26[[#This Row],[Descripción del producto]])</f>
        <v/>
      </c>
      <c r="BS55" s="29" t="str">
        <f>IF(ISBLANK(FT_RF_26[[#This Row],[N° de Lote]]),"",FT_RF_26[[#This Row],[N° de Lote]])</f>
        <v/>
      </c>
      <c r="BT55" s="29" t="str">
        <f>IF(ISBLANK(FT_RF_26[[#This Row],[N° de Pallet]]),"",FT_RF_26[[#This Row],[N° de Pallet]])</f>
        <v/>
      </c>
    </row>
    <row r="56" spans="2:72">
      <c r="B56" s="29">
        <f>+_xlfn.ISOWEEKNUM(FT_RF_26[[#This Row],[Fecha]])</f>
        <v>52</v>
      </c>
      <c r="E56" s="31"/>
      <c r="F56" s="12" t="str">
        <f>IFERROR(""&amp;_xlfn.XLOOKUP(FT_RF_26[[#This Row],[Código]],BD_Cod[SKU],BD_Cod[Descripción]),"")</f>
        <v/>
      </c>
      <c r="G56" s="32" t="str">
        <f>IFERROR(""&amp;_xlfn.XLOOKUP(FT_RF_26[[#This Row],[Código]],BD_Cod[SKU],BD_Cod[Familia Calidad]),"")</f>
        <v/>
      </c>
      <c r="J56" s="33">
        <v>1000</v>
      </c>
      <c r="L56" s="30" t="s">
        <v>244</v>
      </c>
      <c r="O56" s="30" t="s">
        <v>894</v>
      </c>
      <c r="P56" s="29" t="s">
        <v>894</v>
      </c>
      <c r="Q56" s="37">
        <f>1-FT_RF_26[[#This Row],[% Defectos]]</f>
        <v>1</v>
      </c>
      <c r="R56" s="38">
        <v>0</v>
      </c>
      <c r="S56" s="39">
        <f>+IFERROR((FT_RF_26[[#This Row],[Inmadura]]/FT_RF_26[[#This Row],[Muestra]]),"0")</f>
        <v>0</v>
      </c>
      <c r="T56" s="38">
        <v>0</v>
      </c>
      <c r="U56" s="39">
        <f>+IFERROR((FT_RF_26[[#This Row],[Partidas]]/FT_RF_26[[#This Row],[Muestra]]),"0")</f>
        <v>0</v>
      </c>
      <c r="V56" s="38">
        <v>0</v>
      </c>
      <c r="W56" s="39">
        <f>+IFERROR((FT_RF_26[[#This Row],[Daño Insecto]]/FT_RF_26[[#This Row],[Muestra]]),"0")</f>
        <v>0</v>
      </c>
      <c r="X56" s="38">
        <v>0</v>
      </c>
      <c r="Y56" s="39">
        <f>+IFERROR((FT_RF_26[[#This Row],[Sobremadura]]/FT_RF_26[[#This Row],[Muestra]]),"0")</f>
        <v>0</v>
      </c>
      <c r="Z56" s="38">
        <v>0</v>
      </c>
      <c r="AA56" s="39">
        <f>+IFERROR((FT_RF_26[[#This Row],[Deforme]]/FT_RF_26[[#This Row],[Muestra]]),"0")</f>
        <v>0</v>
      </c>
      <c r="AB56" s="27"/>
      <c r="AC56" s="38">
        <v>0</v>
      </c>
      <c r="AD56" s="39">
        <f>+IFERROR((FT_RF_26[[#This Row],[Valor Extra 1]]/FT_RF_26[[#This Row],[Muestra]]),"0")</f>
        <v>0</v>
      </c>
      <c r="AF56" s="38">
        <v>0</v>
      </c>
      <c r="AG56" s="39">
        <f>+IFERROR((FT_RF_26[[#This Row],[Valor Extra 2]]/FT_RF_26[[#This Row],[Muestra]]),"0")</f>
        <v>0</v>
      </c>
      <c r="AH56" s="40">
        <v>0</v>
      </c>
      <c r="AI56" s="39">
        <f>+IFERROR((FT_RF_26[[#This Row],[Hongos]]/FT_RF_26[[#This Row],[Muestra]]),"0")</f>
        <v>0</v>
      </c>
      <c r="AJ56" s="38">
        <v>0</v>
      </c>
      <c r="AK56" s="39">
        <f>+IFERROR((FT_RF_26[[#This Row],[Block]]/FT_RF_26[[#This Row],[Muestra]]),"0")</f>
        <v>0</v>
      </c>
      <c r="AL56" s="41">
        <v>0</v>
      </c>
      <c r="AM56" s="42">
        <v>0</v>
      </c>
      <c r="AN56" s="38">
        <v>0</v>
      </c>
      <c r="AO56" s="39">
        <f>+IFERROR((FT_RF_26[[#This Row],[Fuera de calibre &lt;12mm]]/FT_RF_26[[#This Row],[Muestra]]),"0")</f>
        <v>0</v>
      </c>
      <c r="AP56" s="38">
        <v>0</v>
      </c>
      <c r="AQ56" s="39">
        <f>+IFERROR((FT_RF_26[[#This Row],[Calibre &lt;25]]/FT_RF_26[[#This Row],[Muestra]]),"0")</f>
        <v>0</v>
      </c>
      <c r="AR56" s="38">
        <v>0</v>
      </c>
      <c r="AS56" s="39">
        <f>+IFERROR((FT_RF_26[[#This Row],[Calibre &gt;12]]/FT_RF_26[[#This Row],[Muestra]]),"0")</f>
        <v>0</v>
      </c>
      <c r="AT56" s="38">
        <v>0</v>
      </c>
      <c r="AU56" s="39">
        <f>+IFERROR((FT_RF_26[[#This Row],[Calibre &lt;14]]/FT_RF_26[[#This Row],[Muestra]]),"0")</f>
        <v>0</v>
      </c>
      <c r="AV56" s="38">
        <v>0</v>
      </c>
      <c r="AW56" s="39">
        <f>+IFERROR((FT_RF_26[[#This Row],[Calibre &gt;14]]/FT_RF_26[[#This Row],[Muestra]]),"0")</f>
        <v>0</v>
      </c>
      <c r="AX56" s="38">
        <v>0</v>
      </c>
      <c r="AY56" s="39">
        <f>+IFERROR((FT_RF_26[[#This Row],[Calibre &lt;10]]/FT_RF_26[[#This Row],[Muestra]]),"0")</f>
        <v>0</v>
      </c>
      <c r="AZ56" s="38">
        <v>0</v>
      </c>
      <c r="BA56" s="39">
        <f>+IFERROR((FT_RF_26[[#This Row],[Calibre &gt;13]]/FT_RF_26[[#This Row],[Muestra]]),"0")</f>
        <v>0</v>
      </c>
      <c r="BB56" s="41"/>
      <c r="BG56" s="42"/>
      <c r="BH56" s="43">
        <v>0</v>
      </c>
      <c r="BI56" s="29" t="s">
        <v>894</v>
      </c>
      <c r="BJ56" s="29" t="s">
        <v>894</v>
      </c>
      <c r="BK5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5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56" s="45">
        <f>1-FT_RF_26[[#This Row],[% Defectos]]</f>
        <v>1</v>
      </c>
      <c r="BO56" s="60"/>
      <c r="BP56" s="12">
        <f>SUM(FT_RF_26[[#This Row],[Hoja (Un.)]:[Larvas Caja]])</f>
        <v>0</v>
      </c>
      <c r="BQ56" s="12">
        <f>SUM(FT_RF_26[[#This Row],[Vidrios]:[Plástico]])</f>
        <v>0</v>
      </c>
      <c r="BR56" s="12" t="str">
        <f>IF(ISBLANK(FT_RF_26[[#This Row],[Descripción del producto]]),"",FT_RF_26[[#This Row],[Descripción del producto]])</f>
        <v/>
      </c>
      <c r="BS56" s="29" t="str">
        <f>IF(ISBLANK(FT_RF_26[[#This Row],[N° de Lote]]),"",FT_RF_26[[#This Row],[N° de Lote]])</f>
        <v/>
      </c>
      <c r="BT56" s="29" t="str">
        <f>IF(ISBLANK(FT_RF_26[[#This Row],[N° de Pallet]]),"",FT_RF_26[[#This Row],[N° de Pallet]])</f>
        <v/>
      </c>
    </row>
    <row r="57" spans="2:72">
      <c r="B57" s="29">
        <f>+_xlfn.ISOWEEKNUM(FT_RF_26[[#This Row],[Fecha]])</f>
        <v>52</v>
      </c>
      <c r="E57" s="31"/>
      <c r="F57" s="12" t="str">
        <f>IFERROR(""&amp;_xlfn.XLOOKUP(FT_RF_26[[#This Row],[Código]],BD_Cod[SKU],BD_Cod[Descripción]),"")</f>
        <v/>
      </c>
      <c r="G57" s="32" t="str">
        <f>IFERROR(""&amp;_xlfn.XLOOKUP(FT_RF_26[[#This Row],[Código]],BD_Cod[SKU],BD_Cod[Familia Calidad]),"")</f>
        <v/>
      </c>
      <c r="J57" s="33">
        <v>1000</v>
      </c>
      <c r="L57" s="30" t="s">
        <v>244</v>
      </c>
      <c r="O57" s="30" t="s">
        <v>894</v>
      </c>
      <c r="P57" s="29" t="s">
        <v>894</v>
      </c>
      <c r="Q57" s="37">
        <f>1-FT_RF_26[[#This Row],[% Defectos]]</f>
        <v>1</v>
      </c>
      <c r="R57" s="38">
        <v>0</v>
      </c>
      <c r="S57" s="39">
        <f>+IFERROR((FT_RF_26[[#This Row],[Inmadura]]/FT_RF_26[[#This Row],[Muestra]]),"0")</f>
        <v>0</v>
      </c>
      <c r="T57" s="38">
        <v>0</v>
      </c>
      <c r="U57" s="39">
        <f>+IFERROR((FT_RF_26[[#This Row],[Partidas]]/FT_RF_26[[#This Row],[Muestra]]),"0")</f>
        <v>0</v>
      </c>
      <c r="V57" s="38">
        <v>0</v>
      </c>
      <c r="W57" s="39">
        <f>+IFERROR((FT_RF_26[[#This Row],[Daño Insecto]]/FT_RF_26[[#This Row],[Muestra]]),"0")</f>
        <v>0</v>
      </c>
      <c r="X57" s="38">
        <v>0</v>
      </c>
      <c r="Y57" s="39">
        <f>+IFERROR((FT_RF_26[[#This Row],[Sobremadura]]/FT_RF_26[[#This Row],[Muestra]]),"0")</f>
        <v>0</v>
      </c>
      <c r="Z57" s="38">
        <v>0</v>
      </c>
      <c r="AA57" s="39">
        <f>+IFERROR((FT_RF_26[[#This Row],[Deforme]]/FT_RF_26[[#This Row],[Muestra]]),"0")</f>
        <v>0</v>
      </c>
      <c r="AB57" s="27"/>
      <c r="AC57" s="38">
        <v>0</v>
      </c>
      <c r="AD57" s="39">
        <f>+IFERROR((FT_RF_26[[#This Row],[Valor Extra 1]]/FT_RF_26[[#This Row],[Muestra]]),"0")</f>
        <v>0</v>
      </c>
      <c r="AF57" s="38">
        <v>0</v>
      </c>
      <c r="AG57" s="39">
        <f>+IFERROR((FT_RF_26[[#This Row],[Valor Extra 2]]/FT_RF_26[[#This Row],[Muestra]]),"0")</f>
        <v>0</v>
      </c>
      <c r="AH57" s="40">
        <v>0</v>
      </c>
      <c r="AI57" s="39">
        <f>+IFERROR((FT_RF_26[[#This Row],[Hongos]]/FT_RF_26[[#This Row],[Muestra]]),"0")</f>
        <v>0</v>
      </c>
      <c r="AJ57" s="38">
        <v>0</v>
      </c>
      <c r="AK57" s="39">
        <f>+IFERROR((FT_RF_26[[#This Row],[Block]]/FT_RF_26[[#This Row],[Muestra]]),"0")</f>
        <v>0</v>
      </c>
      <c r="AL57" s="41">
        <v>0</v>
      </c>
      <c r="AM57" s="42">
        <v>0</v>
      </c>
      <c r="AN57" s="38">
        <v>0</v>
      </c>
      <c r="AO57" s="39">
        <f>+IFERROR((FT_RF_26[[#This Row],[Fuera de calibre &lt;12mm]]/FT_RF_26[[#This Row],[Muestra]]),"0")</f>
        <v>0</v>
      </c>
      <c r="AP57" s="38">
        <v>0</v>
      </c>
      <c r="AQ57" s="39">
        <f>+IFERROR((FT_RF_26[[#This Row],[Calibre &lt;25]]/FT_RF_26[[#This Row],[Muestra]]),"0")</f>
        <v>0</v>
      </c>
      <c r="AR57" s="38">
        <v>0</v>
      </c>
      <c r="AS57" s="39">
        <f>+IFERROR((FT_RF_26[[#This Row],[Calibre &gt;12]]/FT_RF_26[[#This Row],[Muestra]]),"0")</f>
        <v>0</v>
      </c>
      <c r="AT57" s="38">
        <v>0</v>
      </c>
      <c r="AU57" s="39">
        <f>+IFERROR((FT_RF_26[[#This Row],[Calibre &lt;14]]/FT_RF_26[[#This Row],[Muestra]]),"0")</f>
        <v>0</v>
      </c>
      <c r="AV57" s="38">
        <v>0</v>
      </c>
      <c r="AW57" s="39">
        <f>+IFERROR((FT_RF_26[[#This Row],[Calibre &gt;14]]/FT_RF_26[[#This Row],[Muestra]]),"0")</f>
        <v>0</v>
      </c>
      <c r="AX57" s="38">
        <v>0</v>
      </c>
      <c r="AY57" s="39">
        <f>+IFERROR((FT_RF_26[[#This Row],[Calibre &lt;10]]/FT_RF_26[[#This Row],[Muestra]]),"0")</f>
        <v>0</v>
      </c>
      <c r="AZ57" s="38">
        <v>0</v>
      </c>
      <c r="BA57" s="39">
        <f>+IFERROR((FT_RF_26[[#This Row],[Calibre &gt;13]]/FT_RF_26[[#This Row],[Muestra]]),"0")</f>
        <v>0</v>
      </c>
      <c r="BB57" s="41"/>
      <c r="BG57" s="42"/>
      <c r="BH57" s="43">
        <v>0</v>
      </c>
      <c r="BI57" s="29" t="s">
        <v>894</v>
      </c>
      <c r="BJ57" s="29" t="s">
        <v>894</v>
      </c>
      <c r="BK5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5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57" s="45">
        <f>1-FT_RF_26[[#This Row],[% Defectos]]</f>
        <v>1</v>
      </c>
      <c r="BO57" s="60"/>
      <c r="BP57" s="12">
        <f>SUM(FT_RF_26[[#This Row],[Hoja (Un.)]:[Larvas Caja]])</f>
        <v>0</v>
      </c>
      <c r="BQ57" s="12">
        <f>SUM(FT_RF_26[[#This Row],[Vidrios]:[Plástico]])</f>
        <v>0</v>
      </c>
      <c r="BR57" s="12" t="str">
        <f>IF(ISBLANK(FT_RF_26[[#This Row],[Descripción del producto]]),"",FT_RF_26[[#This Row],[Descripción del producto]])</f>
        <v/>
      </c>
      <c r="BS57" s="29" t="str">
        <f>IF(ISBLANK(FT_RF_26[[#This Row],[N° de Lote]]),"",FT_RF_26[[#This Row],[N° de Lote]])</f>
        <v/>
      </c>
      <c r="BT57" s="29" t="str">
        <f>IF(ISBLANK(FT_RF_26[[#This Row],[N° de Pallet]]),"",FT_RF_26[[#This Row],[N° de Pallet]])</f>
        <v/>
      </c>
    </row>
    <row r="58" spans="2:72">
      <c r="B58" s="29">
        <f>+_xlfn.ISOWEEKNUM(FT_RF_26[[#This Row],[Fecha]])</f>
        <v>52</v>
      </c>
      <c r="E58" s="31"/>
      <c r="F58" s="12" t="str">
        <f>IFERROR(""&amp;_xlfn.XLOOKUP(FT_RF_26[[#This Row],[Código]],BD_Cod[SKU],BD_Cod[Descripción]),"")</f>
        <v/>
      </c>
      <c r="G58" s="32" t="str">
        <f>IFERROR(""&amp;_xlfn.XLOOKUP(FT_RF_26[[#This Row],[Código]],BD_Cod[SKU],BD_Cod[Familia Calidad]),"")</f>
        <v/>
      </c>
      <c r="J58" s="33">
        <v>1000</v>
      </c>
      <c r="L58" s="30" t="s">
        <v>244</v>
      </c>
      <c r="O58" s="30" t="s">
        <v>894</v>
      </c>
      <c r="P58" s="29" t="s">
        <v>894</v>
      </c>
      <c r="Q58" s="37">
        <f>1-FT_RF_26[[#This Row],[% Defectos]]</f>
        <v>1</v>
      </c>
      <c r="R58" s="38">
        <v>0</v>
      </c>
      <c r="S58" s="39">
        <f>+IFERROR((FT_RF_26[[#This Row],[Inmadura]]/FT_RF_26[[#This Row],[Muestra]]),"0")</f>
        <v>0</v>
      </c>
      <c r="T58" s="38">
        <v>0</v>
      </c>
      <c r="U58" s="39">
        <f>+IFERROR((FT_RF_26[[#This Row],[Partidas]]/FT_RF_26[[#This Row],[Muestra]]),"0")</f>
        <v>0</v>
      </c>
      <c r="V58" s="38">
        <v>0</v>
      </c>
      <c r="W58" s="39">
        <f>+IFERROR((FT_RF_26[[#This Row],[Daño Insecto]]/FT_RF_26[[#This Row],[Muestra]]),"0")</f>
        <v>0</v>
      </c>
      <c r="X58" s="38">
        <v>0</v>
      </c>
      <c r="Y58" s="39">
        <f>+IFERROR((FT_RF_26[[#This Row],[Sobremadura]]/FT_RF_26[[#This Row],[Muestra]]),"0")</f>
        <v>0</v>
      </c>
      <c r="Z58" s="38">
        <v>0</v>
      </c>
      <c r="AA58" s="39">
        <f>+IFERROR((FT_RF_26[[#This Row],[Deforme]]/FT_RF_26[[#This Row],[Muestra]]),"0")</f>
        <v>0</v>
      </c>
      <c r="AB58" s="27"/>
      <c r="AC58" s="38">
        <v>0</v>
      </c>
      <c r="AD58" s="39">
        <f>+IFERROR((FT_RF_26[[#This Row],[Valor Extra 1]]/FT_RF_26[[#This Row],[Muestra]]),"0")</f>
        <v>0</v>
      </c>
      <c r="AF58" s="38">
        <v>0</v>
      </c>
      <c r="AG58" s="39">
        <f>+IFERROR((FT_RF_26[[#This Row],[Valor Extra 2]]/FT_RF_26[[#This Row],[Muestra]]),"0")</f>
        <v>0</v>
      </c>
      <c r="AH58" s="40">
        <v>0</v>
      </c>
      <c r="AI58" s="39">
        <f>+IFERROR((FT_RF_26[[#This Row],[Hongos]]/FT_RF_26[[#This Row],[Muestra]]),"0")</f>
        <v>0</v>
      </c>
      <c r="AJ58" s="38">
        <v>0</v>
      </c>
      <c r="AK58" s="39">
        <f>+IFERROR((FT_RF_26[[#This Row],[Block]]/FT_RF_26[[#This Row],[Muestra]]),"0")</f>
        <v>0</v>
      </c>
      <c r="AL58" s="41">
        <v>0</v>
      </c>
      <c r="AM58" s="42">
        <v>0</v>
      </c>
      <c r="AN58" s="38">
        <v>0</v>
      </c>
      <c r="AO58" s="39">
        <f>+IFERROR((FT_RF_26[[#This Row],[Fuera de calibre &lt;12mm]]/FT_RF_26[[#This Row],[Muestra]]),"0")</f>
        <v>0</v>
      </c>
      <c r="AP58" s="38">
        <v>0</v>
      </c>
      <c r="AQ58" s="39">
        <f>+IFERROR((FT_RF_26[[#This Row],[Calibre &lt;25]]/FT_RF_26[[#This Row],[Muestra]]),"0")</f>
        <v>0</v>
      </c>
      <c r="AR58" s="38">
        <v>0</v>
      </c>
      <c r="AS58" s="39">
        <f>+IFERROR((FT_RF_26[[#This Row],[Calibre &gt;12]]/FT_RF_26[[#This Row],[Muestra]]),"0")</f>
        <v>0</v>
      </c>
      <c r="AT58" s="38">
        <v>0</v>
      </c>
      <c r="AU58" s="39">
        <f>+IFERROR((FT_RF_26[[#This Row],[Calibre &lt;14]]/FT_RF_26[[#This Row],[Muestra]]),"0")</f>
        <v>0</v>
      </c>
      <c r="AV58" s="38">
        <v>0</v>
      </c>
      <c r="AW58" s="39">
        <f>+IFERROR((FT_RF_26[[#This Row],[Calibre &gt;14]]/FT_RF_26[[#This Row],[Muestra]]),"0")</f>
        <v>0</v>
      </c>
      <c r="AX58" s="38">
        <v>0</v>
      </c>
      <c r="AY58" s="39">
        <f>+IFERROR((FT_RF_26[[#This Row],[Calibre &lt;10]]/FT_RF_26[[#This Row],[Muestra]]),"0")</f>
        <v>0</v>
      </c>
      <c r="AZ58" s="38">
        <v>0</v>
      </c>
      <c r="BA58" s="39">
        <f>+IFERROR((FT_RF_26[[#This Row],[Calibre &gt;13]]/FT_RF_26[[#This Row],[Muestra]]),"0")</f>
        <v>0</v>
      </c>
      <c r="BB58" s="41"/>
      <c r="BG58" s="42"/>
      <c r="BH58" s="43">
        <v>0</v>
      </c>
      <c r="BI58" s="29" t="s">
        <v>894</v>
      </c>
      <c r="BJ58" s="29" t="s">
        <v>894</v>
      </c>
      <c r="BK5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5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58" s="45">
        <f>1-FT_RF_26[[#This Row],[% Defectos]]</f>
        <v>1</v>
      </c>
      <c r="BO58" s="60"/>
      <c r="BP58" s="12">
        <f>SUM(FT_RF_26[[#This Row],[Hoja (Un.)]:[Larvas Caja]])</f>
        <v>0</v>
      </c>
      <c r="BQ58" s="12">
        <f>SUM(FT_RF_26[[#This Row],[Vidrios]:[Plástico]])</f>
        <v>0</v>
      </c>
      <c r="BR58" s="12" t="str">
        <f>IF(ISBLANK(FT_RF_26[[#This Row],[Descripción del producto]]),"",FT_RF_26[[#This Row],[Descripción del producto]])</f>
        <v/>
      </c>
      <c r="BS58" s="29" t="str">
        <f>IF(ISBLANK(FT_RF_26[[#This Row],[N° de Lote]]),"",FT_RF_26[[#This Row],[N° de Lote]])</f>
        <v/>
      </c>
      <c r="BT58" s="29" t="str">
        <f>IF(ISBLANK(FT_RF_26[[#This Row],[N° de Pallet]]),"",FT_RF_26[[#This Row],[N° de Pallet]])</f>
        <v/>
      </c>
    </row>
    <row r="59" spans="2:72">
      <c r="B59" s="29">
        <f>+_xlfn.ISOWEEKNUM(FT_RF_26[[#This Row],[Fecha]])</f>
        <v>52</v>
      </c>
      <c r="E59" s="31"/>
      <c r="F59" s="12" t="str">
        <f>IFERROR(""&amp;_xlfn.XLOOKUP(FT_RF_26[[#This Row],[Código]],BD_Cod[SKU],BD_Cod[Descripción]),"")</f>
        <v/>
      </c>
      <c r="G59" s="32" t="str">
        <f>IFERROR(""&amp;_xlfn.XLOOKUP(FT_RF_26[[#This Row],[Código]],BD_Cod[SKU],BD_Cod[Familia Calidad]),"")</f>
        <v/>
      </c>
      <c r="J59" s="33">
        <v>1000</v>
      </c>
      <c r="L59" s="30" t="s">
        <v>244</v>
      </c>
      <c r="O59" s="30" t="s">
        <v>894</v>
      </c>
      <c r="P59" s="29" t="s">
        <v>894</v>
      </c>
      <c r="Q59" s="37">
        <f>1-FT_RF_26[[#This Row],[% Defectos]]</f>
        <v>1</v>
      </c>
      <c r="R59" s="38">
        <v>0</v>
      </c>
      <c r="S59" s="39">
        <f>+IFERROR((FT_RF_26[[#This Row],[Inmadura]]/FT_RF_26[[#This Row],[Muestra]]),"0")</f>
        <v>0</v>
      </c>
      <c r="T59" s="38">
        <v>0</v>
      </c>
      <c r="U59" s="39">
        <f>+IFERROR((FT_RF_26[[#This Row],[Partidas]]/FT_RF_26[[#This Row],[Muestra]]),"0")</f>
        <v>0</v>
      </c>
      <c r="V59" s="38">
        <v>0</v>
      </c>
      <c r="W59" s="39">
        <f>+IFERROR((FT_RF_26[[#This Row],[Daño Insecto]]/FT_RF_26[[#This Row],[Muestra]]),"0")</f>
        <v>0</v>
      </c>
      <c r="X59" s="38">
        <v>0</v>
      </c>
      <c r="Y59" s="39">
        <f>+IFERROR((FT_RF_26[[#This Row],[Sobremadura]]/FT_RF_26[[#This Row],[Muestra]]),"0")</f>
        <v>0</v>
      </c>
      <c r="Z59" s="38">
        <v>0</v>
      </c>
      <c r="AA59" s="39">
        <f>+IFERROR((FT_RF_26[[#This Row],[Deforme]]/FT_RF_26[[#This Row],[Muestra]]),"0")</f>
        <v>0</v>
      </c>
      <c r="AB59" s="27"/>
      <c r="AC59" s="38">
        <v>0</v>
      </c>
      <c r="AD59" s="39">
        <f>+IFERROR((FT_RF_26[[#This Row],[Valor Extra 1]]/FT_RF_26[[#This Row],[Muestra]]),"0")</f>
        <v>0</v>
      </c>
      <c r="AF59" s="38">
        <v>0</v>
      </c>
      <c r="AG59" s="39">
        <f>+IFERROR((FT_RF_26[[#This Row],[Valor Extra 2]]/FT_RF_26[[#This Row],[Muestra]]),"0")</f>
        <v>0</v>
      </c>
      <c r="AH59" s="40">
        <v>0</v>
      </c>
      <c r="AI59" s="39">
        <f>+IFERROR((FT_RF_26[[#This Row],[Hongos]]/FT_RF_26[[#This Row],[Muestra]]),"0")</f>
        <v>0</v>
      </c>
      <c r="AJ59" s="38">
        <v>0</v>
      </c>
      <c r="AK59" s="39">
        <f>+IFERROR((FT_RF_26[[#This Row],[Block]]/FT_RF_26[[#This Row],[Muestra]]),"0")</f>
        <v>0</v>
      </c>
      <c r="AL59" s="41">
        <v>0</v>
      </c>
      <c r="AM59" s="42">
        <v>0</v>
      </c>
      <c r="AN59" s="38">
        <v>0</v>
      </c>
      <c r="AO59" s="39">
        <f>+IFERROR((FT_RF_26[[#This Row],[Fuera de calibre &lt;12mm]]/FT_RF_26[[#This Row],[Muestra]]),"0")</f>
        <v>0</v>
      </c>
      <c r="AP59" s="38">
        <v>0</v>
      </c>
      <c r="AQ59" s="39">
        <f>+IFERROR((FT_RF_26[[#This Row],[Calibre &lt;25]]/FT_RF_26[[#This Row],[Muestra]]),"0")</f>
        <v>0</v>
      </c>
      <c r="AR59" s="38">
        <v>0</v>
      </c>
      <c r="AS59" s="39">
        <f>+IFERROR((FT_RF_26[[#This Row],[Calibre &gt;12]]/FT_RF_26[[#This Row],[Muestra]]),"0")</f>
        <v>0</v>
      </c>
      <c r="AT59" s="38">
        <v>0</v>
      </c>
      <c r="AU59" s="39">
        <f>+IFERROR((FT_RF_26[[#This Row],[Calibre &lt;14]]/FT_RF_26[[#This Row],[Muestra]]),"0")</f>
        <v>0</v>
      </c>
      <c r="AV59" s="38">
        <v>0</v>
      </c>
      <c r="AW59" s="39">
        <f>+IFERROR((FT_RF_26[[#This Row],[Calibre &gt;14]]/FT_RF_26[[#This Row],[Muestra]]),"0")</f>
        <v>0</v>
      </c>
      <c r="AX59" s="38">
        <v>0</v>
      </c>
      <c r="AY59" s="39">
        <f>+IFERROR((FT_RF_26[[#This Row],[Calibre &lt;10]]/FT_RF_26[[#This Row],[Muestra]]),"0")</f>
        <v>0</v>
      </c>
      <c r="AZ59" s="38">
        <v>0</v>
      </c>
      <c r="BA59" s="39">
        <f>+IFERROR((FT_RF_26[[#This Row],[Calibre &gt;13]]/FT_RF_26[[#This Row],[Muestra]]),"0")</f>
        <v>0</v>
      </c>
      <c r="BB59" s="41"/>
      <c r="BG59" s="42"/>
      <c r="BH59" s="43">
        <v>0</v>
      </c>
      <c r="BI59" s="29" t="s">
        <v>894</v>
      </c>
      <c r="BJ59" s="29" t="s">
        <v>894</v>
      </c>
      <c r="BK5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5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59" s="45">
        <f>1-FT_RF_26[[#This Row],[% Defectos]]</f>
        <v>1</v>
      </c>
      <c r="BO59" s="60"/>
      <c r="BP59" s="12">
        <f>SUM(FT_RF_26[[#This Row],[Hoja (Un.)]:[Larvas Caja]])</f>
        <v>0</v>
      </c>
      <c r="BQ59" s="12">
        <f>SUM(FT_RF_26[[#This Row],[Vidrios]:[Plástico]])</f>
        <v>0</v>
      </c>
      <c r="BR59" s="12" t="str">
        <f>IF(ISBLANK(FT_RF_26[[#This Row],[Descripción del producto]]),"",FT_RF_26[[#This Row],[Descripción del producto]])</f>
        <v/>
      </c>
      <c r="BS59" s="29" t="str">
        <f>IF(ISBLANK(FT_RF_26[[#This Row],[N° de Lote]]),"",FT_RF_26[[#This Row],[N° de Lote]])</f>
        <v/>
      </c>
      <c r="BT59" s="29" t="str">
        <f>IF(ISBLANK(FT_RF_26[[#This Row],[N° de Pallet]]),"",FT_RF_26[[#This Row],[N° de Pallet]])</f>
        <v/>
      </c>
    </row>
    <row r="60" spans="2:72">
      <c r="B60" s="29">
        <f>+_xlfn.ISOWEEKNUM(FT_RF_26[[#This Row],[Fecha]])</f>
        <v>52</v>
      </c>
      <c r="E60" s="31"/>
      <c r="F60" s="12" t="str">
        <f>IFERROR(""&amp;_xlfn.XLOOKUP(FT_RF_26[[#This Row],[Código]],BD_Cod[SKU],BD_Cod[Descripción]),"")</f>
        <v/>
      </c>
      <c r="G60" s="32" t="str">
        <f>IFERROR(""&amp;_xlfn.XLOOKUP(FT_RF_26[[#This Row],[Código]],BD_Cod[SKU],BD_Cod[Familia Calidad]),"")</f>
        <v/>
      </c>
      <c r="J60" s="33">
        <v>1000</v>
      </c>
      <c r="L60" s="30" t="s">
        <v>244</v>
      </c>
      <c r="O60" s="30" t="s">
        <v>894</v>
      </c>
      <c r="P60" s="29" t="s">
        <v>894</v>
      </c>
      <c r="Q60" s="37">
        <f>1-FT_RF_26[[#This Row],[% Defectos]]</f>
        <v>1</v>
      </c>
      <c r="R60" s="38">
        <v>0</v>
      </c>
      <c r="S60" s="39">
        <f>+IFERROR((FT_RF_26[[#This Row],[Inmadura]]/FT_RF_26[[#This Row],[Muestra]]),"0")</f>
        <v>0</v>
      </c>
      <c r="T60" s="38">
        <v>0</v>
      </c>
      <c r="U60" s="39">
        <f>+IFERROR((FT_RF_26[[#This Row],[Partidas]]/FT_RF_26[[#This Row],[Muestra]]),"0")</f>
        <v>0</v>
      </c>
      <c r="V60" s="38">
        <v>0</v>
      </c>
      <c r="W60" s="39">
        <f>+IFERROR((FT_RF_26[[#This Row],[Daño Insecto]]/FT_RF_26[[#This Row],[Muestra]]),"0")</f>
        <v>0</v>
      </c>
      <c r="X60" s="38">
        <v>0</v>
      </c>
      <c r="Y60" s="39">
        <f>+IFERROR((FT_RF_26[[#This Row],[Sobremadura]]/FT_RF_26[[#This Row],[Muestra]]),"0")</f>
        <v>0</v>
      </c>
      <c r="Z60" s="38">
        <v>0</v>
      </c>
      <c r="AA60" s="39">
        <f>+IFERROR((FT_RF_26[[#This Row],[Deforme]]/FT_RF_26[[#This Row],[Muestra]]),"0")</f>
        <v>0</v>
      </c>
      <c r="AB60" s="27"/>
      <c r="AC60" s="38">
        <v>0</v>
      </c>
      <c r="AD60" s="39">
        <f>+IFERROR((FT_RF_26[[#This Row],[Valor Extra 1]]/FT_RF_26[[#This Row],[Muestra]]),"0")</f>
        <v>0</v>
      </c>
      <c r="AF60" s="38">
        <v>0</v>
      </c>
      <c r="AG60" s="39">
        <f>+IFERROR((FT_RF_26[[#This Row],[Valor Extra 2]]/FT_RF_26[[#This Row],[Muestra]]),"0")</f>
        <v>0</v>
      </c>
      <c r="AH60" s="40">
        <v>0</v>
      </c>
      <c r="AI60" s="39">
        <f>+IFERROR((FT_RF_26[[#This Row],[Hongos]]/FT_RF_26[[#This Row],[Muestra]]),"0")</f>
        <v>0</v>
      </c>
      <c r="AJ60" s="38">
        <v>0</v>
      </c>
      <c r="AK60" s="39">
        <f>+IFERROR((FT_RF_26[[#This Row],[Block]]/FT_RF_26[[#This Row],[Muestra]]),"0")</f>
        <v>0</v>
      </c>
      <c r="AL60" s="41">
        <v>0</v>
      </c>
      <c r="AM60" s="42">
        <v>0</v>
      </c>
      <c r="AN60" s="38">
        <v>0</v>
      </c>
      <c r="AO60" s="39">
        <f>+IFERROR((FT_RF_26[[#This Row],[Fuera de calibre &lt;12mm]]/FT_RF_26[[#This Row],[Muestra]]),"0")</f>
        <v>0</v>
      </c>
      <c r="AP60" s="38">
        <v>0</v>
      </c>
      <c r="AQ60" s="39">
        <f>+IFERROR((FT_RF_26[[#This Row],[Calibre &lt;25]]/FT_RF_26[[#This Row],[Muestra]]),"0")</f>
        <v>0</v>
      </c>
      <c r="AR60" s="38">
        <v>0</v>
      </c>
      <c r="AS60" s="39">
        <f>+IFERROR((FT_RF_26[[#This Row],[Calibre &gt;12]]/FT_RF_26[[#This Row],[Muestra]]),"0")</f>
        <v>0</v>
      </c>
      <c r="AT60" s="38">
        <v>0</v>
      </c>
      <c r="AU60" s="39">
        <f>+IFERROR((FT_RF_26[[#This Row],[Calibre &lt;14]]/FT_RF_26[[#This Row],[Muestra]]),"0")</f>
        <v>0</v>
      </c>
      <c r="AV60" s="38">
        <v>0</v>
      </c>
      <c r="AW60" s="39">
        <f>+IFERROR((FT_RF_26[[#This Row],[Calibre &gt;14]]/FT_RF_26[[#This Row],[Muestra]]),"0")</f>
        <v>0</v>
      </c>
      <c r="AX60" s="38">
        <v>0</v>
      </c>
      <c r="AY60" s="39">
        <f>+IFERROR((FT_RF_26[[#This Row],[Calibre &lt;10]]/FT_RF_26[[#This Row],[Muestra]]),"0")</f>
        <v>0</v>
      </c>
      <c r="AZ60" s="38">
        <v>0</v>
      </c>
      <c r="BA60" s="39">
        <f>+IFERROR((FT_RF_26[[#This Row],[Calibre &gt;13]]/FT_RF_26[[#This Row],[Muestra]]),"0")</f>
        <v>0</v>
      </c>
      <c r="BB60" s="41"/>
      <c r="BG60" s="42"/>
      <c r="BH60" s="43">
        <v>0</v>
      </c>
      <c r="BI60" s="29" t="s">
        <v>894</v>
      </c>
      <c r="BJ60" s="29" t="s">
        <v>894</v>
      </c>
      <c r="BK6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6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60" s="45">
        <f>1-FT_RF_26[[#This Row],[% Defectos]]</f>
        <v>1</v>
      </c>
      <c r="BO60" s="60"/>
      <c r="BP60" s="12">
        <f>SUM(FT_RF_26[[#This Row],[Hoja (Un.)]:[Larvas Caja]])</f>
        <v>0</v>
      </c>
      <c r="BQ60" s="12">
        <f>SUM(FT_RF_26[[#This Row],[Vidrios]:[Plástico]])</f>
        <v>0</v>
      </c>
      <c r="BR60" s="12" t="str">
        <f>IF(ISBLANK(FT_RF_26[[#This Row],[Descripción del producto]]),"",FT_RF_26[[#This Row],[Descripción del producto]])</f>
        <v/>
      </c>
      <c r="BS60" s="29" t="str">
        <f>IF(ISBLANK(FT_RF_26[[#This Row],[N° de Lote]]),"",FT_RF_26[[#This Row],[N° de Lote]])</f>
        <v/>
      </c>
      <c r="BT60" s="29" t="str">
        <f>IF(ISBLANK(FT_RF_26[[#This Row],[N° de Pallet]]),"",FT_RF_26[[#This Row],[N° de Pallet]])</f>
        <v/>
      </c>
    </row>
    <row r="61" spans="2:72">
      <c r="B61" s="29">
        <f>+_xlfn.ISOWEEKNUM(FT_RF_26[[#This Row],[Fecha]])</f>
        <v>52</v>
      </c>
      <c r="E61" s="31"/>
      <c r="F61" s="12" t="str">
        <f>IFERROR(""&amp;_xlfn.XLOOKUP(FT_RF_26[[#This Row],[Código]],BD_Cod[SKU],BD_Cod[Descripción]),"")</f>
        <v/>
      </c>
      <c r="G61" s="32" t="str">
        <f>IFERROR(""&amp;_xlfn.XLOOKUP(FT_RF_26[[#This Row],[Código]],BD_Cod[SKU],BD_Cod[Familia Calidad]),"")</f>
        <v/>
      </c>
      <c r="J61" s="33">
        <v>1000</v>
      </c>
      <c r="L61" s="30" t="s">
        <v>244</v>
      </c>
      <c r="O61" s="30" t="s">
        <v>894</v>
      </c>
      <c r="P61" s="29" t="s">
        <v>894</v>
      </c>
      <c r="Q61" s="37">
        <f>1-FT_RF_26[[#This Row],[% Defectos]]</f>
        <v>1</v>
      </c>
      <c r="R61" s="38">
        <v>0</v>
      </c>
      <c r="S61" s="39">
        <f>+IFERROR((FT_RF_26[[#This Row],[Inmadura]]/FT_RF_26[[#This Row],[Muestra]]),"0")</f>
        <v>0</v>
      </c>
      <c r="T61" s="38">
        <v>0</v>
      </c>
      <c r="U61" s="39">
        <f>+IFERROR((FT_RF_26[[#This Row],[Partidas]]/FT_RF_26[[#This Row],[Muestra]]),"0")</f>
        <v>0</v>
      </c>
      <c r="V61" s="38">
        <v>0</v>
      </c>
      <c r="W61" s="39">
        <f>+IFERROR((FT_RF_26[[#This Row],[Daño Insecto]]/FT_RF_26[[#This Row],[Muestra]]),"0")</f>
        <v>0</v>
      </c>
      <c r="X61" s="38">
        <v>0</v>
      </c>
      <c r="Y61" s="39">
        <f>+IFERROR((FT_RF_26[[#This Row],[Sobremadura]]/FT_RF_26[[#This Row],[Muestra]]),"0")</f>
        <v>0</v>
      </c>
      <c r="Z61" s="38">
        <v>0</v>
      </c>
      <c r="AA61" s="39">
        <f>+IFERROR((FT_RF_26[[#This Row],[Deforme]]/FT_RF_26[[#This Row],[Muestra]]),"0")</f>
        <v>0</v>
      </c>
      <c r="AB61" s="27"/>
      <c r="AC61" s="38">
        <v>0</v>
      </c>
      <c r="AD61" s="39">
        <f>+IFERROR((FT_RF_26[[#This Row],[Valor Extra 1]]/FT_RF_26[[#This Row],[Muestra]]),"0")</f>
        <v>0</v>
      </c>
      <c r="AF61" s="38">
        <v>0</v>
      </c>
      <c r="AG61" s="39">
        <f>+IFERROR((FT_RF_26[[#This Row],[Valor Extra 2]]/FT_RF_26[[#This Row],[Muestra]]),"0")</f>
        <v>0</v>
      </c>
      <c r="AH61" s="40">
        <v>0</v>
      </c>
      <c r="AI61" s="39">
        <f>+IFERROR((FT_RF_26[[#This Row],[Hongos]]/FT_RF_26[[#This Row],[Muestra]]),"0")</f>
        <v>0</v>
      </c>
      <c r="AJ61" s="38">
        <v>0</v>
      </c>
      <c r="AK61" s="39">
        <f>+IFERROR((FT_RF_26[[#This Row],[Block]]/FT_RF_26[[#This Row],[Muestra]]),"0")</f>
        <v>0</v>
      </c>
      <c r="AL61" s="41">
        <v>0</v>
      </c>
      <c r="AM61" s="42">
        <v>0</v>
      </c>
      <c r="AN61" s="38">
        <v>0</v>
      </c>
      <c r="AO61" s="39">
        <f>+IFERROR((FT_RF_26[[#This Row],[Fuera de calibre &lt;12mm]]/FT_RF_26[[#This Row],[Muestra]]),"0")</f>
        <v>0</v>
      </c>
      <c r="AP61" s="38">
        <v>0</v>
      </c>
      <c r="AQ61" s="39">
        <f>+IFERROR((FT_RF_26[[#This Row],[Calibre &lt;25]]/FT_RF_26[[#This Row],[Muestra]]),"0")</f>
        <v>0</v>
      </c>
      <c r="AR61" s="38">
        <v>0</v>
      </c>
      <c r="AS61" s="39">
        <f>+IFERROR((FT_RF_26[[#This Row],[Calibre &gt;12]]/FT_RF_26[[#This Row],[Muestra]]),"0")</f>
        <v>0</v>
      </c>
      <c r="AT61" s="38">
        <v>0</v>
      </c>
      <c r="AU61" s="39">
        <f>+IFERROR((FT_RF_26[[#This Row],[Calibre &lt;14]]/FT_RF_26[[#This Row],[Muestra]]),"0")</f>
        <v>0</v>
      </c>
      <c r="AV61" s="38">
        <v>0</v>
      </c>
      <c r="AW61" s="39">
        <f>+IFERROR((FT_RF_26[[#This Row],[Calibre &gt;14]]/FT_RF_26[[#This Row],[Muestra]]),"0")</f>
        <v>0</v>
      </c>
      <c r="AX61" s="38">
        <v>0</v>
      </c>
      <c r="AY61" s="39">
        <f>+IFERROR((FT_RF_26[[#This Row],[Calibre &lt;10]]/FT_RF_26[[#This Row],[Muestra]]),"0")</f>
        <v>0</v>
      </c>
      <c r="AZ61" s="38">
        <v>0</v>
      </c>
      <c r="BA61" s="39">
        <f>+IFERROR((FT_RF_26[[#This Row],[Calibre &gt;13]]/FT_RF_26[[#This Row],[Muestra]]),"0")</f>
        <v>0</v>
      </c>
      <c r="BB61" s="41"/>
      <c r="BG61" s="42"/>
      <c r="BH61" s="43">
        <v>0</v>
      </c>
      <c r="BI61" s="29" t="s">
        <v>894</v>
      </c>
      <c r="BJ61" s="29" t="s">
        <v>894</v>
      </c>
      <c r="BK6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6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61" s="45">
        <f>1-FT_RF_26[[#This Row],[% Defectos]]</f>
        <v>1</v>
      </c>
      <c r="BO61" s="60"/>
      <c r="BP61" s="12">
        <f>SUM(FT_RF_26[[#This Row],[Hoja (Un.)]:[Larvas Caja]])</f>
        <v>0</v>
      </c>
      <c r="BQ61" s="12">
        <f>SUM(FT_RF_26[[#This Row],[Vidrios]:[Plástico]])</f>
        <v>0</v>
      </c>
      <c r="BR61" s="12" t="str">
        <f>IF(ISBLANK(FT_RF_26[[#This Row],[Descripción del producto]]),"",FT_RF_26[[#This Row],[Descripción del producto]])</f>
        <v/>
      </c>
      <c r="BS61" s="29" t="str">
        <f>IF(ISBLANK(FT_RF_26[[#This Row],[N° de Lote]]),"",FT_RF_26[[#This Row],[N° de Lote]])</f>
        <v/>
      </c>
      <c r="BT61" s="29" t="str">
        <f>IF(ISBLANK(FT_RF_26[[#This Row],[N° de Pallet]]),"",FT_RF_26[[#This Row],[N° de Pallet]])</f>
        <v/>
      </c>
    </row>
    <row r="62" spans="2:72">
      <c r="B62" s="29">
        <f>+_xlfn.ISOWEEKNUM(FT_RF_26[[#This Row],[Fecha]])</f>
        <v>52</v>
      </c>
      <c r="E62" s="31"/>
      <c r="F62" s="12" t="str">
        <f>IFERROR(""&amp;_xlfn.XLOOKUP(FT_RF_26[[#This Row],[Código]],BD_Cod[SKU],BD_Cod[Descripción]),"")</f>
        <v/>
      </c>
      <c r="G62" s="32" t="str">
        <f>IFERROR(""&amp;_xlfn.XLOOKUP(FT_RF_26[[#This Row],[Código]],BD_Cod[SKU],BD_Cod[Familia Calidad]),"")</f>
        <v/>
      </c>
      <c r="J62" s="33">
        <v>1000</v>
      </c>
      <c r="L62" s="30" t="s">
        <v>244</v>
      </c>
      <c r="O62" s="30" t="s">
        <v>894</v>
      </c>
      <c r="P62" s="29" t="s">
        <v>894</v>
      </c>
      <c r="Q62" s="37">
        <f>1-FT_RF_26[[#This Row],[% Defectos]]</f>
        <v>1</v>
      </c>
      <c r="R62" s="38">
        <v>0</v>
      </c>
      <c r="S62" s="39">
        <f>+IFERROR((FT_RF_26[[#This Row],[Inmadura]]/FT_RF_26[[#This Row],[Muestra]]),"0")</f>
        <v>0</v>
      </c>
      <c r="T62" s="38">
        <v>0</v>
      </c>
      <c r="U62" s="39">
        <f>+IFERROR((FT_RF_26[[#This Row],[Partidas]]/FT_RF_26[[#This Row],[Muestra]]),"0")</f>
        <v>0</v>
      </c>
      <c r="V62" s="38">
        <v>0</v>
      </c>
      <c r="W62" s="39">
        <f>+IFERROR((FT_RF_26[[#This Row],[Daño Insecto]]/FT_RF_26[[#This Row],[Muestra]]),"0")</f>
        <v>0</v>
      </c>
      <c r="X62" s="38">
        <v>0</v>
      </c>
      <c r="Y62" s="39">
        <f>+IFERROR((FT_RF_26[[#This Row],[Sobremadura]]/FT_RF_26[[#This Row],[Muestra]]),"0")</f>
        <v>0</v>
      </c>
      <c r="Z62" s="38">
        <v>0</v>
      </c>
      <c r="AA62" s="39">
        <f>+IFERROR((FT_RF_26[[#This Row],[Deforme]]/FT_RF_26[[#This Row],[Muestra]]),"0")</f>
        <v>0</v>
      </c>
      <c r="AB62" s="27"/>
      <c r="AC62" s="38">
        <v>0</v>
      </c>
      <c r="AD62" s="39">
        <f>+IFERROR((FT_RF_26[[#This Row],[Valor Extra 1]]/FT_RF_26[[#This Row],[Muestra]]),"0")</f>
        <v>0</v>
      </c>
      <c r="AF62" s="38">
        <v>0</v>
      </c>
      <c r="AG62" s="39">
        <f>+IFERROR((FT_RF_26[[#This Row],[Valor Extra 2]]/FT_RF_26[[#This Row],[Muestra]]),"0")</f>
        <v>0</v>
      </c>
      <c r="AH62" s="40">
        <v>0</v>
      </c>
      <c r="AI62" s="39">
        <f>+IFERROR((FT_RF_26[[#This Row],[Hongos]]/FT_RF_26[[#This Row],[Muestra]]),"0")</f>
        <v>0</v>
      </c>
      <c r="AJ62" s="38">
        <v>0</v>
      </c>
      <c r="AK62" s="39">
        <f>+IFERROR((FT_RF_26[[#This Row],[Block]]/FT_RF_26[[#This Row],[Muestra]]),"0")</f>
        <v>0</v>
      </c>
      <c r="AL62" s="41">
        <v>0</v>
      </c>
      <c r="AM62" s="42">
        <v>0</v>
      </c>
      <c r="AN62" s="38">
        <v>0</v>
      </c>
      <c r="AO62" s="39">
        <f>+IFERROR((FT_RF_26[[#This Row],[Fuera de calibre &lt;12mm]]/FT_RF_26[[#This Row],[Muestra]]),"0")</f>
        <v>0</v>
      </c>
      <c r="AP62" s="38">
        <v>0</v>
      </c>
      <c r="AQ62" s="39">
        <f>+IFERROR((FT_RF_26[[#This Row],[Calibre &lt;25]]/FT_RF_26[[#This Row],[Muestra]]),"0")</f>
        <v>0</v>
      </c>
      <c r="AR62" s="38">
        <v>0</v>
      </c>
      <c r="AS62" s="39">
        <f>+IFERROR((FT_RF_26[[#This Row],[Calibre &gt;12]]/FT_RF_26[[#This Row],[Muestra]]),"0")</f>
        <v>0</v>
      </c>
      <c r="AT62" s="38">
        <v>0</v>
      </c>
      <c r="AU62" s="39">
        <f>+IFERROR((FT_RF_26[[#This Row],[Calibre &lt;14]]/FT_RF_26[[#This Row],[Muestra]]),"0")</f>
        <v>0</v>
      </c>
      <c r="AV62" s="38">
        <v>0</v>
      </c>
      <c r="AW62" s="39">
        <f>+IFERROR((FT_RF_26[[#This Row],[Calibre &gt;14]]/FT_RF_26[[#This Row],[Muestra]]),"0")</f>
        <v>0</v>
      </c>
      <c r="AX62" s="38">
        <v>0</v>
      </c>
      <c r="AY62" s="39">
        <f>+IFERROR((FT_RF_26[[#This Row],[Calibre &lt;10]]/FT_RF_26[[#This Row],[Muestra]]),"0")</f>
        <v>0</v>
      </c>
      <c r="AZ62" s="38">
        <v>0</v>
      </c>
      <c r="BA62" s="39">
        <f>+IFERROR((FT_RF_26[[#This Row],[Calibre &gt;13]]/FT_RF_26[[#This Row],[Muestra]]),"0")</f>
        <v>0</v>
      </c>
      <c r="BB62" s="41"/>
      <c r="BG62" s="42"/>
      <c r="BH62" s="43">
        <v>0</v>
      </c>
      <c r="BI62" s="29" t="s">
        <v>894</v>
      </c>
      <c r="BJ62" s="29" t="s">
        <v>894</v>
      </c>
      <c r="BK6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6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62" s="45">
        <f>1-FT_RF_26[[#This Row],[% Defectos]]</f>
        <v>1</v>
      </c>
      <c r="BO62" s="60"/>
      <c r="BP62" s="12">
        <f>SUM(FT_RF_26[[#This Row],[Hoja (Un.)]:[Larvas Caja]])</f>
        <v>0</v>
      </c>
      <c r="BQ62" s="12">
        <f>SUM(FT_RF_26[[#This Row],[Vidrios]:[Plástico]])</f>
        <v>0</v>
      </c>
      <c r="BR62" s="12" t="str">
        <f>IF(ISBLANK(FT_RF_26[[#This Row],[Descripción del producto]]),"",FT_RF_26[[#This Row],[Descripción del producto]])</f>
        <v/>
      </c>
      <c r="BS62" s="29" t="str">
        <f>IF(ISBLANK(FT_RF_26[[#This Row],[N° de Lote]]),"",FT_RF_26[[#This Row],[N° de Lote]])</f>
        <v/>
      </c>
      <c r="BT62" s="29" t="str">
        <f>IF(ISBLANK(FT_RF_26[[#This Row],[N° de Pallet]]),"",FT_RF_26[[#This Row],[N° de Pallet]])</f>
        <v/>
      </c>
    </row>
    <row r="63" spans="2:72">
      <c r="B63" s="29">
        <f>+_xlfn.ISOWEEKNUM(FT_RF_26[[#This Row],[Fecha]])</f>
        <v>52</v>
      </c>
      <c r="E63" s="31"/>
      <c r="F63" s="12" t="str">
        <f>IFERROR(""&amp;_xlfn.XLOOKUP(FT_RF_26[[#This Row],[Código]],BD_Cod[SKU],BD_Cod[Descripción]),"")</f>
        <v/>
      </c>
      <c r="G63" s="32" t="str">
        <f>IFERROR(""&amp;_xlfn.XLOOKUP(FT_RF_26[[#This Row],[Código]],BD_Cod[SKU],BD_Cod[Familia Calidad]),"")</f>
        <v/>
      </c>
      <c r="J63" s="33">
        <v>1000</v>
      </c>
      <c r="L63" s="30" t="s">
        <v>244</v>
      </c>
      <c r="O63" s="30" t="s">
        <v>894</v>
      </c>
      <c r="P63" s="29" t="s">
        <v>894</v>
      </c>
      <c r="Q63" s="37">
        <f>1-FT_RF_26[[#This Row],[% Defectos]]</f>
        <v>1</v>
      </c>
      <c r="R63" s="38">
        <v>0</v>
      </c>
      <c r="S63" s="39">
        <f>+IFERROR((FT_RF_26[[#This Row],[Inmadura]]/FT_RF_26[[#This Row],[Muestra]]),"0")</f>
        <v>0</v>
      </c>
      <c r="T63" s="38">
        <v>0</v>
      </c>
      <c r="U63" s="39">
        <f>+IFERROR((FT_RF_26[[#This Row],[Partidas]]/FT_RF_26[[#This Row],[Muestra]]),"0")</f>
        <v>0</v>
      </c>
      <c r="V63" s="38">
        <v>0</v>
      </c>
      <c r="W63" s="39">
        <f>+IFERROR((FT_RF_26[[#This Row],[Daño Insecto]]/FT_RF_26[[#This Row],[Muestra]]),"0")</f>
        <v>0</v>
      </c>
      <c r="X63" s="38">
        <v>0</v>
      </c>
      <c r="Y63" s="39">
        <f>+IFERROR((FT_RF_26[[#This Row],[Sobremadura]]/FT_RF_26[[#This Row],[Muestra]]),"0")</f>
        <v>0</v>
      </c>
      <c r="Z63" s="38">
        <v>0</v>
      </c>
      <c r="AA63" s="39">
        <f>+IFERROR((FT_RF_26[[#This Row],[Deforme]]/FT_RF_26[[#This Row],[Muestra]]),"0")</f>
        <v>0</v>
      </c>
      <c r="AB63" s="27"/>
      <c r="AC63" s="38">
        <v>0</v>
      </c>
      <c r="AD63" s="39">
        <f>+IFERROR((FT_RF_26[[#This Row],[Valor Extra 1]]/FT_RF_26[[#This Row],[Muestra]]),"0")</f>
        <v>0</v>
      </c>
      <c r="AF63" s="38">
        <v>0</v>
      </c>
      <c r="AG63" s="39">
        <f>+IFERROR((FT_RF_26[[#This Row],[Valor Extra 2]]/FT_RF_26[[#This Row],[Muestra]]),"0")</f>
        <v>0</v>
      </c>
      <c r="AH63" s="40">
        <v>0</v>
      </c>
      <c r="AI63" s="39">
        <f>+IFERROR((FT_RF_26[[#This Row],[Hongos]]/FT_RF_26[[#This Row],[Muestra]]),"0")</f>
        <v>0</v>
      </c>
      <c r="AJ63" s="38">
        <v>0</v>
      </c>
      <c r="AK63" s="39">
        <f>+IFERROR((FT_RF_26[[#This Row],[Block]]/FT_RF_26[[#This Row],[Muestra]]),"0")</f>
        <v>0</v>
      </c>
      <c r="AL63" s="41">
        <v>0</v>
      </c>
      <c r="AM63" s="42">
        <v>0</v>
      </c>
      <c r="AN63" s="38">
        <v>0</v>
      </c>
      <c r="AO63" s="39">
        <f>+IFERROR((FT_RF_26[[#This Row],[Fuera de calibre &lt;12mm]]/FT_RF_26[[#This Row],[Muestra]]),"0")</f>
        <v>0</v>
      </c>
      <c r="AP63" s="38">
        <v>0</v>
      </c>
      <c r="AQ63" s="39">
        <f>+IFERROR((FT_RF_26[[#This Row],[Calibre &lt;25]]/FT_RF_26[[#This Row],[Muestra]]),"0")</f>
        <v>0</v>
      </c>
      <c r="AR63" s="38">
        <v>0</v>
      </c>
      <c r="AS63" s="39">
        <f>+IFERROR((FT_RF_26[[#This Row],[Calibre &gt;12]]/FT_RF_26[[#This Row],[Muestra]]),"0")</f>
        <v>0</v>
      </c>
      <c r="AT63" s="38">
        <v>0</v>
      </c>
      <c r="AU63" s="39">
        <f>+IFERROR((FT_RF_26[[#This Row],[Calibre &lt;14]]/FT_RF_26[[#This Row],[Muestra]]),"0")</f>
        <v>0</v>
      </c>
      <c r="AV63" s="38">
        <v>0</v>
      </c>
      <c r="AW63" s="39">
        <f>+IFERROR((FT_RF_26[[#This Row],[Calibre &gt;14]]/FT_RF_26[[#This Row],[Muestra]]),"0")</f>
        <v>0</v>
      </c>
      <c r="AX63" s="38">
        <v>0</v>
      </c>
      <c r="AY63" s="39">
        <f>+IFERROR((FT_RF_26[[#This Row],[Calibre &lt;10]]/FT_RF_26[[#This Row],[Muestra]]),"0")</f>
        <v>0</v>
      </c>
      <c r="AZ63" s="38">
        <v>0</v>
      </c>
      <c r="BA63" s="39">
        <f>+IFERROR((FT_RF_26[[#This Row],[Calibre &gt;13]]/FT_RF_26[[#This Row],[Muestra]]),"0")</f>
        <v>0</v>
      </c>
      <c r="BB63" s="41"/>
      <c r="BG63" s="42"/>
      <c r="BH63" s="43">
        <v>0</v>
      </c>
      <c r="BI63" s="29" t="s">
        <v>894</v>
      </c>
      <c r="BJ63" s="29" t="s">
        <v>894</v>
      </c>
      <c r="BK6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6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63" s="45">
        <f>1-FT_RF_26[[#This Row],[% Defectos]]</f>
        <v>1</v>
      </c>
      <c r="BO63" s="60"/>
      <c r="BP63" s="12">
        <f>SUM(FT_RF_26[[#This Row],[Hoja (Un.)]:[Larvas Caja]])</f>
        <v>0</v>
      </c>
      <c r="BQ63" s="12">
        <f>SUM(FT_RF_26[[#This Row],[Vidrios]:[Plástico]])</f>
        <v>0</v>
      </c>
      <c r="BR63" s="12" t="str">
        <f>IF(ISBLANK(FT_RF_26[[#This Row],[Descripción del producto]]),"",FT_RF_26[[#This Row],[Descripción del producto]])</f>
        <v/>
      </c>
      <c r="BS63" s="29" t="str">
        <f>IF(ISBLANK(FT_RF_26[[#This Row],[N° de Lote]]),"",FT_RF_26[[#This Row],[N° de Lote]])</f>
        <v/>
      </c>
      <c r="BT63" s="29" t="str">
        <f>IF(ISBLANK(FT_RF_26[[#This Row],[N° de Pallet]]),"",FT_RF_26[[#This Row],[N° de Pallet]])</f>
        <v/>
      </c>
    </row>
    <row r="64" spans="2:72">
      <c r="B64" s="29">
        <f>+_xlfn.ISOWEEKNUM(FT_RF_26[[#This Row],[Fecha]])</f>
        <v>52</v>
      </c>
      <c r="E64" s="31"/>
      <c r="F64" s="12" t="str">
        <f>IFERROR(""&amp;_xlfn.XLOOKUP(FT_RF_26[[#This Row],[Código]],BD_Cod[SKU],BD_Cod[Descripción]),"")</f>
        <v/>
      </c>
      <c r="G64" s="32" t="str">
        <f>IFERROR(""&amp;_xlfn.XLOOKUP(FT_RF_26[[#This Row],[Código]],BD_Cod[SKU],BD_Cod[Familia Calidad]),"")</f>
        <v/>
      </c>
      <c r="J64" s="33">
        <v>1000</v>
      </c>
      <c r="L64" s="30" t="s">
        <v>244</v>
      </c>
      <c r="O64" s="30" t="s">
        <v>894</v>
      </c>
      <c r="P64" s="29" t="s">
        <v>894</v>
      </c>
      <c r="Q64" s="37">
        <f>1-FT_RF_26[[#This Row],[% Defectos]]</f>
        <v>1</v>
      </c>
      <c r="R64" s="38">
        <v>0</v>
      </c>
      <c r="S64" s="39">
        <f>+IFERROR((FT_RF_26[[#This Row],[Inmadura]]/FT_RF_26[[#This Row],[Muestra]]),"0")</f>
        <v>0</v>
      </c>
      <c r="T64" s="38">
        <v>0</v>
      </c>
      <c r="U64" s="39">
        <f>+IFERROR((FT_RF_26[[#This Row],[Partidas]]/FT_RF_26[[#This Row],[Muestra]]),"0")</f>
        <v>0</v>
      </c>
      <c r="V64" s="38">
        <v>0</v>
      </c>
      <c r="W64" s="39">
        <f>+IFERROR((FT_RF_26[[#This Row],[Daño Insecto]]/FT_RF_26[[#This Row],[Muestra]]),"0")</f>
        <v>0</v>
      </c>
      <c r="X64" s="38">
        <v>0</v>
      </c>
      <c r="Y64" s="39">
        <f>+IFERROR((FT_RF_26[[#This Row],[Sobremadura]]/FT_RF_26[[#This Row],[Muestra]]),"0")</f>
        <v>0</v>
      </c>
      <c r="Z64" s="38">
        <v>0</v>
      </c>
      <c r="AA64" s="39">
        <f>+IFERROR((FT_RF_26[[#This Row],[Deforme]]/FT_RF_26[[#This Row],[Muestra]]),"0")</f>
        <v>0</v>
      </c>
      <c r="AB64" s="27"/>
      <c r="AC64" s="38">
        <v>0</v>
      </c>
      <c r="AD64" s="39">
        <f>+IFERROR((FT_RF_26[[#This Row],[Valor Extra 1]]/FT_RF_26[[#This Row],[Muestra]]),"0")</f>
        <v>0</v>
      </c>
      <c r="AF64" s="38">
        <v>0</v>
      </c>
      <c r="AG64" s="39">
        <f>+IFERROR((FT_RF_26[[#This Row],[Valor Extra 2]]/FT_RF_26[[#This Row],[Muestra]]),"0")</f>
        <v>0</v>
      </c>
      <c r="AH64" s="40">
        <v>0</v>
      </c>
      <c r="AI64" s="39">
        <f>+IFERROR((FT_RF_26[[#This Row],[Hongos]]/FT_RF_26[[#This Row],[Muestra]]),"0")</f>
        <v>0</v>
      </c>
      <c r="AJ64" s="38">
        <v>0</v>
      </c>
      <c r="AK64" s="39">
        <f>+IFERROR((FT_RF_26[[#This Row],[Block]]/FT_RF_26[[#This Row],[Muestra]]),"0")</f>
        <v>0</v>
      </c>
      <c r="AL64" s="41">
        <v>0</v>
      </c>
      <c r="AM64" s="42">
        <v>0</v>
      </c>
      <c r="AN64" s="38">
        <v>0</v>
      </c>
      <c r="AO64" s="39">
        <f>+IFERROR((FT_RF_26[[#This Row],[Fuera de calibre &lt;12mm]]/FT_RF_26[[#This Row],[Muestra]]),"0")</f>
        <v>0</v>
      </c>
      <c r="AP64" s="38">
        <v>0</v>
      </c>
      <c r="AQ64" s="39">
        <f>+IFERROR((FT_RF_26[[#This Row],[Calibre &lt;25]]/FT_RF_26[[#This Row],[Muestra]]),"0")</f>
        <v>0</v>
      </c>
      <c r="AR64" s="38">
        <v>0</v>
      </c>
      <c r="AS64" s="39">
        <f>+IFERROR((FT_RF_26[[#This Row],[Calibre &gt;12]]/FT_RF_26[[#This Row],[Muestra]]),"0")</f>
        <v>0</v>
      </c>
      <c r="AT64" s="38">
        <v>0</v>
      </c>
      <c r="AU64" s="39">
        <f>+IFERROR((FT_RF_26[[#This Row],[Calibre &lt;14]]/FT_RF_26[[#This Row],[Muestra]]),"0")</f>
        <v>0</v>
      </c>
      <c r="AV64" s="38">
        <v>0</v>
      </c>
      <c r="AW64" s="39">
        <f>+IFERROR((FT_RF_26[[#This Row],[Calibre &gt;14]]/FT_RF_26[[#This Row],[Muestra]]),"0")</f>
        <v>0</v>
      </c>
      <c r="AX64" s="38">
        <v>0</v>
      </c>
      <c r="AY64" s="39">
        <f>+IFERROR((FT_RF_26[[#This Row],[Calibre &lt;10]]/FT_RF_26[[#This Row],[Muestra]]),"0")</f>
        <v>0</v>
      </c>
      <c r="AZ64" s="38">
        <v>0</v>
      </c>
      <c r="BA64" s="39">
        <f>+IFERROR((FT_RF_26[[#This Row],[Calibre &gt;13]]/FT_RF_26[[#This Row],[Muestra]]),"0")</f>
        <v>0</v>
      </c>
      <c r="BB64" s="41"/>
      <c r="BG64" s="42"/>
      <c r="BH64" s="43">
        <v>0</v>
      </c>
      <c r="BI64" s="29" t="s">
        <v>894</v>
      </c>
      <c r="BJ64" s="29" t="s">
        <v>894</v>
      </c>
      <c r="BK6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6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64" s="45">
        <f>1-FT_RF_26[[#This Row],[% Defectos]]</f>
        <v>1</v>
      </c>
      <c r="BO64" s="60"/>
      <c r="BP64" s="12">
        <f>SUM(FT_RF_26[[#This Row],[Hoja (Un.)]:[Larvas Caja]])</f>
        <v>0</v>
      </c>
      <c r="BQ64" s="12">
        <f>SUM(FT_RF_26[[#This Row],[Vidrios]:[Plástico]])</f>
        <v>0</v>
      </c>
      <c r="BR64" s="12" t="str">
        <f>IF(ISBLANK(FT_RF_26[[#This Row],[Descripción del producto]]),"",FT_RF_26[[#This Row],[Descripción del producto]])</f>
        <v/>
      </c>
      <c r="BS64" s="29" t="str">
        <f>IF(ISBLANK(FT_RF_26[[#This Row],[N° de Lote]]),"",FT_RF_26[[#This Row],[N° de Lote]])</f>
        <v/>
      </c>
      <c r="BT64" s="29" t="str">
        <f>IF(ISBLANK(FT_RF_26[[#This Row],[N° de Pallet]]),"",FT_RF_26[[#This Row],[N° de Pallet]])</f>
        <v/>
      </c>
    </row>
    <row r="65" spans="2:72">
      <c r="B65" s="29">
        <f>+_xlfn.ISOWEEKNUM(FT_RF_26[[#This Row],[Fecha]])</f>
        <v>52</v>
      </c>
      <c r="E65" s="31"/>
      <c r="F65" s="12" t="str">
        <f>IFERROR(""&amp;_xlfn.XLOOKUP(FT_RF_26[[#This Row],[Código]],BD_Cod[SKU],BD_Cod[Descripción]),"")</f>
        <v/>
      </c>
      <c r="G65" s="32" t="str">
        <f>IFERROR(""&amp;_xlfn.XLOOKUP(FT_RF_26[[#This Row],[Código]],BD_Cod[SKU],BD_Cod[Familia Calidad]),"")</f>
        <v/>
      </c>
      <c r="J65" s="33">
        <v>1000</v>
      </c>
      <c r="L65" s="30" t="s">
        <v>244</v>
      </c>
      <c r="O65" s="30" t="s">
        <v>894</v>
      </c>
      <c r="P65" s="29" t="s">
        <v>894</v>
      </c>
      <c r="Q65" s="37">
        <f>1-FT_RF_26[[#This Row],[% Defectos]]</f>
        <v>1</v>
      </c>
      <c r="R65" s="38">
        <v>0</v>
      </c>
      <c r="S65" s="39">
        <f>+IFERROR((FT_RF_26[[#This Row],[Inmadura]]/FT_RF_26[[#This Row],[Muestra]]),"0")</f>
        <v>0</v>
      </c>
      <c r="T65" s="38">
        <v>0</v>
      </c>
      <c r="U65" s="39">
        <f>+IFERROR((FT_RF_26[[#This Row],[Partidas]]/FT_RF_26[[#This Row],[Muestra]]),"0")</f>
        <v>0</v>
      </c>
      <c r="V65" s="38">
        <v>0</v>
      </c>
      <c r="W65" s="39">
        <f>+IFERROR((FT_RF_26[[#This Row],[Daño Insecto]]/FT_RF_26[[#This Row],[Muestra]]),"0")</f>
        <v>0</v>
      </c>
      <c r="X65" s="38">
        <v>0</v>
      </c>
      <c r="Y65" s="39">
        <f>+IFERROR((FT_RF_26[[#This Row],[Sobremadura]]/FT_RF_26[[#This Row],[Muestra]]),"0")</f>
        <v>0</v>
      </c>
      <c r="Z65" s="38">
        <v>0</v>
      </c>
      <c r="AA65" s="39">
        <f>+IFERROR((FT_RF_26[[#This Row],[Deforme]]/FT_RF_26[[#This Row],[Muestra]]),"0")</f>
        <v>0</v>
      </c>
      <c r="AB65" s="27"/>
      <c r="AC65" s="38">
        <v>0</v>
      </c>
      <c r="AD65" s="39">
        <f>+IFERROR((FT_RF_26[[#This Row],[Valor Extra 1]]/FT_RF_26[[#This Row],[Muestra]]),"0")</f>
        <v>0</v>
      </c>
      <c r="AF65" s="38">
        <v>0</v>
      </c>
      <c r="AG65" s="39">
        <f>+IFERROR((FT_RF_26[[#This Row],[Valor Extra 2]]/FT_RF_26[[#This Row],[Muestra]]),"0")</f>
        <v>0</v>
      </c>
      <c r="AH65" s="40">
        <v>0</v>
      </c>
      <c r="AI65" s="39">
        <f>+IFERROR((FT_RF_26[[#This Row],[Hongos]]/FT_RF_26[[#This Row],[Muestra]]),"0")</f>
        <v>0</v>
      </c>
      <c r="AJ65" s="38">
        <v>0</v>
      </c>
      <c r="AK65" s="39">
        <f>+IFERROR((FT_RF_26[[#This Row],[Block]]/FT_RF_26[[#This Row],[Muestra]]),"0")</f>
        <v>0</v>
      </c>
      <c r="AL65" s="41">
        <v>0</v>
      </c>
      <c r="AM65" s="42">
        <v>0</v>
      </c>
      <c r="AN65" s="38">
        <v>0</v>
      </c>
      <c r="AO65" s="39">
        <f>+IFERROR((FT_RF_26[[#This Row],[Fuera de calibre &lt;12mm]]/FT_RF_26[[#This Row],[Muestra]]),"0")</f>
        <v>0</v>
      </c>
      <c r="AP65" s="38">
        <v>0</v>
      </c>
      <c r="AQ65" s="39">
        <f>+IFERROR((FT_RF_26[[#This Row],[Calibre &lt;25]]/FT_RF_26[[#This Row],[Muestra]]),"0")</f>
        <v>0</v>
      </c>
      <c r="AR65" s="38">
        <v>0</v>
      </c>
      <c r="AS65" s="39">
        <f>+IFERROR((FT_RF_26[[#This Row],[Calibre &gt;12]]/FT_RF_26[[#This Row],[Muestra]]),"0")</f>
        <v>0</v>
      </c>
      <c r="AT65" s="38">
        <v>0</v>
      </c>
      <c r="AU65" s="39">
        <f>+IFERROR((FT_RF_26[[#This Row],[Calibre &lt;14]]/FT_RF_26[[#This Row],[Muestra]]),"0")</f>
        <v>0</v>
      </c>
      <c r="AV65" s="38">
        <v>0</v>
      </c>
      <c r="AW65" s="39">
        <f>+IFERROR((FT_RF_26[[#This Row],[Calibre &gt;14]]/FT_RF_26[[#This Row],[Muestra]]),"0")</f>
        <v>0</v>
      </c>
      <c r="AX65" s="38">
        <v>0</v>
      </c>
      <c r="AY65" s="39">
        <f>+IFERROR((FT_RF_26[[#This Row],[Calibre &lt;10]]/FT_RF_26[[#This Row],[Muestra]]),"0")</f>
        <v>0</v>
      </c>
      <c r="AZ65" s="38">
        <v>0</v>
      </c>
      <c r="BA65" s="39">
        <f>+IFERROR((FT_RF_26[[#This Row],[Calibre &gt;13]]/FT_RF_26[[#This Row],[Muestra]]),"0")</f>
        <v>0</v>
      </c>
      <c r="BB65" s="41"/>
      <c r="BG65" s="42"/>
      <c r="BH65" s="43">
        <v>0</v>
      </c>
      <c r="BI65" s="29" t="s">
        <v>894</v>
      </c>
      <c r="BJ65" s="29" t="s">
        <v>894</v>
      </c>
      <c r="BK6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6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65" s="45">
        <f>1-FT_RF_26[[#This Row],[% Defectos]]</f>
        <v>1</v>
      </c>
      <c r="BO65" s="60"/>
      <c r="BP65" s="12">
        <f>SUM(FT_RF_26[[#This Row],[Hoja (Un.)]:[Larvas Caja]])</f>
        <v>0</v>
      </c>
      <c r="BQ65" s="12">
        <f>SUM(FT_RF_26[[#This Row],[Vidrios]:[Plástico]])</f>
        <v>0</v>
      </c>
      <c r="BR65" s="12" t="str">
        <f>IF(ISBLANK(FT_RF_26[[#This Row],[Descripción del producto]]),"",FT_RF_26[[#This Row],[Descripción del producto]])</f>
        <v/>
      </c>
      <c r="BS65" s="29" t="str">
        <f>IF(ISBLANK(FT_RF_26[[#This Row],[N° de Lote]]),"",FT_RF_26[[#This Row],[N° de Lote]])</f>
        <v/>
      </c>
      <c r="BT65" s="29" t="str">
        <f>IF(ISBLANK(FT_RF_26[[#This Row],[N° de Pallet]]),"",FT_RF_26[[#This Row],[N° de Pallet]])</f>
        <v/>
      </c>
    </row>
    <row r="66" spans="2:72">
      <c r="B66" s="29">
        <f>+_xlfn.ISOWEEKNUM(FT_RF_26[[#This Row],[Fecha]])</f>
        <v>52</v>
      </c>
      <c r="E66" s="31"/>
      <c r="F66" s="12" t="str">
        <f>IFERROR(""&amp;_xlfn.XLOOKUP(FT_RF_26[[#This Row],[Código]],BD_Cod[SKU],BD_Cod[Descripción]),"")</f>
        <v/>
      </c>
      <c r="G66" s="32" t="str">
        <f>IFERROR(""&amp;_xlfn.XLOOKUP(FT_RF_26[[#This Row],[Código]],BD_Cod[SKU],BD_Cod[Familia Calidad]),"")</f>
        <v/>
      </c>
      <c r="J66" s="33">
        <v>1000</v>
      </c>
      <c r="L66" s="30" t="s">
        <v>244</v>
      </c>
      <c r="O66" s="30" t="s">
        <v>894</v>
      </c>
      <c r="P66" s="29" t="s">
        <v>894</v>
      </c>
      <c r="Q66" s="37">
        <f>1-FT_RF_26[[#This Row],[% Defectos]]</f>
        <v>1</v>
      </c>
      <c r="R66" s="38">
        <v>0</v>
      </c>
      <c r="S66" s="39">
        <f>+IFERROR((FT_RF_26[[#This Row],[Inmadura]]/FT_RF_26[[#This Row],[Muestra]]),"0")</f>
        <v>0</v>
      </c>
      <c r="T66" s="38">
        <v>0</v>
      </c>
      <c r="U66" s="39">
        <f>+IFERROR((FT_RF_26[[#This Row],[Partidas]]/FT_RF_26[[#This Row],[Muestra]]),"0")</f>
        <v>0</v>
      </c>
      <c r="V66" s="38">
        <v>0</v>
      </c>
      <c r="W66" s="39">
        <f>+IFERROR((FT_RF_26[[#This Row],[Daño Insecto]]/FT_RF_26[[#This Row],[Muestra]]),"0")</f>
        <v>0</v>
      </c>
      <c r="X66" s="38">
        <v>0</v>
      </c>
      <c r="Y66" s="39">
        <f>+IFERROR((FT_RF_26[[#This Row],[Sobremadura]]/FT_RF_26[[#This Row],[Muestra]]),"0")</f>
        <v>0</v>
      </c>
      <c r="Z66" s="38">
        <v>0</v>
      </c>
      <c r="AA66" s="39">
        <f>+IFERROR((FT_RF_26[[#This Row],[Deforme]]/FT_RF_26[[#This Row],[Muestra]]),"0")</f>
        <v>0</v>
      </c>
      <c r="AB66" s="27"/>
      <c r="AC66" s="38">
        <v>0</v>
      </c>
      <c r="AD66" s="39">
        <f>+IFERROR((FT_RF_26[[#This Row],[Valor Extra 1]]/FT_RF_26[[#This Row],[Muestra]]),"0")</f>
        <v>0</v>
      </c>
      <c r="AF66" s="38">
        <v>0</v>
      </c>
      <c r="AG66" s="39">
        <f>+IFERROR((FT_RF_26[[#This Row],[Valor Extra 2]]/FT_RF_26[[#This Row],[Muestra]]),"0")</f>
        <v>0</v>
      </c>
      <c r="AH66" s="40">
        <v>0</v>
      </c>
      <c r="AI66" s="39">
        <f>+IFERROR((FT_RF_26[[#This Row],[Hongos]]/FT_RF_26[[#This Row],[Muestra]]),"0")</f>
        <v>0</v>
      </c>
      <c r="AJ66" s="38">
        <v>0</v>
      </c>
      <c r="AK66" s="39">
        <f>+IFERROR((FT_RF_26[[#This Row],[Block]]/FT_RF_26[[#This Row],[Muestra]]),"0")</f>
        <v>0</v>
      </c>
      <c r="AL66" s="41">
        <v>0</v>
      </c>
      <c r="AM66" s="42">
        <v>0</v>
      </c>
      <c r="AN66" s="38">
        <v>0</v>
      </c>
      <c r="AO66" s="39">
        <f>+IFERROR((FT_RF_26[[#This Row],[Fuera de calibre &lt;12mm]]/FT_RF_26[[#This Row],[Muestra]]),"0")</f>
        <v>0</v>
      </c>
      <c r="AP66" s="38">
        <v>0</v>
      </c>
      <c r="AQ66" s="39">
        <f>+IFERROR((FT_RF_26[[#This Row],[Calibre &lt;25]]/FT_RF_26[[#This Row],[Muestra]]),"0")</f>
        <v>0</v>
      </c>
      <c r="AR66" s="38">
        <v>0</v>
      </c>
      <c r="AS66" s="39">
        <f>+IFERROR((FT_RF_26[[#This Row],[Calibre &gt;12]]/FT_RF_26[[#This Row],[Muestra]]),"0")</f>
        <v>0</v>
      </c>
      <c r="AT66" s="38">
        <v>0</v>
      </c>
      <c r="AU66" s="39">
        <f>+IFERROR((FT_RF_26[[#This Row],[Calibre &lt;14]]/FT_RF_26[[#This Row],[Muestra]]),"0")</f>
        <v>0</v>
      </c>
      <c r="AV66" s="38">
        <v>0</v>
      </c>
      <c r="AW66" s="39">
        <f>+IFERROR((FT_RF_26[[#This Row],[Calibre &gt;14]]/FT_RF_26[[#This Row],[Muestra]]),"0")</f>
        <v>0</v>
      </c>
      <c r="AX66" s="38">
        <v>0</v>
      </c>
      <c r="AY66" s="39">
        <f>+IFERROR((FT_RF_26[[#This Row],[Calibre &lt;10]]/FT_RF_26[[#This Row],[Muestra]]),"0")</f>
        <v>0</v>
      </c>
      <c r="AZ66" s="38">
        <v>0</v>
      </c>
      <c r="BA66" s="39">
        <f>+IFERROR((FT_RF_26[[#This Row],[Calibre &gt;13]]/FT_RF_26[[#This Row],[Muestra]]),"0")</f>
        <v>0</v>
      </c>
      <c r="BB66" s="41"/>
      <c r="BG66" s="42"/>
      <c r="BH66" s="43">
        <v>0</v>
      </c>
      <c r="BI66" s="29" t="s">
        <v>894</v>
      </c>
      <c r="BJ66" s="29" t="s">
        <v>894</v>
      </c>
      <c r="BK6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6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66" s="45">
        <f>1-FT_RF_26[[#This Row],[% Defectos]]</f>
        <v>1</v>
      </c>
      <c r="BO66" s="60"/>
      <c r="BP66" s="12">
        <f>SUM(FT_RF_26[[#This Row],[Hoja (Un.)]:[Larvas Caja]])</f>
        <v>0</v>
      </c>
      <c r="BQ66" s="12">
        <f>SUM(FT_RF_26[[#This Row],[Vidrios]:[Plástico]])</f>
        <v>0</v>
      </c>
      <c r="BR66" s="12" t="str">
        <f>IF(ISBLANK(FT_RF_26[[#This Row],[Descripción del producto]]),"",FT_RF_26[[#This Row],[Descripción del producto]])</f>
        <v/>
      </c>
      <c r="BS66" s="29" t="str">
        <f>IF(ISBLANK(FT_RF_26[[#This Row],[N° de Lote]]),"",FT_RF_26[[#This Row],[N° de Lote]])</f>
        <v/>
      </c>
      <c r="BT66" s="29" t="str">
        <f>IF(ISBLANK(FT_RF_26[[#This Row],[N° de Pallet]]),"",FT_RF_26[[#This Row],[N° de Pallet]])</f>
        <v/>
      </c>
    </row>
    <row r="67" spans="2:72">
      <c r="B67" s="29">
        <f>+_xlfn.ISOWEEKNUM(FT_RF_26[[#This Row],[Fecha]])</f>
        <v>52</v>
      </c>
      <c r="E67" s="31"/>
      <c r="F67" s="12" t="str">
        <f>IFERROR(""&amp;_xlfn.XLOOKUP(FT_RF_26[[#This Row],[Código]],BD_Cod[SKU],BD_Cod[Descripción]),"")</f>
        <v/>
      </c>
      <c r="G67" s="32" t="str">
        <f>IFERROR(""&amp;_xlfn.XLOOKUP(FT_RF_26[[#This Row],[Código]],BD_Cod[SKU],BD_Cod[Familia Calidad]),"")</f>
        <v/>
      </c>
      <c r="J67" s="33">
        <v>1000</v>
      </c>
      <c r="L67" s="30" t="s">
        <v>244</v>
      </c>
      <c r="O67" s="30" t="s">
        <v>894</v>
      </c>
      <c r="P67" s="29" t="s">
        <v>894</v>
      </c>
      <c r="Q67" s="37">
        <f>1-FT_RF_26[[#This Row],[% Defectos]]</f>
        <v>1</v>
      </c>
      <c r="R67" s="38">
        <v>0</v>
      </c>
      <c r="S67" s="39">
        <f>+IFERROR((FT_RF_26[[#This Row],[Inmadura]]/FT_RF_26[[#This Row],[Muestra]]),"0")</f>
        <v>0</v>
      </c>
      <c r="T67" s="38">
        <v>0</v>
      </c>
      <c r="U67" s="39">
        <f>+IFERROR((FT_RF_26[[#This Row],[Partidas]]/FT_RF_26[[#This Row],[Muestra]]),"0")</f>
        <v>0</v>
      </c>
      <c r="V67" s="38">
        <v>0</v>
      </c>
      <c r="W67" s="39">
        <f>+IFERROR((FT_RF_26[[#This Row],[Daño Insecto]]/FT_RF_26[[#This Row],[Muestra]]),"0")</f>
        <v>0</v>
      </c>
      <c r="X67" s="38">
        <v>0</v>
      </c>
      <c r="Y67" s="39">
        <f>+IFERROR((FT_RF_26[[#This Row],[Sobremadura]]/FT_RF_26[[#This Row],[Muestra]]),"0")</f>
        <v>0</v>
      </c>
      <c r="Z67" s="38">
        <v>0</v>
      </c>
      <c r="AA67" s="39">
        <f>+IFERROR((FT_RF_26[[#This Row],[Deforme]]/FT_RF_26[[#This Row],[Muestra]]),"0")</f>
        <v>0</v>
      </c>
      <c r="AB67" s="27"/>
      <c r="AC67" s="38">
        <v>0</v>
      </c>
      <c r="AD67" s="39">
        <f>+IFERROR((FT_RF_26[[#This Row],[Valor Extra 1]]/FT_RF_26[[#This Row],[Muestra]]),"0")</f>
        <v>0</v>
      </c>
      <c r="AF67" s="38">
        <v>0</v>
      </c>
      <c r="AG67" s="39">
        <f>+IFERROR((FT_RF_26[[#This Row],[Valor Extra 2]]/FT_RF_26[[#This Row],[Muestra]]),"0")</f>
        <v>0</v>
      </c>
      <c r="AH67" s="40">
        <v>0</v>
      </c>
      <c r="AI67" s="39">
        <f>+IFERROR((FT_RF_26[[#This Row],[Hongos]]/FT_RF_26[[#This Row],[Muestra]]),"0")</f>
        <v>0</v>
      </c>
      <c r="AJ67" s="38">
        <v>0</v>
      </c>
      <c r="AK67" s="39">
        <f>+IFERROR((FT_RF_26[[#This Row],[Block]]/FT_RF_26[[#This Row],[Muestra]]),"0")</f>
        <v>0</v>
      </c>
      <c r="AL67" s="41">
        <v>0</v>
      </c>
      <c r="AM67" s="42">
        <v>0</v>
      </c>
      <c r="AN67" s="38">
        <v>0</v>
      </c>
      <c r="AO67" s="39">
        <f>+IFERROR((FT_RF_26[[#This Row],[Fuera de calibre &lt;12mm]]/FT_RF_26[[#This Row],[Muestra]]),"0")</f>
        <v>0</v>
      </c>
      <c r="AP67" s="38">
        <v>0</v>
      </c>
      <c r="AQ67" s="39">
        <f>+IFERROR((FT_RF_26[[#This Row],[Calibre &lt;25]]/FT_RF_26[[#This Row],[Muestra]]),"0")</f>
        <v>0</v>
      </c>
      <c r="AR67" s="38">
        <v>0</v>
      </c>
      <c r="AS67" s="39">
        <f>+IFERROR((FT_RF_26[[#This Row],[Calibre &gt;12]]/FT_RF_26[[#This Row],[Muestra]]),"0")</f>
        <v>0</v>
      </c>
      <c r="AT67" s="38">
        <v>0</v>
      </c>
      <c r="AU67" s="39">
        <f>+IFERROR((FT_RF_26[[#This Row],[Calibre &lt;14]]/FT_RF_26[[#This Row],[Muestra]]),"0")</f>
        <v>0</v>
      </c>
      <c r="AV67" s="38">
        <v>0</v>
      </c>
      <c r="AW67" s="39">
        <f>+IFERROR((FT_RF_26[[#This Row],[Calibre &gt;14]]/FT_RF_26[[#This Row],[Muestra]]),"0")</f>
        <v>0</v>
      </c>
      <c r="AX67" s="38">
        <v>0</v>
      </c>
      <c r="AY67" s="39">
        <f>+IFERROR((FT_RF_26[[#This Row],[Calibre &lt;10]]/FT_RF_26[[#This Row],[Muestra]]),"0")</f>
        <v>0</v>
      </c>
      <c r="AZ67" s="38">
        <v>0</v>
      </c>
      <c r="BA67" s="39">
        <f>+IFERROR((FT_RF_26[[#This Row],[Calibre &gt;13]]/FT_RF_26[[#This Row],[Muestra]]),"0")</f>
        <v>0</v>
      </c>
      <c r="BB67" s="41"/>
      <c r="BG67" s="42"/>
      <c r="BH67" s="43">
        <v>0</v>
      </c>
      <c r="BI67" s="29" t="s">
        <v>894</v>
      </c>
      <c r="BJ67" s="29" t="s">
        <v>894</v>
      </c>
      <c r="BK6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6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67" s="45">
        <f>1-FT_RF_26[[#This Row],[% Defectos]]</f>
        <v>1</v>
      </c>
      <c r="BO67" s="60"/>
      <c r="BP67" s="12">
        <f>SUM(FT_RF_26[[#This Row],[Hoja (Un.)]:[Larvas Caja]])</f>
        <v>0</v>
      </c>
      <c r="BQ67" s="12">
        <f>SUM(FT_RF_26[[#This Row],[Vidrios]:[Plástico]])</f>
        <v>0</v>
      </c>
      <c r="BR67" s="12" t="str">
        <f>IF(ISBLANK(FT_RF_26[[#This Row],[Descripción del producto]]),"",FT_RF_26[[#This Row],[Descripción del producto]])</f>
        <v/>
      </c>
      <c r="BS67" s="29" t="str">
        <f>IF(ISBLANK(FT_RF_26[[#This Row],[N° de Lote]]),"",FT_RF_26[[#This Row],[N° de Lote]])</f>
        <v/>
      </c>
      <c r="BT67" s="29" t="str">
        <f>IF(ISBLANK(FT_RF_26[[#This Row],[N° de Pallet]]),"",FT_RF_26[[#This Row],[N° de Pallet]])</f>
        <v/>
      </c>
    </row>
    <row r="68" spans="2:72">
      <c r="B68" s="29">
        <f>+_xlfn.ISOWEEKNUM(FT_RF_26[[#This Row],[Fecha]])</f>
        <v>52</v>
      </c>
      <c r="E68" s="31"/>
      <c r="F68" s="12" t="str">
        <f>IFERROR(""&amp;_xlfn.XLOOKUP(FT_RF_26[[#This Row],[Código]],BD_Cod[SKU],BD_Cod[Descripción]),"")</f>
        <v/>
      </c>
      <c r="G68" s="32" t="str">
        <f>IFERROR(""&amp;_xlfn.XLOOKUP(FT_RF_26[[#This Row],[Código]],BD_Cod[SKU],BD_Cod[Familia Calidad]),"")</f>
        <v/>
      </c>
      <c r="J68" s="33">
        <v>1000</v>
      </c>
      <c r="L68" s="30" t="s">
        <v>244</v>
      </c>
      <c r="O68" s="30" t="s">
        <v>894</v>
      </c>
      <c r="P68" s="29" t="s">
        <v>894</v>
      </c>
      <c r="Q68" s="37">
        <f>1-FT_RF_26[[#This Row],[% Defectos]]</f>
        <v>1</v>
      </c>
      <c r="R68" s="38">
        <v>0</v>
      </c>
      <c r="S68" s="39">
        <f>+IFERROR((FT_RF_26[[#This Row],[Inmadura]]/FT_RF_26[[#This Row],[Muestra]]),"0")</f>
        <v>0</v>
      </c>
      <c r="T68" s="38">
        <v>0</v>
      </c>
      <c r="U68" s="39">
        <f>+IFERROR((FT_RF_26[[#This Row],[Partidas]]/FT_RF_26[[#This Row],[Muestra]]),"0")</f>
        <v>0</v>
      </c>
      <c r="V68" s="38">
        <v>0</v>
      </c>
      <c r="W68" s="39">
        <f>+IFERROR((FT_RF_26[[#This Row],[Daño Insecto]]/FT_RF_26[[#This Row],[Muestra]]),"0")</f>
        <v>0</v>
      </c>
      <c r="X68" s="38">
        <v>0</v>
      </c>
      <c r="Y68" s="39">
        <f>+IFERROR((FT_RF_26[[#This Row],[Sobremadura]]/FT_RF_26[[#This Row],[Muestra]]),"0")</f>
        <v>0</v>
      </c>
      <c r="Z68" s="38">
        <v>0</v>
      </c>
      <c r="AA68" s="39">
        <f>+IFERROR((FT_RF_26[[#This Row],[Deforme]]/FT_RF_26[[#This Row],[Muestra]]),"0")</f>
        <v>0</v>
      </c>
      <c r="AB68" s="27"/>
      <c r="AC68" s="38">
        <v>0</v>
      </c>
      <c r="AD68" s="39">
        <f>+IFERROR((FT_RF_26[[#This Row],[Valor Extra 1]]/FT_RF_26[[#This Row],[Muestra]]),"0")</f>
        <v>0</v>
      </c>
      <c r="AF68" s="38">
        <v>0</v>
      </c>
      <c r="AG68" s="39">
        <f>+IFERROR((FT_RF_26[[#This Row],[Valor Extra 2]]/FT_RF_26[[#This Row],[Muestra]]),"0")</f>
        <v>0</v>
      </c>
      <c r="AH68" s="40">
        <v>0</v>
      </c>
      <c r="AI68" s="39">
        <f>+IFERROR((FT_RF_26[[#This Row],[Hongos]]/FT_RF_26[[#This Row],[Muestra]]),"0")</f>
        <v>0</v>
      </c>
      <c r="AJ68" s="38">
        <v>0</v>
      </c>
      <c r="AK68" s="39">
        <f>+IFERROR((FT_RF_26[[#This Row],[Block]]/FT_RF_26[[#This Row],[Muestra]]),"0")</f>
        <v>0</v>
      </c>
      <c r="AL68" s="41">
        <v>0</v>
      </c>
      <c r="AM68" s="42">
        <v>0</v>
      </c>
      <c r="AN68" s="38">
        <v>0</v>
      </c>
      <c r="AO68" s="39">
        <f>+IFERROR((FT_RF_26[[#This Row],[Fuera de calibre &lt;12mm]]/FT_RF_26[[#This Row],[Muestra]]),"0")</f>
        <v>0</v>
      </c>
      <c r="AP68" s="38">
        <v>0</v>
      </c>
      <c r="AQ68" s="39">
        <f>+IFERROR((FT_RF_26[[#This Row],[Calibre &lt;25]]/FT_RF_26[[#This Row],[Muestra]]),"0")</f>
        <v>0</v>
      </c>
      <c r="AR68" s="38">
        <v>0</v>
      </c>
      <c r="AS68" s="39">
        <f>+IFERROR((FT_RF_26[[#This Row],[Calibre &gt;12]]/FT_RF_26[[#This Row],[Muestra]]),"0")</f>
        <v>0</v>
      </c>
      <c r="AT68" s="38">
        <v>0</v>
      </c>
      <c r="AU68" s="39">
        <f>+IFERROR((FT_RF_26[[#This Row],[Calibre &lt;14]]/FT_RF_26[[#This Row],[Muestra]]),"0")</f>
        <v>0</v>
      </c>
      <c r="AV68" s="38">
        <v>0</v>
      </c>
      <c r="AW68" s="39">
        <f>+IFERROR((FT_RF_26[[#This Row],[Calibre &gt;14]]/FT_RF_26[[#This Row],[Muestra]]),"0")</f>
        <v>0</v>
      </c>
      <c r="AX68" s="38">
        <v>0</v>
      </c>
      <c r="AY68" s="39">
        <f>+IFERROR((FT_RF_26[[#This Row],[Calibre &lt;10]]/FT_RF_26[[#This Row],[Muestra]]),"0")</f>
        <v>0</v>
      </c>
      <c r="AZ68" s="38">
        <v>0</v>
      </c>
      <c r="BA68" s="39">
        <f>+IFERROR((FT_RF_26[[#This Row],[Calibre &gt;13]]/FT_RF_26[[#This Row],[Muestra]]),"0")</f>
        <v>0</v>
      </c>
      <c r="BB68" s="41"/>
      <c r="BG68" s="42"/>
      <c r="BH68" s="43">
        <v>0</v>
      </c>
      <c r="BI68" s="29" t="s">
        <v>894</v>
      </c>
      <c r="BJ68" s="29" t="s">
        <v>894</v>
      </c>
      <c r="BK6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6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68" s="45">
        <f>1-FT_RF_26[[#This Row],[% Defectos]]</f>
        <v>1</v>
      </c>
      <c r="BO68" s="60"/>
      <c r="BP68" s="12">
        <f>SUM(FT_RF_26[[#This Row],[Hoja (Un.)]:[Larvas Caja]])</f>
        <v>0</v>
      </c>
      <c r="BQ68" s="12">
        <f>SUM(FT_RF_26[[#This Row],[Vidrios]:[Plástico]])</f>
        <v>0</v>
      </c>
      <c r="BR68" s="12" t="str">
        <f>IF(ISBLANK(FT_RF_26[[#This Row],[Descripción del producto]]),"",FT_RF_26[[#This Row],[Descripción del producto]])</f>
        <v/>
      </c>
      <c r="BS68" s="29" t="str">
        <f>IF(ISBLANK(FT_RF_26[[#This Row],[N° de Lote]]),"",FT_RF_26[[#This Row],[N° de Lote]])</f>
        <v/>
      </c>
      <c r="BT68" s="29" t="str">
        <f>IF(ISBLANK(FT_RF_26[[#This Row],[N° de Pallet]]),"",FT_RF_26[[#This Row],[N° de Pallet]])</f>
        <v/>
      </c>
    </row>
    <row r="69" spans="2:72">
      <c r="B69" s="29">
        <f>+_xlfn.ISOWEEKNUM(FT_RF_26[[#This Row],[Fecha]])</f>
        <v>52</v>
      </c>
      <c r="E69" s="31"/>
      <c r="F69" s="12" t="str">
        <f>IFERROR(""&amp;_xlfn.XLOOKUP(FT_RF_26[[#This Row],[Código]],BD_Cod[SKU],BD_Cod[Descripción]),"")</f>
        <v/>
      </c>
      <c r="G69" s="32" t="str">
        <f>IFERROR(""&amp;_xlfn.XLOOKUP(FT_RF_26[[#This Row],[Código]],BD_Cod[SKU],BD_Cod[Familia Calidad]),"")</f>
        <v/>
      </c>
      <c r="J69" s="33">
        <v>1000</v>
      </c>
      <c r="L69" s="30" t="s">
        <v>244</v>
      </c>
      <c r="O69" s="30" t="s">
        <v>894</v>
      </c>
      <c r="P69" s="29" t="s">
        <v>894</v>
      </c>
      <c r="Q69" s="37">
        <f>1-FT_RF_26[[#This Row],[% Defectos]]</f>
        <v>1</v>
      </c>
      <c r="R69" s="38">
        <v>0</v>
      </c>
      <c r="S69" s="39">
        <f>+IFERROR((FT_RF_26[[#This Row],[Inmadura]]/FT_RF_26[[#This Row],[Muestra]]),"0")</f>
        <v>0</v>
      </c>
      <c r="T69" s="38">
        <v>0</v>
      </c>
      <c r="U69" s="39">
        <f>+IFERROR((FT_RF_26[[#This Row],[Partidas]]/FT_RF_26[[#This Row],[Muestra]]),"0")</f>
        <v>0</v>
      </c>
      <c r="V69" s="38">
        <v>0</v>
      </c>
      <c r="W69" s="39">
        <f>+IFERROR((FT_RF_26[[#This Row],[Daño Insecto]]/FT_RF_26[[#This Row],[Muestra]]),"0")</f>
        <v>0</v>
      </c>
      <c r="X69" s="38">
        <v>0</v>
      </c>
      <c r="Y69" s="39">
        <f>+IFERROR((FT_RF_26[[#This Row],[Sobremadura]]/FT_RF_26[[#This Row],[Muestra]]),"0")</f>
        <v>0</v>
      </c>
      <c r="Z69" s="38">
        <v>0</v>
      </c>
      <c r="AA69" s="39">
        <f>+IFERROR((FT_RF_26[[#This Row],[Deforme]]/FT_RF_26[[#This Row],[Muestra]]),"0")</f>
        <v>0</v>
      </c>
      <c r="AB69" s="27"/>
      <c r="AC69" s="38">
        <v>0</v>
      </c>
      <c r="AD69" s="39">
        <f>+IFERROR((FT_RF_26[[#This Row],[Valor Extra 1]]/FT_RF_26[[#This Row],[Muestra]]),"0")</f>
        <v>0</v>
      </c>
      <c r="AF69" s="38">
        <v>0</v>
      </c>
      <c r="AG69" s="39">
        <f>+IFERROR((FT_RF_26[[#This Row],[Valor Extra 2]]/FT_RF_26[[#This Row],[Muestra]]),"0")</f>
        <v>0</v>
      </c>
      <c r="AH69" s="40">
        <v>0</v>
      </c>
      <c r="AI69" s="39">
        <f>+IFERROR((FT_RF_26[[#This Row],[Hongos]]/FT_RF_26[[#This Row],[Muestra]]),"0")</f>
        <v>0</v>
      </c>
      <c r="AJ69" s="38">
        <v>0</v>
      </c>
      <c r="AK69" s="39">
        <f>+IFERROR((FT_RF_26[[#This Row],[Block]]/FT_RF_26[[#This Row],[Muestra]]),"0")</f>
        <v>0</v>
      </c>
      <c r="AL69" s="41">
        <v>0</v>
      </c>
      <c r="AM69" s="42">
        <v>0</v>
      </c>
      <c r="AN69" s="38">
        <v>0</v>
      </c>
      <c r="AO69" s="39">
        <f>+IFERROR((FT_RF_26[[#This Row],[Fuera de calibre &lt;12mm]]/FT_RF_26[[#This Row],[Muestra]]),"0")</f>
        <v>0</v>
      </c>
      <c r="AP69" s="38">
        <v>0</v>
      </c>
      <c r="AQ69" s="39">
        <f>+IFERROR((FT_RF_26[[#This Row],[Calibre &lt;25]]/FT_RF_26[[#This Row],[Muestra]]),"0")</f>
        <v>0</v>
      </c>
      <c r="AR69" s="38">
        <v>0</v>
      </c>
      <c r="AS69" s="39">
        <f>+IFERROR((FT_RF_26[[#This Row],[Calibre &gt;12]]/FT_RF_26[[#This Row],[Muestra]]),"0")</f>
        <v>0</v>
      </c>
      <c r="AT69" s="38">
        <v>0</v>
      </c>
      <c r="AU69" s="39">
        <f>+IFERROR((FT_RF_26[[#This Row],[Calibre &lt;14]]/FT_RF_26[[#This Row],[Muestra]]),"0")</f>
        <v>0</v>
      </c>
      <c r="AV69" s="38">
        <v>0</v>
      </c>
      <c r="AW69" s="39">
        <f>+IFERROR((FT_RF_26[[#This Row],[Calibre &gt;14]]/FT_RF_26[[#This Row],[Muestra]]),"0")</f>
        <v>0</v>
      </c>
      <c r="AX69" s="38">
        <v>0</v>
      </c>
      <c r="AY69" s="39">
        <f>+IFERROR((FT_RF_26[[#This Row],[Calibre &lt;10]]/FT_RF_26[[#This Row],[Muestra]]),"0")</f>
        <v>0</v>
      </c>
      <c r="AZ69" s="38">
        <v>0</v>
      </c>
      <c r="BA69" s="39">
        <f>+IFERROR((FT_RF_26[[#This Row],[Calibre &gt;13]]/FT_RF_26[[#This Row],[Muestra]]),"0")</f>
        <v>0</v>
      </c>
      <c r="BB69" s="41"/>
      <c r="BG69" s="42"/>
      <c r="BH69" s="43">
        <v>0</v>
      </c>
      <c r="BI69" s="29" t="s">
        <v>894</v>
      </c>
      <c r="BJ69" s="29" t="s">
        <v>894</v>
      </c>
      <c r="BK6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6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69" s="45">
        <f>1-FT_RF_26[[#This Row],[% Defectos]]</f>
        <v>1</v>
      </c>
      <c r="BO69" s="60"/>
      <c r="BP69" s="12">
        <f>SUM(FT_RF_26[[#This Row],[Hoja (Un.)]:[Larvas Caja]])</f>
        <v>0</v>
      </c>
      <c r="BQ69" s="12">
        <f>SUM(FT_RF_26[[#This Row],[Vidrios]:[Plástico]])</f>
        <v>0</v>
      </c>
      <c r="BR69" s="12" t="str">
        <f>IF(ISBLANK(FT_RF_26[[#This Row],[Descripción del producto]]),"",FT_RF_26[[#This Row],[Descripción del producto]])</f>
        <v/>
      </c>
      <c r="BS69" s="29" t="str">
        <f>IF(ISBLANK(FT_RF_26[[#This Row],[N° de Lote]]),"",FT_RF_26[[#This Row],[N° de Lote]])</f>
        <v/>
      </c>
      <c r="BT69" s="29" t="str">
        <f>IF(ISBLANK(FT_RF_26[[#This Row],[N° de Pallet]]),"",FT_RF_26[[#This Row],[N° de Pallet]])</f>
        <v/>
      </c>
    </row>
    <row r="70" spans="2:72">
      <c r="B70" s="29">
        <f>+_xlfn.ISOWEEKNUM(FT_RF_26[[#This Row],[Fecha]])</f>
        <v>52</v>
      </c>
      <c r="E70" s="31"/>
      <c r="F70" s="12" t="str">
        <f>IFERROR(""&amp;_xlfn.XLOOKUP(FT_RF_26[[#This Row],[Código]],BD_Cod[SKU],BD_Cod[Descripción]),"")</f>
        <v/>
      </c>
      <c r="G70" s="32" t="str">
        <f>IFERROR(""&amp;_xlfn.XLOOKUP(FT_RF_26[[#This Row],[Código]],BD_Cod[SKU],BD_Cod[Familia Calidad]),"")</f>
        <v/>
      </c>
      <c r="J70" s="33">
        <v>1000</v>
      </c>
      <c r="L70" s="30" t="s">
        <v>244</v>
      </c>
      <c r="O70" s="30" t="s">
        <v>894</v>
      </c>
      <c r="P70" s="29" t="s">
        <v>894</v>
      </c>
      <c r="Q70" s="37">
        <f>1-FT_RF_26[[#This Row],[% Defectos]]</f>
        <v>1</v>
      </c>
      <c r="R70" s="38">
        <v>0</v>
      </c>
      <c r="S70" s="39">
        <f>+IFERROR((FT_RF_26[[#This Row],[Inmadura]]/FT_RF_26[[#This Row],[Muestra]]),"0")</f>
        <v>0</v>
      </c>
      <c r="T70" s="38">
        <v>0</v>
      </c>
      <c r="U70" s="39">
        <f>+IFERROR((FT_RF_26[[#This Row],[Partidas]]/FT_RF_26[[#This Row],[Muestra]]),"0")</f>
        <v>0</v>
      </c>
      <c r="V70" s="38">
        <v>0</v>
      </c>
      <c r="W70" s="39">
        <f>+IFERROR((FT_RF_26[[#This Row],[Daño Insecto]]/FT_RF_26[[#This Row],[Muestra]]),"0")</f>
        <v>0</v>
      </c>
      <c r="X70" s="38">
        <v>0</v>
      </c>
      <c r="Y70" s="39">
        <f>+IFERROR((FT_RF_26[[#This Row],[Sobremadura]]/FT_RF_26[[#This Row],[Muestra]]),"0")</f>
        <v>0</v>
      </c>
      <c r="Z70" s="38">
        <v>0</v>
      </c>
      <c r="AA70" s="39">
        <f>+IFERROR((FT_RF_26[[#This Row],[Deforme]]/FT_RF_26[[#This Row],[Muestra]]),"0")</f>
        <v>0</v>
      </c>
      <c r="AB70" s="27"/>
      <c r="AC70" s="38">
        <v>0</v>
      </c>
      <c r="AD70" s="39">
        <f>+IFERROR((FT_RF_26[[#This Row],[Valor Extra 1]]/FT_RF_26[[#This Row],[Muestra]]),"0")</f>
        <v>0</v>
      </c>
      <c r="AF70" s="38">
        <v>0</v>
      </c>
      <c r="AG70" s="39">
        <f>+IFERROR((FT_RF_26[[#This Row],[Valor Extra 2]]/FT_RF_26[[#This Row],[Muestra]]),"0")</f>
        <v>0</v>
      </c>
      <c r="AH70" s="40">
        <v>0</v>
      </c>
      <c r="AI70" s="39">
        <f>+IFERROR((FT_RF_26[[#This Row],[Hongos]]/FT_RF_26[[#This Row],[Muestra]]),"0")</f>
        <v>0</v>
      </c>
      <c r="AJ70" s="38">
        <v>0</v>
      </c>
      <c r="AK70" s="39">
        <f>+IFERROR((FT_RF_26[[#This Row],[Block]]/FT_RF_26[[#This Row],[Muestra]]),"0")</f>
        <v>0</v>
      </c>
      <c r="AL70" s="41">
        <v>0</v>
      </c>
      <c r="AM70" s="42">
        <v>0</v>
      </c>
      <c r="AN70" s="38">
        <v>0</v>
      </c>
      <c r="AO70" s="39">
        <f>+IFERROR((FT_RF_26[[#This Row],[Fuera de calibre &lt;12mm]]/FT_RF_26[[#This Row],[Muestra]]),"0")</f>
        <v>0</v>
      </c>
      <c r="AP70" s="38">
        <v>0</v>
      </c>
      <c r="AQ70" s="39">
        <f>+IFERROR((FT_RF_26[[#This Row],[Calibre &lt;25]]/FT_RF_26[[#This Row],[Muestra]]),"0")</f>
        <v>0</v>
      </c>
      <c r="AR70" s="38">
        <v>0</v>
      </c>
      <c r="AS70" s="39">
        <f>+IFERROR((FT_RF_26[[#This Row],[Calibre &gt;12]]/FT_RF_26[[#This Row],[Muestra]]),"0")</f>
        <v>0</v>
      </c>
      <c r="AT70" s="38">
        <v>0</v>
      </c>
      <c r="AU70" s="39">
        <f>+IFERROR((FT_RF_26[[#This Row],[Calibre &lt;14]]/FT_RF_26[[#This Row],[Muestra]]),"0")</f>
        <v>0</v>
      </c>
      <c r="AV70" s="38">
        <v>0</v>
      </c>
      <c r="AW70" s="39">
        <f>+IFERROR((FT_RF_26[[#This Row],[Calibre &gt;14]]/FT_RF_26[[#This Row],[Muestra]]),"0")</f>
        <v>0</v>
      </c>
      <c r="AX70" s="38">
        <v>0</v>
      </c>
      <c r="AY70" s="39">
        <f>+IFERROR((FT_RF_26[[#This Row],[Calibre &lt;10]]/FT_RF_26[[#This Row],[Muestra]]),"0")</f>
        <v>0</v>
      </c>
      <c r="AZ70" s="38">
        <v>0</v>
      </c>
      <c r="BA70" s="39">
        <f>+IFERROR((FT_RF_26[[#This Row],[Calibre &gt;13]]/FT_RF_26[[#This Row],[Muestra]]),"0")</f>
        <v>0</v>
      </c>
      <c r="BB70" s="41"/>
      <c r="BG70" s="42"/>
      <c r="BH70" s="43">
        <v>0</v>
      </c>
      <c r="BI70" s="29" t="s">
        <v>894</v>
      </c>
      <c r="BJ70" s="29" t="s">
        <v>894</v>
      </c>
      <c r="BK7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7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70" s="45">
        <f>1-FT_RF_26[[#This Row],[% Defectos]]</f>
        <v>1</v>
      </c>
      <c r="BO70" s="60"/>
      <c r="BP70" s="12">
        <f>SUM(FT_RF_26[[#This Row],[Hoja (Un.)]:[Larvas Caja]])</f>
        <v>0</v>
      </c>
      <c r="BQ70" s="12">
        <f>SUM(FT_RF_26[[#This Row],[Vidrios]:[Plástico]])</f>
        <v>0</v>
      </c>
      <c r="BR70" s="12" t="str">
        <f>IF(ISBLANK(FT_RF_26[[#This Row],[Descripción del producto]]),"",FT_RF_26[[#This Row],[Descripción del producto]])</f>
        <v/>
      </c>
      <c r="BS70" s="29" t="str">
        <f>IF(ISBLANK(FT_RF_26[[#This Row],[N° de Lote]]),"",FT_RF_26[[#This Row],[N° de Lote]])</f>
        <v/>
      </c>
      <c r="BT70" s="29" t="str">
        <f>IF(ISBLANK(FT_RF_26[[#This Row],[N° de Pallet]]),"",FT_RF_26[[#This Row],[N° de Pallet]])</f>
        <v/>
      </c>
    </row>
    <row r="71" spans="2:72">
      <c r="B71" s="29">
        <f>+_xlfn.ISOWEEKNUM(FT_RF_26[[#This Row],[Fecha]])</f>
        <v>52</v>
      </c>
      <c r="E71" s="31"/>
      <c r="F71" s="12" t="str">
        <f>IFERROR(""&amp;_xlfn.XLOOKUP(FT_RF_26[[#This Row],[Código]],BD_Cod[SKU],BD_Cod[Descripción]),"")</f>
        <v/>
      </c>
      <c r="G71" s="32" t="str">
        <f>IFERROR(""&amp;_xlfn.XLOOKUP(FT_RF_26[[#This Row],[Código]],BD_Cod[SKU],BD_Cod[Familia Calidad]),"")</f>
        <v/>
      </c>
      <c r="J71" s="33">
        <v>1000</v>
      </c>
      <c r="L71" s="30" t="s">
        <v>244</v>
      </c>
      <c r="O71" s="30" t="s">
        <v>894</v>
      </c>
      <c r="P71" s="29" t="s">
        <v>894</v>
      </c>
      <c r="Q71" s="37">
        <f>1-FT_RF_26[[#This Row],[% Defectos]]</f>
        <v>1</v>
      </c>
      <c r="R71" s="38">
        <v>0</v>
      </c>
      <c r="S71" s="39">
        <f>+IFERROR((FT_RF_26[[#This Row],[Inmadura]]/FT_RF_26[[#This Row],[Muestra]]),"0")</f>
        <v>0</v>
      </c>
      <c r="T71" s="38">
        <v>0</v>
      </c>
      <c r="U71" s="39">
        <f>+IFERROR((FT_RF_26[[#This Row],[Partidas]]/FT_RF_26[[#This Row],[Muestra]]),"0")</f>
        <v>0</v>
      </c>
      <c r="V71" s="38">
        <v>0</v>
      </c>
      <c r="W71" s="39">
        <f>+IFERROR((FT_RF_26[[#This Row],[Daño Insecto]]/FT_RF_26[[#This Row],[Muestra]]),"0")</f>
        <v>0</v>
      </c>
      <c r="X71" s="38">
        <v>0</v>
      </c>
      <c r="Y71" s="39">
        <f>+IFERROR((FT_RF_26[[#This Row],[Sobremadura]]/FT_RF_26[[#This Row],[Muestra]]),"0")</f>
        <v>0</v>
      </c>
      <c r="Z71" s="38">
        <v>0</v>
      </c>
      <c r="AA71" s="39">
        <f>+IFERROR((FT_RF_26[[#This Row],[Deforme]]/FT_RF_26[[#This Row],[Muestra]]),"0")</f>
        <v>0</v>
      </c>
      <c r="AB71" s="27"/>
      <c r="AC71" s="38">
        <v>0</v>
      </c>
      <c r="AD71" s="39">
        <f>+IFERROR((FT_RF_26[[#This Row],[Valor Extra 1]]/FT_RF_26[[#This Row],[Muestra]]),"0")</f>
        <v>0</v>
      </c>
      <c r="AF71" s="38">
        <v>0</v>
      </c>
      <c r="AG71" s="39">
        <f>+IFERROR((FT_RF_26[[#This Row],[Valor Extra 2]]/FT_RF_26[[#This Row],[Muestra]]),"0")</f>
        <v>0</v>
      </c>
      <c r="AH71" s="40">
        <v>0</v>
      </c>
      <c r="AI71" s="39">
        <f>+IFERROR((FT_RF_26[[#This Row],[Hongos]]/FT_RF_26[[#This Row],[Muestra]]),"0")</f>
        <v>0</v>
      </c>
      <c r="AJ71" s="38">
        <v>0</v>
      </c>
      <c r="AK71" s="39">
        <f>+IFERROR((FT_RF_26[[#This Row],[Block]]/FT_RF_26[[#This Row],[Muestra]]),"0")</f>
        <v>0</v>
      </c>
      <c r="AL71" s="41">
        <v>0</v>
      </c>
      <c r="AM71" s="42">
        <v>0</v>
      </c>
      <c r="AN71" s="38">
        <v>0</v>
      </c>
      <c r="AO71" s="39">
        <f>+IFERROR((FT_RF_26[[#This Row],[Fuera de calibre &lt;12mm]]/FT_RF_26[[#This Row],[Muestra]]),"0")</f>
        <v>0</v>
      </c>
      <c r="AP71" s="38">
        <v>0</v>
      </c>
      <c r="AQ71" s="39">
        <f>+IFERROR((FT_RF_26[[#This Row],[Calibre &lt;25]]/FT_RF_26[[#This Row],[Muestra]]),"0")</f>
        <v>0</v>
      </c>
      <c r="AR71" s="38">
        <v>0</v>
      </c>
      <c r="AS71" s="39">
        <f>+IFERROR((FT_RF_26[[#This Row],[Calibre &gt;12]]/FT_RF_26[[#This Row],[Muestra]]),"0")</f>
        <v>0</v>
      </c>
      <c r="AT71" s="38">
        <v>0</v>
      </c>
      <c r="AU71" s="39">
        <f>+IFERROR((FT_RF_26[[#This Row],[Calibre &lt;14]]/FT_RF_26[[#This Row],[Muestra]]),"0")</f>
        <v>0</v>
      </c>
      <c r="AV71" s="38">
        <v>0</v>
      </c>
      <c r="AW71" s="39">
        <f>+IFERROR((FT_RF_26[[#This Row],[Calibre &gt;14]]/FT_RF_26[[#This Row],[Muestra]]),"0")</f>
        <v>0</v>
      </c>
      <c r="AX71" s="38">
        <v>0</v>
      </c>
      <c r="AY71" s="39">
        <f>+IFERROR((FT_RF_26[[#This Row],[Calibre &lt;10]]/FT_RF_26[[#This Row],[Muestra]]),"0")</f>
        <v>0</v>
      </c>
      <c r="AZ71" s="38">
        <v>0</v>
      </c>
      <c r="BA71" s="39">
        <f>+IFERROR((FT_RF_26[[#This Row],[Calibre &gt;13]]/FT_RF_26[[#This Row],[Muestra]]),"0")</f>
        <v>0</v>
      </c>
      <c r="BB71" s="41"/>
      <c r="BG71" s="42"/>
      <c r="BH71" s="43">
        <v>0</v>
      </c>
      <c r="BI71" s="29" t="s">
        <v>894</v>
      </c>
      <c r="BJ71" s="29" t="s">
        <v>894</v>
      </c>
      <c r="BK7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7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71" s="45">
        <f>1-FT_RF_26[[#This Row],[% Defectos]]</f>
        <v>1</v>
      </c>
      <c r="BO71" s="60"/>
      <c r="BP71" s="12">
        <f>SUM(FT_RF_26[[#This Row],[Hoja (Un.)]:[Larvas Caja]])</f>
        <v>0</v>
      </c>
      <c r="BQ71" s="12">
        <f>SUM(FT_RF_26[[#This Row],[Vidrios]:[Plástico]])</f>
        <v>0</v>
      </c>
      <c r="BR71" s="12" t="str">
        <f>IF(ISBLANK(FT_RF_26[[#This Row],[Descripción del producto]]),"",FT_RF_26[[#This Row],[Descripción del producto]])</f>
        <v/>
      </c>
      <c r="BS71" s="29" t="str">
        <f>IF(ISBLANK(FT_RF_26[[#This Row],[N° de Lote]]),"",FT_RF_26[[#This Row],[N° de Lote]])</f>
        <v/>
      </c>
      <c r="BT71" s="29" t="str">
        <f>IF(ISBLANK(FT_RF_26[[#This Row],[N° de Pallet]]),"",FT_RF_26[[#This Row],[N° de Pallet]])</f>
        <v/>
      </c>
    </row>
    <row r="72" spans="2:72">
      <c r="B72" s="29">
        <f>+_xlfn.ISOWEEKNUM(FT_RF_26[[#This Row],[Fecha]])</f>
        <v>52</v>
      </c>
      <c r="E72" s="31"/>
      <c r="F72" s="12" t="str">
        <f>IFERROR(""&amp;_xlfn.XLOOKUP(FT_RF_26[[#This Row],[Código]],BD_Cod[SKU],BD_Cod[Descripción]),"")</f>
        <v/>
      </c>
      <c r="G72" s="32" t="str">
        <f>IFERROR(""&amp;_xlfn.XLOOKUP(FT_RF_26[[#This Row],[Código]],BD_Cod[SKU],BD_Cod[Familia Calidad]),"")</f>
        <v/>
      </c>
      <c r="J72" s="33">
        <v>1000</v>
      </c>
      <c r="L72" s="30" t="s">
        <v>244</v>
      </c>
      <c r="O72" s="30" t="s">
        <v>894</v>
      </c>
      <c r="P72" s="29" t="s">
        <v>894</v>
      </c>
      <c r="Q72" s="37">
        <f>1-FT_RF_26[[#This Row],[% Defectos]]</f>
        <v>1</v>
      </c>
      <c r="R72" s="38">
        <v>0</v>
      </c>
      <c r="S72" s="39">
        <f>+IFERROR((FT_RF_26[[#This Row],[Inmadura]]/FT_RF_26[[#This Row],[Muestra]]),"0")</f>
        <v>0</v>
      </c>
      <c r="T72" s="38">
        <v>0</v>
      </c>
      <c r="U72" s="39">
        <f>+IFERROR((FT_RF_26[[#This Row],[Partidas]]/FT_RF_26[[#This Row],[Muestra]]),"0")</f>
        <v>0</v>
      </c>
      <c r="V72" s="38">
        <v>0</v>
      </c>
      <c r="W72" s="39">
        <f>+IFERROR((FT_RF_26[[#This Row],[Daño Insecto]]/FT_RF_26[[#This Row],[Muestra]]),"0")</f>
        <v>0</v>
      </c>
      <c r="X72" s="38">
        <v>0</v>
      </c>
      <c r="Y72" s="39">
        <f>+IFERROR((FT_RF_26[[#This Row],[Sobremadura]]/FT_RF_26[[#This Row],[Muestra]]),"0")</f>
        <v>0</v>
      </c>
      <c r="Z72" s="38">
        <v>0</v>
      </c>
      <c r="AA72" s="39">
        <f>+IFERROR((FT_RF_26[[#This Row],[Deforme]]/FT_RF_26[[#This Row],[Muestra]]),"0")</f>
        <v>0</v>
      </c>
      <c r="AB72" s="27"/>
      <c r="AC72" s="38">
        <v>0</v>
      </c>
      <c r="AD72" s="39">
        <f>+IFERROR((FT_RF_26[[#This Row],[Valor Extra 1]]/FT_RF_26[[#This Row],[Muestra]]),"0")</f>
        <v>0</v>
      </c>
      <c r="AF72" s="38">
        <v>0</v>
      </c>
      <c r="AG72" s="39">
        <f>+IFERROR((FT_RF_26[[#This Row],[Valor Extra 2]]/FT_RF_26[[#This Row],[Muestra]]),"0")</f>
        <v>0</v>
      </c>
      <c r="AH72" s="40">
        <v>0</v>
      </c>
      <c r="AI72" s="39">
        <f>+IFERROR((FT_RF_26[[#This Row],[Hongos]]/FT_RF_26[[#This Row],[Muestra]]),"0")</f>
        <v>0</v>
      </c>
      <c r="AJ72" s="38">
        <v>0</v>
      </c>
      <c r="AK72" s="39">
        <f>+IFERROR((FT_RF_26[[#This Row],[Block]]/FT_RF_26[[#This Row],[Muestra]]),"0")</f>
        <v>0</v>
      </c>
      <c r="AL72" s="41">
        <v>0</v>
      </c>
      <c r="AM72" s="42">
        <v>0</v>
      </c>
      <c r="AN72" s="38">
        <v>0</v>
      </c>
      <c r="AO72" s="39">
        <f>+IFERROR((FT_RF_26[[#This Row],[Fuera de calibre &lt;12mm]]/FT_RF_26[[#This Row],[Muestra]]),"0")</f>
        <v>0</v>
      </c>
      <c r="AP72" s="38">
        <v>0</v>
      </c>
      <c r="AQ72" s="39">
        <f>+IFERROR((FT_RF_26[[#This Row],[Calibre &lt;25]]/FT_RF_26[[#This Row],[Muestra]]),"0")</f>
        <v>0</v>
      </c>
      <c r="AR72" s="38">
        <v>0</v>
      </c>
      <c r="AS72" s="39">
        <f>+IFERROR((FT_RF_26[[#This Row],[Calibre &gt;12]]/FT_RF_26[[#This Row],[Muestra]]),"0")</f>
        <v>0</v>
      </c>
      <c r="AT72" s="38">
        <v>0</v>
      </c>
      <c r="AU72" s="39">
        <f>+IFERROR((FT_RF_26[[#This Row],[Calibre &lt;14]]/FT_RF_26[[#This Row],[Muestra]]),"0")</f>
        <v>0</v>
      </c>
      <c r="AV72" s="38">
        <v>0</v>
      </c>
      <c r="AW72" s="39">
        <f>+IFERROR((FT_RF_26[[#This Row],[Calibre &gt;14]]/FT_RF_26[[#This Row],[Muestra]]),"0")</f>
        <v>0</v>
      </c>
      <c r="AX72" s="38">
        <v>0</v>
      </c>
      <c r="AY72" s="39">
        <f>+IFERROR((FT_RF_26[[#This Row],[Calibre &lt;10]]/FT_RF_26[[#This Row],[Muestra]]),"0")</f>
        <v>0</v>
      </c>
      <c r="AZ72" s="38">
        <v>0</v>
      </c>
      <c r="BA72" s="39">
        <f>+IFERROR((FT_RF_26[[#This Row],[Calibre &gt;13]]/FT_RF_26[[#This Row],[Muestra]]),"0")</f>
        <v>0</v>
      </c>
      <c r="BB72" s="41"/>
      <c r="BG72" s="42"/>
      <c r="BH72" s="43">
        <v>0</v>
      </c>
      <c r="BI72" s="29" t="s">
        <v>894</v>
      </c>
      <c r="BJ72" s="29" t="s">
        <v>894</v>
      </c>
      <c r="BK7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7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72" s="45">
        <f>1-FT_RF_26[[#This Row],[% Defectos]]</f>
        <v>1</v>
      </c>
      <c r="BO72" s="60"/>
      <c r="BP72" s="12">
        <f>SUM(FT_RF_26[[#This Row],[Hoja (Un.)]:[Larvas Caja]])</f>
        <v>0</v>
      </c>
      <c r="BQ72" s="12">
        <f>SUM(FT_RF_26[[#This Row],[Vidrios]:[Plástico]])</f>
        <v>0</v>
      </c>
      <c r="BR72" s="12" t="str">
        <f>IF(ISBLANK(FT_RF_26[[#This Row],[Descripción del producto]]),"",FT_RF_26[[#This Row],[Descripción del producto]])</f>
        <v/>
      </c>
      <c r="BS72" s="29" t="str">
        <f>IF(ISBLANK(FT_RF_26[[#This Row],[N° de Lote]]),"",FT_RF_26[[#This Row],[N° de Lote]])</f>
        <v/>
      </c>
      <c r="BT72" s="29" t="str">
        <f>IF(ISBLANK(FT_RF_26[[#This Row],[N° de Pallet]]),"",FT_RF_26[[#This Row],[N° de Pallet]])</f>
        <v/>
      </c>
    </row>
    <row r="73" spans="2:72">
      <c r="B73" s="29">
        <f>+_xlfn.ISOWEEKNUM(FT_RF_26[[#This Row],[Fecha]])</f>
        <v>52</v>
      </c>
      <c r="E73" s="31"/>
      <c r="F73" s="12" t="str">
        <f>IFERROR(""&amp;_xlfn.XLOOKUP(FT_RF_26[[#This Row],[Código]],BD_Cod[SKU],BD_Cod[Descripción]),"")</f>
        <v/>
      </c>
      <c r="G73" s="32" t="str">
        <f>IFERROR(""&amp;_xlfn.XLOOKUP(FT_RF_26[[#This Row],[Código]],BD_Cod[SKU],BD_Cod[Familia Calidad]),"")</f>
        <v/>
      </c>
      <c r="J73" s="33">
        <v>1000</v>
      </c>
      <c r="L73" s="30" t="s">
        <v>244</v>
      </c>
      <c r="O73" s="30" t="s">
        <v>894</v>
      </c>
      <c r="P73" s="29" t="s">
        <v>894</v>
      </c>
      <c r="Q73" s="37">
        <f>1-FT_RF_26[[#This Row],[% Defectos]]</f>
        <v>1</v>
      </c>
      <c r="R73" s="38">
        <v>0</v>
      </c>
      <c r="S73" s="39">
        <f>+IFERROR((FT_RF_26[[#This Row],[Inmadura]]/FT_RF_26[[#This Row],[Muestra]]),"0")</f>
        <v>0</v>
      </c>
      <c r="T73" s="38">
        <v>0</v>
      </c>
      <c r="U73" s="39">
        <f>+IFERROR((FT_RF_26[[#This Row],[Partidas]]/FT_RF_26[[#This Row],[Muestra]]),"0")</f>
        <v>0</v>
      </c>
      <c r="V73" s="38">
        <v>0</v>
      </c>
      <c r="W73" s="39">
        <f>+IFERROR((FT_RF_26[[#This Row],[Daño Insecto]]/FT_RF_26[[#This Row],[Muestra]]),"0")</f>
        <v>0</v>
      </c>
      <c r="X73" s="38">
        <v>0</v>
      </c>
      <c r="Y73" s="39">
        <f>+IFERROR((FT_RF_26[[#This Row],[Sobremadura]]/FT_RF_26[[#This Row],[Muestra]]),"0")</f>
        <v>0</v>
      </c>
      <c r="Z73" s="38">
        <v>0</v>
      </c>
      <c r="AA73" s="39">
        <f>+IFERROR((FT_RF_26[[#This Row],[Deforme]]/FT_RF_26[[#This Row],[Muestra]]),"0")</f>
        <v>0</v>
      </c>
      <c r="AB73" s="27"/>
      <c r="AC73" s="38">
        <v>0</v>
      </c>
      <c r="AD73" s="39">
        <f>+IFERROR((FT_RF_26[[#This Row],[Valor Extra 1]]/FT_RF_26[[#This Row],[Muestra]]),"0")</f>
        <v>0</v>
      </c>
      <c r="AF73" s="38">
        <v>0</v>
      </c>
      <c r="AG73" s="39">
        <f>+IFERROR((FT_RF_26[[#This Row],[Valor Extra 2]]/FT_RF_26[[#This Row],[Muestra]]),"0")</f>
        <v>0</v>
      </c>
      <c r="AH73" s="40">
        <v>0</v>
      </c>
      <c r="AI73" s="39">
        <f>+IFERROR((FT_RF_26[[#This Row],[Hongos]]/FT_RF_26[[#This Row],[Muestra]]),"0")</f>
        <v>0</v>
      </c>
      <c r="AJ73" s="38">
        <v>0</v>
      </c>
      <c r="AK73" s="39">
        <f>+IFERROR((FT_RF_26[[#This Row],[Block]]/FT_RF_26[[#This Row],[Muestra]]),"0")</f>
        <v>0</v>
      </c>
      <c r="AL73" s="41">
        <v>0</v>
      </c>
      <c r="AM73" s="42">
        <v>0</v>
      </c>
      <c r="AN73" s="38">
        <v>0</v>
      </c>
      <c r="AO73" s="39">
        <f>+IFERROR((FT_RF_26[[#This Row],[Fuera de calibre &lt;12mm]]/FT_RF_26[[#This Row],[Muestra]]),"0")</f>
        <v>0</v>
      </c>
      <c r="AP73" s="38">
        <v>0</v>
      </c>
      <c r="AQ73" s="39">
        <f>+IFERROR((FT_RF_26[[#This Row],[Calibre &lt;25]]/FT_RF_26[[#This Row],[Muestra]]),"0")</f>
        <v>0</v>
      </c>
      <c r="AR73" s="38">
        <v>0</v>
      </c>
      <c r="AS73" s="39">
        <f>+IFERROR((FT_RF_26[[#This Row],[Calibre &gt;12]]/FT_RF_26[[#This Row],[Muestra]]),"0")</f>
        <v>0</v>
      </c>
      <c r="AT73" s="38">
        <v>0</v>
      </c>
      <c r="AU73" s="39">
        <f>+IFERROR((FT_RF_26[[#This Row],[Calibre &lt;14]]/FT_RF_26[[#This Row],[Muestra]]),"0")</f>
        <v>0</v>
      </c>
      <c r="AV73" s="38">
        <v>0</v>
      </c>
      <c r="AW73" s="39">
        <f>+IFERROR((FT_RF_26[[#This Row],[Calibre &gt;14]]/FT_RF_26[[#This Row],[Muestra]]),"0")</f>
        <v>0</v>
      </c>
      <c r="AX73" s="38">
        <v>0</v>
      </c>
      <c r="AY73" s="39">
        <f>+IFERROR((FT_RF_26[[#This Row],[Calibre &lt;10]]/FT_RF_26[[#This Row],[Muestra]]),"0")</f>
        <v>0</v>
      </c>
      <c r="AZ73" s="38">
        <v>0</v>
      </c>
      <c r="BA73" s="39">
        <f>+IFERROR((FT_RF_26[[#This Row],[Calibre &gt;13]]/FT_RF_26[[#This Row],[Muestra]]),"0")</f>
        <v>0</v>
      </c>
      <c r="BB73" s="41"/>
      <c r="BG73" s="42"/>
      <c r="BH73" s="43">
        <v>0</v>
      </c>
      <c r="BI73" s="29" t="s">
        <v>894</v>
      </c>
      <c r="BJ73" s="29" t="s">
        <v>894</v>
      </c>
      <c r="BK7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7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73" s="45">
        <f>1-FT_RF_26[[#This Row],[% Defectos]]</f>
        <v>1</v>
      </c>
      <c r="BO73" s="60"/>
      <c r="BP73" s="12">
        <f>SUM(FT_RF_26[[#This Row],[Hoja (Un.)]:[Larvas Caja]])</f>
        <v>0</v>
      </c>
      <c r="BQ73" s="12">
        <f>SUM(FT_RF_26[[#This Row],[Vidrios]:[Plástico]])</f>
        <v>0</v>
      </c>
      <c r="BR73" s="12" t="str">
        <f>IF(ISBLANK(FT_RF_26[[#This Row],[Descripción del producto]]),"",FT_RF_26[[#This Row],[Descripción del producto]])</f>
        <v/>
      </c>
      <c r="BS73" s="29" t="str">
        <f>IF(ISBLANK(FT_RF_26[[#This Row],[N° de Lote]]),"",FT_RF_26[[#This Row],[N° de Lote]])</f>
        <v/>
      </c>
      <c r="BT73" s="29" t="str">
        <f>IF(ISBLANK(FT_RF_26[[#This Row],[N° de Pallet]]),"",FT_RF_26[[#This Row],[N° de Pallet]])</f>
        <v/>
      </c>
    </row>
    <row r="74" spans="2:72">
      <c r="B74" s="29">
        <f>+_xlfn.ISOWEEKNUM(FT_RF_26[[#This Row],[Fecha]])</f>
        <v>52</v>
      </c>
      <c r="E74" s="31"/>
      <c r="F74" s="12" t="str">
        <f>IFERROR(""&amp;_xlfn.XLOOKUP(FT_RF_26[[#This Row],[Código]],BD_Cod[SKU],BD_Cod[Descripción]),"")</f>
        <v/>
      </c>
      <c r="G74" s="32" t="str">
        <f>IFERROR(""&amp;_xlfn.XLOOKUP(FT_RF_26[[#This Row],[Código]],BD_Cod[SKU],BD_Cod[Familia Calidad]),"")</f>
        <v/>
      </c>
      <c r="J74" s="33">
        <v>1000</v>
      </c>
      <c r="L74" s="30" t="s">
        <v>244</v>
      </c>
      <c r="O74" s="30" t="s">
        <v>894</v>
      </c>
      <c r="P74" s="29" t="s">
        <v>894</v>
      </c>
      <c r="Q74" s="37">
        <f>1-FT_RF_26[[#This Row],[% Defectos]]</f>
        <v>1</v>
      </c>
      <c r="R74" s="38">
        <v>0</v>
      </c>
      <c r="S74" s="39">
        <f>+IFERROR((FT_RF_26[[#This Row],[Inmadura]]/FT_RF_26[[#This Row],[Muestra]]),"0")</f>
        <v>0</v>
      </c>
      <c r="T74" s="38">
        <v>0</v>
      </c>
      <c r="U74" s="39">
        <f>+IFERROR((FT_RF_26[[#This Row],[Partidas]]/FT_RF_26[[#This Row],[Muestra]]),"0")</f>
        <v>0</v>
      </c>
      <c r="V74" s="38">
        <v>0</v>
      </c>
      <c r="W74" s="39">
        <f>+IFERROR((FT_RF_26[[#This Row],[Daño Insecto]]/FT_RF_26[[#This Row],[Muestra]]),"0")</f>
        <v>0</v>
      </c>
      <c r="X74" s="38">
        <v>0</v>
      </c>
      <c r="Y74" s="39">
        <f>+IFERROR((FT_RF_26[[#This Row],[Sobremadura]]/FT_RF_26[[#This Row],[Muestra]]),"0")</f>
        <v>0</v>
      </c>
      <c r="Z74" s="38">
        <v>0</v>
      </c>
      <c r="AA74" s="39">
        <f>+IFERROR((FT_RF_26[[#This Row],[Deforme]]/FT_RF_26[[#This Row],[Muestra]]),"0")</f>
        <v>0</v>
      </c>
      <c r="AB74" s="27"/>
      <c r="AC74" s="38">
        <v>0</v>
      </c>
      <c r="AD74" s="39">
        <f>+IFERROR((FT_RF_26[[#This Row],[Valor Extra 1]]/FT_RF_26[[#This Row],[Muestra]]),"0")</f>
        <v>0</v>
      </c>
      <c r="AF74" s="38">
        <v>0</v>
      </c>
      <c r="AG74" s="39">
        <f>+IFERROR((FT_RF_26[[#This Row],[Valor Extra 2]]/FT_RF_26[[#This Row],[Muestra]]),"0")</f>
        <v>0</v>
      </c>
      <c r="AH74" s="40">
        <v>0</v>
      </c>
      <c r="AI74" s="39">
        <f>+IFERROR((FT_RF_26[[#This Row],[Hongos]]/FT_RF_26[[#This Row],[Muestra]]),"0")</f>
        <v>0</v>
      </c>
      <c r="AJ74" s="38">
        <v>0</v>
      </c>
      <c r="AK74" s="39">
        <f>+IFERROR((FT_RF_26[[#This Row],[Block]]/FT_RF_26[[#This Row],[Muestra]]),"0")</f>
        <v>0</v>
      </c>
      <c r="AL74" s="41">
        <v>0</v>
      </c>
      <c r="AM74" s="42">
        <v>0</v>
      </c>
      <c r="AN74" s="38">
        <v>0</v>
      </c>
      <c r="AO74" s="39">
        <f>+IFERROR((FT_RF_26[[#This Row],[Fuera de calibre &lt;12mm]]/FT_RF_26[[#This Row],[Muestra]]),"0")</f>
        <v>0</v>
      </c>
      <c r="AP74" s="38">
        <v>0</v>
      </c>
      <c r="AQ74" s="39">
        <f>+IFERROR((FT_RF_26[[#This Row],[Calibre &lt;25]]/FT_RF_26[[#This Row],[Muestra]]),"0")</f>
        <v>0</v>
      </c>
      <c r="AR74" s="38">
        <v>0</v>
      </c>
      <c r="AS74" s="39">
        <f>+IFERROR((FT_RF_26[[#This Row],[Calibre &gt;12]]/FT_RF_26[[#This Row],[Muestra]]),"0")</f>
        <v>0</v>
      </c>
      <c r="AT74" s="38">
        <v>0</v>
      </c>
      <c r="AU74" s="39">
        <f>+IFERROR((FT_RF_26[[#This Row],[Calibre &lt;14]]/FT_RF_26[[#This Row],[Muestra]]),"0")</f>
        <v>0</v>
      </c>
      <c r="AV74" s="38">
        <v>0</v>
      </c>
      <c r="AW74" s="39">
        <f>+IFERROR((FT_RF_26[[#This Row],[Calibre &gt;14]]/FT_RF_26[[#This Row],[Muestra]]),"0")</f>
        <v>0</v>
      </c>
      <c r="AX74" s="38">
        <v>0</v>
      </c>
      <c r="AY74" s="39">
        <f>+IFERROR((FT_RF_26[[#This Row],[Calibre &lt;10]]/FT_RF_26[[#This Row],[Muestra]]),"0")</f>
        <v>0</v>
      </c>
      <c r="AZ74" s="38">
        <v>0</v>
      </c>
      <c r="BA74" s="39">
        <f>+IFERROR((FT_RF_26[[#This Row],[Calibre &gt;13]]/FT_RF_26[[#This Row],[Muestra]]),"0")</f>
        <v>0</v>
      </c>
      <c r="BB74" s="41"/>
      <c r="BG74" s="42"/>
      <c r="BH74" s="43">
        <v>0</v>
      </c>
      <c r="BI74" s="29" t="s">
        <v>894</v>
      </c>
      <c r="BJ74" s="29" t="s">
        <v>894</v>
      </c>
      <c r="BK7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7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74" s="45">
        <f>1-FT_RF_26[[#This Row],[% Defectos]]</f>
        <v>1</v>
      </c>
      <c r="BO74" s="60"/>
      <c r="BP74" s="12">
        <f>SUM(FT_RF_26[[#This Row],[Hoja (Un.)]:[Larvas Caja]])</f>
        <v>0</v>
      </c>
      <c r="BQ74" s="12">
        <f>SUM(FT_RF_26[[#This Row],[Vidrios]:[Plástico]])</f>
        <v>0</v>
      </c>
      <c r="BR74" s="12" t="str">
        <f>IF(ISBLANK(FT_RF_26[[#This Row],[Descripción del producto]]),"",FT_RF_26[[#This Row],[Descripción del producto]])</f>
        <v/>
      </c>
      <c r="BS74" s="29" t="str">
        <f>IF(ISBLANK(FT_RF_26[[#This Row],[N° de Lote]]),"",FT_RF_26[[#This Row],[N° de Lote]])</f>
        <v/>
      </c>
      <c r="BT74" s="29" t="str">
        <f>IF(ISBLANK(FT_RF_26[[#This Row],[N° de Pallet]]),"",FT_RF_26[[#This Row],[N° de Pallet]])</f>
        <v/>
      </c>
    </row>
    <row r="75" spans="2:72">
      <c r="B75" s="29">
        <f>+_xlfn.ISOWEEKNUM(FT_RF_26[[#This Row],[Fecha]])</f>
        <v>52</v>
      </c>
      <c r="E75" s="31"/>
      <c r="F75" s="12" t="str">
        <f>IFERROR(""&amp;_xlfn.XLOOKUP(FT_RF_26[[#This Row],[Código]],BD_Cod[SKU],BD_Cod[Descripción]),"")</f>
        <v/>
      </c>
      <c r="G75" s="32" t="str">
        <f>IFERROR(""&amp;_xlfn.XLOOKUP(FT_RF_26[[#This Row],[Código]],BD_Cod[SKU],BD_Cod[Familia Calidad]),"")</f>
        <v/>
      </c>
      <c r="J75" s="33">
        <v>1000</v>
      </c>
      <c r="L75" s="30" t="s">
        <v>244</v>
      </c>
      <c r="O75" s="30" t="s">
        <v>894</v>
      </c>
      <c r="P75" s="29" t="s">
        <v>894</v>
      </c>
      <c r="Q75" s="37">
        <f>1-FT_RF_26[[#This Row],[% Defectos]]</f>
        <v>1</v>
      </c>
      <c r="R75" s="38">
        <v>0</v>
      </c>
      <c r="S75" s="39">
        <f>+IFERROR((FT_RF_26[[#This Row],[Inmadura]]/FT_RF_26[[#This Row],[Muestra]]),"0")</f>
        <v>0</v>
      </c>
      <c r="T75" s="38">
        <v>0</v>
      </c>
      <c r="U75" s="39">
        <f>+IFERROR((FT_RF_26[[#This Row],[Partidas]]/FT_RF_26[[#This Row],[Muestra]]),"0")</f>
        <v>0</v>
      </c>
      <c r="V75" s="38">
        <v>0</v>
      </c>
      <c r="W75" s="39">
        <f>+IFERROR((FT_RF_26[[#This Row],[Daño Insecto]]/FT_RF_26[[#This Row],[Muestra]]),"0")</f>
        <v>0</v>
      </c>
      <c r="X75" s="38">
        <v>0</v>
      </c>
      <c r="Y75" s="39">
        <f>+IFERROR((FT_RF_26[[#This Row],[Sobremadura]]/FT_RF_26[[#This Row],[Muestra]]),"0")</f>
        <v>0</v>
      </c>
      <c r="Z75" s="38">
        <v>0</v>
      </c>
      <c r="AA75" s="39">
        <f>+IFERROR((FT_RF_26[[#This Row],[Deforme]]/FT_RF_26[[#This Row],[Muestra]]),"0")</f>
        <v>0</v>
      </c>
      <c r="AB75" s="27"/>
      <c r="AC75" s="38">
        <v>0</v>
      </c>
      <c r="AD75" s="39">
        <f>+IFERROR((FT_RF_26[[#This Row],[Valor Extra 1]]/FT_RF_26[[#This Row],[Muestra]]),"0")</f>
        <v>0</v>
      </c>
      <c r="AF75" s="38">
        <v>0</v>
      </c>
      <c r="AG75" s="39">
        <f>+IFERROR((FT_RF_26[[#This Row],[Valor Extra 2]]/FT_RF_26[[#This Row],[Muestra]]),"0")</f>
        <v>0</v>
      </c>
      <c r="AH75" s="40">
        <v>0</v>
      </c>
      <c r="AI75" s="39">
        <f>+IFERROR((FT_RF_26[[#This Row],[Hongos]]/FT_RF_26[[#This Row],[Muestra]]),"0")</f>
        <v>0</v>
      </c>
      <c r="AJ75" s="38">
        <v>0</v>
      </c>
      <c r="AK75" s="39">
        <f>+IFERROR((FT_RF_26[[#This Row],[Block]]/FT_RF_26[[#This Row],[Muestra]]),"0")</f>
        <v>0</v>
      </c>
      <c r="AL75" s="41">
        <v>0</v>
      </c>
      <c r="AM75" s="42">
        <v>0</v>
      </c>
      <c r="AN75" s="38">
        <v>0</v>
      </c>
      <c r="AO75" s="39">
        <f>+IFERROR((FT_RF_26[[#This Row],[Fuera de calibre &lt;12mm]]/FT_RF_26[[#This Row],[Muestra]]),"0")</f>
        <v>0</v>
      </c>
      <c r="AP75" s="38">
        <v>0</v>
      </c>
      <c r="AQ75" s="39">
        <f>+IFERROR((FT_RF_26[[#This Row],[Calibre &lt;25]]/FT_RF_26[[#This Row],[Muestra]]),"0")</f>
        <v>0</v>
      </c>
      <c r="AR75" s="38">
        <v>0</v>
      </c>
      <c r="AS75" s="39">
        <f>+IFERROR((FT_RF_26[[#This Row],[Calibre &gt;12]]/FT_RF_26[[#This Row],[Muestra]]),"0")</f>
        <v>0</v>
      </c>
      <c r="AT75" s="38">
        <v>0</v>
      </c>
      <c r="AU75" s="39">
        <f>+IFERROR((FT_RF_26[[#This Row],[Calibre &lt;14]]/FT_RF_26[[#This Row],[Muestra]]),"0")</f>
        <v>0</v>
      </c>
      <c r="AV75" s="38">
        <v>0</v>
      </c>
      <c r="AW75" s="39">
        <f>+IFERROR((FT_RF_26[[#This Row],[Calibre &gt;14]]/FT_RF_26[[#This Row],[Muestra]]),"0")</f>
        <v>0</v>
      </c>
      <c r="AX75" s="38">
        <v>0</v>
      </c>
      <c r="AY75" s="39">
        <f>+IFERROR((FT_RF_26[[#This Row],[Calibre &lt;10]]/FT_RF_26[[#This Row],[Muestra]]),"0")</f>
        <v>0</v>
      </c>
      <c r="AZ75" s="38">
        <v>0</v>
      </c>
      <c r="BA75" s="39">
        <f>+IFERROR((FT_RF_26[[#This Row],[Calibre &gt;13]]/FT_RF_26[[#This Row],[Muestra]]),"0")</f>
        <v>0</v>
      </c>
      <c r="BB75" s="41"/>
      <c r="BG75" s="42"/>
      <c r="BH75" s="43">
        <v>0</v>
      </c>
      <c r="BI75" s="29" t="s">
        <v>894</v>
      </c>
      <c r="BJ75" s="29" t="s">
        <v>894</v>
      </c>
      <c r="BK7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7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75" s="45">
        <f>1-FT_RF_26[[#This Row],[% Defectos]]</f>
        <v>1</v>
      </c>
      <c r="BO75" s="60"/>
      <c r="BP75" s="12">
        <f>SUM(FT_RF_26[[#This Row],[Hoja (Un.)]:[Larvas Caja]])</f>
        <v>0</v>
      </c>
      <c r="BQ75" s="12">
        <f>SUM(FT_RF_26[[#This Row],[Vidrios]:[Plástico]])</f>
        <v>0</v>
      </c>
      <c r="BR75" s="12" t="str">
        <f>IF(ISBLANK(FT_RF_26[[#This Row],[Descripción del producto]]),"",FT_RF_26[[#This Row],[Descripción del producto]])</f>
        <v/>
      </c>
      <c r="BS75" s="29" t="str">
        <f>IF(ISBLANK(FT_RF_26[[#This Row],[N° de Lote]]),"",FT_RF_26[[#This Row],[N° de Lote]])</f>
        <v/>
      </c>
      <c r="BT75" s="29" t="str">
        <f>IF(ISBLANK(FT_RF_26[[#This Row],[N° de Pallet]]),"",FT_RF_26[[#This Row],[N° de Pallet]])</f>
        <v/>
      </c>
    </row>
    <row r="76" spans="2:72">
      <c r="B76" s="29">
        <f>+_xlfn.ISOWEEKNUM(FT_RF_26[[#This Row],[Fecha]])</f>
        <v>52</v>
      </c>
      <c r="E76" s="31"/>
      <c r="F76" s="12" t="str">
        <f>IFERROR(""&amp;_xlfn.XLOOKUP(FT_RF_26[[#This Row],[Código]],BD_Cod[SKU],BD_Cod[Descripción]),"")</f>
        <v/>
      </c>
      <c r="G76" s="32" t="str">
        <f>IFERROR(""&amp;_xlfn.XLOOKUP(FT_RF_26[[#This Row],[Código]],BD_Cod[SKU],BD_Cod[Familia Calidad]),"")</f>
        <v/>
      </c>
      <c r="J76" s="33">
        <v>1000</v>
      </c>
      <c r="L76" s="30" t="s">
        <v>244</v>
      </c>
      <c r="O76" s="30" t="s">
        <v>894</v>
      </c>
      <c r="P76" s="29" t="s">
        <v>894</v>
      </c>
      <c r="Q76" s="37">
        <f>1-FT_RF_26[[#This Row],[% Defectos]]</f>
        <v>1</v>
      </c>
      <c r="R76" s="38">
        <v>0</v>
      </c>
      <c r="S76" s="39">
        <f>+IFERROR((FT_RF_26[[#This Row],[Inmadura]]/FT_RF_26[[#This Row],[Muestra]]),"0")</f>
        <v>0</v>
      </c>
      <c r="T76" s="38">
        <v>0</v>
      </c>
      <c r="U76" s="39">
        <f>+IFERROR((FT_RF_26[[#This Row],[Partidas]]/FT_RF_26[[#This Row],[Muestra]]),"0")</f>
        <v>0</v>
      </c>
      <c r="V76" s="38">
        <v>0</v>
      </c>
      <c r="W76" s="39">
        <f>+IFERROR((FT_RF_26[[#This Row],[Daño Insecto]]/FT_RF_26[[#This Row],[Muestra]]),"0")</f>
        <v>0</v>
      </c>
      <c r="X76" s="38">
        <v>0</v>
      </c>
      <c r="Y76" s="39">
        <f>+IFERROR((FT_RF_26[[#This Row],[Sobremadura]]/FT_RF_26[[#This Row],[Muestra]]),"0")</f>
        <v>0</v>
      </c>
      <c r="Z76" s="38">
        <v>0</v>
      </c>
      <c r="AA76" s="39">
        <f>+IFERROR((FT_RF_26[[#This Row],[Deforme]]/FT_RF_26[[#This Row],[Muestra]]),"0")</f>
        <v>0</v>
      </c>
      <c r="AB76" s="27"/>
      <c r="AC76" s="38">
        <v>0</v>
      </c>
      <c r="AD76" s="39">
        <f>+IFERROR((FT_RF_26[[#This Row],[Valor Extra 1]]/FT_RF_26[[#This Row],[Muestra]]),"0")</f>
        <v>0</v>
      </c>
      <c r="AF76" s="38">
        <v>0</v>
      </c>
      <c r="AG76" s="39">
        <f>+IFERROR((FT_RF_26[[#This Row],[Valor Extra 2]]/FT_RF_26[[#This Row],[Muestra]]),"0")</f>
        <v>0</v>
      </c>
      <c r="AH76" s="40">
        <v>0</v>
      </c>
      <c r="AI76" s="39">
        <f>+IFERROR((FT_RF_26[[#This Row],[Hongos]]/FT_RF_26[[#This Row],[Muestra]]),"0")</f>
        <v>0</v>
      </c>
      <c r="AJ76" s="38">
        <v>0</v>
      </c>
      <c r="AK76" s="39">
        <f>+IFERROR((FT_RF_26[[#This Row],[Block]]/FT_RF_26[[#This Row],[Muestra]]),"0")</f>
        <v>0</v>
      </c>
      <c r="AL76" s="41">
        <v>0</v>
      </c>
      <c r="AM76" s="42">
        <v>0</v>
      </c>
      <c r="AN76" s="38">
        <v>0</v>
      </c>
      <c r="AO76" s="39">
        <f>+IFERROR((FT_RF_26[[#This Row],[Fuera de calibre &lt;12mm]]/FT_RF_26[[#This Row],[Muestra]]),"0")</f>
        <v>0</v>
      </c>
      <c r="AP76" s="38">
        <v>0</v>
      </c>
      <c r="AQ76" s="39">
        <f>+IFERROR((FT_RF_26[[#This Row],[Calibre &lt;25]]/FT_RF_26[[#This Row],[Muestra]]),"0")</f>
        <v>0</v>
      </c>
      <c r="AR76" s="38">
        <v>0</v>
      </c>
      <c r="AS76" s="39">
        <f>+IFERROR((FT_RF_26[[#This Row],[Calibre &gt;12]]/FT_RF_26[[#This Row],[Muestra]]),"0")</f>
        <v>0</v>
      </c>
      <c r="AT76" s="38">
        <v>0</v>
      </c>
      <c r="AU76" s="39">
        <f>+IFERROR((FT_RF_26[[#This Row],[Calibre &lt;14]]/FT_RF_26[[#This Row],[Muestra]]),"0")</f>
        <v>0</v>
      </c>
      <c r="AV76" s="38">
        <v>0</v>
      </c>
      <c r="AW76" s="39">
        <f>+IFERROR((FT_RF_26[[#This Row],[Calibre &gt;14]]/FT_RF_26[[#This Row],[Muestra]]),"0")</f>
        <v>0</v>
      </c>
      <c r="AX76" s="38">
        <v>0</v>
      </c>
      <c r="AY76" s="39">
        <f>+IFERROR((FT_RF_26[[#This Row],[Calibre &lt;10]]/FT_RF_26[[#This Row],[Muestra]]),"0")</f>
        <v>0</v>
      </c>
      <c r="AZ76" s="38">
        <v>0</v>
      </c>
      <c r="BA76" s="39">
        <f>+IFERROR((FT_RF_26[[#This Row],[Calibre &gt;13]]/FT_RF_26[[#This Row],[Muestra]]),"0")</f>
        <v>0</v>
      </c>
      <c r="BB76" s="41"/>
      <c r="BG76" s="42"/>
      <c r="BH76" s="43">
        <v>0</v>
      </c>
      <c r="BI76" s="29" t="s">
        <v>894</v>
      </c>
      <c r="BJ76" s="29" t="s">
        <v>894</v>
      </c>
      <c r="BK7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7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76" s="45">
        <f>1-FT_RF_26[[#This Row],[% Defectos]]</f>
        <v>1</v>
      </c>
      <c r="BO76" s="60"/>
      <c r="BP76" s="12">
        <f>SUM(FT_RF_26[[#This Row],[Hoja (Un.)]:[Larvas Caja]])</f>
        <v>0</v>
      </c>
      <c r="BQ76" s="12">
        <f>SUM(FT_RF_26[[#This Row],[Vidrios]:[Plástico]])</f>
        <v>0</v>
      </c>
      <c r="BR76" s="12" t="str">
        <f>IF(ISBLANK(FT_RF_26[[#This Row],[Descripción del producto]]),"",FT_RF_26[[#This Row],[Descripción del producto]])</f>
        <v/>
      </c>
      <c r="BS76" s="29" t="str">
        <f>IF(ISBLANK(FT_RF_26[[#This Row],[N° de Lote]]),"",FT_RF_26[[#This Row],[N° de Lote]])</f>
        <v/>
      </c>
      <c r="BT76" s="29" t="str">
        <f>IF(ISBLANK(FT_RF_26[[#This Row],[N° de Pallet]]),"",FT_RF_26[[#This Row],[N° de Pallet]])</f>
        <v/>
      </c>
    </row>
    <row r="77" spans="2:72">
      <c r="B77" s="29">
        <f>+_xlfn.ISOWEEKNUM(FT_RF_26[[#This Row],[Fecha]])</f>
        <v>52</v>
      </c>
      <c r="E77" s="31"/>
      <c r="F77" s="12" t="str">
        <f>IFERROR(""&amp;_xlfn.XLOOKUP(FT_RF_26[[#This Row],[Código]],BD_Cod[SKU],BD_Cod[Descripción]),"")</f>
        <v/>
      </c>
      <c r="G77" s="32" t="str">
        <f>IFERROR(""&amp;_xlfn.XLOOKUP(FT_RF_26[[#This Row],[Código]],BD_Cod[SKU],BD_Cod[Familia Calidad]),"")</f>
        <v/>
      </c>
      <c r="J77" s="33">
        <v>1000</v>
      </c>
      <c r="L77" s="30" t="s">
        <v>244</v>
      </c>
      <c r="O77" s="30" t="s">
        <v>894</v>
      </c>
      <c r="P77" s="29" t="s">
        <v>894</v>
      </c>
      <c r="Q77" s="37">
        <f>1-FT_RF_26[[#This Row],[% Defectos]]</f>
        <v>1</v>
      </c>
      <c r="R77" s="38">
        <v>0</v>
      </c>
      <c r="S77" s="39">
        <f>+IFERROR((FT_RF_26[[#This Row],[Inmadura]]/FT_RF_26[[#This Row],[Muestra]]),"0")</f>
        <v>0</v>
      </c>
      <c r="T77" s="38">
        <v>0</v>
      </c>
      <c r="U77" s="39">
        <f>+IFERROR((FT_RF_26[[#This Row],[Partidas]]/FT_RF_26[[#This Row],[Muestra]]),"0")</f>
        <v>0</v>
      </c>
      <c r="V77" s="38">
        <v>0</v>
      </c>
      <c r="W77" s="39">
        <f>+IFERROR((FT_RF_26[[#This Row],[Daño Insecto]]/FT_RF_26[[#This Row],[Muestra]]),"0")</f>
        <v>0</v>
      </c>
      <c r="X77" s="38">
        <v>0</v>
      </c>
      <c r="Y77" s="39">
        <f>+IFERROR((FT_RF_26[[#This Row],[Sobremadura]]/FT_RF_26[[#This Row],[Muestra]]),"0")</f>
        <v>0</v>
      </c>
      <c r="Z77" s="38">
        <v>0</v>
      </c>
      <c r="AA77" s="39">
        <f>+IFERROR((FT_RF_26[[#This Row],[Deforme]]/FT_RF_26[[#This Row],[Muestra]]),"0")</f>
        <v>0</v>
      </c>
      <c r="AB77" s="27"/>
      <c r="AC77" s="38">
        <v>0</v>
      </c>
      <c r="AD77" s="39">
        <f>+IFERROR((FT_RF_26[[#This Row],[Valor Extra 1]]/FT_RF_26[[#This Row],[Muestra]]),"0")</f>
        <v>0</v>
      </c>
      <c r="AF77" s="38">
        <v>0</v>
      </c>
      <c r="AG77" s="39">
        <f>+IFERROR((FT_RF_26[[#This Row],[Valor Extra 2]]/FT_RF_26[[#This Row],[Muestra]]),"0")</f>
        <v>0</v>
      </c>
      <c r="AH77" s="40">
        <v>0</v>
      </c>
      <c r="AI77" s="39">
        <f>+IFERROR((FT_RF_26[[#This Row],[Hongos]]/FT_RF_26[[#This Row],[Muestra]]),"0")</f>
        <v>0</v>
      </c>
      <c r="AJ77" s="38">
        <v>0</v>
      </c>
      <c r="AK77" s="39">
        <f>+IFERROR((FT_RF_26[[#This Row],[Block]]/FT_RF_26[[#This Row],[Muestra]]),"0")</f>
        <v>0</v>
      </c>
      <c r="AL77" s="41">
        <v>0</v>
      </c>
      <c r="AM77" s="42">
        <v>0</v>
      </c>
      <c r="AN77" s="38">
        <v>0</v>
      </c>
      <c r="AO77" s="39">
        <f>+IFERROR((FT_RF_26[[#This Row],[Fuera de calibre &lt;12mm]]/FT_RF_26[[#This Row],[Muestra]]),"0")</f>
        <v>0</v>
      </c>
      <c r="AP77" s="38">
        <v>0</v>
      </c>
      <c r="AQ77" s="39">
        <f>+IFERROR((FT_RF_26[[#This Row],[Calibre &lt;25]]/FT_RF_26[[#This Row],[Muestra]]),"0")</f>
        <v>0</v>
      </c>
      <c r="AR77" s="38">
        <v>0</v>
      </c>
      <c r="AS77" s="39">
        <f>+IFERROR((FT_RF_26[[#This Row],[Calibre &gt;12]]/FT_RF_26[[#This Row],[Muestra]]),"0")</f>
        <v>0</v>
      </c>
      <c r="AT77" s="38">
        <v>0</v>
      </c>
      <c r="AU77" s="39">
        <f>+IFERROR((FT_RF_26[[#This Row],[Calibre &lt;14]]/FT_RF_26[[#This Row],[Muestra]]),"0")</f>
        <v>0</v>
      </c>
      <c r="AV77" s="38">
        <v>0</v>
      </c>
      <c r="AW77" s="39">
        <f>+IFERROR((FT_RF_26[[#This Row],[Calibre &gt;14]]/FT_RF_26[[#This Row],[Muestra]]),"0")</f>
        <v>0</v>
      </c>
      <c r="AX77" s="38">
        <v>0</v>
      </c>
      <c r="AY77" s="39">
        <f>+IFERROR((FT_RF_26[[#This Row],[Calibre &lt;10]]/FT_RF_26[[#This Row],[Muestra]]),"0")</f>
        <v>0</v>
      </c>
      <c r="AZ77" s="38">
        <v>0</v>
      </c>
      <c r="BA77" s="39">
        <f>+IFERROR((FT_RF_26[[#This Row],[Calibre &gt;13]]/FT_RF_26[[#This Row],[Muestra]]),"0")</f>
        <v>0</v>
      </c>
      <c r="BB77" s="41"/>
      <c r="BG77" s="42"/>
      <c r="BH77" s="43">
        <v>0</v>
      </c>
      <c r="BI77" s="29" t="s">
        <v>894</v>
      </c>
      <c r="BJ77" s="29" t="s">
        <v>894</v>
      </c>
      <c r="BK7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7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77" s="45">
        <f>1-FT_RF_26[[#This Row],[% Defectos]]</f>
        <v>1</v>
      </c>
      <c r="BO77" s="60"/>
      <c r="BP77" s="12">
        <f>SUM(FT_RF_26[[#This Row],[Hoja (Un.)]:[Larvas Caja]])</f>
        <v>0</v>
      </c>
      <c r="BQ77" s="12">
        <f>SUM(FT_RF_26[[#This Row],[Vidrios]:[Plástico]])</f>
        <v>0</v>
      </c>
      <c r="BR77" s="12" t="str">
        <f>IF(ISBLANK(FT_RF_26[[#This Row],[Descripción del producto]]),"",FT_RF_26[[#This Row],[Descripción del producto]])</f>
        <v/>
      </c>
      <c r="BS77" s="29" t="str">
        <f>IF(ISBLANK(FT_RF_26[[#This Row],[N° de Lote]]),"",FT_RF_26[[#This Row],[N° de Lote]])</f>
        <v/>
      </c>
      <c r="BT77" s="29" t="str">
        <f>IF(ISBLANK(FT_RF_26[[#This Row],[N° de Pallet]]),"",FT_RF_26[[#This Row],[N° de Pallet]])</f>
        <v/>
      </c>
    </row>
    <row r="78" spans="2:72">
      <c r="B78" s="29">
        <f>+_xlfn.ISOWEEKNUM(FT_RF_26[[#This Row],[Fecha]])</f>
        <v>52</v>
      </c>
      <c r="E78" s="31"/>
      <c r="F78" s="12" t="str">
        <f>IFERROR(""&amp;_xlfn.XLOOKUP(FT_RF_26[[#This Row],[Código]],BD_Cod[SKU],BD_Cod[Descripción]),"")</f>
        <v/>
      </c>
      <c r="G78" s="32" t="str">
        <f>IFERROR(""&amp;_xlfn.XLOOKUP(FT_RF_26[[#This Row],[Código]],BD_Cod[SKU],BD_Cod[Familia Calidad]),"")</f>
        <v/>
      </c>
      <c r="J78" s="33">
        <v>1000</v>
      </c>
      <c r="L78" s="30" t="s">
        <v>244</v>
      </c>
      <c r="O78" s="30" t="s">
        <v>894</v>
      </c>
      <c r="P78" s="29" t="s">
        <v>894</v>
      </c>
      <c r="Q78" s="37">
        <f>1-FT_RF_26[[#This Row],[% Defectos]]</f>
        <v>1</v>
      </c>
      <c r="R78" s="38">
        <v>0</v>
      </c>
      <c r="S78" s="39">
        <f>+IFERROR((FT_RF_26[[#This Row],[Inmadura]]/FT_RF_26[[#This Row],[Muestra]]),"0")</f>
        <v>0</v>
      </c>
      <c r="T78" s="38">
        <v>0</v>
      </c>
      <c r="U78" s="39">
        <f>+IFERROR((FT_RF_26[[#This Row],[Partidas]]/FT_RF_26[[#This Row],[Muestra]]),"0")</f>
        <v>0</v>
      </c>
      <c r="V78" s="38">
        <v>0</v>
      </c>
      <c r="W78" s="39">
        <f>+IFERROR((FT_RF_26[[#This Row],[Daño Insecto]]/FT_RF_26[[#This Row],[Muestra]]),"0")</f>
        <v>0</v>
      </c>
      <c r="X78" s="38">
        <v>0</v>
      </c>
      <c r="Y78" s="39">
        <f>+IFERROR((FT_RF_26[[#This Row],[Sobremadura]]/FT_RF_26[[#This Row],[Muestra]]),"0")</f>
        <v>0</v>
      </c>
      <c r="Z78" s="38">
        <v>0</v>
      </c>
      <c r="AA78" s="39">
        <f>+IFERROR((FT_RF_26[[#This Row],[Deforme]]/FT_RF_26[[#This Row],[Muestra]]),"0")</f>
        <v>0</v>
      </c>
      <c r="AB78" s="27"/>
      <c r="AC78" s="38">
        <v>0</v>
      </c>
      <c r="AD78" s="39">
        <f>+IFERROR((FT_RF_26[[#This Row],[Valor Extra 1]]/FT_RF_26[[#This Row],[Muestra]]),"0")</f>
        <v>0</v>
      </c>
      <c r="AF78" s="38">
        <v>0</v>
      </c>
      <c r="AG78" s="39">
        <f>+IFERROR((FT_RF_26[[#This Row],[Valor Extra 2]]/FT_RF_26[[#This Row],[Muestra]]),"0")</f>
        <v>0</v>
      </c>
      <c r="AH78" s="40">
        <v>0</v>
      </c>
      <c r="AI78" s="39">
        <f>+IFERROR((FT_RF_26[[#This Row],[Hongos]]/FT_RF_26[[#This Row],[Muestra]]),"0")</f>
        <v>0</v>
      </c>
      <c r="AJ78" s="38">
        <v>0</v>
      </c>
      <c r="AK78" s="39">
        <f>+IFERROR((FT_RF_26[[#This Row],[Block]]/FT_RF_26[[#This Row],[Muestra]]),"0")</f>
        <v>0</v>
      </c>
      <c r="AL78" s="41">
        <v>0</v>
      </c>
      <c r="AM78" s="42">
        <v>0</v>
      </c>
      <c r="AN78" s="38">
        <v>0</v>
      </c>
      <c r="AO78" s="39">
        <f>+IFERROR((FT_RF_26[[#This Row],[Fuera de calibre &lt;12mm]]/FT_RF_26[[#This Row],[Muestra]]),"0")</f>
        <v>0</v>
      </c>
      <c r="AP78" s="38">
        <v>0</v>
      </c>
      <c r="AQ78" s="39">
        <f>+IFERROR((FT_RF_26[[#This Row],[Calibre &lt;25]]/FT_RF_26[[#This Row],[Muestra]]),"0")</f>
        <v>0</v>
      </c>
      <c r="AR78" s="38">
        <v>0</v>
      </c>
      <c r="AS78" s="39">
        <f>+IFERROR((FT_RF_26[[#This Row],[Calibre &gt;12]]/FT_RF_26[[#This Row],[Muestra]]),"0")</f>
        <v>0</v>
      </c>
      <c r="AT78" s="38">
        <v>0</v>
      </c>
      <c r="AU78" s="39">
        <f>+IFERROR((FT_RF_26[[#This Row],[Calibre &lt;14]]/FT_RF_26[[#This Row],[Muestra]]),"0")</f>
        <v>0</v>
      </c>
      <c r="AV78" s="38">
        <v>0</v>
      </c>
      <c r="AW78" s="39">
        <f>+IFERROR((FT_RF_26[[#This Row],[Calibre &gt;14]]/FT_RF_26[[#This Row],[Muestra]]),"0")</f>
        <v>0</v>
      </c>
      <c r="AX78" s="38">
        <v>0</v>
      </c>
      <c r="AY78" s="39">
        <f>+IFERROR((FT_RF_26[[#This Row],[Calibre &lt;10]]/FT_RF_26[[#This Row],[Muestra]]),"0")</f>
        <v>0</v>
      </c>
      <c r="AZ78" s="38">
        <v>0</v>
      </c>
      <c r="BA78" s="39">
        <f>+IFERROR((FT_RF_26[[#This Row],[Calibre &gt;13]]/FT_RF_26[[#This Row],[Muestra]]),"0")</f>
        <v>0</v>
      </c>
      <c r="BB78" s="41"/>
      <c r="BG78" s="42"/>
      <c r="BH78" s="43">
        <v>0</v>
      </c>
      <c r="BI78" s="29" t="s">
        <v>894</v>
      </c>
      <c r="BJ78" s="29" t="s">
        <v>894</v>
      </c>
      <c r="BK7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7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78" s="45">
        <f>1-FT_RF_26[[#This Row],[% Defectos]]</f>
        <v>1</v>
      </c>
      <c r="BO78" s="60"/>
      <c r="BP78" s="12">
        <f>SUM(FT_RF_26[[#This Row],[Hoja (Un.)]:[Larvas Caja]])</f>
        <v>0</v>
      </c>
      <c r="BQ78" s="12">
        <f>SUM(FT_RF_26[[#This Row],[Vidrios]:[Plástico]])</f>
        <v>0</v>
      </c>
      <c r="BR78" s="12" t="str">
        <f>IF(ISBLANK(FT_RF_26[[#This Row],[Descripción del producto]]),"",FT_RF_26[[#This Row],[Descripción del producto]])</f>
        <v/>
      </c>
      <c r="BS78" s="29" t="str">
        <f>IF(ISBLANK(FT_RF_26[[#This Row],[N° de Lote]]),"",FT_RF_26[[#This Row],[N° de Lote]])</f>
        <v/>
      </c>
      <c r="BT78" s="29" t="str">
        <f>IF(ISBLANK(FT_RF_26[[#This Row],[N° de Pallet]]),"",FT_RF_26[[#This Row],[N° de Pallet]])</f>
        <v/>
      </c>
    </row>
    <row r="79" spans="2:72">
      <c r="B79" s="29">
        <f>+_xlfn.ISOWEEKNUM(FT_RF_26[[#This Row],[Fecha]])</f>
        <v>52</v>
      </c>
      <c r="E79" s="31"/>
      <c r="F79" s="12" t="str">
        <f>IFERROR(""&amp;_xlfn.XLOOKUP(FT_RF_26[[#This Row],[Código]],BD_Cod[SKU],BD_Cod[Descripción]),"")</f>
        <v/>
      </c>
      <c r="G79" s="32" t="str">
        <f>IFERROR(""&amp;_xlfn.XLOOKUP(FT_RF_26[[#This Row],[Código]],BD_Cod[SKU],BD_Cod[Familia Calidad]),"")</f>
        <v/>
      </c>
      <c r="J79" s="33">
        <v>1000</v>
      </c>
      <c r="L79" s="30" t="s">
        <v>244</v>
      </c>
      <c r="O79" s="30" t="s">
        <v>894</v>
      </c>
      <c r="P79" s="29" t="s">
        <v>894</v>
      </c>
      <c r="Q79" s="37">
        <f>1-FT_RF_26[[#This Row],[% Defectos]]</f>
        <v>1</v>
      </c>
      <c r="R79" s="38">
        <v>0</v>
      </c>
      <c r="S79" s="39">
        <f>+IFERROR((FT_RF_26[[#This Row],[Inmadura]]/FT_RF_26[[#This Row],[Muestra]]),"0")</f>
        <v>0</v>
      </c>
      <c r="T79" s="38">
        <v>0</v>
      </c>
      <c r="U79" s="39">
        <f>+IFERROR((FT_RF_26[[#This Row],[Partidas]]/FT_RF_26[[#This Row],[Muestra]]),"0")</f>
        <v>0</v>
      </c>
      <c r="V79" s="38">
        <v>0</v>
      </c>
      <c r="W79" s="39">
        <f>+IFERROR((FT_RF_26[[#This Row],[Daño Insecto]]/FT_RF_26[[#This Row],[Muestra]]),"0")</f>
        <v>0</v>
      </c>
      <c r="X79" s="38">
        <v>0</v>
      </c>
      <c r="Y79" s="39">
        <f>+IFERROR((FT_RF_26[[#This Row],[Sobremadura]]/FT_RF_26[[#This Row],[Muestra]]),"0")</f>
        <v>0</v>
      </c>
      <c r="Z79" s="38">
        <v>0</v>
      </c>
      <c r="AA79" s="39">
        <f>+IFERROR((FT_RF_26[[#This Row],[Deforme]]/FT_RF_26[[#This Row],[Muestra]]),"0")</f>
        <v>0</v>
      </c>
      <c r="AB79" s="27"/>
      <c r="AC79" s="38">
        <v>0</v>
      </c>
      <c r="AD79" s="39">
        <f>+IFERROR((FT_RF_26[[#This Row],[Valor Extra 1]]/FT_RF_26[[#This Row],[Muestra]]),"0")</f>
        <v>0</v>
      </c>
      <c r="AF79" s="38">
        <v>0</v>
      </c>
      <c r="AG79" s="39">
        <f>+IFERROR((FT_RF_26[[#This Row],[Valor Extra 2]]/FT_RF_26[[#This Row],[Muestra]]),"0")</f>
        <v>0</v>
      </c>
      <c r="AH79" s="40">
        <v>0</v>
      </c>
      <c r="AI79" s="39">
        <f>+IFERROR((FT_RF_26[[#This Row],[Hongos]]/FT_RF_26[[#This Row],[Muestra]]),"0")</f>
        <v>0</v>
      </c>
      <c r="AJ79" s="38">
        <v>0</v>
      </c>
      <c r="AK79" s="39">
        <f>+IFERROR((FT_RF_26[[#This Row],[Block]]/FT_RF_26[[#This Row],[Muestra]]),"0")</f>
        <v>0</v>
      </c>
      <c r="AL79" s="41">
        <v>0</v>
      </c>
      <c r="AM79" s="42">
        <v>0</v>
      </c>
      <c r="AN79" s="38">
        <v>0</v>
      </c>
      <c r="AO79" s="39">
        <f>+IFERROR((FT_RF_26[[#This Row],[Fuera de calibre &lt;12mm]]/FT_RF_26[[#This Row],[Muestra]]),"0")</f>
        <v>0</v>
      </c>
      <c r="AP79" s="38">
        <v>0</v>
      </c>
      <c r="AQ79" s="39">
        <f>+IFERROR((FT_RF_26[[#This Row],[Calibre &lt;25]]/FT_RF_26[[#This Row],[Muestra]]),"0")</f>
        <v>0</v>
      </c>
      <c r="AR79" s="38">
        <v>0</v>
      </c>
      <c r="AS79" s="39">
        <f>+IFERROR((FT_RF_26[[#This Row],[Calibre &gt;12]]/FT_RF_26[[#This Row],[Muestra]]),"0")</f>
        <v>0</v>
      </c>
      <c r="AT79" s="38">
        <v>0</v>
      </c>
      <c r="AU79" s="39">
        <f>+IFERROR((FT_RF_26[[#This Row],[Calibre &lt;14]]/FT_RF_26[[#This Row],[Muestra]]),"0")</f>
        <v>0</v>
      </c>
      <c r="AV79" s="38">
        <v>0</v>
      </c>
      <c r="AW79" s="39">
        <f>+IFERROR((FT_RF_26[[#This Row],[Calibre &gt;14]]/FT_RF_26[[#This Row],[Muestra]]),"0")</f>
        <v>0</v>
      </c>
      <c r="AX79" s="38">
        <v>0</v>
      </c>
      <c r="AY79" s="39">
        <f>+IFERROR((FT_RF_26[[#This Row],[Calibre &lt;10]]/FT_RF_26[[#This Row],[Muestra]]),"0")</f>
        <v>0</v>
      </c>
      <c r="AZ79" s="38">
        <v>0</v>
      </c>
      <c r="BA79" s="39">
        <f>+IFERROR((FT_RF_26[[#This Row],[Calibre &gt;13]]/FT_RF_26[[#This Row],[Muestra]]),"0")</f>
        <v>0</v>
      </c>
      <c r="BB79" s="41"/>
      <c r="BG79" s="42"/>
      <c r="BH79" s="43">
        <v>0</v>
      </c>
      <c r="BI79" s="29" t="s">
        <v>894</v>
      </c>
      <c r="BJ79" s="29" t="s">
        <v>894</v>
      </c>
      <c r="BK7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7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79" s="45">
        <f>1-FT_RF_26[[#This Row],[% Defectos]]</f>
        <v>1</v>
      </c>
      <c r="BO79" s="60"/>
      <c r="BP79" s="12">
        <f>SUM(FT_RF_26[[#This Row],[Hoja (Un.)]:[Larvas Caja]])</f>
        <v>0</v>
      </c>
      <c r="BQ79" s="12">
        <f>SUM(FT_RF_26[[#This Row],[Vidrios]:[Plástico]])</f>
        <v>0</v>
      </c>
      <c r="BR79" s="12" t="str">
        <f>IF(ISBLANK(FT_RF_26[[#This Row],[Descripción del producto]]),"",FT_RF_26[[#This Row],[Descripción del producto]])</f>
        <v/>
      </c>
      <c r="BS79" s="29" t="str">
        <f>IF(ISBLANK(FT_RF_26[[#This Row],[N° de Lote]]),"",FT_RF_26[[#This Row],[N° de Lote]])</f>
        <v/>
      </c>
      <c r="BT79" s="29" t="str">
        <f>IF(ISBLANK(FT_RF_26[[#This Row],[N° de Pallet]]),"",FT_RF_26[[#This Row],[N° de Pallet]])</f>
        <v/>
      </c>
    </row>
    <row r="80" spans="2:72">
      <c r="B80" s="29">
        <f>+_xlfn.ISOWEEKNUM(FT_RF_26[[#This Row],[Fecha]])</f>
        <v>52</v>
      </c>
      <c r="E80" s="31"/>
      <c r="F80" s="12" t="str">
        <f>IFERROR(""&amp;_xlfn.XLOOKUP(FT_RF_26[[#This Row],[Código]],BD_Cod[SKU],BD_Cod[Descripción]),"")</f>
        <v/>
      </c>
      <c r="G80" s="32" t="str">
        <f>IFERROR(""&amp;_xlfn.XLOOKUP(FT_RF_26[[#This Row],[Código]],BD_Cod[SKU],BD_Cod[Familia Calidad]),"")</f>
        <v/>
      </c>
      <c r="J80" s="33">
        <v>1000</v>
      </c>
      <c r="L80" s="30" t="s">
        <v>244</v>
      </c>
      <c r="O80" s="30" t="s">
        <v>894</v>
      </c>
      <c r="P80" s="29" t="s">
        <v>894</v>
      </c>
      <c r="Q80" s="37">
        <f>1-FT_RF_26[[#This Row],[% Defectos]]</f>
        <v>1</v>
      </c>
      <c r="R80" s="38">
        <v>0</v>
      </c>
      <c r="S80" s="39">
        <f>+IFERROR((FT_RF_26[[#This Row],[Inmadura]]/FT_RF_26[[#This Row],[Muestra]]),"0")</f>
        <v>0</v>
      </c>
      <c r="T80" s="38">
        <v>0</v>
      </c>
      <c r="U80" s="39">
        <f>+IFERROR((FT_RF_26[[#This Row],[Partidas]]/FT_RF_26[[#This Row],[Muestra]]),"0")</f>
        <v>0</v>
      </c>
      <c r="V80" s="38">
        <v>0</v>
      </c>
      <c r="W80" s="39">
        <f>+IFERROR((FT_RF_26[[#This Row],[Daño Insecto]]/FT_RF_26[[#This Row],[Muestra]]),"0")</f>
        <v>0</v>
      </c>
      <c r="X80" s="38">
        <v>0</v>
      </c>
      <c r="Y80" s="39">
        <f>+IFERROR((FT_RF_26[[#This Row],[Sobremadura]]/FT_RF_26[[#This Row],[Muestra]]),"0")</f>
        <v>0</v>
      </c>
      <c r="Z80" s="38">
        <v>0</v>
      </c>
      <c r="AA80" s="39">
        <f>+IFERROR((FT_RF_26[[#This Row],[Deforme]]/FT_RF_26[[#This Row],[Muestra]]),"0")</f>
        <v>0</v>
      </c>
      <c r="AB80" s="27"/>
      <c r="AC80" s="38">
        <v>0</v>
      </c>
      <c r="AD80" s="39">
        <f>+IFERROR((FT_RF_26[[#This Row],[Valor Extra 1]]/FT_RF_26[[#This Row],[Muestra]]),"0")</f>
        <v>0</v>
      </c>
      <c r="AF80" s="38">
        <v>0</v>
      </c>
      <c r="AG80" s="39">
        <f>+IFERROR((FT_RF_26[[#This Row],[Valor Extra 2]]/FT_RF_26[[#This Row],[Muestra]]),"0")</f>
        <v>0</v>
      </c>
      <c r="AH80" s="40">
        <v>0</v>
      </c>
      <c r="AI80" s="39">
        <f>+IFERROR((FT_RF_26[[#This Row],[Hongos]]/FT_RF_26[[#This Row],[Muestra]]),"0")</f>
        <v>0</v>
      </c>
      <c r="AJ80" s="38">
        <v>0</v>
      </c>
      <c r="AK80" s="39">
        <f>+IFERROR((FT_RF_26[[#This Row],[Block]]/FT_RF_26[[#This Row],[Muestra]]),"0")</f>
        <v>0</v>
      </c>
      <c r="AL80" s="41">
        <v>0</v>
      </c>
      <c r="AM80" s="42">
        <v>0</v>
      </c>
      <c r="AN80" s="38">
        <v>0</v>
      </c>
      <c r="AO80" s="39">
        <f>+IFERROR((FT_RF_26[[#This Row],[Fuera de calibre &lt;12mm]]/FT_RF_26[[#This Row],[Muestra]]),"0")</f>
        <v>0</v>
      </c>
      <c r="AP80" s="38">
        <v>0</v>
      </c>
      <c r="AQ80" s="39">
        <f>+IFERROR((FT_RF_26[[#This Row],[Calibre &lt;25]]/FT_RF_26[[#This Row],[Muestra]]),"0")</f>
        <v>0</v>
      </c>
      <c r="AR80" s="38">
        <v>0</v>
      </c>
      <c r="AS80" s="39">
        <f>+IFERROR((FT_RF_26[[#This Row],[Calibre &gt;12]]/FT_RF_26[[#This Row],[Muestra]]),"0")</f>
        <v>0</v>
      </c>
      <c r="AT80" s="38">
        <v>0</v>
      </c>
      <c r="AU80" s="39">
        <f>+IFERROR((FT_RF_26[[#This Row],[Calibre &lt;14]]/FT_RF_26[[#This Row],[Muestra]]),"0")</f>
        <v>0</v>
      </c>
      <c r="AV80" s="38">
        <v>0</v>
      </c>
      <c r="AW80" s="39">
        <f>+IFERROR((FT_RF_26[[#This Row],[Calibre &gt;14]]/FT_RF_26[[#This Row],[Muestra]]),"0")</f>
        <v>0</v>
      </c>
      <c r="AX80" s="38">
        <v>0</v>
      </c>
      <c r="AY80" s="39">
        <f>+IFERROR((FT_RF_26[[#This Row],[Calibre &lt;10]]/FT_RF_26[[#This Row],[Muestra]]),"0")</f>
        <v>0</v>
      </c>
      <c r="AZ80" s="38">
        <v>0</v>
      </c>
      <c r="BA80" s="39">
        <f>+IFERROR((FT_RF_26[[#This Row],[Calibre &gt;13]]/FT_RF_26[[#This Row],[Muestra]]),"0")</f>
        <v>0</v>
      </c>
      <c r="BB80" s="41"/>
      <c r="BG80" s="42"/>
      <c r="BH80" s="43">
        <v>0</v>
      </c>
      <c r="BI80" s="29" t="s">
        <v>894</v>
      </c>
      <c r="BJ80" s="29" t="s">
        <v>894</v>
      </c>
      <c r="BK8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8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80" s="45">
        <f>1-FT_RF_26[[#This Row],[% Defectos]]</f>
        <v>1</v>
      </c>
      <c r="BO80" s="60"/>
      <c r="BP80" s="12">
        <f>SUM(FT_RF_26[[#This Row],[Hoja (Un.)]:[Larvas Caja]])</f>
        <v>0</v>
      </c>
      <c r="BQ80" s="12">
        <f>SUM(FT_RF_26[[#This Row],[Vidrios]:[Plástico]])</f>
        <v>0</v>
      </c>
      <c r="BR80" s="12" t="str">
        <f>IF(ISBLANK(FT_RF_26[[#This Row],[Descripción del producto]]),"",FT_RF_26[[#This Row],[Descripción del producto]])</f>
        <v/>
      </c>
      <c r="BS80" s="29" t="str">
        <f>IF(ISBLANK(FT_RF_26[[#This Row],[N° de Lote]]),"",FT_RF_26[[#This Row],[N° de Lote]])</f>
        <v/>
      </c>
      <c r="BT80" s="29" t="str">
        <f>IF(ISBLANK(FT_RF_26[[#This Row],[N° de Pallet]]),"",FT_RF_26[[#This Row],[N° de Pallet]])</f>
        <v/>
      </c>
    </row>
    <row r="81" spans="2:72">
      <c r="B81" s="29">
        <f>+_xlfn.ISOWEEKNUM(FT_RF_26[[#This Row],[Fecha]])</f>
        <v>52</v>
      </c>
      <c r="E81" s="31"/>
      <c r="F81" s="12" t="str">
        <f>IFERROR(""&amp;_xlfn.XLOOKUP(FT_RF_26[[#This Row],[Código]],BD_Cod[SKU],BD_Cod[Descripción]),"")</f>
        <v/>
      </c>
      <c r="G81" s="32" t="str">
        <f>IFERROR(""&amp;_xlfn.XLOOKUP(FT_RF_26[[#This Row],[Código]],BD_Cod[SKU],BD_Cod[Familia Calidad]),"")</f>
        <v/>
      </c>
      <c r="J81" s="33">
        <v>1000</v>
      </c>
      <c r="L81" s="30" t="s">
        <v>244</v>
      </c>
      <c r="O81" s="30" t="s">
        <v>894</v>
      </c>
      <c r="P81" s="29" t="s">
        <v>894</v>
      </c>
      <c r="Q81" s="37">
        <f>1-FT_RF_26[[#This Row],[% Defectos]]</f>
        <v>1</v>
      </c>
      <c r="R81" s="38">
        <v>0</v>
      </c>
      <c r="S81" s="39">
        <f>+IFERROR((FT_RF_26[[#This Row],[Inmadura]]/FT_RF_26[[#This Row],[Muestra]]),"0")</f>
        <v>0</v>
      </c>
      <c r="T81" s="38">
        <v>0</v>
      </c>
      <c r="U81" s="39">
        <f>+IFERROR((FT_RF_26[[#This Row],[Partidas]]/FT_RF_26[[#This Row],[Muestra]]),"0")</f>
        <v>0</v>
      </c>
      <c r="V81" s="38">
        <v>0</v>
      </c>
      <c r="W81" s="39">
        <f>+IFERROR((FT_RF_26[[#This Row],[Daño Insecto]]/FT_RF_26[[#This Row],[Muestra]]),"0")</f>
        <v>0</v>
      </c>
      <c r="X81" s="38">
        <v>0</v>
      </c>
      <c r="Y81" s="39">
        <f>+IFERROR((FT_RF_26[[#This Row],[Sobremadura]]/FT_RF_26[[#This Row],[Muestra]]),"0")</f>
        <v>0</v>
      </c>
      <c r="Z81" s="38">
        <v>0</v>
      </c>
      <c r="AA81" s="39">
        <f>+IFERROR((FT_RF_26[[#This Row],[Deforme]]/FT_RF_26[[#This Row],[Muestra]]),"0")</f>
        <v>0</v>
      </c>
      <c r="AB81" s="27"/>
      <c r="AC81" s="38">
        <v>0</v>
      </c>
      <c r="AD81" s="39">
        <f>+IFERROR((FT_RF_26[[#This Row],[Valor Extra 1]]/FT_RF_26[[#This Row],[Muestra]]),"0")</f>
        <v>0</v>
      </c>
      <c r="AF81" s="38">
        <v>0</v>
      </c>
      <c r="AG81" s="39">
        <f>+IFERROR((FT_RF_26[[#This Row],[Valor Extra 2]]/FT_RF_26[[#This Row],[Muestra]]),"0")</f>
        <v>0</v>
      </c>
      <c r="AH81" s="40">
        <v>0</v>
      </c>
      <c r="AI81" s="39">
        <f>+IFERROR((FT_RF_26[[#This Row],[Hongos]]/FT_RF_26[[#This Row],[Muestra]]),"0")</f>
        <v>0</v>
      </c>
      <c r="AJ81" s="38">
        <v>0</v>
      </c>
      <c r="AK81" s="39">
        <f>+IFERROR((FT_RF_26[[#This Row],[Block]]/FT_RF_26[[#This Row],[Muestra]]),"0")</f>
        <v>0</v>
      </c>
      <c r="AL81" s="41">
        <v>0</v>
      </c>
      <c r="AM81" s="42">
        <v>0</v>
      </c>
      <c r="AN81" s="38">
        <v>0</v>
      </c>
      <c r="AO81" s="39">
        <f>+IFERROR((FT_RF_26[[#This Row],[Fuera de calibre &lt;12mm]]/FT_RF_26[[#This Row],[Muestra]]),"0")</f>
        <v>0</v>
      </c>
      <c r="AP81" s="38">
        <v>0</v>
      </c>
      <c r="AQ81" s="39">
        <f>+IFERROR((FT_RF_26[[#This Row],[Calibre &lt;25]]/FT_RF_26[[#This Row],[Muestra]]),"0")</f>
        <v>0</v>
      </c>
      <c r="AR81" s="38">
        <v>0</v>
      </c>
      <c r="AS81" s="39">
        <f>+IFERROR((FT_RF_26[[#This Row],[Calibre &gt;12]]/FT_RF_26[[#This Row],[Muestra]]),"0")</f>
        <v>0</v>
      </c>
      <c r="AT81" s="38">
        <v>0</v>
      </c>
      <c r="AU81" s="39">
        <f>+IFERROR((FT_RF_26[[#This Row],[Calibre &lt;14]]/FT_RF_26[[#This Row],[Muestra]]),"0")</f>
        <v>0</v>
      </c>
      <c r="AV81" s="38">
        <v>0</v>
      </c>
      <c r="AW81" s="39">
        <f>+IFERROR((FT_RF_26[[#This Row],[Calibre &gt;14]]/FT_RF_26[[#This Row],[Muestra]]),"0")</f>
        <v>0</v>
      </c>
      <c r="AX81" s="38">
        <v>0</v>
      </c>
      <c r="AY81" s="39">
        <f>+IFERROR((FT_RF_26[[#This Row],[Calibre &lt;10]]/FT_RF_26[[#This Row],[Muestra]]),"0")</f>
        <v>0</v>
      </c>
      <c r="AZ81" s="38">
        <v>0</v>
      </c>
      <c r="BA81" s="39">
        <f>+IFERROR((FT_RF_26[[#This Row],[Calibre &gt;13]]/FT_RF_26[[#This Row],[Muestra]]),"0")</f>
        <v>0</v>
      </c>
      <c r="BB81" s="41"/>
      <c r="BG81" s="42"/>
      <c r="BH81" s="43">
        <v>0</v>
      </c>
      <c r="BI81" s="29" t="s">
        <v>894</v>
      </c>
      <c r="BJ81" s="29" t="s">
        <v>894</v>
      </c>
      <c r="BK8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8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81" s="45">
        <f>1-FT_RF_26[[#This Row],[% Defectos]]</f>
        <v>1</v>
      </c>
      <c r="BO81" s="60"/>
      <c r="BP81" s="12">
        <f>SUM(FT_RF_26[[#This Row],[Hoja (Un.)]:[Larvas Caja]])</f>
        <v>0</v>
      </c>
      <c r="BQ81" s="12">
        <f>SUM(FT_RF_26[[#This Row],[Vidrios]:[Plástico]])</f>
        <v>0</v>
      </c>
      <c r="BR81" s="12" t="str">
        <f>IF(ISBLANK(FT_RF_26[[#This Row],[Descripción del producto]]),"",FT_RF_26[[#This Row],[Descripción del producto]])</f>
        <v/>
      </c>
      <c r="BS81" s="29" t="str">
        <f>IF(ISBLANK(FT_RF_26[[#This Row],[N° de Lote]]),"",FT_RF_26[[#This Row],[N° de Lote]])</f>
        <v/>
      </c>
      <c r="BT81" s="29" t="str">
        <f>IF(ISBLANK(FT_RF_26[[#This Row],[N° de Pallet]]),"",FT_RF_26[[#This Row],[N° de Pallet]])</f>
        <v/>
      </c>
    </row>
    <row r="82" spans="2:72">
      <c r="B82" s="29">
        <f>+_xlfn.ISOWEEKNUM(FT_RF_26[[#This Row],[Fecha]])</f>
        <v>52</v>
      </c>
      <c r="E82" s="31"/>
      <c r="F82" s="12" t="str">
        <f>IFERROR(""&amp;_xlfn.XLOOKUP(FT_RF_26[[#This Row],[Código]],BD_Cod[SKU],BD_Cod[Descripción]),"")</f>
        <v/>
      </c>
      <c r="G82" s="32" t="str">
        <f>IFERROR(""&amp;_xlfn.XLOOKUP(FT_RF_26[[#This Row],[Código]],BD_Cod[SKU],BD_Cod[Familia Calidad]),"")</f>
        <v/>
      </c>
      <c r="J82" s="33">
        <v>1000</v>
      </c>
      <c r="L82" s="30" t="s">
        <v>244</v>
      </c>
      <c r="O82" s="30" t="s">
        <v>894</v>
      </c>
      <c r="P82" s="29" t="s">
        <v>894</v>
      </c>
      <c r="Q82" s="37">
        <f>1-FT_RF_26[[#This Row],[% Defectos]]</f>
        <v>1</v>
      </c>
      <c r="R82" s="38">
        <v>0</v>
      </c>
      <c r="S82" s="39">
        <f>+IFERROR((FT_RF_26[[#This Row],[Inmadura]]/FT_RF_26[[#This Row],[Muestra]]),"0")</f>
        <v>0</v>
      </c>
      <c r="T82" s="38">
        <v>0</v>
      </c>
      <c r="U82" s="39">
        <f>+IFERROR((FT_RF_26[[#This Row],[Partidas]]/FT_RF_26[[#This Row],[Muestra]]),"0")</f>
        <v>0</v>
      </c>
      <c r="V82" s="38">
        <v>0</v>
      </c>
      <c r="W82" s="39">
        <f>+IFERROR((FT_RF_26[[#This Row],[Daño Insecto]]/FT_RF_26[[#This Row],[Muestra]]),"0")</f>
        <v>0</v>
      </c>
      <c r="X82" s="38">
        <v>0</v>
      </c>
      <c r="Y82" s="39">
        <f>+IFERROR((FT_RF_26[[#This Row],[Sobremadura]]/FT_RF_26[[#This Row],[Muestra]]),"0")</f>
        <v>0</v>
      </c>
      <c r="Z82" s="38">
        <v>0</v>
      </c>
      <c r="AA82" s="39">
        <f>+IFERROR((FT_RF_26[[#This Row],[Deforme]]/FT_RF_26[[#This Row],[Muestra]]),"0")</f>
        <v>0</v>
      </c>
      <c r="AB82" s="27"/>
      <c r="AC82" s="38">
        <v>0</v>
      </c>
      <c r="AD82" s="39">
        <f>+IFERROR((FT_RF_26[[#This Row],[Valor Extra 1]]/FT_RF_26[[#This Row],[Muestra]]),"0")</f>
        <v>0</v>
      </c>
      <c r="AF82" s="38">
        <v>0</v>
      </c>
      <c r="AG82" s="39">
        <f>+IFERROR((FT_RF_26[[#This Row],[Valor Extra 2]]/FT_RF_26[[#This Row],[Muestra]]),"0")</f>
        <v>0</v>
      </c>
      <c r="AH82" s="40">
        <v>0</v>
      </c>
      <c r="AI82" s="39">
        <f>+IFERROR((FT_RF_26[[#This Row],[Hongos]]/FT_RF_26[[#This Row],[Muestra]]),"0")</f>
        <v>0</v>
      </c>
      <c r="AJ82" s="38">
        <v>0</v>
      </c>
      <c r="AK82" s="39">
        <f>+IFERROR((FT_RF_26[[#This Row],[Block]]/FT_RF_26[[#This Row],[Muestra]]),"0")</f>
        <v>0</v>
      </c>
      <c r="AL82" s="41">
        <v>0</v>
      </c>
      <c r="AM82" s="42">
        <v>0</v>
      </c>
      <c r="AN82" s="38">
        <v>0</v>
      </c>
      <c r="AO82" s="39">
        <f>+IFERROR((FT_RF_26[[#This Row],[Fuera de calibre &lt;12mm]]/FT_RF_26[[#This Row],[Muestra]]),"0")</f>
        <v>0</v>
      </c>
      <c r="AP82" s="38">
        <v>0</v>
      </c>
      <c r="AQ82" s="39">
        <f>+IFERROR((FT_RF_26[[#This Row],[Calibre &lt;25]]/FT_RF_26[[#This Row],[Muestra]]),"0")</f>
        <v>0</v>
      </c>
      <c r="AR82" s="38">
        <v>0</v>
      </c>
      <c r="AS82" s="39">
        <f>+IFERROR((FT_RF_26[[#This Row],[Calibre &gt;12]]/FT_RF_26[[#This Row],[Muestra]]),"0")</f>
        <v>0</v>
      </c>
      <c r="AT82" s="38">
        <v>0</v>
      </c>
      <c r="AU82" s="39">
        <f>+IFERROR((FT_RF_26[[#This Row],[Calibre &lt;14]]/FT_RF_26[[#This Row],[Muestra]]),"0")</f>
        <v>0</v>
      </c>
      <c r="AV82" s="38">
        <v>0</v>
      </c>
      <c r="AW82" s="39">
        <f>+IFERROR((FT_RF_26[[#This Row],[Calibre &gt;14]]/FT_RF_26[[#This Row],[Muestra]]),"0")</f>
        <v>0</v>
      </c>
      <c r="AX82" s="38">
        <v>0</v>
      </c>
      <c r="AY82" s="39">
        <f>+IFERROR((FT_RF_26[[#This Row],[Calibre &lt;10]]/FT_RF_26[[#This Row],[Muestra]]),"0")</f>
        <v>0</v>
      </c>
      <c r="AZ82" s="38">
        <v>0</v>
      </c>
      <c r="BA82" s="39">
        <f>+IFERROR((FT_RF_26[[#This Row],[Calibre &gt;13]]/FT_RF_26[[#This Row],[Muestra]]),"0")</f>
        <v>0</v>
      </c>
      <c r="BB82" s="41"/>
      <c r="BG82" s="42"/>
      <c r="BH82" s="43">
        <v>0</v>
      </c>
      <c r="BI82" s="29" t="s">
        <v>894</v>
      </c>
      <c r="BJ82" s="29" t="s">
        <v>894</v>
      </c>
      <c r="BK8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8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82" s="45">
        <f>1-FT_RF_26[[#This Row],[% Defectos]]</f>
        <v>1</v>
      </c>
      <c r="BO82" s="60"/>
      <c r="BP82" s="12">
        <f>SUM(FT_RF_26[[#This Row],[Hoja (Un.)]:[Larvas Caja]])</f>
        <v>0</v>
      </c>
      <c r="BQ82" s="12">
        <f>SUM(FT_RF_26[[#This Row],[Vidrios]:[Plástico]])</f>
        <v>0</v>
      </c>
      <c r="BR82" s="12" t="str">
        <f>IF(ISBLANK(FT_RF_26[[#This Row],[Descripción del producto]]),"",FT_RF_26[[#This Row],[Descripción del producto]])</f>
        <v/>
      </c>
      <c r="BS82" s="29" t="str">
        <f>IF(ISBLANK(FT_RF_26[[#This Row],[N° de Lote]]),"",FT_RF_26[[#This Row],[N° de Lote]])</f>
        <v/>
      </c>
      <c r="BT82" s="29" t="str">
        <f>IF(ISBLANK(FT_RF_26[[#This Row],[N° de Pallet]]),"",FT_RF_26[[#This Row],[N° de Pallet]])</f>
        <v/>
      </c>
    </row>
    <row r="83" spans="2:72">
      <c r="B83" s="29">
        <f>+_xlfn.ISOWEEKNUM(FT_RF_26[[#This Row],[Fecha]])</f>
        <v>52</v>
      </c>
      <c r="E83" s="31"/>
      <c r="F83" s="12" t="str">
        <f>IFERROR(""&amp;_xlfn.XLOOKUP(FT_RF_26[[#This Row],[Código]],BD_Cod[SKU],BD_Cod[Descripción]),"")</f>
        <v/>
      </c>
      <c r="G83" s="32" t="str">
        <f>IFERROR(""&amp;_xlfn.XLOOKUP(FT_RF_26[[#This Row],[Código]],BD_Cod[SKU],BD_Cod[Familia Calidad]),"")</f>
        <v/>
      </c>
      <c r="J83" s="33">
        <v>1000</v>
      </c>
      <c r="L83" s="30" t="s">
        <v>244</v>
      </c>
      <c r="O83" s="30" t="s">
        <v>894</v>
      </c>
      <c r="P83" s="29" t="s">
        <v>894</v>
      </c>
      <c r="Q83" s="37">
        <f>1-FT_RF_26[[#This Row],[% Defectos]]</f>
        <v>1</v>
      </c>
      <c r="R83" s="38">
        <v>0</v>
      </c>
      <c r="S83" s="39">
        <f>+IFERROR((FT_RF_26[[#This Row],[Inmadura]]/FT_RF_26[[#This Row],[Muestra]]),"0")</f>
        <v>0</v>
      </c>
      <c r="T83" s="38">
        <v>0</v>
      </c>
      <c r="U83" s="39">
        <f>+IFERROR((FT_RF_26[[#This Row],[Partidas]]/FT_RF_26[[#This Row],[Muestra]]),"0")</f>
        <v>0</v>
      </c>
      <c r="V83" s="38">
        <v>0</v>
      </c>
      <c r="W83" s="39">
        <f>+IFERROR((FT_RF_26[[#This Row],[Daño Insecto]]/FT_RF_26[[#This Row],[Muestra]]),"0")</f>
        <v>0</v>
      </c>
      <c r="X83" s="38">
        <v>0</v>
      </c>
      <c r="Y83" s="39">
        <f>+IFERROR((FT_RF_26[[#This Row],[Sobremadura]]/FT_RF_26[[#This Row],[Muestra]]),"0")</f>
        <v>0</v>
      </c>
      <c r="Z83" s="38">
        <v>0</v>
      </c>
      <c r="AA83" s="39">
        <f>+IFERROR((FT_RF_26[[#This Row],[Deforme]]/FT_RF_26[[#This Row],[Muestra]]),"0")</f>
        <v>0</v>
      </c>
      <c r="AB83" s="27"/>
      <c r="AC83" s="38">
        <v>0</v>
      </c>
      <c r="AD83" s="39">
        <f>+IFERROR((FT_RF_26[[#This Row],[Valor Extra 1]]/FT_RF_26[[#This Row],[Muestra]]),"0")</f>
        <v>0</v>
      </c>
      <c r="AF83" s="38">
        <v>0</v>
      </c>
      <c r="AG83" s="39">
        <f>+IFERROR((FT_RF_26[[#This Row],[Valor Extra 2]]/FT_RF_26[[#This Row],[Muestra]]),"0")</f>
        <v>0</v>
      </c>
      <c r="AH83" s="40">
        <v>0</v>
      </c>
      <c r="AI83" s="39">
        <f>+IFERROR((FT_RF_26[[#This Row],[Hongos]]/FT_RF_26[[#This Row],[Muestra]]),"0")</f>
        <v>0</v>
      </c>
      <c r="AJ83" s="38">
        <v>0</v>
      </c>
      <c r="AK83" s="39">
        <f>+IFERROR((FT_RF_26[[#This Row],[Block]]/FT_RF_26[[#This Row],[Muestra]]),"0")</f>
        <v>0</v>
      </c>
      <c r="AL83" s="41">
        <v>0</v>
      </c>
      <c r="AM83" s="42">
        <v>0</v>
      </c>
      <c r="AN83" s="38">
        <v>0</v>
      </c>
      <c r="AO83" s="39">
        <f>+IFERROR((FT_RF_26[[#This Row],[Fuera de calibre &lt;12mm]]/FT_RF_26[[#This Row],[Muestra]]),"0")</f>
        <v>0</v>
      </c>
      <c r="AP83" s="38">
        <v>0</v>
      </c>
      <c r="AQ83" s="39">
        <f>+IFERROR((FT_RF_26[[#This Row],[Calibre &lt;25]]/FT_RF_26[[#This Row],[Muestra]]),"0")</f>
        <v>0</v>
      </c>
      <c r="AR83" s="38">
        <v>0</v>
      </c>
      <c r="AS83" s="39">
        <f>+IFERROR((FT_RF_26[[#This Row],[Calibre &gt;12]]/FT_RF_26[[#This Row],[Muestra]]),"0")</f>
        <v>0</v>
      </c>
      <c r="AT83" s="38">
        <v>0</v>
      </c>
      <c r="AU83" s="39">
        <f>+IFERROR((FT_RF_26[[#This Row],[Calibre &lt;14]]/FT_RF_26[[#This Row],[Muestra]]),"0")</f>
        <v>0</v>
      </c>
      <c r="AV83" s="38">
        <v>0</v>
      </c>
      <c r="AW83" s="39">
        <f>+IFERROR((FT_RF_26[[#This Row],[Calibre &gt;14]]/FT_RF_26[[#This Row],[Muestra]]),"0")</f>
        <v>0</v>
      </c>
      <c r="AX83" s="38">
        <v>0</v>
      </c>
      <c r="AY83" s="39">
        <f>+IFERROR((FT_RF_26[[#This Row],[Calibre &lt;10]]/FT_RF_26[[#This Row],[Muestra]]),"0")</f>
        <v>0</v>
      </c>
      <c r="AZ83" s="38">
        <v>0</v>
      </c>
      <c r="BA83" s="39">
        <f>+IFERROR((FT_RF_26[[#This Row],[Calibre &gt;13]]/FT_RF_26[[#This Row],[Muestra]]),"0")</f>
        <v>0</v>
      </c>
      <c r="BB83" s="41"/>
      <c r="BG83" s="42"/>
      <c r="BH83" s="43">
        <v>0</v>
      </c>
      <c r="BI83" s="29" t="s">
        <v>894</v>
      </c>
      <c r="BJ83" s="29" t="s">
        <v>894</v>
      </c>
      <c r="BK8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8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83" s="45">
        <f>1-FT_RF_26[[#This Row],[% Defectos]]</f>
        <v>1</v>
      </c>
      <c r="BO83" s="60"/>
      <c r="BP83" s="12">
        <f>SUM(FT_RF_26[[#This Row],[Hoja (Un.)]:[Larvas Caja]])</f>
        <v>0</v>
      </c>
      <c r="BQ83" s="12">
        <f>SUM(FT_RF_26[[#This Row],[Vidrios]:[Plástico]])</f>
        <v>0</v>
      </c>
      <c r="BR83" s="12" t="str">
        <f>IF(ISBLANK(FT_RF_26[[#This Row],[Descripción del producto]]),"",FT_RF_26[[#This Row],[Descripción del producto]])</f>
        <v/>
      </c>
      <c r="BS83" s="29" t="str">
        <f>IF(ISBLANK(FT_RF_26[[#This Row],[N° de Lote]]),"",FT_RF_26[[#This Row],[N° de Lote]])</f>
        <v/>
      </c>
      <c r="BT83" s="29" t="str">
        <f>IF(ISBLANK(FT_RF_26[[#This Row],[N° de Pallet]]),"",FT_RF_26[[#This Row],[N° de Pallet]])</f>
        <v/>
      </c>
    </row>
    <row r="84" spans="2:72">
      <c r="B84" s="29">
        <f>+_xlfn.ISOWEEKNUM(FT_RF_26[[#This Row],[Fecha]])</f>
        <v>52</v>
      </c>
      <c r="E84" s="31"/>
      <c r="F84" s="12" t="str">
        <f>IFERROR(""&amp;_xlfn.XLOOKUP(FT_RF_26[[#This Row],[Código]],BD_Cod[SKU],BD_Cod[Descripción]),"")</f>
        <v/>
      </c>
      <c r="G84" s="32" t="str">
        <f>IFERROR(""&amp;_xlfn.XLOOKUP(FT_RF_26[[#This Row],[Código]],BD_Cod[SKU],BD_Cod[Familia Calidad]),"")</f>
        <v/>
      </c>
      <c r="J84" s="33">
        <v>1000</v>
      </c>
      <c r="L84" s="30" t="s">
        <v>244</v>
      </c>
      <c r="O84" s="30" t="s">
        <v>894</v>
      </c>
      <c r="P84" s="29" t="s">
        <v>894</v>
      </c>
      <c r="Q84" s="37">
        <f>1-FT_RF_26[[#This Row],[% Defectos]]</f>
        <v>1</v>
      </c>
      <c r="R84" s="38">
        <v>0</v>
      </c>
      <c r="S84" s="39">
        <f>+IFERROR((FT_RF_26[[#This Row],[Inmadura]]/FT_RF_26[[#This Row],[Muestra]]),"0")</f>
        <v>0</v>
      </c>
      <c r="T84" s="38">
        <v>0</v>
      </c>
      <c r="U84" s="39">
        <f>+IFERROR((FT_RF_26[[#This Row],[Partidas]]/FT_RF_26[[#This Row],[Muestra]]),"0")</f>
        <v>0</v>
      </c>
      <c r="V84" s="38">
        <v>0</v>
      </c>
      <c r="W84" s="39">
        <f>+IFERROR((FT_RF_26[[#This Row],[Daño Insecto]]/FT_RF_26[[#This Row],[Muestra]]),"0")</f>
        <v>0</v>
      </c>
      <c r="X84" s="38">
        <v>0</v>
      </c>
      <c r="Y84" s="39">
        <f>+IFERROR((FT_RF_26[[#This Row],[Sobremadura]]/FT_RF_26[[#This Row],[Muestra]]),"0")</f>
        <v>0</v>
      </c>
      <c r="Z84" s="38">
        <v>0</v>
      </c>
      <c r="AA84" s="39">
        <f>+IFERROR((FT_RF_26[[#This Row],[Deforme]]/FT_RF_26[[#This Row],[Muestra]]),"0")</f>
        <v>0</v>
      </c>
      <c r="AB84" s="27"/>
      <c r="AC84" s="38">
        <v>0</v>
      </c>
      <c r="AD84" s="39">
        <f>+IFERROR((FT_RF_26[[#This Row],[Valor Extra 1]]/FT_RF_26[[#This Row],[Muestra]]),"0")</f>
        <v>0</v>
      </c>
      <c r="AF84" s="38">
        <v>0</v>
      </c>
      <c r="AG84" s="39">
        <f>+IFERROR((FT_RF_26[[#This Row],[Valor Extra 2]]/FT_RF_26[[#This Row],[Muestra]]),"0")</f>
        <v>0</v>
      </c>
      <c r="AH84" s="40">
        <v>0</v>
      </c>
      <c r="AI84" s="39">
        <f>+IFERROR((FT_RF_26[[#This Row],[Hongos]]/FT_RF_26[[#This Row],[Muestra]]),"0")</f>
        <v>0</v>
      </c>
      <c r="AJ84" s="38">
        <v>0</v>
      </c>
      <c r="AK84" s="39">
        <f>+IFERROR((FT_RF_26[[#This Row],[Block]]/FT_RF_26[[#This Row],[Muestra]]),"0")</f>
        <v>0</v>
      </c>
      <c r="AL84" s="41">
        <v>0</v>
      </c>
      <c r="AM84" s="42">
        <v>0</v>
      </c>
      <c r="AN84" s="38">
        <v>0</v>
      </c>
      <c r="AO84" s="39">
        <f>+IFERROR((FT_RF_26[[#This Row],[Fuera de calibre &lt;12mm]]/FT_RF_26[[#This Row],[Muestra]]),"0")</f>
        <v>0</v>
      </c>
      <c r="AP84" s="38">
        <v>0</v>
      </c>
      <c r="AQ84" s="39">
        <f>+IFERROR((FT_RF_26[[#This Row],[Calibre &lt;25]]/FT_RF_26[[#This Row],[Muestra]]),"0")</f>
        <v>0</v>
      </c>
      <c r="AR84" s="38">
        <v>0</v>
      </c>
      <c r="AS84" s="39">
        <f>+IFERROR((FT_RF_26[[#This Row],[Calibre &gt;12]]/FT_RF_26[[#This Row],[Muestra]]),"0")</f>
        <v>0</v>
      </c>
      <c r="AT84" s="38">
        <v>0</v>
      </c>
      <c r="AU84" s="39">
        <f>+IFERROR((FT_RF_26[[#This Row],[Calibre &lt;14]]/FT_RF_26[[#This Row],[Muestra]]),"0")</f>
        <v>0</v>
      </c>
      <c r="AV84" s="38">
        <v>0</v>
      </c>
      <c r="AW84" s="39">
        <f>+IFERROR((FT_RF_26[[#This Row],[Calibre &gt;14]]/FT_RF_26[[#This Row],[Muestra]]),"0")</f>
        <v>0</v>
      </c>
      <c r="AX84" s="38">
        <v>0</v>
      </c>
      <c r="AY84" s="39">
        <f>+IFERROR((FT_RF_26[[#This Row],[Calibre &lt;10]]/FT_RF_26[[#This Row],[Muestra]]),"0")</f>
        <v>0</v>
      </c>
      <c r="AZ84" s="38">
        <v>0</v>
      </c>
      <c r="BA84" s="39">
        <f>+IFERROR((FT_RF_26[[#This Row],[Calibre &gt;13]]/FT_RF_26[[#This Row],[Muestra]]),"0")</f>
        <v>0</v>
      </c>
      <c r="BB84" s="41"/>
      <c r="BG84" s="42"/>
      <c r="BH84" s="43">
        <v>0</v>
      </c>
      <c r="BI84" s="29" t="s">
        <v>894</v>
      </c>
      <c r="BJ84" s="29" t="s">
        <v>894</v>
      </c>
      <c r="BK8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8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84" s="45">
        <f>1-FT_RF_26[[#This Row],[% Defectos]]</f>
        <v>1</v>
      </c>
      <c r="BO84" s="60"/>
      <c r="BP84" s="12">
        <f>SUM(FT_RF_26[[#This Row],[Hoja (Un.)]:[Larvas Caja]])</f>
        <v>0</v>
      </c>
      <c r="BQ84" s="12">
        <f>SUM(FT_RF_26[[#This Row],[Vidrios]:[Plástico]])</f>
        <v>0</v>
      </c>
      <c r="BR84" s="12" t="str">
        <f>IF(ISBLANK(FT_RF_26[[#This Row],[Descripción del producto]]),"",FT_RF_26[[#This Row],[Descripción del producto]])</f>
        <v/>
      </c>
      <c r="BS84" s="29" t="str">
        <f>IF(ISBLANK(FT_RF_26[[#This Row],[N° de Lote]]),"",FT_RF_26[[#This Row],[N° de Lote]])</f>
        <v/>
      </c>
      <c r="BT84" s="29" t="str">
        <f>IF(ISBLANK(FT_RF_26[[#This Row],[N° de Pallet]]),"",FT_RF_26[[#This Row],[N° de Pallet]])</f>
        <v/>
      </c>
    </row>
    <row r="85" spans="2:72">
      <c r="B85" s="29">
        <f>+_xlfn.ISOWEEKNUM(FT_RF_26[[#This Row],[Fecha]])</f>
        <v>52</v>
      </c>
      <c r="E85" s="31"/>
      <c r="F85" s="12" t="str">
        <f>IFERROR(""&amp;_xlfn.XLOOKUP(FT_RF_26[[#This Row],[Código]],BD_Cod[SKU],BD_Cod[Descripción]),"")</f>
        <v/>
      </c>
      <c r="G85" s="32" t="str">
        <f>IFERROR(""&amp;_xlfn.XLOOKUP(FT_RF_26[[#This Row],[Código]],BD_Cod[SKU],BD_Cod[Familia Calidad]),"")</f>
        <v/>
      </c>
      <c r="J85" s="33">
        <v>1000</v>
      </c>
      <c r="L85" s="30" t="s">
        <v>244</v>
      </c>
      <c r="O85" s="30" t="s">
        <v>894</v>
      </c>
      <c r="P85" s="29" t="s">
        <v>894</v>
      </c>
      <c r="Q85" s="37">
        <f>1-FT_RF_26[[#This Row],[% Defectos]]</f>
        <v>1</v>
      </c>
      <c r="R85" s="38">
        <v>0</v>
      </c>
      <c r="S85" s="39">
        <f>+IFERROR((FT_RF_26[[#This Row],[Inmadura]]/FT_RF_26[[#This Row],[Muestra]]),"0")</f>
        <v>0</v>
      </c>
      <c r="T85" s="38">
        <v>0</v>
      </c>
      <c r="U85" s="39">
        <f>+IFERROR((FT_RF_26[[#This Row],[Partidas]]/FT_RF_26[[#This Row],[Muestra]]),"0")</f>
        <v>0</v>
      </c>
      <c r="V85" s="38">
        <v>0</v>
      </c>
      <c r="W85" s="39">
        <f>+IFERROR((FT_RF_26[[#This Row],[Daño Insecto]]/FT_RF_26[[#This Row],[Muestra]]),"0")</f>
        <v>0</v>
      </c>
      <c r="X85" s="38">
        <v>0</v>
      </c>
      <c r="Y85" s="39">
        <f>+IFERROR((FT_RF_26[[#This Row],[Sobremadura]]/FT_RF_26[[#This Row],[Muestra]]),"0")</f>
        <v>0</v>
      </c>
      <c r="Z85" s="38">
        <v>0</v>
      </c>
      <c r="AA85" s="39">
        <f>+IFERROR((FT_RF_26[[#This Row],[Deforme]]/FT_RF_26[[#This Row],[Muestra]]),"0")</f>
        <v>0</v>
      </c>
      <c r="AB85" s="27"/>
      <c r="AC85" s="38">
        <v>0</v>
      </c>
      <c r="AD85" s="39">
        <f>+IFERROR((FT_RF_26[[#This Row],[Valor Extra 1]]/FT_RF_26[[#This Row],[Muestra]]),"0")</f>
        <v>0</v>
      </c>
      <c r="AF85" s="38">
        <v>0</v>
      </c>
      <c r="AG85" s="39">
        <f>+IFERROR((FT_RF_26[[#This Row],[Valor Extra 2]]/FT_RF_26[[#This Row],[Muestra]]),"0")</f>
        <v>0</v>
      </c>
      <c r="AH85" s="40">
        <v>0</v>
      </c>
      <c r="AI85" s="39">
        <f>+IFERROR((FT_RF_26[[#This Row],[Hongos]]/FT_RF_26[[#This Row],[Muestra]]),"0")</f>
        <v>0</v>
      </c>
      <c r="AJ85" s="38">
        <v>0</v>
      </c>
      <c r="AK85" s="39">
        <f>+IFERROR((FT_RF_26[[#This Row],[Block]]/FT_RF_26[[#This Row],[Muestra]]),"0")</f>
        <v>0</v>
      </c>
      <c r="AL85" s="41">
        <v>0</v>
      </c>
      <c r="AM85" s="42">
        <v>0</v>
      </c>
      <c r="AN85" s="38">
        <v>0</v>
      </c>
      <c r="AO85" s="39">
        <f>+IFERROR((FT_RF_26[[#This Row],[Fuera de calibre &lt;12mm]]/FT_RF_26[[#This Row],[Muestra]]),"0")</f>
        <v>0</v>
      </c>
      <c r="AP85" s="38">
        <v>0</v>
      </c>
      <c r="AQ85" s="39">
        <f>+IFERROR((FT_RF_26[[#This Row],[Calibre &lt;25]]/FT_RF_26[[#This Row],[Muestra]]),"0")</f>
        <v>0</v>
      </c>
      <c r="AR85" s="38">
        <v>0</v>
      </c>
      <c r="AS85" s="39">
        <f>+IFERROR((FT_RF_26[[#This Row],[Calibre &gt;12]]/FT_RF_26[[#This Row],[Muestra]]),"0")</f>
        <v>0</v>
      </c>
      <c r="AT85" s="38">
        <v>0</v>
      </c>
      <c r="AU85" s="39">
        <f>+IFERROR((FT_RF_26[[#This Row],[Calibre &lt;14]]/FT_RF_26[[#This Row],[Muestra]]),"0")</f>
        <v>0</v>
      </c>
      <c r="AV85" s="38">
        <v>0</v>
      </c>
      <c r="AW85" s="39">
        <f>+IFERROR((FT_RF_26[[#This Row],[Calibre &gt;14]]/FT_RF_26[[#This Row],[Muestra]]),"0")</f>
        <v>0</v>
      </c>
      <c r="AX85" s="38">
        <v>0</v>
      </c>
      <c r="AY85" s="39">
        <f>+IFERROR((FT_RF_26[[#This Row],[Calibre &lt;10]]/FT_RF_26[[#This Row],[Muestra]]),"0")</f>
        <v>0</v>
      </c>
      <c r="AZ85" s="38">
        <v>0</v>
      </c>
      <c r="BA85" s="39">
        <f>+IFERROR((FT_RF_26[[#This Row],[Calibre &gt;13]]/FT_RF_26[[#This Row],[Muestra]]),"0")</f>
        <v>0</v>
      </c>
      <c r="BB85" s="41"/>
      <c r="BG85" s="42"/>
      <c r="BH85" s="43">
        <v>0</v>
      </c>
      <c r="BI85" s="29" t="s">
        <v>894</v>
      </c>
      <c r="BJ85" s="29" t="s">
        <v>894</v>
      </c>
      <c r="BK8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8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85" s="45">
        <f>1-FT_RF_26[[#This Row],[% Defectos]]</f>
        <v>1</v>
      </c>
      <c r="BO85" s="60"/>
      <c r="BP85" s="12">
        <f>SUM(FT_RF_26[[#This Row],[Hoja (Un.)]:[Larvas Caja]])</f>
        <v>0</v>
      </c>
      <c r="BQ85" s="12">
        <f>SUM(FT_RF_26[[#This Row],[Vidrios]:[Plástico]])</f>
        <v>0</v>
      </c>
      <c r="BR85" s="12" t="str">
        <f>IF(ISBLANK(FT_RF_26[[#This Row],[Descripción del producto]]),"",FT_RF_26[[#This Row],[Descripción del producto]])</f>
        <v/>
      </c>
      <c r="BS85" s="29" t="str">
        <f>IF(ISBLANK(FT_RF_26[[#This Row],[N° de Lote]]),"",FT_RF_26[[#This Row],[N° de Lote]])</f>
        <v/>
      </c>
      <c r="BT85" s="29" t="str">
        <f>IF(ISBLANK(FT_RF_26[[#This Row],[N° de Pallet]]),"",FT_RF_26[[#This Row],[N° de Pallet]])</f>
        <v/>
      </c>
    </row>
    <row r="86" spans="2:72">
      <c r="B86" s="29">
        <f>+_xlfn.ISOWEEKNUM(FT_RF_26[[#This Row],[Fecha]])</f>
        <v>52</v>
      </c>
      <c r="E86" s="31"/>
      <c r="F86" s="12" t="str">
        <f>IFERROR(""&amp;_xlfn.XLOOKUP(FT_RF_26[[#This Row],[Código]],BD_Cod[SKU],BD_Cod[Descripción]),"")</f>
        <v/>
      </c>
      <c r="G86" s="32" t="str">
        <f>IFERROR(""&amp;_xlfn.XLOOKUP(FT_RF_26[[#This Row],[Código]],BD_Cod[SKU],BD_Cod[Familia Calidad]),"")</f>
        <v/>
      </c>
      <c r="J86" s="33">
        <v>1000</v>
      </c>
      <c r="L86" s="30" t="s">
        <v>244</v>
      </c>
      <c r="O86" s="30" t="s">
        <v>894</v>
      </c>
      <c r="P86" s="29" t="s">
        <v>894</v>
      </c>
      <c r="Q86" s="37">
        <f>1-FT_RF_26[[#This Row],[% Defectos]]</f>
        <v>1</v>
      </c>
      <c r="R86" s="38">
        <v>0</v>
      </c>
      <c r="S86" s="39">
        <f>+IFERROR((FT_RF_26[[#This Row],[Inmadura]]/FT_RF_26[[#This Row],[Muestra]]),"0")</f>
        <v>0</v>
      </c>
      <c r="T86" s="38">
        <v>0</v>
      </c>
      <c r="U86" s="39">
        <f>+IFERROR((FT_RF_26[[#This Row],[Partidas]]/FT_RF_26[[#This Row],[Muestra]]),"0")</f>
        <v>0</v>
      </c>
      <c r="V86" s="38">
        <v>0</v>
      </c>
      <c r="W86" s="39">
        <f>+IFERROR((FT_RF_26[[#This Row],[Daño Insecto]]/FT_RF_26[[#This Row],[Muestra]]),"0")</f>
        <v>0</v>
      </c>
      <c r="X86" s="38">
        <v>0</v>
      </c>
      <c r="Y86" s="39">
        <f>+IFERROR((FT_RF_26[[#This Row],[Sobremadura]]/FT_RF_26[[#This Row],[Muestra]]),"0")</f>
        <v>0</v>
      </c>
      <c r="Z86" s="38">
        <v>0</v>
      </c>
      <c r="AA86" s="39">
        <f>+IFERROR((FT_RF_26[[#This Row],[Deforme]]/FT_RF_26[[#This Row],[Muestra]]),"0")</f>
        <v>0</v>
      </c>
      <c r="AB86" s="27"/>
      <c r="AC86" s="38">
        <v>0</v>
      </c>
      <c r="AD86" s="39">
        <f>+IFERROR((FT_RF_26[[#This Row],[Valor Extra 1]]/FT_RF_26[[#This Row],[Muestra]]),"0")</f>
        <v>0</v>
      </c>
      <c r="AF86" s="38">
        <v>0</v>
      </c>
      <c r="AG86" s="39">
        <f>+IFERROR((FT_RF_26[[#This Row],[Valor Extra 2]]/FT_RF_26[[#This Row],[Muestra]]),"0")</f>
        <v>0</v>
      </c>
      <c r="AH86" s="40">
        <v>0</v>
      </c>
      <c r="AI86" s="39">
        <f>+IFERROR((FT_RF_26[[#This Row],[Hongos]]/FT_RF_26[[#This Row],[Muestra]]),"0")</f>
        <v>0</v>
      </c>
      <c r="AJ86" s="38">
        <v>0</v>
      </c>
      <c r="AK86" s="39">
        <f>+IFERROR((FT_RF_26[[#This Row],[Block]]/FT_RF_26[[#This Row],[Muestra]]),"0")</f>
        <v>0</v>
      </c>
      <c r="AL86" s="41">
        <v>0</v>
      </c>
      <c r="AM86" s="42">
        <v>0</v>
      </c>
      <c r="AN86" s="38">
        <v>0</v>
      </c>
      <c r="AO86" s="39">
        <f>+IFERROR((FT_RF_26[[#This Row],[Fuera de calibre &lt;12mm]]/FT_RF_26[[#This Row],[Muestra]]),"0")</f>
        <v>0</v>
      </c>
      <c r="AP86" s="38">
        <v>0</v>
      </c>
      <c r="AQ86" s="39">
        <f>+IFERROR((FT_RF_26[[#This Row],[Calibre &lt;25]]/FT_RF_26[[#This Row],[Muestra]]),"0")</f>
        <v>0</v>
      </c>
      <c r="AR86" s="38">
        <v>0</v>
      </c>
      <c r="AS86" s="39">
        <f>+IFERROR((FT_RF_26[[#This Row],[Calibre &gt;12]]/FT_RF_26[[#This Row],[Muestra]]),"0")</f>
        <v>0</v>
      </c>
      <c r="AT86" s="38">
        <v>0</v>
      </c>
      <c r="AU86" s="39">
        <f>+IFERROR((FT_RF_26[[#This Row],[Calibre &lt;14]]/FT_RF_26[[#This Row],[Muestra]]),"0")</f>
        <v>0</v>
      </c>
      <c r="AV86" s="38">
        <v>0</v>
      </c>
      <c r="AW86" s="39">
        <f>+IFERROR((FT_RF_26[[#This Row],[Calibre &gt;14]]/FT_RF_26[[#This Row],[Muestra]]),"0")</f>
        <v>0</v>
      </c>
      <c r="AX86" s="38">
        <v>0</v>
      </c>
      <c r="AY86" s="39">
        <f>+IFERROR((FT_RF_26[[#This Row],[Calibre &lt;10]]/FT_RF_26[[#This Row],[Muestra]]),"0")</f>
        <v>0</v>
      </c>
      <c r="AZ86" s="38">
        <v>0</v>
      </c>
      <c r="BA86" s="39">
        <f>+IFERROR((FT_RF_26[[#This Row],[Calibre &gt;13]]/FT_RF_26[[#This Row],[Muestra]]),"0")</f>
        <v>0</v>
      </c>
      <c r="BB86" s="41"/>
      <c r="BG86" s="42"/>
      <c r="BH86" s="43">
        <v>0</v>
      </c>
      <c r="BI86" s="29" t="s">
        <v>894</v>
      </c>
      <c r="BJ86" s="29" t="s">
        <v>894</v>
      </c>
      <c r="BK8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8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86" s="45">
        <f>1-FT_RF_26[[#This Row],[% Defectos]]</f>
        <v>1</v>
      </c>
      <c r="BO86" s="60"/>
      <c r="BP86" s="12">
        <f>SUM(FT_RF_26[[#This Row],[Hoja (Un.)]:[Larvas Caja]])</f>
        <v>0</v>
      </c>
      <c r="BQ86" s="12">
        <f>SUM(FT_RF_26[[#This Row],[Vidrios]:[Plástico]])</f>
        <v>0</v>
      </c>
      <c r="BR86" s="12" t="str">
        <f>IF(ISBLANK(FT_RF_26[[#This Row],[Descripción del producto]]),"",FT_RF_26[[#This Row],[Descripción del producto]])</f>
        <v/>
      </c>
      <c r="BS86" s="29" t="str">
        <f>IF(ISBLANK(FT_RF_26[[#This Row],[N° de Lote]]),"",FT_RF_26[[#This Row],[N° de Lote]])</f>
        <v/>
      </c>
      <c r="BT86" s="29" t="str">
        <f>IF(ISBLANK(FT_RF_26[[#This Row],[N° de Pallet]]),"",FT_RF_26[[#This Row],[N° de Pallet]])</f>
        <v/>
      </c>
    </row>
    <row r="87" spans="2:72">
      <c r="B87" s="29">
        <f>+_xlfn.ISOWEEKNUM(FT_RF_26[[#This Row],[Fecha]])</f>
        <v>52</v>
      </c>
      <c r="E87" s="31"/>
      <c r="F87" s="12" t="str">
        <f>IFERROR(""&amp;_xlfn.XLOOKUP(FT_RF_26[[#This Row],[Código]],BD_Cod[SKU],BD_Cod[Descripción]),"")</f>
        <v/>
      </c>
      <c r="G87" s="32" t="str">
        <f>IFERROR(""&amp;_xlfn.XLOOKUP(FT_RF_26[[#This Row],[Código]],BD_Cod[SKU],BD_Cod[Familia Calidad]),"")</f>
        <v/>
      </c>
      <c r="J87" s="33">
        <v>1000</v>
      </c>
      <c r="L87" s="30" t="s">
        <v>244</v>
      </c>
      <c r="O87" s="30" t="s">
        <v>894</v>
      </c>
      <c r="P87" s="29" t="s">
        <v>894</v>
      </c>
      <c r="Q87" s="37">
        <f>1-FT_RF_26[[#This Row],[% Defectos]]</f>
        <v>1</v>
      </c>
      <c r="R87" s="38">
        <v>0</v>
      </c>
      <c r="S87" s="39">
        <f>+IFERROR((FT_RF_26[[#This Row],[Inmadura]]/FT_RF_26[[#This Row],[Muestra]]),"0")</f>
        <v>0</v>
      </c>
      <c r="T87" s="38">
        <v>0</v>
      </c>
      <c r="U87" s="39">
        <f>+IFERROR((FT_RF_26[[#This Row],[Partidas]]/FT_RF_26[[#This Row],[Muestra]]),"0")</f>
        <v>0</v>
      </c>
      <c r="V87" s="38">
        <v>0</v>
      </c>
      <c r="W87" s="39">
        <f>+IFERROR((FT_RF_26[[#This Row],[Daño Insecto]]/FT_RF_26[[#This Row],[Muestra]]),"0")</f>
        <v>0</v>
      </c>
      <c r="X87" s="38">
        <v>0</v>
      </c>
      <c r="Y87" s="39">
        <f>+IFERROR((FT_RF_26[[#This Row],[Sobremadura]]/FT_RF_26[[#This Row],[Muestra]]),"0")</f>
        <v>0</v>
      </c>
      <c r="Z87" s="38">
        <v>0</v>
      </c>
      <c r="AA87" s="39">
        <f>+IFERROR((FT_RF_26[[#This Row],[Deforme]]/FT_RF_26[[#This Row],[Muestra]]),"0")</f>
        <v>0</v>
      </c>
      <c r="AB87" s="27"/>
      <c r="AC87" s="38">
        <v>0</v>
      </c>
      <c r="AD87" s="39">
        <f>+IFERROR((FT_RF_26[[#This Row],[Valor Extra 1]]/FT_RF_26[[#This Row],[Muestra]]),"0")</f>
        <v>0</v>
      </c>
      <c r="AF87" s="38">
        <v>0</v>
      </c>
      <c r="AG87" s="39">
        <f>+IFERROR((FT_RF_26[[#This Row],[Valor Extra 2]]/FT_RF_26[[#This Row],[Muestra]]),"0")</f>
        <v>0</v>
      </c>
      <c r="AH87" s="40">
        <v>0</v>
      </c>
      <c r="AI87" s="39">
        <f>+IFERROR((FT_RF_26[[#This Row],[Hongos]]/FT_RF_26[[#This Row],[Muestra]]),"0")</f>
        <v>0</v>
      </c>
      <c r="AJ87" s="38">
        <v>0</v>
      </c>
      <c r="AK87" s="39">
        <f>+IFERROR((FT_RF_26[[#This Row],[Block]]/FT_RF_26[[#This Row],[Muestra]]),"0")</f>
        <v>0</v>
      </c>
      <c r="AL87" s="41">
        <v>0</v>
      </c>
      <c r="AM87" s="42">
        <v>0</v>
      </c>
      <c r="AN87" s="38">
        <v>0</v>
      </c>
      <c r="AO87" s="39">
        <f>+IFERROR((FT_RF_26[[#This Row],[Fuera de calibre &lt;12mm]]/FT_RF_26[[#This Row],[Muestra]]),"0")</f>
        <v>0</v>
      </c>
      <c r="AP87" s="38">
        <v>0</v>
      </c>
      <c r="AQ87" s="39">
        <f>+IFERROR((FT_RF_26[[#This Row],[Calibre &lt;25]]/FT_RF_26[[#This Row],[Muestra]]),"0")</f>
        <v>0</v>
      </c>
      <c r="AR87" s="38">
        <v>0</v>
      </c>
      <c r="AS87" s="39">
        <f>+IFERROR((FT_RF_26[[#This Row],[Calibre &gt;12]]/FT_RF_26[[#This Row],[Muestra]]),"0")</f>
        <v>0</v>
      </c>
      <c r="AT87" s="38">
        <v>0</v>
      </c>
      <c r="AU87" s="39">
        <f>+IFERROR((FT_RF_26[[#This Row],[Calibre &lt;14]]/FT_RF_26[[#This Row],[Muestra]]),"0")</f>
        <v>0</v>
      </c>
      <c r="AV87" s="38">
        <v>0</v>
      </c>
      <c r="AW87" s="39">
        <f>+IFERROR((FT_RF_26[[#This Row],[Calibre &gt;14]]/FT_RF_26[[#This Row],[Muestra]]),"0")</f>
        <v>0</v>
      </c>
      <c r="AX87" s="38">
        <v>0</v>
      </c>
      <c r="AY87" s="39">
        <f>+IFERROR((FT_RF_26[[#This Row],[Calibre &lt;10]]/FT_RF_26[[#This Row],[Muestra]]),"0")</f>
        <v>0</v>
      </c>
      <c r="AZ87" s="38">
        <v>0</v>
      </c>
      <c r="BA87" s="39">
        <f>+IFERROR((FT_RF_26[[#This Row],[Calibre &gt;13]]/FT_RF_26[[#This Row],[Muestra]]),"0")</f>
        <v>0</v>
      </c>
      <c r="BB87" s="41"/>
      <c r="BG87" s="42"/>
      <c r="BH87" s="43">
        <v>0</v>
      </c>
      <c r="BI87" s="29" t="s">
        <v>894</v>
      </c>
      <c r="BJ87" s="29" t="s">
        <v>894</v>
      </c>
      <c r="BK8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8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87" s="45">
        <f>1-FT_RF_26[[#This Row],[% Defectos]]</f>
        <v>1</v>
      </c>
      <c r="BO87" s="60"/>
      <c r="BP87" s="12">
        <f>SUM(FT_RF_26[[#This Row],[Hoja (Un.)]:[Larvas Caja]])</f>
        <v>0</v>
      </c>
      <c r="BQ87" s="12">
        <f>SUM(FT_RF_26[[#This Row],[Vidrios]:[Plástico]])</f>
        <v>0</v>
      </c>
      <c r="BR87" s="12" t="str">
        <f>IF(ISBLANK(FT_RF_26[[#This Row],[Descripción del producto]]),"",FT_RF_26[[#This Row],[Descripción del producto]])</f>
        <v/>
      </c>
      <c r="BS87" s="29" t="str">
        <f>IF(ISBLANK(FT_RF_26[[#This Row],[N° de Lote]]),"",FT_RF_26[[#This Row],[N° de Lote]])</f>
        <v/>
      </c>
      <c r="BT87" s="29" t="str">
        <f>IF(ISBLANK(FT_RF_26[[#This Row],[N° de Pallet]]),"",FT_RF_26[[#This Row],[N° de Pallet]])</f>
        <v/>
      </c>
    </row>
    <row r="88" spans="2:72">
      <c r="B88" s="29">
        <f>+_xlfn.ISOWEEKNUM(FT_RF_26[[#This Row],[Fecha]])</f>
        <v>52</v>
      </c>
      <c r="E88" s="31"/>
      <c r="F88" s="12" t="str">
        <f>IFERROR(""&amp;_xlfn.XLOOKUP(FT_RF_26[[#This Row],[Código]],BD_Cod[SKU],BD_Cod[Descripción]),"")</f>
        <v/>
      </c>
      <c r="G88" s="32" t="str">
        <f>IFERROR(""&amp;_xlfn.XLOOKUP(FT_RF_26[[#This Row],[Código]],BD_Cod[SKU],BD_Cod[Familia Calidad]),"")</f>
        <v/>
      </c>
      <c r="J88" s="33">
        <v>1000</v>
      </c>
      <c r="L88" s="30" t="s">
        <v>244</v>
      </c>
      <c r="O88" s="30" t="s">
        <v>894</v>
      </c>
      <c r="P88" s="29" t="s">
        <v>894</v>
      </c>
      <c r="Q88" s="37">
        <f>1-FT_RF_26[[#This Row],[% Defectos]]</f>
        <v>1</v>
      </c>
      <c r="R88" s="38">
        <v>0</v>
      </c>
      <c r="S88" s="39">
        <f>+IFERROR((FT_RF_26[[#This Row],[Inmadura]]/FT_RF_26[[#This Row],[Muestra]]),"0")</f>
        <v>0</v>
      </c>
      <c r="T88" s="38">
        <v>0</v>
      </c>
      <c r="U88" s="39">
        <f>+IFERROR((FT_RF_26[[#This Row],[Partidas]]/FT_RF_26[[#This Row],[Muestra]]),"0")</f>
        <v>0</v>
      </c>
      <c r="V88" s="38">
        <v>0</v>
      </c>
      <c r="W88" s="39">
        <f>+IFERROR((FT_RF_26[[#This Row],[Daño Insecto]]/FT_RF_26[[#This Row],[Muestra]]),"0")</f>
        <v>0</v>
      </c>
      <c r="X88" s="38">
        <v>0</v>
      </c>
      <c r="Y88" s="39">
        <f>+IFERROR((FT_RF_26[[#This Row],[Sobremadura]]/FT_RF_26[[#This Row],[Muestra]]),"0")</f>
        <v>0</v>
      </c>
      <c r="Z88" s="38">
        <v>0</v>
      </c>
      <c r="AA88" s="39">
        <f>+IFERROR((FT_RF_26[[#This Row],[Deforme]]/FT_RF_26[[#This Row],[Muestra]]),"0")</f>
        <v>0</v>
      </c>
      <c r="AB88" s="27"/>
      <c r="AC88" s="38">
        <v>0</v>
      </c>
      <c r="AD88" s="39">
        <f>+IFERROR((FT_RF_26[[#This Row],[Valor Extra 1]]/FT_RF_26[[#This Row],[Muestra]]),"0")</f>
        <v>0</v>
      </c>
      <c r="AF88" s="38">
        <v>0</v>
      </c>
      <c r="AG88" s="39">
        <f>+IFERROR((FT_RF_26[[#This Row],[Valor Extra 2]]/FT_RF_26[[#This Row],[Muestra]]),"0")</f>
        <v>0</v>
      </c>
      <c r="AH88" s="40">
        <v>0</v>
      </c>
      <c r="AI88" s="39">
        <f>+IFERROR((FT_RF_26[[#This Row],[Hongos]]/FT_RF_26[[#This Row],[Muestra]]),"0")</f>
        <v>0</v>
      </c>
      <c r="AJ88" s="38">
        <v>0</v>
      </c>
      <c r="AK88" s="39">
        <f>+IFERROR((FT_RF_26[[#This Row],[Block]]/FT_RF_26[[#This Row],[Muestra]]),"0")</f>
        <v>0</v>
      </c>
      <c r="AL88" s="41">
        <v>0</v>
      </c>
      <c r="AM88" s="42">
        <v>0</v>
      </c>
      <c r="AN88" s="38">
        <v>0</v>
      </c>
      <c r="AO88" s="39">
        <f>+IFERROR((FT_RF_26[[#This Row],[Fuera de calibre &lt;12mm]]/FT_RF_26[[#This Row],[Muestra]]),"0")</f>
        <v>0</v>
      </c>
      <c r="AP88" s="38">
        <v>0</v>
      </c>
      <c r="AQ88" s="39">
        <f>+IFERROR((FT_RF_26[[#This Row],[Calibre &lt;25]]/FT_RF_26[[#This Row],[Muestra]]),"0")</f>
        <v>0</v>
      </c>
      <c r="AR88" s="38">
        <v>0</v>
      </c>
      <c r="AS88" s="39">
        <f>+IFERROR((FT_RF_26[[#This Row],[Calibre &gt;12]]/FT_RF_26[[#This Row],[Muestra]]),"0")</f>
        <v>0</v>
      </c>
      <c r="AT88" s="38">
        <v>0</v>
      </c>
      <c r="AU88" s="39">
        <f>+IFERROR((FT_RF_26[[#This Row],[Calibre &lt;14]]/FT_RF_26[[#This Row],[Muestra]]),"0")</f>
        <v>0</v>
      </c>
      <c r="AV88" s="38">
        <v>0</v>
      </c>
      <c r="AW88" s="39">
        <f>+IFERROR((FT_RF_26[[#This Row],[Calibre &gt;14]]/FT_RF_26[[#This Row],[Muestra]]),"0")</f>
        <v>0</v>
      </c>
      <c r="AX88" s="38">
        <v>0</v>
      </c>
      <c r="AY88" s="39">
        <f>+IFERROR((FT_RF_26[[#This Row],[Calibre &lt;10]]/FT_RF_26[[#This Row],[Muestra]]),"0")</f>
        <v>0</v>
      </c>
      <c r="AZ88" s="38">
        <v>0</v>
      </c>
      <c r="BA88" s="39">
        <f>+IFERROR((FT_RF_26[[#This Row],[Calibre &gt;13]]/FT_RF_26[[#This Row],[Muestra]]),"0")</f>
        <v>0</v>
      </c>
      <c r="BB88" s="41"/>
      <c r="BG88" s="42"/>
      <c r="BH88" s="43">
        <v>0</v>
      </c>
      <c r="BI88" s="29" t="s">
        <v>894</v>
      </c>
      <c r="BJ88" s="29" t="s">
        <v>894</v>
      </c>
      <c r="BK8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8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88" s="45">
        <f>1-FT_RF_26[[#This Row],[% Defectos]]</f>
        <v>1</v>
      </c>
      <c r="BO88" s="60"/>
      <c r="BP88" s="12">
        <f>SUM(FT_RF_26[[#This Row],[Hoja (Un.)]:[Larvas Caja]])</f>
        <v>0</v>
      </c>
      <c r="BQ88" s="12">
        <f>SUM(FT_RF_26[[#This Row],[Vidrios]:[Plástico]])</f>
        <v>0</v>
      </c>
      <c r="BR88" s="12" t="str">
        <f>IF(ISBLANK(FT_RF_26[[#This Row],[Descripción del producto]]),"",FT_RF_26[[#This Row],[Descripción del producto]])</f>
        <v/>
      </c>
      <c r="BS88" s="29" t="str">
        <f>IF(ISBLANK(FT_RF_26[[#This Row],[N° de Lote]]),"",FT_RF_26[[#This Row],[N° de Lote]])</f>
        <v/>
      </c>
      <c r="BT88" s="29" t="str">
        <f>IF(ISBLANK(FT_RF_26[[#This Row],[N° de Pallet]]),"",FT_RF_26[[#This Row],[N° de Pallet]])</f>
        <v/>
      </c>
    </row>
    <row r="89" spans="2:72">
      <c r="B89" s="29">
        <f>+_xlfn.ISOWEEKNUM(FT_RF_26[[#This Row],[Fecha]])</f>
        <v>52</v>
      </c>
      <c r="E89" s="31"/>
      <c r="F89" s="12" t="str">
        <f>IFERROR(""&amp;_xlfn.XLOOKUP(FT_RF_26[[#This Row],[Código]],BD_Cod[SKU],BD_Cod[Descripción]),"")</f>
        <v/>
      </c>
      <c r="G89" s="32" t="str">
        <f>IFERROR(""&amp;_xlfn.XLOOKUP(FT_RF_26[[#This Row],[Código]],BD_Cod[SKU],BD_Cod[Familia Calidad]),"")</f>
        <v/>
      </c>
      <c r="J89" s="33">
        <v>1000</v>
      </c>
      <c r="L89" s="30" t="s">
        <v>244</v>
      </c>
      <c r="O89" s="30" t="s">
        <v>894</v>
      </c>
      <c r="P89" s="29" t="s">
        <v>894</v>
      </c>
      <c r="Q89" s="37">
        <f>1-FT_RF_26[[#This Row],[% Defectos]]</f>
        <v>1</v>
      </c>
      <c r="R89" s="38">
        <v>0</v>
      </c>
      <c r="S89" s="39">
        <f>+IFERROR((FT_RF_26[[#This Row],[Inmadura]]/FT_RF_26[[#This Row],[Muestra]]),"0")</f>
        <v>0</v>
      </c>
      <c r="T89" s="38">
        <v>0</v>
      </c>
      <c r="U89" s="39">
        <f>+IFERROR((FT_RF_26[[#This Row],[Partidas]]/FT_RF_26[[#This Row],[Muestra]]),"0")</f>
        <v>0</v>
      </c>
      <c r="V89" s="38">
        <v>0</v>
      </c>
      <c r="W89" s="39">
        <f>+IFERROR((FT_RF_26[[#This Row],[Daño Insecto]]/FT_RF_26[[#This Row],[Muestra]]),"0")</f>
        <v>0</v>
      </c>
      <c r="X89" s="38">
        <v>0</v>
      </c>
      <c r="Y89" s="39">
        <f>+IFERROR((FT_RF_26[[#This Row],[Sobremadura]]/FT_RF_26[[#This Row],[Muestra]]),"0")</f>
        <v>0</v>
      </c>
      <c r="Z89" s="38">
        <v>0</v>
      </c>
      <c r="AA89" s="39">
        <f>+IFERROR((FT_RF_26[[#This Row],[Deforme]]/FT_RF_26[[#This Row],[Muestra]]),"0")</f>
        <v>0</v>
      </c>
      <c r="AB89" s="27"/>
      <c r="AC89" s="38">
        <v>0</v>
      </c>
      <c r="AD89" s="39">
        <f>+IFERROR((FT_RF_26[[#This Row],[Valor Extra 1]]/FT_RF_26[[#This Row],[Muestra]]),"0")</f>
        <v>0</v>
      </c>
      <c r="AF89" s="38">
        <v>0</v>
      </c>
      <c r="AG89" s="39">
        <f>+IFERROR((FT_RF_26[[#This Row],[Valor Extra 2]]/FT_RF_26[[#This Row],[Muestra]]),"0")</f>
        <v>0</v>
      </c>
      <c r="AH89" s="40">
        <v>0</v>
      </c>
      <c r="AI89" s="39">
        <f>+IFERROR((FT_RF_26[[#This Row],[Hongos]]/FT_RF_26[[#This Row],[Muestra]]),"0")</f>
        <v>0</v>
      </c>
      <c r="AJ89" s="38">
        <v>0</v>
      </c>
      <c r="AK89" s="39">
        <f>+IFERROR((FT_RF_26[[#This Row],[Block]]/FT_RF_26[[#This Row],[Muestra]]),"0")</f>
        <v>0</v>
      </c>
      <c r="AL89" s="41">
        <v>0</v>
      </c>
      <c r="AM89" s="42">
        <v>0</v>
      </c>
      <c r="AN89" s="38">
        <v>0</v>
      </c>
      <c r="AO89" s="39">
        <f>+IFERROR((FT_RF_26[[#This Row],[Fuera de calibre &lt;12mm]]/FT_RF_26[[#This Row],[Muestra]]),"0")</f>
        <v>0</v>
      </c>
      <c r="AP89" s="38">
        <v>0</v>
      </c>
      <c r="AQ89" s="39">
        <f>+IFERROR((FT_RF_26[[#This Row],[Calibre &lt;25]]/FT_RF_26[[#This Row],[Muestra]]),"0")</f>
        <v>0</v>
      </c>
      <c r="AR89" s="38">
        <v>0</v>
      </c>
      <c r="AS89" s="39">
        <f>+IFERROR((FT_RF_26[[#This Row],[Calibre &gt;12]]/FT_RF_26[[#This Row],[Muestra]]),"0")</f>
        <v>0</v>
      </c>
      <c r="AT89" s="38">
        <v>0</v>
      </c>
      <c r="AU89" s="39">
        <f>+IFERROR((FT_RF_26[[#This Row],[Calibre &lt;14]]/FT_RF_26[[#This Row],[Muestra]]),"0")</f>
        <v>0</v>
      </c>
      <c r="AV89" s="38">
        <v>0</v>
      </c>
      <c r="AW89" s="39">
        <f>+IFERROR((FT_RF_26[[#This Row],[Calibre &gt;14]]/FT_RF_26[[#This Row],[Muestra]]),"0")</f>
        <v>0</v>
      </c>
      <c r="AX89" s="38">
        <v>0</v>
      </c>
      <c r="AY89" s="39">
        <f>+IFERROR((FT_RF_26[[#This Row],[Calibre &lt;10]]/FT_RF_26[[#This Row],[Muestra]]),"0")</f>
        <v>0</v>
      </c>
      <c r="AZ89" s="38">
        <v>0</v>
      </c>
      <c r="BA89" s="39">
        <f>+IFERROR((FT_RF_26[[#This Row],[Calibre &gt;13]]/FT_RF_26[[#This Row],[Muestra]]),"0")</f>
        <v>0</v>
      </c>
      <c r="BB89" s="41"/>
      <c r="BG89" s="42"/>
      <c r="BH89" s="43">
        <v>0</v>
      </c>
      <c r="BI89" s="29" t="s">
        <v>894</v>
      </c>
      <c r="BJ89" s="29" t="s">
        <v>894</v>
      </c>
      <c r="BK8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8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89" s="45">
        <f>1-FT_RF_26[[#This Row],[% Defectos]]</f>
        <v>1</v>
      </c>
      <c r="BO89" s="60"/>
      <c r="BP89" s="12">
        <f>SUM(FT_RF_26[[#This Row],[Hoja (Un.)]:[Larvas Caja]])</f>
        <v>0</v>
      </c>
      <c r="BQ89" s="12">
        <f>SUM(FT_RF_26[[#This Row],[Vidrios]:[Plástico]])</f>
        <v>0</v>
      </c>
      <c r="BR89" s="12" t="str">
        <f>IF(ISBLANK(FT_RF_26[[#This Row],[Descripción del producto]]),"",FT_RF_26[[#This Row],[Descripción del producto]])</f>
        <v/>
      </c>
      <c r="BS89" s="29" t="str">
        <f>IF(ISBLANK(FT_RF_26[[#This Row],[N° de Lote]]),"",FT_RF_26[[#This Row],[N° de Lote]])</f>
        <v/>
      </c>
      <c r="BT89" s="29" t="str">
        <f>IF(ISBLANK(FT_RF_26[[#This Row],[N° de Pallet]]),"",FT_RF_26[[#This Row],[N° de Pallet]])</f>
        <v/>
      </c>
    </row>
    <row r="90" spans="2:72">
      <c r="B90" s="29">
        <f>+_xlfn.ISOWEEKNUM(FT_RF_26[[#This Row],[Fecha]])</f>
        <v>52</v>
      </c>
      <c r="E90" s="31"/>
      <c r="F90" s="12" t="str">
        <f>IFERROR(""&amp;_xlfn.XLOOKUP(FT_RF_26[[#This Row],[Código]],BD_Cod[SKU],BD_Cod[Descripción]),"")</f>
        <v/>
      </c>
      <c r="G90" s="32" t="str">
        <f>IFERROR(""&amp;_xlfn.XLOOKUP(FT_RF_26[[#This Row],[Código]],BD_Cod[SKU],BD_Cod[Familia Calidad]),"")</f>
        <v/>
      </c>
      <c r="J90" s="33">
        <v>1000</v>
      </c>
      <c r="L90" s="30" t="s">
        <v>244</v>
      </c>
      <c r="O90" s="30" t="s">
        <v>894</v>
      </c>
      <c r="P90" s="29" t="s">
        <v>894</v>
      </c>
      <c r="Q90" s="37">
        <f>1-FT_RF_26[[#This Row],[% Defectos]]</f>
        <v>1</v>
      </c>
      <c r="R90" s="38">
        <v>0</v>
      </c>
      <c r="S90" s="39">
        <f>+IFERROR((FT_RF_26[[#This Row],[Inmadura]]/FT_RF_26[[#This Row],[Muestra]]),"0")</f>
        <v>0</v>
      </c>
      <c r="T90" s="38">
        <v>0</v>
      </c>
      <c r="U90" s="39">
        <f>+IFERROR((FT_RF_26[[#This Row],[Partidas]]/FT_RF_26[[#This Row],[Muestra]]),"0")</f>
        <v>0</v>
      </c>
      <c r="V90" s="38">
        <v>0</v>
      </c>
      <c r="W90" s="39">
        <f>+IFERROR((FT_RF_26[[#This Row],[Daño Insecto]]/FT_RF_26[[#This Row],[Muestra]]),"0")</f>
        <v>0</v>
      </c>
      <c r="X90" s="38">
        <v>0</v>
      </c>
      <c r="Y90" s="39">
        <f>+IFERROR((FT_RF_26[[#This Row],[Sobremadura]]/FT_RF_26[[#This Row],[Muestra]]),"0")</f>
        <v>0</v>
      </c>
      <c r="Z90" s="38">
        <v>0</v>
      </c>
      <c r="AA90" s="39">
        <f>+IFERROR((FT_RF_26[[#This Row],[Deforme]]/FT_RF_26[[#This Row],[Muestra]]),"0")</f>
        <v>0</v>
      </c>
      <c r="AB90" s="27"/>
      <c r="AC90" s="38">
        <v>0</v>
      </c>
      <c r="AD90" s="39">
        <f>+IFERROR((FT_RF_26[[#This Row],[Valor Extra 1]]/FT_RF_26[[#This Row],[Muestra]]),"0")</f>
        <v>0</v>
      </c>
      <c r="AF90" s="38">
        <v>0</v>
      </c>
      <c r="AG90" s="39">
        <f>+IFERROR((FT_RF_26[[#This Row],[Valor Extra 2]]/FT_RF_26[[#This Row],[Muestra]]),"0")</f>
        <v>0</v>
      </c>
      <c r="AH90" s="40">
        <v>0</v>
      </c>
      <c r="AI90" s="39">
        <f>+IFERROR((FT_RF_26[[#This Row],[Hongos]]/FT_RF_26[[#This Row],[Muestra]]),"0")</f>
        <v>0</v>
      </c>
      <c r="AJ90" s="38">
        <v>0</v>
      </c>
      <c r="AK90" s="39">
        <f>+IFERROR((FT_RF_26[[#This Row],[Block]]/FT_RF_26[[#This Row],[Muestra]]),"0")</f>
        <v>0</v>
      </c>
      <c r="AL90" s="41">
        <v>0</v>
      </c>
      <c r="AM90" s="42">
        <v>0</v>
      </c>
      <c r="AN90" s="38">
        <v>0</v>
      </c>
      <c r="AO90" s="39">
        <f>+IFERROR((FT_RF_26[[#This Row],[Fuera de calibre &lt;12mm]]/FT_RF_26[[#This Row],[Muestra]]),"0")</f>
        <v>0</v>
      </c>
      <c r="AP90" s="38">
        <v>0</v>
      </c>
      <c r="AQ90" s="39">
        <f>+IFERROR((FT_RF_26[[#This Row],[Calibre &lt;25]]/FT_RF_26[[#This Row],[Muestra]]),"0")</f>
        <v>0</v>
      </c>
      <c r="AR90" s="38">
        <v>0</v>
      </c>
      <c r="AS90" s="39">
        <f>+IFERROR((FT_RF_26[[#This Row],[Calibre &gt;12]]/FT_RF_26[[#This Row],[Muestra]]),"0")</f>
        <v>0</v>
      </c>
      <c r="AT90" s="38">
        <v>0</v>
      </c>
      <c r="AU90" s="39">
        <f>+IFERROR((FT_RF_26[[#This Row],[Calibre &lt;14]]/FT_RF_26[[#This Row],[Muestra]]),"0")</f>
        <v>0</v>
      </c>
      <c r="AV90" s="38">
        <v>0</v>
      </c>
      <c r="AW90" s="39">
        <f>+IFERROR((FT_RF_26[[#This Row],[Calibre &gt;14]]/FT_RF_26[[#This Row],[Muestra]]),"0")</f>
        <v>0</v>
      </c>
      <c r="AX90" s="38">
        <v>0</v>
      </c>
      <c r="AY90" s="39">
        <f>+IFERROR((FT_RF_26[[#This Row],[Calibre &lt;10]]/FT_RF_26[[#This Row],[Muestra]]),"0")</f>
        <v>0</v>
      </c>
      <c r="AZ90" s="38">
        <v>0</v>
      </c>
      <c r="BA90" s="39">
        <f>+IFERROR((FT_RF_26[[#This Row],[Calibre &gt;13]]/FT_RF_26[[#This Row],[Muestra]]),"0")</f>
        <v>0</v>
      </c>
      <c r="BB90" s="41"/>
      <c r="BG90" s="42"/>
      <c r="BH90" s="43">
        <v>0</v>
      </c>
      <c r="BI90" s="29" t="s">
        <v>894</v>
      </c>
      <c r="BJ90" s="29" t="s">
        <v>894</v>
      </c>
      <c r="BK9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9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90" s="45">
        <f>1-FT_RF_26[[#This Row],[% Defectos]]</f>
        <v>1</v>
      </c>
      <c r="BO90" s="60"/>
      <c r="BP90" s="12">
        <f>SUM(FT_RF_26[[#This Row],[Hoja (Un.)]:[Larvas Caja]])</f>
        <v>0</v>
      </c>
      <c r="BQ90" s="12">
        <f>SUM(FT_RF_26[[#This Row],[Vidrios]:[Plástico]])</f>
        <v>0</v>
      </c>
      <c r="BR90" s="12" t="str">
        <f>IF(ISBLANK(FT_RF_26[[#This Row],[Descripción del producto]]),"",FT_RF_26[[#This Row],[Descripción del producto]])</f>
        <v/>
      </c>
      <c r="BS90" s="29" t="str">
        <f>IF(ISBLANK(FT_RF_26[[#This Row],[N° de Lote]]),"",FT_RF_26[[#This Row],[N° de Lote]])</f>
        <v/>
      </c>
      <c r="BT90" s="29" t="str">
        <f>IF(ISBLANK(FT_RF_26[[#This Row],[N° de Pallet]]),"",FT_RF_26[[#This Row],[N° de Pallet]])</f>
        <v/>
      </c>
    </row>
    <row r="91" spans="2:72">
      <c r="B91" s="29">
        <f>+_xlfn.ISOWEEKNUM(FT_RF_26[[#This Row],[Fecha]])</f>
        <v>52</v>
      </c>
      <c r="E91" s="31"/>
      <c r="F91" s="12" t="str">
        <f>IFERROR(""&amp;_xlfn.XLOOKUP(FT_RF_26[[#This Row],[Código]],BD_Cod[SKU],BD_Cod[Descripción]),"")</f>
        <v/>
      </c>
      <c r="G91" s="32" t="str">
        <f>IFERROR(""&amp;_xlfn.XLOOKUP(FT_RF_26[[#This Row],[Código]],BD_Cod[SKU],BD_Cod[Familia Calidad]),"")</f>
        <v/>
      </c>
      <c r="J91" s="33">
        <v>1000</v>
      </c>
      <c r="L91" s="30" t="s">
        <v>244</v>
      </c>
      <c r="O91" s="30" t="s">
        <v>894</v>
      </c>
      <c r="P91" s="29" t="s">
        <v>894</v>
      </c>
      <c r="Q91" s="37">
        <f>1-FT_RF_26[[#This Row],[% Defectos]]</f>
        <v>1</v>
      </c>
      <c r="R91" s="38">
        <v>0</v>
      </c>
      <c r="S91" s="39">
        <f>+IFERROR((FT_RF_26[[#This Row],[Inmadura]]/FT_RF_26[[#This Row],[Muestra]]),"0")</f>
        <v>0</v>
      </c>
      <c r="T91" s="38">
        <v>0</v>
      </c>
      <c r="U91" s="39">
        <f>+IFERROR((FT_RF_26[[#This Row],[Partidas]]/FT_RF_26[[#This Row],[Muestra]]),"0")</f>
        <v>0</v>
      </c>
      <c r="V91" s="38">
        <v>0</v>
      </c>
      <c r="W91" s="39">
        <f>+IFERROR((FT_RF_26[[#This Row],[Daño Insecto]]/FT_RF_26[[#This Row],[Muestra]]),"0")</f>
        <v>0</v>
      </c>
      <c r="X91" s="38">
        <v>0</v>
      </c>
      <c r="Y91" s="39">
        <f>+IFERROR((FT_RF_26[[#This Row],[Sobremadura]]/FT_RF_26[[#This Row],[Muestra]]),"0")</f>
        <v>0</v>
      </c>
      <c r="Z91" s="38">
        <v>0</v>
      </c>
      <c r="AA91" s="39">
        <f>+IFERROR((FT_RF_26[[#This Row],[Deforme]]/FT_RF_26[[#This Row],[Muestra]]),"0")</f>
        <v>0</v>
      </c>
      <c r="AB91" s="27"/>
      <c r="AC91" s="38">
        <v>0</v>
      </c>
      <c r="AD91" s="39">
        <f>+IFERROR((FT_RF_26[[#This Row],[Valor Extra 1]]/FT_RF_26[[#This Row],[Muestra]]),"0")</f>
        <v>0</v>
      </c>
      <c r="AF91" s="38">
        <v>0</v>
      </c>
      <c r="AG91" s="39">
        <f>+IFERROR((FT_RF_26[[#This Row],[Valor Extra 2]]/FT_RF_26[[#This Row],[Muestra]]),"0")</f>
        <v>0</v>
      </c>
      <c r="AH91" s="40">
        <v>0</v>
      </c>
      <c r="AI91" s="39">
        <f>+IFERROR((FT_RF_26[[#This Row],[Hongos]]/FT_RF_26[[#This Row],[Muestra]]),"0")</f>
        <v>0</v>
      </c>
      <c r="AJ91" s="38">
        <v>0</v>
      </c>
      <c r="AK91" s="39">
        <f>+IFERROR((FT_RF_26[[#This Row],[Block]]/FT_RF_26[[#This Row],[Muestra]]),"0")</f>
        <v>0</v>
      </c>
      <c r="AL91" s="41">
        <v>0</v>
      </c>
      <c r="AM91" s="42">
        <v>0</v>
      </c>
      <c r="AN91" s="38">
        <v>0</v>
      </c>
      <c r="AO91" s="39">
        <f>+IFERROR((FT_RF_26[[#This Row],[Fuera de calibre &lt;12mm]]/FT_RF_26[[#This Row],[Muestra]]),"0")</f>
        <v>0</v>
      </c>
      <c r="AP91" s="38">
        <v>0</v>
      </c>
      <c r="AQ91" s="39">
        <f>+IFERROR((FT_RF_26[[#This Row],[Calibre &lt;25]]/FT_RF_26[[#This Row],[Muestra]]),"0")</f>
        <v>0</v>
      </c>
      <c r="AR91" s="38">
        <v>0</v>
      </c>
      <c r="AS91" s="39">
        <f>+IFERROR((FT_RF_26[[#This Row],[Calibre &gt;12]]/FT_RF_26[[#This Row],[Muestra]]),"0")</f>
        <v>0</v>
      </c>
      <c r="AT91" s="38">
        <v>0</v>
      </c>
      <c r="AU91" s="39">
        <f>+IFERROR((FT_RF_26[[#This Row],[Calibre &lt;14]]/FT_RF_26[[#This Row],[Muestra]]),"0")</f>
        <v>0</v>
      </c>
      <c r="AV91" s="38">
        <v>0</v>
      </c>
      <c r="AW91" s="39">
        <f>+IFERROR((FT_RF_26[[#This Row],[Calibre &gt;14]]/FT_RF_26[[#This Row],[Muestra]]),"0")</f>
        <v>0</v>
      </c>
      <c r="AX91" s="38">
        <v>0</v>
      </c>
      <c r="AY91" s="39">
        <f>+IFERROR((FT_RF_26[[#This Row],[Calibre &lt;10]]/FT_RF_26[[#This Row],[Muestra]]),"0")</f>
        <v>0</v>
      </c>
      <c r="AZ91" s="38">
        <v>0</v>
      </c>
      <c r="BA91" s="39">
        <f>+IFERROR((FT_RF_26[[#This Row],[Calibre &gt;13]]/FT_RF_26[[#This Row],[Muestra]]),"0")</f>
        <v>0</v>
      </c>
      <c r="BB91" s="41"/>
      <c r="BG91" s="42"/>
      <c r="BH91" s="43">
        <v>0</v>
      </c>
      <c r="BI91" s="29" t="s">
        <v>894</v>
      </c>
      <c r="BJ91" s="29" t="s">
        <v>894</v>
      </c>
      <c r="BK9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9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91" s="45">
        <f>1-FT_RF_26[[#This Row],[% Defectos]]</f>
        <v>1</v>
      </c>
      <c r="BO91" s="60"/>
      <c r="BP91" s="12">
        <f>SUM(FT_RF_26[[#This Row],[Hoja (Un.)]:[Larvas Caja]])</f>
        <v>0</v>
      </c>
      <c r="BQ91" s="12">
        <f>SUM(FT_RF_26[[#This Row],[Vidrios]:[Plástico]])</f>
        <v>0</v>
      </c>
      <c r="BR91" s="12" t="str">
        <f>IF(ISBLANK(FT_RF_26[[#This Row],[Descripción del producto]]),"",FT_RF_26[[#This Row],[Descripción del producto]])</f>
        <v/>
      </c>
      <c r="BS91" s="29" t="str">
        <f>IF(ISBLANK(FT_RF_26[[#This Row],[N° de Lote]]),"",FT_RF_26[[#This Row],[N° de Lote]])</f>
        <v/>
      </c>
      <c r="BT91" s="29" t="str">
        <f>IF(ISBLANK(FT_RF_26[[#This Row],[N° de Pallet]]),"",FT_RF_26[[#This Row],[N° de Pallet]])</f>
        <v/>
      </c>
    </row>
    <row r="92" spans="2:72">
      <c r="B92" s="29">
        <f>+_xlfn.ISOWEEKNUM(FT_RF_26[[#This Row],[Fecha]])</f>
        <v>52</v>
      </c>
      <c r="E92" s="31"/>
      <c r="F92" s="12" t="str">
        <f>IFERROR(""&amp;_xlfn.XLOOKUP(FT_RF_26[[#This Row],[Código]],BD_Cod[SKU],BD_Cod[Descripción]),"")</f>
        <v/>
      </c>
      <c r="G92" s="32" t="str">
        <f>IFERROR(""&amp;_xlfn.XLOOKUP(FT_RF_26[[#This Row],[Código]],BD_Cod[SKU],BD_Cod[Familia Calidad]),"")</f>
        <v/>
      </c>
      <c r="J92" s="33">
        <v>1000</v>
      </c>
      <c r="L92" s="30" t="s">
        <v>244</v>
      </c>
      <c r="O92" s="30" t="s">
        <v>894</v>
      </c>
      <c r="P92" s="29" t="s">
        <v>894</v>
      </c>
      <c r="Q92" s="37">
        <f>1-FT_RF_26[[#This Row],[% Defectos]]</f>
        <v>1</v>
      </c>
      <c r="R92" s="38">
        <v>0</v>
      </c>
      <c r="S92" s="39">
        <f>+IFERROR((FT_RF_26[[#This Row],[Inmadura]]/FT_RF_26[[#This Row],[Muestra]]),"0")</f>
        <v>0</v>
      </c>
      <c r="T92" s="38">
        <v>0</v>
      </c>
      <c r="U92" s="39">
        <f>+IFERROR((FT_RF_26[[#This Row],[Partidas]]/FT_RF_26[[#This Row],[Muestra]]),"0")</f>
        <v>0</v>
      </c>
      <c r="V92" s="38">
        <v>0</v>
      </c>
      <c r="W92" s="39">
        <f>+IFERROR((FT_RF_26[[#This Row],[Daño Insecto]]/FT_RF_26[[#This Row],[Muestra]]),"0")</f>
        <v>0</v>
      </c>
      <c r="X92" s="38">
        <v>0</v>
      </c>
      <c r="Y92" s="39">
        <f>+IFERROR((FT_RF_26[[#This Row],[Sobremadura]]/FT_RF_26[[#This Row],[Muestra]]),"0")</f>
        <v>0</v>
      </c>
      <c r="Z92" s="38">
        <v>0</v>
      </c>
      <c r="AA92" s="39">
        <f>+IFERROR((FT_RF_26[[#This Row],[Deforme]]/FT_RF_26[[#This Row],[Muestra]]),"0")</f>
        <v>0</v>
      </c>
      <c r="AB92" s="27"/>
      <c r="AC92" s="38">
        <v>0</v>
      </c>
      <c r="AD92" s="39">
        <f>+IFERROR((FT_RF_26[[#This Row],[Valor Extra 1]]/FT_RF_26[[#This Row],[Muestra]]),"0")</f>
        <v>0</v>
      </c>
      <c r="AF92" s="38">
        <v>0</v>
      </c>
      <c r="AG92" s="39">
        <f>+IFERROR((FT_RF_26[[#This Row],[Valor Extra 2]]/FT_RF_26[[#This Row],[Muestra]]),"0")</f>
        <v>0</v>
      </c>
      <c r="AH92" s="40">
        <v>0</v>
      </c>
      <c r="AI92" s="39">
        <f>+IFERROR((FT_RF_26[[#This Row],[Hongos]]/FT_RF_26[[#This Row],[Muestra]]),"0")</f>
        <v>0</v>
      </c>
      <c r="AJ92" s="38">
        <v>0</v>
      </c>
      <c r="AK92" s="39">
        <f>+IFERROR((FT_RF_26[[#This Row],[Block]]/FT_RF_26[[#This Row],[Muestra]]),"0")</f>
        <v>0</v>
      </c>
      <c r="AL92" s="41">
        <v>0</v>
      </c>
      <c r="AM92" s="42">
        <v>0</v>
      </c>
      <c r="AN92" s="38">
        <v>0</v>
      </c>
      <c r="AO92" s="39">
        <f>+IFERROR((FT_RF_26[[#This Row],[Fuera de calibre &lt;12mm]]/FT_RF_26[[#This Row],[Muestra]]),"0")</f>
        <v>0</v>
      </c>
      <c r="AP92" s="38">
        <v>0</v>
      </c>
      <c r="AQ92" s="39">
        <f>+IFERROR((FT_RF_26[[#This Row],[Calibre &lt;25]]/FT_RF_26[[#This Row],[Muestra]]),"0")</f>
        <v>0</v>
      </c>
      <c r="AR92" s="38">
        <v>0</v>
      </c>
      <c r="AS92" s="39">
        <f>+IFERROR((FT_RF_26[[#This Row],[Calibre &gt;12]]/FT_RF_26[[#This Row],[Muestra]]),"0")</f>
        <v>0</v>
      </c>
      <c r="AT92" s="38">
        <v>0</v>
      </c>
      <c r="AU92" s="39">
        <f>+IFERROR((FT_RF_26[[#This Row],[Calibre &lt;14]]/FT_RF_26[[#This Row],[Muestra]]),"0")</f>
        <v>0</v>
      </c>
      <c r="AV92" s="38">
        <v>0</v>
      </c>
      <c r="AW92" s="39">
        <f>+IFERROR((FT_RF_26[[#This Row],[Calibre &gt;14]]/FT_RF_26[[#This Row],[Muestra]]),"0")</f>
        <v>0</v>
      </c>
      <c r="AX92" s="38">
        <v>0</v>
      </c>
      <c r="AY92" s="39">
        <f>+IFERROR((FT_RF_26[[#This Row],[Calibre &lt;10]]/FT_RF_26[[#This Row],[Muestra]]),"0")</f>
        <v>0</v>
      </c>
      <c r="AZ92" s="38">
        <v>0</v>
      </c>
      <c r="BA92" s="39">
        <f>+IFERROR((FT_RF_26[[#This Row],[Calibre &gt;13]]/FT_RF_26[[#This Row],[Muestra]]),"0")</f>
        <v>0</v>
      </c>
      <c r="BB92" s="41"/>
      <c r="BG92" s="42"/>
      <c r="BH92" s="43">
        <v>0</v>
      </c>
      <c r="BI92" s="29" t="s">
        <v>894</v>
      </c>
      <c r="BJ92" s="29" t="s">
        <v>894</v>
      </c>
      <c r="BK9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9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92" s="45">
        <f>1-FT_RF_26[[#This Row],[% Defectos]]</f>
        <v>1</v>
      </c>
      <c r="BO92" s="60"/>
      <c r="BP92" s="12">
        <f>SUM(FT_RF_26[[#This Row],[Hoja (Un.)]:[Larvas Caja]])</f>
        <v>0</v>
      </c>
      <c r="BQ92" s="12">
        <f>SUM(FT_RF_26[[#This Row],[Vidrios]:[Plástico]])</f>
        <v>0</v>
      </c>
      <c r="BR92" s="12" t="str">
        <f>IF(ISBLANK(FT_RF_26[[#This Row],[Descripción del producto]]),"",FT_RF_26[[#This Row],[Descripción del producto]])</f>
        <v/>
      </c>
      <c r="BS92" s="29" t="str">
        <f>IF(ISBLANK(FT_RF_26[[#This Row],[N° de Lote]]),"",FT_RF_26[[#This Row],[N° de Lote]])</f>
        <v/>
      </c>
      <c r="BT92" s="29" t="str">
        <f>IF(ISBLANK(FT_RF_26[[#This Row],[N° de Pallet]]),"",FT_RF_26[[#This Row],[N° de Pallet]])</f>
        <v/>
      </c>
    </row>
    <row r="93" spans="2:72">
      <c r="B93" s="29">
        <f>+_xlfn.ISOWEEKNUM(FT_RF_26[[#This Row],[Fecha]])</f>
        <v>52</v>
      </c>
      <c r="E93" s="31"/>
      <c r="F93" s="12" t="str">
        <f>IFERROR(""&amp;_xlfn.XLOOKUP(FT_RF_26[[#This Row],[Código]],BD_Cod[SKU],BD_Cod[Descripción]),"")</f>
        <v/>
      </c>
      <c r="G93" s="32" t="str">
        <f>IFERROR(""&amp;_xlfn.XLOOKUP(FT_RF_26[[#This Row],[Código]],BD_Cod[SKU],BD_Cod[Familia Calidad]),"")</f>
        <v/>
      </c>
      <c r="J93" s="33">
        <v>1000</v>
      </c>
      <c r="L93" s="30" t="s">
        <v>244</v>
      </c>
      <c r="O93" s="30" t="s">
        <v>894</v>
      </c>
      <c r="P93" s="29" t="s">
        <v>894</v>
      </c>
      <c r="Q93" s="37">
        <f>1-FT_RF_26[[#This Row],[% Defectos]]</f>
        <v>1</v>
      </c>
      <c r="R93" s="38">
        <v>0</v>
      </c>
      <c r="S93" s="39">
        <f>+IFERROR((FT_RF_26[[#This Row],[Inmadura]]/FT_RF_26[[#This Row],[Muestra]]),"0")</f>
        <v>0</v>
      </c>
      <c r="T93" s="38">
        <v>0</v>
      </c>
      <c r="U93" s="39">
        <f>+IFERROR((FT_RF_26[[#This Row],[Partidas]]/FT_RF_26[[#This Row],[Muestra]]),"0")</f>
        <v>0</v>
      </c>
      <c r="V93" s="38">
        <v>0</v>
      </c>
      <c r="W93" s="39">
        <f>+IFERROR((FT_RF_26[[#This Row],[Daño Insecto]]/FT_RF_26[[#This Row],[Muestra]]),"0")</f>
        <v>0</v>
      </c>
      <c r="X93" s="38">
        <v>0</v>
      </c>
      <c r="Y93" s="39">
        <f>+IFERROR((FT_RF_26[[#This Row],[Sobremadura]]/FT_RF_26[[#This Row],[Muestra]]),"0")</f>
        <v>0</v>
      </c>
      <c r="Z93" s="38">
        <v>0</v>
      </c>
      <c r="AA93" s="39">
        <f>+IFERROR((FT_RF_26[[#This Row],[Deforme]]/FT_RF_26[[#This Row],[Muestra]]),"0")</f>
        <v>0</v>
      </c>
      <c r="AB93" s="27"/>
      <c r="AC93" s="38">
        <v>0</v>
      </c>
      <c r="AD93" s="39">
        <f>+IFERROR((FT_RF_26[[#This Row],[Valor Extra 1]]/FT_RF_26[[#This Row],[Muestra]]),"0")</f>
        <v>0</v>
      </c>
      <c r="AF93" s="38">
        <v>0</v>
      </c>
      <c r="AG93" s="39">
        <f>+IFERROR((FT_RF_26[[#This Row],[Valor Extra 2]]/FT_RF_26[[#This Row],[Muestra]]),"0")</f>
        <v>0</v>
      </c>
      <c r="AH93" s="40">
        <v>0</v>
      </c>
      <c r="AI93" s="39">
        <f>+IFERROR((FT_RF_26[[#This Row],[Hongos]]/FT_RF_26[[#This Row],[Muestra]]),"0")</f>
        <v>0</v>
      </c>
      <c r="AJ93" s="38">
        <v>0</v>
      </c>
      <c r="AK93" s="39">
        <f>+IFERROR((FT_RF_26[[#This Row],[Block]]/FT_RF_26[[#This Row],[Muestra]]),"0")</f>
        <v>0</v>
      </c>
      <c r="AL93" s="41">
        <v>0</v>
      </c>
      <c r="AM93" s="42">
        <v>0</v>
      </c>
      <c r="AN93" s="38">
        <v>0</v>
      </c>
      <c r="AO93" s="39">
        <f>+IFERROR((FT_RF_26[[#This Row],[Fuera de calibre &lt;12mm]]/FT_RF_26[[#This Row],[Muestra]]),"0")</f>
        <v>0</v>
      </c>
      <c r="AP93" s="38">
        <v>0</v>
      </c>
      <c r="AQ93" s="39">
        <f>+IFERROR((FT_RF_26[[#This Row],[Calibre &lt;25]]/FT_RF_26[[#This Row],[Muestra]]),"0")</f>
        <v>0</v>
      </c>
      <c r="AR93" s="38">
        <v>0</v>
      </c>
      <c r="AS93" s="39">
        <f>+IFERROR((FT_RF_26[[#This Row],[Calibre &gt;12]]/FT_RF_26[[#This Row],[Muestra]]),"0")</f>
        <v>0</v>
      </c>
      <c r="AT93" s="38">
        <v>0</v>
      </c>
      <c r="AU93" s="39">
        <f>+IFERROR((FT_RF_26[[#This Row],[Calibre &lt;14]]/FT_RF_26[[#This Row],[Muestra]]),"0")</f>
        <v>0</v>
      </c>
      <c r="AV93" s="38">
        <v>0</v>
      </c>
      <c r="AW93" s="39">
        <f>+IFERROR((FT_RF_26[[#This Row],[Calibre &gt;14]]/FT_RF_26[[#This Row],[Muestra]]),"0")</f>
        <v>0</v>
      </c>
      <c r="AX93" s="38">
        <v>0</v>
      </c>
      <c r="AY93" s="39">
        <f>+IFERROR((FT_RF_26[[#This Row],[Calibre &lt;10]]/FT_RF_26[[#This Row],[Muestra]]),"0")</f>
        <v>0</v>
      </c>
      <c r="AZ93" s="38">
        <v>0</v>
      </c>
      <c r="BA93" s="39">
        <f>+IFERROR((FT_RF_26[[#This Row],[Calibre &gt;13]]/FT_RF_26[[#This Row],[Muestra]]),"0")</f>
        <v>0</v>
      </c>
      <c r="BB93" s="41"/>
      <c r="BG93" s="42"/>
      <c r="BH93" s="43">
        <v>0</v>
      </c>
      <c r="BI93" s="29" t="s">
        <v>894</v>
      </c>
      <c r="BJ93" s="29" t="s">
        <v>894</v>
      </c>
      <c r="BK9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9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93" s="45">
        <f>1-FT_RF_26[[#This Row],[% Defectos]]</f>
        <v>1</v>
      </c>
      <c r="BO93" s="60"/>
      <c r="BP93" s="12">
        <f>SUM(FT_RF_26[[#This Row],[Hoja (Un.)]:[Larvas Caja]])</f>
        <v>0</v>
      </c>
      <c r="BQ93" s="12">
        <f>SUM(FT_RF_26[[#This Row],[Vidrios]:[Plástico]])</f>
        <v>0</v>
      </c>
      <c r="BR93" s="12" t="str">
        <f>IF(ISBLANK(FT_RF_26[[#This Row],[Descripción del producto]]),"",FT_RF_26[[#This Row],[Descripción del producto]])</f>
        <v/>
      </c>
      <c r="BS93" s="29" t="str">
        <f>IF(ISBLANK(FT_RF_26[[#This Row],[N° de Lote]]),"",FT_RF_26[[#This Row],[N° de Lote]])</f>
        <v/>
      </c>
      <c r="BT93" s="29" t="str">
        <f>IF(ISBLANK(FT_RF_26[[#This Row],[N° de Pallet]]),"",FT_RF_26[[#This Row],[N° de Pallet]])</f>
        <v/>
      </c>
    </row>
    <row r="94" spans="2:72">
      <c r="B94" s="29">
        <f>+_xlfn.ISOWEEKNUM(FT_RF_26[[#This Row],[Fecha]])</f>
        <v>52</v>
      </c>
      <c r="E94" s="31"/>
      <c r="F94" s="12" t="str">
        <f>IFERROR(""&amp;_xlfn.XLOOKUP(FT_RF_26[[#This Row],[Código]],BD_Cod[SKU],BD_Cod[Descripción]),"")</f>
        <v/>
      </c>
      <c r="G94" s="32" t="str">
        <f>IFERROR(""&amp;_xlfn.XLOOKUP(FT_RF_26[[#This Row],[Código]],BD_Cod[SKU],BD_Cod[Familia Calidad]),"")</f>
        <v/>
      </c>
      <c r="J94" s="33">
        <v>1000</v>
      </c>
      <c r="L94" s="30" t="s">
        <v>244</v>
      </c>
      <c r="O94" s="30" t="s">
        <v>894</v>
      </c>
      <c r="P94" s="29" t="s">
        <v>894</v>
      </c>
      <c r="Q94" s="37">
        <f>1-FT_RF_26[[#This Row],[% Defectos]]</f>
        <v>1</v>
      </c>
      <c r="R94" s="38">
        <v>0</v>
      </c>
      <c r="S94" s="39">
        <f>+IFERROR((FT_RF_26[[#This Row],[Inmadura]]/FT_RF_26[[#This Row],[Muestra]]),"0")</f>
        <v>0</v>
      </c>
      <c r="T94" s="38">
        <v>0</v>
      </c>
      <c r="U94" s="39">
        <f>+IFERROR((FT_RF_26[[#This Row],[Partidas]]/FT_RF_26[[#This Row],[Muestra]]),"0")</f>
        <v>0</v>
      </c>
      <c r="V94" s="38">
        <v>0</v>
      </c>
      <c r="W94" s="39">
        <f>+IFERROR((FT_RF_26[[#This Row],[Daño Insecto]]/FT_RF_26[[#This Row],[Muestra]]),"0")</f>
        <v>0</v>
      </c>
      <c r="X94" s="38">
        <v>0</v>
      </c>
      <c r="Y94" s="39">
        <f>+IFERROR((FT_RF_26[[#This Row],[Sobremadura]]/FT_RF_26[[#This Row],[Muestra]]),"0")</f>
        <v>0</v>
      </c>
      <c r="Z94" s="38">
        <v>0</v>
      </c>
      <c r="AA94" s="39">
        <f>+IFERROR((FT_RF_26[[#This Row],[Deforme]]/FT_RF_26[[#This Row],[Muestra]]),"0")</f>
        <v>0</v>
      </c>
      <c r="AB94" s="27"/>
      <c r="AC94" s="38">
        <v>0</v>
      </c>
      <c r="AD94" s="39">
        <f>+IFERROR((FT_RF_26[[#This Row],[Valor Extra 1]]/FT_RF_26[[#This Row],[Muestra]]),"0")</f>
        <v>0</v>
      </c>
      <c r="AF94" s="38">
        <v>0</v>
      </c>
      <c r="AG94" s="39">
        <f>+IFERROR((FT_RF_26[[#This Row],[Valor Extra 2]]/FT_RF_26[[#This Row],[Muestra]]),"0")</f>
        <v>0</v>
      </c>
      <c r="AH94" s="40">
        <v>0</v>
      </c>
      <c r="AI94" s="39">
        <f>+IFERROR((FT_RF_26[[#This Row],[Hongos]]/FT_RF_26[[#This Row],[Muestra]]),"0")</f>
        <v>0</v>
      </c>
      <c r="AJ94" s="38">
        <v>0</v>
      </c>
      <c r="AK94" s="39">
        <f>+IFERROR((FT_RF_26[[#This Row],[Block]]/FT_RF_26[[#This Row],[Muestra]]),"0")</f>
        <v>0</v>
      </c>
      <c r="AL94" s="41">
        <v>0</v>
      </c>
      <c r="AM94" s="42">
        <v>0</v>
      </c>
      <c r="AN94" s="38">
        <v>0</v>
      </c>
      <c r="AO94" s="39">
        <f>+IFERROR((FT_RF_26[[#This Row],[Fuera de calibre &lt;12mm]]/FT_RF_26[[#This Row],[Muestra]]),"0")</f>
        <v>0</v>
      </c>
      <c r="AP94" s="38">
        <v>0</v>
      </c>
      <c r="AQ94" s="39">
        <f>+IFERROR((FT_RF_26[[#This Row],[Calibre &lt;25]]/FT_RF_26[[#This Row],[Muestra]]),"0")</f>
        <v>0</v>
      </c>
      <c r="AR94" s="38">
        <v>0</v>
      </c>
      <c r="AS94" s="39">
        <f>+IFERROR((FT_RF_26[[#This Row],[Calibre &gt;12]]/FT_RF_26[[#This Row],[Muestra]]),"0")</f>
        <v>0</v>
      </c>
      <c r="AT94" s="38">
        <v>0</v>
      </c>
      <c r="AU94" s="39">
        <f>+IFERROR((FT_RF_26[[#This Row],[Calibre &lt;14]]/FT_RF_26[[#This Row],[Muestra]]),"0")</f>
        <v>0</v>
      </c>
      <c r="AV94" s="38">
        <v>0</v>
      </c>
      <c r="AW94" s="39">
        <f>+IFERROR((FT_RF_26[[#This Row],[Calibre &gt;14]]/FT_RF_26[[#This Row],[Muestra]]),"0")</f>
        <v>0</v>
      </c>
      <c r="AX94" s="38">
        <v>0</v>
      </c>
      <c r="AY94" s="39">
        <f>+IFERROR((FT_RF_26[[#This Row],[Calibre &lt;10]]/FT_RF_26[[#This Row],[Muestra]]),"0")</f>
        <v>0</v>
      </c>
      <c r="AZ94" s="38">
        <v>0</v>
      </c>
      <c r="BA94" s="39">
        <f>+IFERROR((FT_RF_26[[#This Row],[Calibre &gt;13]]/FT_RF_26[[#This Row],[Muestra]]),"0")</f>
        <v>0</v>
      </c>
      <c r="BB94" s="41"/>
      <c r="BG94" s="42"/>
      <c r="BH94" s="43">
        <v>0</v>
      </c>
      <c r="BI94" s="29" t="s">
        <v>894</v>
      </c>
      <c r="BJ94" s="29" t="s">
        <v>894</v>
      </c>
      <c r="BK9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9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94" s="45">
        <f>1-FT_RF_26[[#This Row],[% Defectos]]</f>
        <v>1</v>
      </c>
      <c r="BO94" s="60"/>
      <c r="BP94" s="12">
        <f>SUM(FT_RF_26[[#This Row],[Hoja (Un.)]:[Larvas Caja]])</f>
        <v>0</v>
      </c>
      <c r="BQ94" s="12">
        <f>SUM(FT_RF_26[[#This Row],[Vidrios]:[Plástico]])</f>
        <v>0</v>
      </c>
      <c r="BR94" s="12" t="str">
        <f>IF(ISBLANK(FT_RF_26[[#This Row],[Descripción del producto]]),"",FT_RF_26[[#This Row],[Descripción del producto]])</f>
        <v/>
      </c>
      <c r="BS94" s="29" t="str">
        <f>IF(ISBLANK(FT_RF_26[[#This Row],[N° de Lote]]),"",FT_RF_26[[#This Row],[N° de Lote]])</f>
        <v/>
      </c>
      <c r="BT94" s="29" t="str">
        <f>IF(ISBLANK(FT_RF_26[[#This Row],[N° de Pallet]]),"",FT_RF_26[[#This Row],[N° de Pallet]])</f>
        <v/>
      </c>
    </row>
    <row r="95" spans="2:72">
      <c r="B95" s="29">
        <f>+_xlfn.ISOWEEKNUM(FT_RF_26[[#This Row],[Fecha]])</f>
        <v>52</v>
      </c>
      <c r="E95" s="31"/>
      <c r="F95" s="12" t="str">
        <f>IFERROR(""&amp;_xlfn.XLOOKUP(FT_RF_26[[#This Row],[Código]],BD_Cod[SKU],BD_Cod[Descripción]),"")</f>
        <v/>
      </c>
      <c r="G95" s="32" t="str">
        <f>IFERROR(""&amp;_xlfn.XLOOKUP(FT_RF_26[[#This Row],[Código]],BD_Cod[SKU],BD_Cod[Familia Calidad]),"")</f>
        <v/>
      </c>
      <c r="J95" s="33">
        <v>1000</v>
      </c>
      <c r="L95" s="30" t="s">
        <v>244</v>
      </c>
      <c r="O95" s="30" t="s">
        <v>894</v>
      </c>
      <c r="P95" s="29" t="s">
        <v>894</v>
      </c>
      <c r="Q95" s="37">
        <f>1-FT_RF_26[[#This Row],[% Defectos]]</f>
        <v>1</v>
      </c>
      <c r="R95" s="38">
        <v>0</v>
      </c>
      <c r="S95" s="39">
        <f>+IFERROR((FT_RF_26[[#This Row],[Inmadura]]/FT_RF_26[[#This Row],[Muestra]]),"0")</f>
        <v>0</v>
      </c>
      <c r="T95" s="38">
        <v>0</v>
      </c>
      <c r="U95" s="39">
        <f>+IFERROR((FT_RF_26[[#This Row],[Partidas]]/FT_RF_26[[#This Row],[Muestra]]),"0")</f>
        <v>0</v>
      </c>
      <c r="V95" s="38">
        <v>0</v>
      </c>
      <c r="W95" s="39">
        <f>+IFERROR((FT_RF_26[[#This Row],[Daño Insecto]]/FT_RF_26[[#This Row],[Muestra]]),"0")</f>
        <v>0</v>
      </c>
      <c r="X95" s="38">
        <v>0</v>
      </c>
      <c r="Y95" s="39">
        <f>+IFERROR((FT_RF_26[[#This Row],[Sobremadura]]/FT_RF_26[[#This Row],[Muestra]]),"0")</f>
        <v>0</v>
      </c>
      <c r="Z95" s="38">
        <v>0</v>
      </c>
      <c r="AA95" s="39">
        <f>+IFERROR((FT_RF_26[[#This Row],[Deforme]]/FT_RF_26[[#This Row],[Muestra]]),"0")</f>
        <v>0</v>
      </c>
      <c r="AB95" s="27"/>
      <c r="AC95" s="38">
        <v>0</v>
      </c>
      <c r="AD95" s="39">
        <f>+IFERROR((FT_RF_26[[#This Row],[Valor Extra 1]]/FT_RF_26[[#This Row],[Muestra]]),"0")</f>
        <v>0</v>
      </c>
      <c r="AF95" s="38">
        <v>0</v>
      </c>
      <c r="AG95" s="39">
        <f>+IFERROR((FT_RF_26[[#This Row],[Valor Extra 2]]/FT_RF_26[[#This Row],[Muestra]]),"0")</f>
        <v>0</v>
      </c>
      <c r="AH95" s="40">
        <v>0</v>
      </c>
      <c r="AI95" s="39">
        <f>+IFERROR((FT_RF_26[[#This Row],[Hongos]]/FT_RF_26[[#This Row],[Muestra]]),"0")</f>
        <v>0</v>
      </c>
      <c r="AJ95" s="38">
        <v>0</v>
      </c>
      <c r="AK95" s="39">
        <f>+IFERROR((FT_RF_26[[#This Row],[Block]]/FT_RF_26[[#This Row],[Muestra]]),"0")</f>
        <v>0</v>
      </c>
      <c r="AL95" s="41">
        <v>0</v>
      </c>
      <c r="AM95" s="42">
        <v>0</v>
      </c>
      <c r="AN95" s="38">
        <v>0</v>
      </c>
      <c r="AO95" s="39">
        <f>+IFERROR((FT_RF_26[[#This Row],[Fuera de calibre &lt;12mm]]/FT_RF_26[[#This Row],[Muestra]]),"0")</f>
        <v>0</v>
      </c>
      <c r="AP95" s="38">
        <v>0</v>
      </c>
      <c r="AQ95" s="39">
        <f>+IFERROR((FT_RF_26[[#This Row],[Calibre &lt;25]]/FT_RF_26[[#This Row],[Muestra]]),"0")</f>
        <v>0</v>
      </c>
      <c r="AR95" s="38">
        <v>0</v>
      </c>
      <c r="AS95" s="39">
        <f>+IFERROR((FT_RF_26[[#This Row],[Calibre &gt;12]]/FT_RF_26[[#This Row],[Muestra]]),"0")</f>
        <v>0</v>
      </c>
      <c r="AT95" s="38">
        <v>0</v>
      </c>
      <c r="AU95" s="39">
        <f>+IFERROR((FT_RF_26[[#This Row],[Calibre &lt;14]]/FT_RF_26[[#This Row],[Muestra]]),"0")</f>
        <v>0</v>
      </c>
      <c r="AV95" s="38">
        <v>0</v>
      </c>
      <c r="AW95" s="39">
        <f>+IFERROR((FT_RF_26[[#This Row],[Calibre &gt;14]]/FT_RF_26[[#This Row],[Muestra]]),"0")</f>
        <v>0</v>
      </c>
      <c r="AX95" s="38">
        <v>0</v>
      </c>
      <c r="AY95" s="39">
        <f>+IFERROR((FT_RF_26[[#This Row],[Calibre &lt;10]]/FT_RF_26[[#This Row],[Muestra]]),"0")</f>
        <v>0</v>
      </c>
      <c r="AZ95" s="38">
        <v>0</v>
      </c>
      <c r="BA95" s="39">
        <f>+IFERROR((FT_RF_26[[#This Row],[Calibre &gt;13]]/FT_RF_26[[#This Row],[Muestra]]),"0")</f>
        <v>0</v>
      </c>
      <c r="BB95" s="41"/>
      <c r="BG95" s="42"/>
      <c r="BH95" s="43">
        <v>0</v>
      </c>
      <c r="BI95" s="29" t="s">
        <v>894</v>
      </c>
      <c r="BJ95" s="29" t="s">
        <v>894</v>
      </c>
      <c r="BK9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9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95" s="45">
        <f>1-FT_RF_26[[#This Row],[% Defectos]]</f>
        <v>1</v>
      </c>
      <c r="BO95" s="60"/>
      <c r="BP95" s="12">
        <f>SUM(FT_RF_26[[#This Row],[Hoja (Un.)]:[Larvas Caja]])</f>
        <v>0</v>
      </c>
      <c r="BQ95" s="12">
        <f>SUM(FT_RF_26[[#This Row],[Vidrios]:[Plástico]])</f>
        <v>0</v>
      </c>
      <c r="BR95" s="12" t="str">
        <f>IF(ISBLANK(FT_RF_26[[#This Row],[Descripción del producto]]),"",FT_RF_26[[#This Row],[Descripción del producto]])</f>
        <v/>
      </c>
      <c r="BS95" s="29" t="str">
        <f>IF(ISBLANK(FT_RF_26[[#This Row],[N° de Lote]]),"",FT_RF_26[[#This Row],[N° de Lote]])</f>
        <v/>
      </c>
      <c r="BT95" s="29" t="str">
        <f>IF(ISBLANK(FT_RF_26[[#This Row],[N° de Pallet]]),"",FT_RF_26[[#This Row],[N° de Pallet]])</f>
        <v/>
      </c>
    </row>
    <row r="96" spans="2:72">
      <c r="B96" s="29">
        <f>+_xlfn.ISOWEEKNUM(FT_RF_26[[#This Row],[Fecha]])</f>
        <v>52</v>
      </c>
      <c r="E96" s="31"/>
      <c r="F96" s="12" t="str">
        <f>IFERROR(""&amp;_xlfn.XLOOKUP(FT_RF_26[[#This Row],[Código]],BD_Cod[SKU],BD_Cod[Descripción]),"")</f>
        <v/>
      </c>
      <c r="G96" s="32" t="str">
        <f>IFERROR(""&amp;_xlfn.XLOOKUP(FT_RF_26[[#This Row],[Código]],BD_Cod[SKU],BD_Cod[Familia Calidad]),"")</f>
        <v/>
      </c>
      <c r="J96" s="33">
        <v>1000</v>
      </c>
      <c r="L96" s="30" t="s">
        <v>244</v>
      </c>
      <c r="O96" s="30" t="s">
        <v>894</v>
      </c>
      <c r="P96" s="29" t="s">
        <v>894</v>
      </c>
      <c r="Q96" s="37">
        <f>1-FT_RF_26[[#This Row],[% Defectos]]</f>
        <v>1</v>
      </c>
      <c r="R96" s="38">
        <v>0</v>
      </c>
      <c r="S96" s="39">
        <f>+IFERROR((FT_RF_26[[#This Row],[Inmadura]]/FT_RF_26[[#This Row],[Muestra]]),"0")</f>
        <v>0</v>
      </c>
      <c r="T96" s="38">
        <v>0</v>
      </c>
      <c r="U96" s="39">
        <f>+IFERROR((FT_RF_26[[#This Row],[Partidas]]/FT_RF_26[[#This Row],[Muestra]]),"0")</f>
        <v>0</v>
      </c>
      <c r="V96" s="38">
        <v>0</v>
      </c>
      <c r="W96" s="39">
        <f>+IFERROR((FT_RF_26[[#This Row],[Daño Insecto]]/FT_RF_26[[#This Row],[Muestra]]),"0")</f>
        <v>0</v>
      </c>
      <c r="X96" s="38">
        <v>0</v>
      </c>
      <c r="Y96" s="39">
        <f>+IFERROR((FT_RF_26[[#This Row],[Sobremadura]]/FT_RF_26[[#This Row],[Muestra]]),"0")</f>
        <v>0</v>
      </c>
      <c r="Z96" s="38">
        <v>0</v>
      </c>
      <c r="AA96" s="39">
        <f>+IFERROR((FT_RF_26[[#This Row],[Deforme]]/FT_RF_26[[#This Row],[Muestra]]),"0")</f>
        <v>0</v>
      </c>
      <c r="AB96" s="27"/>
      <c r="AC96" s="38">
        <v>0</v>
      </c>
      <c r="AD96" s="39">
        <f>+IFERROR((FT_RF_26[[#This Row],[Valor Extra 1]]/FT_RF_26[[#This Row],[Muestra]]),"0")</f>
        <v>0</v>
      </c>
      <c r="AF96" s="38">
        <v>0</v>
      </c>
      <c r="AG96" s="39">
        <f>+IFERROR((FT_RF_26[[#This Row],[Valor Extra 2]]/FT_RF_26[[#This Row],[Muestra]]),"0")</f>
        <v>0</v>
      </c>
      <c r="AH96" s="40">
        <v>0</v>
      </c>
      <c r="AI96" s="39">
        <f>+IFERROR((FT_RF_26[[#This Row],[Hongos]]/FT_RF_26[[#This Row],[Muestra]]),"0")</f>
        <v>0</v>
      </c>
      <c r="AJ96" s="38">
        <v>0</v>
      </c>
      <c r="AK96" s="39">
        <f>+IFERROR((FT_RF_26[[#This Row],[Block]]/FT_RF_26[[#This Row],[Muestra]]),"0")</f>
        <v>0</v>
      </c>
      <c r="AL96" s="41">
        <v>0</v>
      </c>
      <c r="AM96" s="42">
        <v>0</v>
      </c>
      <c r="AN96" s="38">
        <v>0</v>
      </c>
      <c r="AO96" s="39">
        <f>+IFERROR((FT_RF_26[[#This Row],[Fuera de calibre &lt;12mm]]/FT_RF_26[[#This Row],[Muestra]]),"0")</f>
        <v>0</v>
      </c>
      <c r="AP96" s="38">
        <v>0</v>
      </c>
      <c r="AQ96" s="39">
        <f>+IFERROR((FT_RF_26[[#This Row],[Calibre &lt;25]]/FT_RF_26[[#This Row],[Muestra]]),"0")</f>
        <v>0</v>
      </c>
      <c r="AR96" s="38">
        <v>0</v>
      </c>
      <c r="AS96" s="39">
        <f>+IFERROR((FT_RF_26[[#This Row],[Calibre &gt;12]]/FT_RF_26[[#This Row],[Muestra]]),"0")</f>
        <v>0</v>
      </c>
      <c r="AT96" s="38">
        <v>0</v>
      </c>
      <c r="AU96" s="39">
        <f>+IFERROR((FT_RF_26[[#This Row],[Calibre &lt;14]]/FT_RF_26[[#This Row],[Muestra]]),"0")</f>
        <v>0</v>
      </c>
      <c r="AV96" s="38">
        <v>0</v>
      </c>
      <c r="AW96" s="39">
        <f>+IFERROR((FT_RF_26[[#This Row],[Calibre &gt;14]]/FT_RF_26[[#This Row],[Muestra]]),"0")</f>
        <v>0</v>
      </c>
      <c r="AX96" s="38">
        <v>0</v>
      </c>
      <c r="AY96" s="39">
        <f>+IFERROR((FT_RF_26[[#This Row],[Calibre &lt;10]]/FT_RF_26[[#This Row],[Muestra]]),"0")</f>
        <v>0</v>
      </c>
      <c r="AZ96" s="38">
        <v>0</v>
      </c>
      <c r="BA96" s="39">
        <f>+IFERROR((FT_RF_26[[#This Row],[Calibre &gt;13]]/FT_RF_26[[#This Row],[Muestra]]),"0")</f>
        <v>0</v>
      </c>
      <c r="BB96" s="41"/>
      <c r="BG96" s="42"/>
      <c r="BH96" s="43">
        <v>0</v>
      </c>
      <c r="BI96" s="29" t="s">
        <v>894</v>
      </c>
      <c r="BJ96" s="29" t="s">
        <v>894</v>
      </c>
      <c r="BK9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9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96" s="45">
        <f>1-FT_RF_26[[#This Row],[% Defectos]]</f>
        <v>1</v>
      </c>
      <c r="BO96" s="60"/>
      <c r="BP96" s="12">
        <f>SUM(FT_RF_26[[#This Row],[Hoja (Un.)]:[Larvas Caja]])</f>
        <v>0</v>
      </c>
      <c r="BQ96" s="12">
        <f>SUM(FT_RF_26[[#This Row],[Vidrios]:[Plástico]])</f>
        <v>0</v>
      </c>
      <c r="BR96" s="12" t="str">
        <f>IF(ISBLANK(FT_RF_26[[#This Row],[Descripción del producto]]),"",FT_RF_26[[#This Row],[Descripción del producto]])</f>
        <v/>
      </c>
      <c r="BS96" s="29" t="str">
        <f>IF(ISBLANK(FT_RF_26[[#This Row],[N° de Lote]]),"",FT_RF_26[[#This Row],[N° de Lote]])</f>
        <v/>
      </c>
      <c r="BT96" s="29" t="str">
        <f>IF(ISBLANK(FT_RF_26[[#This Row],[N° de Pallet]]),"",FT_RF_26[[#This Row],[N° de Pallet]])</f>
        <v/>
      </c>
    </row>
    <row r="97" spans="2:72">
      <c r="B97" s="29">
        <f>+_xlfn.ISOWEEKNUM(FT_RF_26[[#This Row],[Fecha]])</f>
        <v>52</v>
      </c>
      <c r="E97" s="31"/>
      <c r="F97" s="12" t="str">
        <f>IFERROR(""&amp;_xlfn.XLOOKUP(FT_RF_26[[#This Row],[Código]],BD_Cod[SKU],BD_Cod[Descripción]),"")</f>
        <v/>
      </c>
      <c r="G97" s="32" t="str">
        <f>IFERROR(""&amp;_xlfn.XLOOKUP(FT_RF_26[[#This Row],[Código]],BD_Cod[SKU],BD_Cod[Familia Calidad]),"")</f>
        <v/>
      </c>
      <c r="J97" s="33">
        <v>1000</v>
      </c>
      <c r="L97" s="30" t="s">
        <v>244</v>
      </c>
      <c r="O97" s="30" t="s">
        <v>894</v>
      </c>
      <c r="P97" s="29" t="s">
        <v>894</v>
      </c>
      <c r="Q97" s="37">
        <f>1-FT_RF_26[[#This Row],[% Defectos]]</f>
        <v>1</v>
      </c>
      <c r="R97" s="38">
        <v>0</v>
      </c>
      <c r="S97" s="39">
        <f>+IFERROR((FT_RF_26[[#This Row],[Inmadura]]/FT_RF_26[[#This Row],[Muestra]]),"0")</f>
        <v>0</v>
      </c>
      <c r="T97" s="38">
        <v>0</v>
      </c>
      <c r="U97" s="39">
        <f>+IFERROR((FT_RF_26[[#This Row],[Partidas]]/FT_RF_26[[#This Row],[Muestra]]),"0")</f>
        <v>0</v>
      </c>
      <c r="V97" s="38">
        <v>0</v>
      </c>
      <c r="W97" s="39">
        <f>+IFERROR((FT_RF_26[[#This Row],[Daño Insecto]]/FT_RF_26[[#This Row],[Muestra]]),"0")</f>
        <v>0</v>
      </c>
      <c r="X97" s="38">
        <v>0</v>
      </c>
      <c r="Y97" s="39">
        <f>+IFERROR((FT_RF_26[[#This Row],[Sobremadura]]/FT_RF_26[[#This Row],[Muestra]]),"0")</f>
        <v>0</v>
      </c>
      <c r="Z97" s="38">
        <v>0</v>
      </c>
      <c r="AA97" s="39">
        <f>+IFERROR((FT_RF_26[[#This Row],[Deforme]]/FT_RF_26[[#This Row],[Muestra]]),"0")</f>
        <v>0</v>
      </c>
      <c r="AB97" s="27"/>
      <c r="AC97" s="38">
        <v>0</v>
      </c>
      <c r="AD97" s="39">
        <f>+IFERROR((FT_RF_26[[#This Row],[Valor Extra 1]]/FT_RF_26[[#This Row],[Muestra]]),"0")</f>
        <v>0</v>
      </c>
      <c r="AF97" s="38">
        <v>0</v>
      </c>
      <c r="AG97" s="39">
        <f>+IFERROR((FT_RF_26[[#This Row],[Valor Extra 2]]/FT_RF_26[[#This Row],[Muestra]]),"0")</f>
        <v>0</v>
      </c>
      <c r="AH97" s="40">
        <v>0</v>
      </c>
      <c r="AI97" s="39">
        <f>+IFERROR((FT_RF_26[[#This Row],[Hongos]]/FT_RF_26[[#This Row],[Muestra]]),"0")</f>
        <v>0</v>
      </c>
      <c r="AJ97" s="38">
        <v>0</v>
      </c>
      <c r="AK97" s="39">
        <f>+IFERROR((FT_RF_26[[#This Row],[Block]]/FT_RF_26[[#This Row],[Muestra]]),"0")</f>
        <v>0</v>
      </c>
      <c r="AL97" s="41">
        <v>0</v>
      </c>
      <c r="AM97" s="42">
        <v>0</v>
      </c>
      <c r="AN97" s="38">
        <v>0</v>
      </c>
      <c r="AO97" s="39">
        <f>+IFERROR((FT_RF_26[[#This Row],[Fuera de calibre &lt;12mm]]/FT_RF_26[[#This Row],[Muestra]]),"0")</f>
        <v>0</v>
      </c>
      <c r="AP97" s="38">
        <v>0</v>
      </c>
      <c r="AQ97" s="39">
        <f>+IFERROR((FT_RF_26[[#This Row],[Calibre &lt;25]]/FT_RF_26[[#This Row],[Muestra]]),"0")</f>
        <v>0</v>
      </c>
      <c r="AR97" s="38">
        <v>0</v>
      </c>
      <c r="AS97" s="39">
        <f>+IFERROR((FT_RF_26[[#This Row],[Calibre &gt;12]]/FT_RF_26[[#This Row],[Muestra]]),"0")</f>
        <v>0</v>
      </c>
      <c r="AT97" s="38">
        <v>0</v>
      </c>
      <c r="AU97" s="39">
        <f>+IFERROR((FT_RF_26[[#This Row],[Calibre &lt;14]]/FT_RF_26[[#This Row],[Muestra]]),"0")</f>
        <v>0</v>
      </c>
      <c r="AV97" s="38">
        <v>0</v>
      </c>
      <c r="AW97" s="39">
        <f>+IFERROR((FT_RF_26[[#This Row],[Calibre &gt;14]]/FT_RF_26[[#This Row],[Muestra]]),"0")</f>
        <v>0</v>
      </c>
      <c r="AX97" s="38">
        <v>0</v>
      </c>
      <c r="AY97" s="39">
        <f>+IFERROR((FT_RF_26[[#This Row],[Calibre &lt;10]]/FT_RF_26[[#This Row],[Muestra]]),"0")</f>
        <v>0</v>
      </c>
      <c r="AZ97" s="38">
        <v>0</v>
      </c>
      <c r="BA97" s="39">
        <f>+IFERROR((FT_RF_26[[#This Row],[Calibre &gt;13]]/FT_RF_26[[#This Row],[Muestra]]),"0")</f>
        <v>0</v>
      </c>
      <c r="BB97" s="41"/>
      <c r="BG97" s="42"/>
      <c r="BH97" s="43">
        <v>0</v>
      </c>
      <c r="BI97" s="29" t="s">
        <v>894</v>
      </c>
      <c r="BJ97" s="29" t="s">
        <v>894</v>
      </c>
      <c r="BK9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9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97" s="45">
        <f>1-FT_RF_26[[#This Row],[% Defectos]]</f>
        <v>1</v>
      </c>
      <c r="BO97" s="60"/>
      <c r="BP97" s="12">
        <f>SUM(FT_RF_26[[#This Row],[Hoja (Un.)]:[Larvas Caja]])</f>
        <v>0</v>
      </c>
      <c r="BQ97" s="12">
        <f>SUM(FT_RF_26[[#This Row],[Vidrios]:[Plástico]])</f>
        <v>0</v>
      </c>
      <c r="BR97" s="12" t="str">
        <f>IF(ISBLANK(FT_RF_26[[#This Row],[Descripción del producto]]),"",FT_RF_26[[#This Row],[Descripción del producto]])</f>
        <v/>
      </c>
      <c r="BS97" s="29" t="str">
        <f>IF(ISBLANK(FT_RF_26[[#This Row],[N° de Lote]]),"",FT_RF_26[[#This Row],[N° de Lote]])</f>
        <v/>
      </c>
      <c r="BT97" s="29" t="str">
        <f>IF(ISBLANK(FT_RF_26[[#This Row],[N° de Pallet]]),"",FT_RF_26[[#This Row],[N° de Pallet]])</f>
        <v/>
      </c>
    </row>
    <row r="98" spans="2:72">
      <c r="B98" s="29">
        <f>+_xlfn.ISOWEEKNUM(FT_RF_26[[#This Row],[Fecha]])</f>
        <v>52</v>
      </c>
      <c r="E98" s="31"/>
      <c r="F98" s="12" t="str">
        <f>IFERROR(""&amp;_xlfn.XLOOKUP(FT_RF_26[[#This Row],[Código]],BD_Cod[SKU],BD_Cod[Descripción]),"")</f>
        <v/>
      </c>
      <c r="G98" s="32" t="str">
        <f>IFERROR(""&amp;_xlfn.XLOOKUP(FT_RF_26[[#This Row],[Código]],BD_Cod[SKU],BD_Cod[Familia Calidad]),"")</f>
        <v/>
      </c>
      <c r="J98" s="33">
        <v>1000</v>
      </c>
      <c r="L98" s="30" t="s">
        <v>244</v>
      </c>
      <c r="O98" s="30" t="s">
        <v>894</v>
      </c>
      <c r="P98" s="29" t="s">
        <v>894</v>
      </c>
      <c r="Q98" s="37">
        <f>1-FT_RF_26[[#This Row],[% Defectos]]</f>
        <v>1</v>
      </c>
      <c r="R98" s="38">
        <v>0</v>
      </c>
      <c r="S98" s="39">
        <f>+IFERROR((FT_RF_26[[#This Row],[Inmadura]]/FT_RF_26[[#This Row],[Muestra]]),"0")</f>
        <v>0</v>
      </c>
      <c r="T98" s="38">
        <v>0</v>
      </c>
      <c r="U98" s="39">
        <f>+IFERROR((FT_RF_26[[#This Row],[Partidas]]/FT_RF_26[[#This Row],[Muestra]]),"0")</f>
        <v>0</v>
      </c>
      <c r="V98" s="38">
        <v>0</v>
      </c>
      <c r="W98" s="39">
        <f>+IFERROR((FT_RF_26[[#This Row],[Daño Insecto]]/FT_RF_26[[#This Row],[Muestra]]),"0")</f>
        <v>0</v>
      </c>
      <c r="X98" s="38">
        <v>0</v>
      </c>
      <c r="Y98" s="39">
        <f>+IFERROR((FT_RF_26[[#This Row],[Sobremadura]]/FT_RF_26[[#This Row],[Muestra]]),"0")</f>
        <v>0</v>
      </c>
      <c r="Z98" s="38">
        <v>0</v>
      </c>
      <c r="AA98" s="39">
        <f>+IFERROR((FT_RF_26[[#This Row],[Deforme]]/FT_RF_26[[#This Row],[Muestra]]),"0")</f>
        <v>0</v>
      </c>
      <c r="AB98" s="27"/>
      <c r="AC98" s="38">
        <v>0</v>
      </c>
      <c r="AD98" s="39">
        <f>+IFERROR((FT_RF_26[[#This Row],[Valor Extra 1]]/FT_RF_26[[#This Row],[Muestra]]),"0")</f>
        <v>0</v>
      </c>
      <c r="AF98" s="38">
        <v>0</v>
      </c>
      <c r="AG98" s="39">
        <f>+IFERROR((FT_RF_26[[#This Row],[Valor Extra 2]]/FT_RF_26[[#This Row],[Muestra]]),"0")</f>
        <v>0</v>
      </c>
      <c r="AH98" s="40">
        <v>0</v>
      </c>
      <c r="AI98" s="39">
        <f>+IFERROR((FT_RF_26[[#This Row],[Hongos]]/FT_RF_26[[#This Row],[Muestra]]),"0")</f>
        <v>0</v>
      </c>
      <c r="AJ98" s="38">
        <v>0</v>
      </c>
      <c r="AK98" s="39">
        <f>+IFERROR((FT_RF_26[[#This Row],[Block]]/FT_RF_26[[#This Row],[Muestra]]),"0")</f>
        <v>0</v>
      </c>
      <c r="AL98" s="41">
        <v>0</v>
      </c>
      <c r="AM98" s="42">
        <v>0</v>
      </c>
      <c r="AN98" s="38">
        <v>0</v>
      </c>
      <c r="AO98" s="39">
        <f>+IFERROR((FT_RF_26[[#This Row],[Fuera de calibre &lt;12mm]]/FT_RF_26[[#This Row],[Muestra]]),"0")</f>
        <v>0</v>
      </c>
      <c r="AP98" s="38">
        <v>0</v>
      </c>
      <c r="AQ98" s="39">
        <f>+IFERROR((FT_RF_26[[#This Row],[Calibre &lt;25]]/FT_RF_26[[#This Row],[Muestra]]),"0")</f>
        <v>0</v>
      </c>
      <c r="AR98" s="38">
        <v>0</v>
      </c>
      <c r="AS98" s="39">
        <f>+IFERROR((FT_RF_26[[#This Row],[Calibre &gt;12]]/FT_RF_26[[#This Row],[Muestra]]),"0")</f>
        <v>0</v>
      </c>
      <c r="AT98" s="38">
        <v>0</v>
      </c>
      <c r="AU98" s="39">
        <f>+IFERROR((FT_RF_26[[#This Row],[Calibre &lt;14]]/FT_RF_26[[#This Row],[Muestra]]),"0")</f>
        <v>0</v>
      </c>
      <c r="AV98" s="38">
        <v>0</v>
      </c>
      <c r="AW98" s="39">
        <f>+IFERROR((FT_RF_26[[#This Row],[Calibre &gt;14]]/FT_RF_26[[#This Row],[Muestra]]),"0")</f>
        <v>0</v>
      </c>
      <c r="AX98" s="38">
        <v>0</v>
      </c>
      <c r="AY98" s="39">
        <f>+IFERROR((FT_RF_26[[#This Row],[Calibre &lt;10]]/FT_RF_26[[#This Row],[Muestra]]),"0")</f>
        <v>0</v>
      </c>
      <c r="AZ98" s="38">
        <v>0</v>
      </c>
      <c r="BA98" s="39">
        <f>+IFERROR((FT_RF_26[[#This Row],[Calibre &gt;13]]/FT_RF_26[[#This Row],[Muestra]]),"0")</f>
        <v>0</v>
      </c>
      <c r="BB98" s="41"/>
      <c r="BG98" s="42"/>
      <c r="BH98" s="43">
        <v>0</v>
      </c>
      <c r="BI98" s="29" t="s">
        <v>894</v>
      </c>
      <c r="BJ98" s="29" t="s">
        <v>894</v>
      </c>
      <c r="BK9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9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98" s="45">
        <f>1-FT_RF_26[[#This Row],[% Defectos]]</f>
        <v>1</v>
      </c>
      <c r="BO98" s="60"/>
      <c r="BP98" s="12">
        <f>SUM(FT_RF_26[[#This Row],[Hoja (Un.)]:[Larvas Caja]])</f>
        <v>0</v>
      </c>
      <c r="BQ98" s="12">
        <f>SUM(FT_RF_26[[#This Row],[Vidrios]:[Plástico]])</f>
        <v>0</v>
      </c>
      <c r="BR98" s="12" t="str">
        <f>IF(ISBLANK(FT_RF_26[[#This Row],[Descripción del producto]]),"",FT_RF_26[[#This Row],[Descripción del producto]])</f>
        <v/>
      </c>
      <c r="BS98" s="29" t="str">
        <f>IF(ISBLANK(FT_RF_26[[#This Row],[N° de Lote]]),"",FT_RF_26[[#This Row],[N° de Lote]])</f>
        <v/>
      </c>
      <c r="BT98" s="29" t="str">
        <f>IF(ISBLANK(FT_RF_26[[#This Row],[N° de Pallet]]),"",FT_RF_26[[#This Row],[N° de Pallet]])</f>
        <v/>
      </c>
    </row>
    <row r="99" spans="2:72">
      <c r="B99" s="29">
        <f>+_xlfn.ISOWEEKNUM(FT_RF_26[[#This Row],[Fecha]])</f>
        <v>52</v>
      </c>
      <c r="E99" s="31"/>
      <c r="F99" s="12" t="str">
        <f>IFERROR(""&amp;_xlfn.XLOOKUP(FT_RF_26[[#This Row],[Código]],BD_Cod[SKU],BD_Cod[Descripción]),"")</f>
        <v/>
      </c>
      <c r="G99" s="32" t="str">
        <f>IFERROR(""&amp;_xlfn.XLOOKUP(FT_RF_26[[#This Row],[Código]],BD_Cod[SKU],BD_Cod[Familia Calidad]),"")</f>
        <v/>
      </c>
      <c r="J99" s="33">
        <v>1000</v>
      </c>
      <c r="L99" s="30" t="s">
        <v>244</v>
      </c>
      <c r="O99" s="30" t="s">
        <v>894</v>
      </c>
      <c r="P99" s="29" t="s">
        <v>894</v>
      </c>
      <c r="Q99" s="37">
        <f>1-FT_RF_26[[#This Row],[% Defectos]]</f>
        <v>1</v>
      </c>
      <c r="R99" s="38">
        <v>0</v>
      </c>
      <c r="S99" s="39">
        <f>+IFERROR((FT_RF_26[[#This Row],[Inmadura]]/FT_RF_26[[#This Row],[Muestra]]),"0")</f>
        <v>0</v>
      </c>
      <c r="T99" s="38">
        <v>0</v>
      </c>
      <c r="U99" s="39">
        <f>+IFERROR((FT_RF_26[[#This Row],[Partidas]]/FT_RF_26[[#This Row],[Muestra]]),"0")</f>
        <v>0</v>
      </c>
      <c r="V99" s="38">
        <v>0</v>
      </c>
      <c r="W99" s="39">
        <f>+IFERROR((FT_RF_26[[#This Row],[Daño Insecto]]/FT_RF_26[[#This Row],[Muestra]]),"0")</f>
        <v>0</v>
      </c>
      <c r="X99" s="38">
        <v>0</v>
      </c>
      <c r="Y99" s="39">
        <f>+IFERROR((FT_RF_26[[#This Row],[Sobremadura]]/FT_RF_26[[#This Row],[Muestra]]),"0")</f>
        <v>0</v>
      </c>
      <c r="Z99" s="38">
        <v>0</v>
      </c>
      <c r="AA99" s="39">
        <f>+IFERROR((FT_RF_26[[#This Row],[Deforme]]/FT_RF_26[[#This Row],[Muestra]]),"0")</f>
        <v>0</v>
      </c>
      <c r="AB99" s="27"/>
      <c r="AC99" s="38">
        <v>0</v>
      </c>
      <c r="AD99" s="39">
        <f>+IFERROR((FT_RF_26[[#This Row],[Valor Extra 1]]/FT_RF_26[[#This Row],[Muestra]]),"0")</f>
        <v>0</v>
      </c>
      <c r="AF99" s="38">
        <v>0</v>
      </c>
      <c r="AG99" s="39">
        <f>+IFERROR((FT_RF_26[[#This Row],[Valor Extra 2]]/FT_RF_26[[#This Row],[Muestra]]),"0")</f>
        <v>0</v>
      </c>
      <c r="AH99" s="40">
        <v>0</v>
      </c>
      <c r="AI99" s="39">
        <f>+IFERROR((FT_RF_26[[#This Row],[Hongos]]/FT_RF_26[[#This Row],[Muestra]]),"0")</f>
        <v>0</v>
      </c>
      <c r="AJ99" s="38">
        <v>0</v>
      </c>
      <c r="AK99" s="39">
        <f>+IFERROR((FT_RF_26[[#This Row],[Block]]/FT_RF_26[[#This Row],[Muestra]]),"0")</f>
        <v>0</v>
      </c>
      <c r="AL99" s="41">
        <v>0</v>
      </c>
      <c r="AM99" s="42">
        <v>0</v>
      </c>
      <c r="AN99" s="38">
        <v>0</v>
      </c>
      <c r="AO99" s="39">
        <f>+IFERROR((FT_RF_26[[#This Row],[Fuera de calibre &lt;12mm]]/FT_RF_26[[#This Row],[Muestra]]),"0")</f>
        <v>0</v>
      </c>
      <c r="AP99" s="38">
        <v>0</v>
      </c>
      <c r="AQ99" s="39">
        <f>+IFERROR((FT_RF_26[[#This Row],[Calibre &lt;25]]/FT_RF_26[[#This Row],[Muestra]]),"0")</f>
        <v>0</v>
      </c>
      <c r="AR99" s="38">
        <v>0</v>
      </c>
      <c r="AS99" s="39">
        <f>+IFERROR((FT_RF_26[[#This Row],[Calibre &gt;12]]/FT_RF_26[[#This Row],[Muestra]]),"0")</f>
        <v>0</v>
      </c>
      <c r="AT99" s="38">
        <v>0</v>
      </c>
      <c r="AU99" s="39">
        <f>+IFERROR((FT_RF_26[[#This Row],[Calibre &lt;14]]/FT_RF_26[[#This Row],[Muestra]]),"0")</f>
        <v>0</v>
      </c>
      <c r="AV99" s="38">
        <v>0</v>
      </c>
      <c r="AW99" s="39">
        <f>+IFERROR((FT_RF_26[[#This Row],[Calibre &gt;14]]/FT_RF_26[[#This Row],[Muestra]]),"0")</f>
        <v>0</v>
      </c>
      <c r="AX99" s="38">
        <v>0</v>
      </c>
      <c r="AY99" s="39">
        <f>+IFERROR((FT_RF_26[[#This Row],[Calibre &lt;10]]/FT_RF_26[[#This Row],[Muestra]]),"0")</f>
        <v>0</v>
      </c>
      <c r="AZ99" s="38">
        <v>0</v>
      </c>
      <c r="BA99" s="39">
        <f>+IFERROR((FT_RF_26[[#This Row],[Calibre &gt;13]]/FT_RF_26[[#This Row],[Muestra]]),"0")</f>
        <v>0</v>
      </c>
      <c r="BB99" s="41"/>
      <c r="BG99" s="42"/>
      <c r="BH99" s="43">
        <v>0</v>
      </c>
      <c r="BI99" s="29" t="s">
        <v>894</v>
      </c>
      <c r="BJ99" s="29" t="s">
        <v>894</v>
      </c>
      <c r="BK9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9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99" s="45">
        <f>1-FT_RF_26[[#This Row],[% Defectos]]</f>
        <v>1</v>
      </c>
      <c r="BO99" s="60"/>
      <c r="BP99" s="12">
        <f>SUM(FT_RF_26[[#This Row],[Hoja (Un.)]:[Larvas Caja]])</f>
        <v>0</v>
      </c>
      <c r="BQ99" s="12">
        <f>SUM(FT_RF_26[[#This Row],[Vidrios]:[Plástico]])</f>
        <v>0</v>
      </c>
      <c r="BR99" s="12" t="str">
        <f>IF(ISBLANK(FT_RF_26[[#This Row],[Descripción del producto]]),"",FT_RF_26[[#This Row],[Descripción del producto]])</f>
        <v/>
      </c>
      <c r="BS99" s="29" t="str">
        <f>IF(ISBLANK(FT_RF_26[[#This Row],[N° de Lote]]),"",FT_RF_26[[#This Row],[N° de Lote]])</f>
        <v/>
      </c>
      <c r="BT99" s="29" t="str">
        <f>IF(ISBLANK(FT_RF_26[[#This Row],[N° de Pallet]]),"",FT_RF_26[[#This Row],[N° de Pallet]])</f>
        <v/>
      </c>
    </row>
    <row r="100" spans="2:72">
      <c r="B100" s="29">
        <f>+_xlfn.ISOWEEKNUM(FT_RF_26[[#This Row],[Fecha]])</f>
        <v>52</v>
      </c>
      <c r="E100" s="31"/>
      <c r="F100" s="12" t="str">
        <f>IFERROR(""&amp;_xlfn.XLOOKUP(FT_RF_26[[#This Row],[Código]],BD_Cod[SKU],BD_Cod[Descripción]),"")</f>
        <v/>
      </c>
      <c r="G100" s="32" t="str">
        <f>IFERROR(""&amp;_xlfn.XLOOKUP(FT_RF_26[[#This Row],[Código]],BD_Cod[SKU],BD_Cod[Familia Calidad]),"")</f>
        <v/>
      </c>
      <c r="J100" s="33">
        <v>1000</v>
      </c>
      <c r="L100" s="30" t="s">
        <v>244</v>
      </c>
      <c r="O100" s="30" t="s">
        <v>894</v>
      </c>
      <c r="P100" s="29" t="s">
        <v>894</v>
      </c>
      <c r="Q100" s="37">
        <f>1-FT_RF_26[[#This Row],[% Defectos]]</f>
        <v>1</v>
      </c>
      <c r="R100" s="38">
        <v>0</v>
      </c>
      <c r="S100" s="39">
        <f>+IFERROR((FT_RF_26[[#This Row],[Inmadura]]/FT_RF_26[[#This Row],[Muestra]]),"0")</f>
        <v>0</v>
      </c>
      <c r="T100" s="38">
        <v>0</v>
      </c>
      <c r="U100" s="39">
        <f>+IFERROR((FT_RF_26[[#This Row],[Partidas]]/FT_RF_26[[#This Row],[Muestra]]),"0")</f>
        <v>0</v>
      </c>
      <c r="V100" s="38">
        <v>0</v>
      </c>
      <c r="W100" s="39">
        <f>+IFERROR((FT_RF_26[[#This Row],[Daño Insecto]]/FT_RF_26[[#This Row],[Muestra]]),"0")</f>
        <v>0</v>
      </c>
      <c r="X100" s="38">
        <v>0</v>
      </c>
      <c r="Y100" s="39">
        <f>+IFERROR((FT_RF_26[[#This Row],[Sobremadura]]/FT_RF_26[[#This Row],[Muestra]]),"0")</f>
        <v>0</v>
      </c>
      <c r="Z100" s="38">
        <v>0</v>
      </c>
      <c r="AA100" s="39">
        <f>+IFERROR((FT_RF_26[[#This Row],[Deforme]]/FT_RF_26[[#This Row],[Muestra]]),"0")</f>
        <v>0</v>
      </c>
      <c r="AB100" s="27"/>
      <c r="AC100" s="38">
        <v>0</v>
      </c>
      <c r="AD100" s="39">
        <f>+IFERROR((FT_RF_26[[#This Row],[Valor Extra 1]]/FT_RF_26[[#This Row],[Muestra]]),"0")</f>
        <v>0</v>
      </c>
      <c r="AF100" s="38">
        <v>0</v>
      </c>
      <c r="AG100" s="39">
        <f>+IFERROR((FT_RF_26[[#This Row],[Valor Extra 2]]/FT_RF_26[[#This Row],[Muestra]]),"0")</f>
        <v>0</v>
      </c>
      <c r="AH100" s="40">
        <v>0</v>
      </c>
      <c r="AI100" s="39">
        <f>+IFERROR((FT_RF_26[[#This Row],[Hongos]]/FT_RF_26[[#This Row],[Muestra]]),"0")</f>
        <v>0</v>
      </c>
      <c r="AJ100" s="38">
        <v>0</v>
      </c>
      <c r="AK100" s="39">
        <f>+IFERROR((FT_RF_26[[#This Row],[Block]]/FT_RF_26[[#This Row],[Muestra]]),"0")</f>
        <v>0</v>
      </c>
      <c r="AL100" s="41">
        <v>0</v>
      </c>
      <c r="AM100" s="42">
        <v>0</v>
      </c>
      <c r="AN100" s="38">
        <v>0</v>
      </c>
      <c r="AO100" s="39">
        <f>+IFERROR((FT_RF_26[[#This Row],[Fuera de calibre &lt;12mm]]/FT_RF_26[[#This Row],[Muestra]]),"0")</f>
        <v>0</v>
      </c>
      <c r="AP100" s="38">
        <v>0</v>
      </c>
      <c r="AQ100" s="39">
        <f>+IFERROR((FT_RF_26[[#This Row],[Calibre &lt;25]]/FT_RF_26[[#This Row],[Muestra]]),"0")</f>
        <v>0</v>
      </c>
      <c r="AR100" s="38">
        <v>0</v>
      </c>
      <c r="AS100" s="39">
        <f>+IFERROR((FT_RF_26[[#This Row],[Calibre &gt;12]]/FT_RF_26[[#This Row],[Muestra]]),"0")</f>
        <v>0</v>
      </c>
      <c r="AT100" s="38">
        <v>0</v>
      </c>
      <c r="AU100" s="39">
        <f>+IFERROR((FT_RF_26[[#This Row],[Calibre &lt;14]]/FT_RF_26[[#This Row],[Muestra]]),"0")</f>
        <v>0</v>
      </c>
      <c r="AV100" s="38">
        <v>0</v>
      </c>
      <c r="AW100" s="39">
        <f>+IFERROR((FT_RF_26[[#This Row],[Calibre &gt;14]]/FT_RF_26[[#This Row],[Muestra]]),"0")</f>
        <v>0</v>
      </c>
      <c r="AX100" s="38">
        <v>0</v>
      </c>
      <c r="AY100" s="39">
        <f>+IFERROR((FT_RF_26[[#This Row],[Calibre &lt;10]]/FT_RF_26[[#This Row],[Muestra]]),"0")</f>
        <v>0</v>
      </c>
      <c r="AZ100" s="38">
        <v>0</v>
      </c>
      <c r="BA100" s="39">
        <f>+IFERROR((FT_RF_26[[#This Row],[Calibre &gt;13]]/FT_RF_26[[#This Row],[Muestra]]),"0")</f>
        <v>0</v>
      </c>
      <c r="BB100" s="41"/>
      <c r="BG100" s="42"/>
      <c r="BH100" s="43">
        <v>0</v>
      </c>
      <c r="BI100" s="29" t="s">
        <v>894</v>
      </c>
      <c r="BJ100" s="29" t="s">
        <v>894</v>
      </c>
      <c r="BK10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0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00" s="45">
        <f>1-FT_RF_26[[#This Row],[% Defectos]]</f>
        <v>1</v>
      </c>
      <c r="BO100" s="60"/>
      <c r="BP100" s="12">
        <f>SUM(FT_RF_26[[#This Row],[Hoja (Un.)]:[Larvas Caja]])</f>
        <v>0</v>
      </c>
      <c r="BQ100" s="12">
        <f>SUM(FT_RF_26[[#This Row],[Vidrios]:[Plástico]])</f>
        <v>0</v>
      </c>
      <c r="BR100" s="12" t="str">
        <f>IF(ISBLANK(FT_RF_26[[#This Row],[Descripción del producto]]),"",FT_RF_26[[#This Row],[Descripción del producto]])</f>
        <v/>
      </c>
      <c r="BS100" s="29" t="str">
        <f>IF(ISBLANK(FT_RF_26[[#This Row],[N° de Lote]]),"",FT_RF_26[[#This Row],[N° de Lote]])</f>
        <v/>
      </c>
      <c r="BT100" s="29" t="str">
        <f>IF(ISBLANK(FT_RF_26[[#This Row],[N° de Pallet]]),"",FT_RF_26[[#This Row],[N° de Pallet]])</f>
        <v/>
      </c>
    </row>
    <row r="101" spans="2:72">
      <c r="B101" s="29">
        <f>+_xlfn.ISOWEEKNUM(FT_RF_26[[#This Row],[Fecha]])</f>
        <v>52</v>
      </c>
      <c r="E101" s="31"/>
      <c r="F101" s="12" t="str">
        <f>IFERROR(""&amp;_xlfn.XLOOKUP(FT_RF_26[[#This Row],[Código]],BD_Cod[SKU],BD_Cod[Descripción]),"")</f>
        <v/>
      </c>
      <c r="G101" s="32" t="str">
        <f>IFERROR(""&amp;_xlfn.XLOOKUP(FT_RF_26[[#This Row],[Código]],BD_Cod[SKU],BD_Cod[Familia Calidad]),"")</f>
        <v/>
      </c>
      <c r="J101" s="33">
        <v>1000</v>
      </c>
      <c r="L101" s="30" t="s">
        <v>244</v>
      </c>
      <c r="O101" s="30" t="s">
        <v>894</v>
      </c>
      <c r="P101" s="29" t="s">
        <v>894</v>
      </c>
      <c r="Q101" s="37">
        <f>1-FT_RF_26[[#This Row],[% Defectos]]</f>
        <v>1</v>
      </c>
      <c r="R101" s="38">
        <v>0</v>
      </c>
      <c r="S101" s="39">
        <f>+IFERROR((FT_RF_26[[#This Row],[Inmadura]]/FT_RF_26[[#This Row],[Muestra]]),"0")</f>
        <v>0</v>
      </c>
      <c r="T101" s="38">
        <v>0</v>
      </c>
      <c r="U101" s="39">
        <f>+IFERROR((FT_RF_26[[#This Row],[Partidas]]/FT_RF_26[[#This Row],[Muestra]]),"0")</f>
        <v>0</v>
      </c>
      <c r="V101" s="38">
        <v>0</v>
      </c>
      <c r="W101" s="39">
        <f>+IFERROR((FT_RF_26[[#This Row],[Daño Insecto]]/FT_RF_26[[#This Row],[Muestra]]),"0")</f>
        <v>0</v>
      </c>
      <c r="X101" s="38">
        <v>0</v>
      </c>
      <c r="Y101" s="39">
        <f>+IFERROR((FT_RF_26[[#This Row],[Sobremadura]]/FT_RF_26[[#This Row],[Muestra]]),"0")</f>
        <v>0</v>
      </c>
      <c r="Z101" s="38">
        <v>0</v>
      </c>
      <c r="AA101" s="39">
        <f>+IFERROR((FT_RF_26[[#This Row],[Deforme]]/FT_RF_26[[#This Row],[Muestra]]),"0")</f>
        <v>0</v>
      </c>
      <c r="AB101" s="27"/>
      <c r="AC101" s="38">
        <v>0</v>
      </c>
      <c r="AD101" s="39">
        <f>+IFERROR((FT_RF_26[[#This Row],[Valor Extra 1]]/FT_RF_26[[#This Row],[Muestra]]),"0")</f>
        <v>0</v>
      </c>
      <c r="AF101" s="38">
        <v>0</v>
      </c>
      <c r="AG101" s="39">
        <f>+IFERROR((FT_RF_26[[#This Row],[Valor Extra 2]]/FT_RF_26[[#This Row],[Muestra]]),"0")</f>
        <v>0</v>
      </c>
      <c r="AH101" s="40">
        <v>0</v>
      </c>
      <c r="AI101" s="39">
        <f>+IFERROR((FT_RF_26[[#This Row],[Hongos]]/FT_RF_26[[#This Row],[Muestra]]),"0")</f>
        <v>0</v>
      </c>
      <c r="AJ101" s="38">
        <v>0</v>
      </c>
      <c r="AK101" s="39">
        <f>+IFERROR((FT_RF_26[[#This Row],[Block]]/FT_RF_26[[#This Row],[Muestra]]),"0")</f>
        <v>0</v>
      </c>
      <c r="AL101" s="41">
        <v>0</v>
      </c>
      <c r="AM101" s="42">
        <v>0</v>
      </c>
      <c r="AN101" s="38">
        <v>0</v>
      </c>
      <c r="AO101" s="39">
        <f>+IFERROR((FT_RF_26[[#This Row],[Fuera de calibre &lt;12mm]]/FT_RF_26[[#This Row],[Muestra]]),"0")</f>
        <v>0</v>
      </c>
      <c r="AP101" s="38">
        <v>0</v>
      </c>
      <c r="AQ101" s="39">
        <f>+IFERROR((FT_RF_26[[#This Row],[Calibre &lt;25]]/FT_RF_26[[#This Row],[Muestra]]),"0")</f>
        <v>0</v>
      </c>
      <c r="AR101" s="38">
        <v>0</v>
      </c>
      <c r="AS101" s="39">
        <f>+IFERROR((FT_RF_26[[#This Row],[Calibre &gt;12]]/FT_RF_26[[#This Row],[Muestra]]),"0")</f>
        <v>0</v>
      </c>
      <c r="AT101" s="38">
        <v>0</v>
      </c>
      <c r="AU101" s="39">
        <f>+IFERROR((FT_RF_26[[#This Row],[Calibre &lt;14]]/FT_RF_26[[#This Row],[Muestra]]),"0")</f>
        <v>0</v>
      </c>
      <c r="AV101" s="38">
        <v>0</v>
      </c>
      <c r="AW101" s="39">
        <f>+IFERROR((FT_RF_26[[#This Row],[Calibre &gt;14]]/FT_RF_26[[#This Row],[Muestra]]),"0")</f>
        <v>0</v>
      </c>
      <c r="AX101" s="38">
        <v>0</v>
      </c>
      <c r="AY101" s="39">
        <f>+IFERROR((FT_RF_26[[#This Row],[Calibre &lt;10]]/FT_RF_26[[#This Row],[Muestra]]),"0")</f>
        <v>0</v>
      </c>
      <c r="AZ101" s="38">
        <v>0</v>
      </c>
      <c r="BA101" s="39">
        <f>+IFERROR((FT_RF_26[[#This Row],[Calibre &gt;13]]/FT_RF_26[[#This Row],[Muestra]]),"0")</f>
        <v>0</v>
      </c>
      <c r="BB101" s="41"/>
      <c r="BG101" s="42"/>
      <c r="BH101" s="43">
        <v>0</v>
      </c>
      <c r="BI101" s="29" t="s">
        <v>894</v>
      </c>
      <c r="BJ101" s="29" t="s">
        <v>894</v>
      </c>
      <c r="BK10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0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01" s="45">
        <f>1-FT_RF_26[[#This Row],[% Defectos]]</f>
        <v>1</v>
      </c>
      <c r="BO101" s="60"/>
      <c r="BP101" s="12">
        <f>SUM(FT_RF_26[[#This Row],[Hoja (Un.)]:[Larvas Caja]])</f>
        <v>0</v>
      </c>
      <c r="BQ101" s="12">
        <f>SUM(FT_RF_26[[#This Row],[Vidrios]:[Plástico]])</f>
        <v>0</v>
      </c>
      <c r="BR101" s="12" t="str">
        <f>IF(ISBLANK(FT_RF_26[[#This Row],[Descripción del producto]]),"",FT_RF_26[[#This Row],[Descripción del producto]])</f>
        <v/>
      </c>
      <c r="BS101" s="29" t="str">
        <f>IF(ISBLANK(FT_RF_26[[#This Row],[N° de Lote]]),"",FT_RF_26[[#This Row],[N° de Lote]])</f>
        <v/>
      </c>
      <c r="BT101" s="29" t="str">
        <f>IF(ISBLANK(FT_RF_26[[#This Row],[N° de Pallet]]),"",FT_RF_26[[#This Row],[N° de Pallet]])</f>
        <v/>
      </c>
    </row>
    <row r="102" spans="2:72">
      <c r="B102" s="29">
        <f>+_xlfn.ISOWEEKNUM(FT_RF_26[[#This Row],[Fecha]])</f>
        <v>52</v>
      </c>
      <c r="E102" s="31"/>
      <c r="F102" s="12" t="str">
        <f>IFERROR(""&amp;_xlfn.XLOOKUP(FT_RF_26[[#This Row],[Código]],BD_Cod[SKU],BD_Cod[Descripción]),"")</f>
        <v/>
      </c>
      <c r="G102" s="32" t="str">
        <f>IFERROR(""&amp;_xlfn.XLOOKUP(FT_RF_26[[#This Row],[Código]],BD_Cod[SKU],BD_Cod[Familia Calidad]),"")</f>
        <v/>
      </c>
      <c r="J102" s="33">
        <v>1000</v>
      </c>
      <c r="L102" s="30" t="s">
        <v>244</v>
      </c>
      <c r="O102" s="30" t="s">
        <v>894</v>
      </c>
      <c r="P102" s="29" t="s">
        <v>894</v>
      </c>
      <c r="Q102" s="37">
        <f>1-FT_RF_26[[#This Row],[% Defectos]]</f>
        <v>1</v>
      </c>
      <c r="R102" s="38">
        <v>0</v>
      </c>
      <c r="S102" s="39">
        <f>+IFERROR((FT_RF_26[[#This Row],[Inmadura]]/FT_RF_26[[#This Row],[Muestra]]),"0")</f>
        <v>0</v>
      </c>
      <c r="T102" s="38">
        <v>0</v>
      </c>
      <c r="U102" s="39">
        <f>+IFERROR((FT_RF_26[[#This Row],[Partidas]]/FT_RF_26[[#This Row],[Muestra]]),"0")</f>
        <v>0</v>
      </c>
      <c r="V102" s="38">
        <v>0</v>
      </c>
      <c r="W102" s="39">
        <f>+IFERROR((FT_RF_26[[#This Row],[Daño Insecto]]/FT_RF_26[[#This Row],[Muestra]]),"0")</f>
        <v>0</v>
      </c>
      <c r="X102" s="38">
        <v>0</v>
      </c>
      <c r="Y102" s="39">
        <f>+IFERROR((FT_RF_26[[#This Row],[Sobremadura]]/FT_RF_26[[#This Row],[Muestra]]),"0")</f>
        <v>0</v>
      </c>
      <c r="Z102" s="38">
        <v>0</v>
      </c>
      <c r="AA102" s="39">
        <f>+IFERROR((FT_RF_26[[#This Row],[Deforme]]/FT_RF_26[[#This Row],[Muestra]]),"0")</f>
        <v>0</v>
      </c>
      <c r="AB102" s="27"/>
      <c r="AC102" s="38">
        <v>0</v>
      </c>
      <c r="AD102" s="39">
        <f>+IFERROR((FT_RF_26[[#This Row],[Valor Extra 1]]/FT_RF_26[[#This Row],[Muestra]]),"0")</f>
        <v>0</v>
      </c>
      <c r="AF102" s="38">
        <v>0</v>
      </c>
      <c r="AG102" s="39">
        <f>+IFERROR((FT_RF_26[[#This Row],[Valor Extra 2]]/FT_RF_26[[#This Row],[Muestra]]),"0")</f>
        <v>0</v>
      </c>
      <c r="AH102" s="40">
        <v>0</v>
      </c>
      <c r="AI102" s="39">
        <f>+IFERROR((FT_RF_26[[#This Row],[Hongos]]/FT_RF_26[[#This Row],[Muestra]]),"0")</f>
        <v>0</v>
      </c>
      <c r="AJ102" s="38">
        <v>0</v>
      </c>
      <c r="AK102" s="39">
        <f>+IFERROR((FT_RF_26[[#This Row],[Block]]/FT_RF_26[[#This Row],[Muestra]]),"0")</f>
        <v>0</v>
      </c>
      <c r="AL102" s="41">
        <v>0</v>
      </c>
      <c r="AM102" s="42">
        <v>0</v>
      </c>
      <c r="AN102" s="38">
        <v>0</v>
      </c>
      <c r="AO102" s="39">
        <f>+IFERROR((FT_RF_26[[#This Row],[Fuera de calibre &lt;12mm]]/FT_RF_26[[#This Row],[Muestra]]),"0")</f>
        <v>0</v>
      </c>
      <c r="AP102" s="38">
        <v>0</v>
      </c>
      <c r="AQ102" s="39">
        <f>+IFERROR((FT_RF_26[[#This Row],[Calibre &lt;25]]/FT_RF_26[[#This Row],[Muestra]]),"0")</f>
        <v>0</v>
      </c>
      <c r="AR102" s="38">
        <v>0</v>
      </c>
      <c r="AS102" s="39">
        <f>+IFERROR((FT_RF_26[[#This Row],[Calibre &gt;12]]/FT_RF_26[[#This Row],[Muestra]]),"0")</f>
        <v>0</v>
      </c>
      <c r="AT102" s="38">
        <v>0</v>
      </c>
      <c r="AU102" s="39">
        <f>+IFERROR((FT_RF_26[[#This Row],[Calibre &lt;14]]/FT_RF_26[[#This Row],[Muestra]]),"0")</f>
        <v>0</v>
      </c>
      <c r="AV102" s="38">
        <v>0</v>
      </c>
      <c r="AW102" s="39">
        <f>+IFERROR((FT_RF_26[[#This Row],[Calibre &gt;14]]/FT_RF_26[[#This Row],[Muestra]]),"0")</f>
        <v>0</v>
      </c>
      <c r="AX102" s="38">
        <v>0</v>
      </c>
      <c r="AY102" s="39">
        <f>+IFERROR((FT_RF_26[[#This Row],[Calibre &lt;10]]/FT_RF_26[[#This Row],[Muestra]]),"0")</f>
        <v>0</v>
      </c>
      <c r="AZ102" s="38">
        <v>0</v>
      </c>
      <c r="BA102" s="39">
        <f>+IFERROR((FT_RF_26[[#This Row],[Calibre &gt;13]]/FT_RF_26[[#This Row],[Muestra]]),"0")</f>
        <v>0</v>
      </c>
      <c r="BB102" s="41"/>
      <c r="BG102" s="42"/>
      <c r="BH102" s="43">
        <v>0</v>
      </c>
      <c r="BI102" s="29" t="s">
        <v>894</v>
      </c>
      <c r="BJ102" s="29" t="s">
        <v>894</v>
      </c>
      <c r="BK10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0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02" s="45">
        <f>1-FT_RF_26[[#This Row],[% Defectos]]</f>
        <v>1</v>
      </c>
      <c r="BO102" s="60"/>
      <c r="BP102" s="12">
        <f>SUM(FT_RF_26[[#This Row],[Hoja (Un.)]:[Larvas Caja]])</f>
        <v>0</v>
      </c>
      <c r="BQ102" s="12">
        <f>SUM(FT_RF_26[[#This Row],[Vidrios]:[Plástico]])</f>
        <v>0</v>
      </c>
      <c r="BR102" s="12" t="str">
        <f>IF(ISBLANK(FT_RF_26[[#This Row],[Descripción del producto]]),"",FT_RF_26[[#This Row],[Descripción del producto]])</f>
        <v/>
      </c>
      <c r="BS102" s="29" t="str">
        <f>IF(ISBLANK(FT_RF_26[[#This Row],[N° de Lote]]),"",FT_RF_26[[#This Row],[N° de Lote]])</f>
        <v/>
      </c>
      <c r="BT102" s="29" t="str">
        <f>IF(ISBLANK(FT_RF_26[[#This Row],[N° de Pallet]]),"",FT_RF_26[[#This Row],[N° de Pallet]])</f>
        <v/>
      </c>
    </row>
    <row r="103" spans="2:72">
      <c r="B103" s="29">
        <f>+_xlfn.ISOWEEKNUM(FT_RF_26[[#This Row],[Fecha]])</f>
        <v>52</v>
      </c>
      <c r="E103" s="31"/>
      <c r="F103" s="12" t="str">
        <f>IFERROR(""&amp;_xlfn.XLOOKUP(FT_RF_26[[#This Row],[Código]],BD_Cod[SKU],BD_Cod[Descripción]),"")</f>
        <v/>
      </c>
      <c r="G103" s="32" t="str">
        <f>IFERROR(""&amp;_xlfn.XLOOKUP(FT_RF_26[[#This Row],[Código]],BD_Cod[SKU],BD_Cod[Familia Calidad]),"")</f>
        <v/>
      </c>
      <c r="J103" s="33">
        <v>1000</v>
      </c>
      <c r="L103" s="30" t="s">
        <v>244</v>
      </c>
      <c r="O103" s="30" t="s">
        <v>894</v>
      </c>
      <c r="P103" s="29" t="s">
        <v>894</v>
      </c>
      <c r="Q103" s="37">
        <f>1-FT_RF_26[[#This Row],[% Defectos]]</f>
        <v>1</v>
      </c>
      <c r="R103" s="38">
        <v>0</v>
      </c>
      <c r="S103" s="39">
        <f>+IFERROR((FT_RF_26[[#This Row],[Inmadura]]/FT_RF_26[[#This Row],[Muestra]]),"0")</f>
        <v>0</v>
      </c>
      <c r="T103" s="38">
        <v>0</v>
      </c>
      <c r="U103" s="39">
        <f>+IFERROR((FT_RF_26[[#This Row],[Partidas]]/FT_RF_26[[#This Row],[Muestra]]),"0")</f>
        <v>0</v>
      </c>
      <c r="V103" s="38">
        <v>0</v>
      </c>
      <c r="W103" s="39">
        <f>+IFERROR((FT_RF_26[[#This Row],[Daño Insecto]]/FT_RF_26[[#This Row],[Muestra]]),"0")</f>
        <v>0</v>
      </c>
      <c r="X103" s="38">
        <v>0</v>
      </c>
      <c r="Y103" s="39">
        <f>+IFERROR((FT_RF_26[[#This Row],[Sobremadura]]/FT_RF_26[[#This Row],[Muestra]]),"0")</f>
        <v>0</v>
      </c>
      <c r="Z103" s="38">
        <v>0</v>
      </c>
      <c r="AA103" s="39">
        <f>+IFERROR((FT_RF_26[[#This Row],[Deforme]]/FT_RF_26[[#This Row],[Muestra]]),"0")</f>
        <v>0</v>
      </c>
      <c r="AB103" s="27"/>
      <c r="AC103" s="38">
        <v>0</v>
      </c>
      <c r="AD103" s="39">
        <f>+IFERROR((FT_RF_26[[#This Row],[Valor Extra 1]]/FT_RF_26[[#This Row],[Muestra]]),"0")</f>
        <v>0</v>
      </c>
      <c r="AF103" s="38">
        <v>0</v>
      </c>
      <c r="AG103" s="39">
        <f>+IFERROR((FT_RF_26[[#This Row],[Valor Extra 2]]/FT_RF_26[[#This Row],[Muestra]]),"0")</f>
        <v>0</v>
      </c>
      <c r="AH103" s="40">
        <v>0</v>
      </c>
      <c r="AI103" s="39">
        <f>+IFERROR((FT_RF_26[[#This Row],[Hongos]]/FT_RF_26[[#This Row],[Muestra]]),"0")</f>
        <v>0</v>
      </c>
      <c r="AJ103" s="38">
        <v>0</v>
      </c>
      <c r="AK103" s="39">
        <f>+IFERROR((FT_RF_26[[#This Row],[Block]]/FT_RF_26[[#This Row],[Muestra]]),"0")</f>
        <v>0</v>
      </c>
      <c r="AL103" s="41">
        <v>0</v>
      </c>
      <c r="AM103" s="42">
        <v>0</v>
      </c>
      <c r="AN103" s="38">
        <v>0</v>
      </c>
      <c r="AO103" s="39">
        <f>+IFERROR((FT_RF_26[[#This Row],[Fuera de calibre &lt;12mm]]/FT_RF_26[[#This Row],[Muestra]]),"0")</f>
        <v>0</v>
      </c>
      <c r="AP103" s="38">
        <v>0</v>
      </c>
      <c r="AQ103" s="39">
        <f>+IFERROR((FT_RF_26[[#This Row],[Calibre &lt;25]]/FT_RF_26[[#This Row],[Muestra]]),"0")</f>
        <v>0</v>
      </c>
      <c r="AR103" s="38">
        <v>0</v>
      </c>
      <c r="AS103" s="39">
        <f>+IFERROR((FT_RF_26[[#This Row],[Calibre &gt;12]]/FT_RF_26[[#This Row],[Muestra]]),"0")</f>
        <v>0</v>
      </c>
      <c r="AT103" s="38">
        <v>0</v>
      </c>
      <c r="AU103" s="39">
        <f>+IFERROR((FT_RF_26[[#This Row],[Calibre &lt;14]]/FT_RF_26[[#This Row],[Muestra]]),"0")</f>
        <v>0</v>
      </c>
      <c r="AV103" s="38">
        <v>0</v>
      </c>
      <c r="AW103" s="39">
        <f>+IFERROR((FT_RF_26[[#This Row],[Calibre &gt;14]]/FT_RF_26[[#This Row],[Muestra]]),"0")</f>
        <v>0</v>
      </c>
      <c r="AX103" s="38">
        <v>0</v>
      </c>
      <c r="AY103" s="39">
        <f>+IFERROR((FT_RF_26[[#This Row],[Calibre &lt;10]]/FT_RF_26[[#This Row],[Muestra]]),"0")</f>
        <v>0</v>
      </c>
      <c r="AZ103" s="38">
        <v>0</v>
      </c>
      <c r="BA103" s="39">
        <f>+IFERROR((FT_RF_26[[#This Row],[Calibre &gt;13]]/FT_RF_26[[#This Row],[Muestra]]),"0")</f>
        <v>0</v>
      </c>
      <c r="BB103" s="41"/>
      <c r="BG103" s="42"/>
      <c r="BH103" s="43">
        <v>0</v>
      </c>
      <c r="BI103" s="29" t="s">
        <v>894</v>
      </c>
      <c r="BJ103" s="29" t="s">
        <v>894</v>
      </c>
      <c r="BK10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0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03" s="45">
        <f>1-FT_RF_26[[#This Row],[% Defectos]]</f>
        <v>1</v>
      </c>
      <c r="BO103" s="60"/>
      <c r="BP103" s="12">
        <f>SUM(FT_RF_26[[#This Row],[Hoja (Un.)]:[Larvas Caja]])</f>
        <v>0</v>
      </c>
      <c r="BQ103" s="12">
        <f>SUM(FT_RF_26[[#This Row],[Vidrios]:[Plástico]])</f>
        <v>0</v>
      </c>
      <c r="BR103" s="12" t="str">
        <f>IF(ISBLANK(FT_RF_26[[#This Row],[Descripción del producto]]),"",FT_RF_26[[#This Row],[Descripción del producto]])</f>
        <v/>
      </c>
      <c r="BS103" s="29" t="str">
        <f>IF(ISBLANK(FT_RF_26[[#This Row],[N° de Lote]]),"",FT_RF_26[[#This Row],[N° de Lote]])</f>
        <v/>
      </c>
      <c r="BT103" s="29" t="str">
        <f>IF(ISBLANK(FT_RF_26[[#This Row],[N° de Pallet]]),"",FT_RF_26[[#This Row],[N° de Pallet]])</f>
        <v/>
      </c>
    </row>
    <row r="104" spans="2:72">
      <c r="B104" s="29">
        <f>+_xlfn.ISOWEEKNUM(FT_RF_26[[#This Row],[Fecha]])</f>
        <v>52</v>
      </c>
      <c r="E104" s="31"/>
      <c r="F104" s="12" t="str">
        <f>IFERROR(""&amp;_xlfn.XLOOKUP(FT_RF_26[[#This Row],[Código]],BD_Cod[SKU],BD_Cod[Descripción]),"")</f>
        <v/>
      </c>
      <c r="G104" s="32" t="str">
        <f>IFERROR(""&amp;_xlfn.XLOOKUP(FT_RF_26[[#This Row],[Código]],BD_Cod[SKU],BD_Cod[Familia Calidad]),"")</f>
        <v/>
      </c>
      <c r="J104" s="33">
        <v>1000</v>
      </c>
      <c r="L104" s="30" t="s">
        <v>244</v>
      </c>
      <c r="O104" s="30" t="s">
        <v>894</v>
      </c>
      <c r="P104" s="29" t="s">
        <v>894</v>
      </c>
      <c r="Q104" s="37">
        <f>1-FT_RF_26[[#This Row],[% Defectos]]</f>
        <v>1</v>
      </c>
      <c r="R104" s="38">
        <v>0</v>
      </c>
      <c r="S104" s="39">
        <f>+IFERROR((FT_RF_26[[#This Row],[Inmadura]]/FT_RF_26[[#This Row],[Muestra]]),"0")</f>
        <v>0</v>
      </c>
      <c r="T104" s="38">
        <v>0</v>
      </c>
      <c r="U104" s="39">
        <f>+IFERROR((FT_RF_26[[#This Row],[Partidas]]/FT_RF_26[[#This Row],[Muestra]]),"0")</f>
        <v>0</v>
      </c>
      <c r="V104" s="38">
        <v>0</v>
      </c>
      <c r="W104" s="39">
        <f>+IFERROR((FT_RF_26[[#This Row],[Daño Insecto]]/FT_RF_26[[#This Row],[Muestra]]),"0")</f>
        <v>0</v>
      </c>
      <c r="X104" s="38">
        <v>0</v>
      </c>
      <c r="Y104" s="39">
        <f>+IFERROR((FT_RF_26[[#This Row],[Sobremadura]]/FT_RF_26[[#This Row],[Muestra]]),"0")</f>
        <v>0</v>
      </c>
      <c r="Z104" s="38">
        <v>0</v>
      </c>
      <c r="AA104" s="39">
        <f>+IFERROR((FT_RF_26[[#This Row],[Deforme]]/FT_RF_26[[#This Row],[Muestra]]),"0")</f>
        <v>0</v>
      </c>
      <c r="AB104" s="27"/>
      <c r="AC104" s="38">
        <v>0</v>
      </c>
      <c r="AD104" s="39">
        <f>+IFERROR((FT_RF_26[[#This Row],[Valor Extra 1]]/FT_RF_26[[#This Row],[Muestra]]),"0")</f>
        <v>0</v>
      </c>
      <c r="AF104" s="38">
        <v>0</v>
      </c>
      <c r="AG104" s="39">
        <f>+IFERROR((FT_RF_26[[#This Row],[Valor Extra 2]]/FT_RF_26[[#This Row],[Muestra]]),"0")</f>
        <v>0</v>
      </c>
      <c r="AH104" s="40">
        <v>0</v>
      </c>
      <c r="AI104" s="39">
        <f>+IFERROR((FT_RF_26[[#This Row],[Hongos]]/FT_RF_26[[#This Row],[Muestra]]),"0")</f>
        <v>0</v>
      </c>
      <c r="AJ104" s="38">
        <v>0</v>
      </c>
      <c r="AK104" s="39">
        <f>+IFERROR((FT_RF_26[[#This Row],[Block]]/FT_RF_26[[#This Row],[Muestra]]),"0")</f>
        <v>0</v>
      </c>
      <c r="AL104" s="41">
        <v>0</v>
      </c>
      <c r="AM104" s="42">
        <v>0</v>
      </c>
      <c r="AN104" s="38">
        <v>0</v>
      </c>
      <c r="AO104" s="39">
        <f>+IFERROR((FT_RF_26[[#This Row],[Fuera de calibre &lt;12mm]]/FT_RF_26[[#This Row],[Muestra]]),"0")</f>
        <v>0</v>
      </c>
      <c r="AP104" s="38">
        <v>0</v>
      </c>
      <c r="AQ104" s="39">
        <f>+IFERROR((FT_RF_26[[#This Row],[Calibre &lt;25]]/FT_RF_26[[#This Row],[Muestra]]),"0")</f>
        <v>0</v>
      </c>
      <c r="AR104" s="38">
        <v>0</v>
      </c>
      <c r="AS104" s="39">
        <f>+IFERROR((FT_RF_26[[#This Row],[Calibre &gt;12]]/FT_RF_26[[#This Row],[Muestra]]),"0")</f>
        <v>0</v>
      </c>
      <c r="AT104" s="38">
        <v>0</v>
      </c>
      <c r="AU104" s="39">
        <f>+IFERROR((FT_RF_26[[#This Row],[Calibre &lt;14]]/FT_RF_26[[#This Row],[Muestra]]),"0")</f>
        <v>0</v>
      </c>
      <c r="AV104" s="38">
        <v>0</v>
      </c>
      <c r="AW104" s="39">
        <f>+IFERROR((FT_RF_26[[#This Row],[Calibre &gt;14]]/FT_RF_26[[#This Row],[Muestra]]),"0")</f>
        <v>0</v>
      </c>
      <c r="AX104" s="38">
        <v>0</v>
      </c>
      <c r="AY104" s="39">
        <f>+IFERROR((FT_RF_26[[#This Row],[Calibre &lt;10]]/FT_RF_26[[#This Row],[Muestra]]),"0")</f>
        <v>0</v>
      </c>
      <c r="AZ104" s="38">
        <v>0</v>
      </c>
      <c r="BA104" s="39">
        <f>+IFERROR((FT_RF_26[[#This Row],[Calibre &gt;13]]/FT_RF_26[[#This Row],[Muestra]]),"0")</f>
        <v>0</v>
      </c>
      <c r="BB104" s="41"/>
      <c r="BG104" s="42"/>
      <c r="BH104" s="43">
        <v>0</v>
      </c>
      <c r="BI104" s="29" t="s">
        <v>894</v>
      </c>
      <c r="BJ104" s="29" t="s">
        <v>894</v>
      </c>
      <c r="BK10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0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04" s="45">
        <f>1-FT_RF_26[[#This Row],[% Defectos]]</f>
        <v>1</v>
      </c>
      <c r="BO104" s="60"/>
      <c r="BP104" s="12">
        <f>SUM(FT_RF_26[[#This Row],[Hoja (Un.)]:[Larvas Caja]])</f>
        <v>0</v>
      </c>
      <c r="BQ104" s="12">
        <f>SUM(FT_RF_26[[#This Row],[Vidrios]:[Plástico]])</f>
        <v>0</v>
      </c>
      <c r="BR104" s="12" t="str">
        <f>IF(ISBLANK(FT_RF_26[[#This Row],[Descripción del producto]]),"",FT_RF_26[[#This Row],[Descripción del producto]])</f>
        <v/>
      </c>
      <c r="BS104" s="29" t="str">
        <f>IF(ISBLANK(FT_RF_26[[#This Row],[N° de Lote]]),"",FT_RF_26[[#This Row],[N° de Lote]])</f>
        <v/>
      </c>
      <c r="BT104" s="29" t="str">
        <f>IF(ISBLANK(FT_RF_26[[#This Row],[N° de Pallet]]),"",FT_RF_26[[#This Row],[N° de Pallet]])</f>
        <v/>
      </c>
    </row>
    <row r="105" spans="2:72">
      <c r="B105" s="29">
        <f>+_xlfn.ISOWEEKNUM(FT_RF_26[[#This Row],[Fecha]])</f>
        <v>52</v>
      </c>
      <c r="E105" s="31"/>
      <c r="F105" s="12" t="str">
        <f>IFERROR(""&amp;_xlfn.XLOOKUP(FT_RF_26[[#This Row],[Código]],BD_Cod[SKU],BD_Cod[Descripción]),"")</f>
        <v/>
      </c>
      <c r="G105" s="32" t="str">
        <f>IFERROR(""&amp;_xlfn.XLOOKUP(FT_RF_26[[#This Row],[Código]],BD_Cod[SKU],BD_Cod[Familia Calidad]),"")</f>
        <v/>
      </c>
      <c r="J105" s="33">
        <v>1000</v>
      </c>
      <c r="L105" s="30" t="s">
        <v>244</v>
      </c>
      <c r="O105" s="30" t="s">
        <v>894</v>
      </c>
      <c r="P105" s="29" t="s">
        <v>894</v>
      </c>
      <c r="Q105" s="37">
        <f>1-FT_RF_26[[#This Row],[% Defectos]]</f>
        <v>1</v>
      </c>
      <c r="R105" s="38">
        <v>0</v>
      </c>
      <c r="S105" s="39">
        <f>+IFERROR((FT_RF_26[[#This Row],[Inmadura]]/FT_RF_26[[#This Row],[Muestra]]),"0")</f>
        <v>0</v>
      </c>
      <c r="T105" s="38">
        <v>0</v>
      </c>
      <c r="U105" s="39">
        <f>+IFERROR((FT_RF_26[[#This Row],[Partidas]]/FT_RF_26[[#This Row],[Muestra]]),"0")</f>
        <v>0</v>
      </c>
      <c r="V105" s="38">
        <v>0</v>
      </c>
      <c r="W105" s="39">
        <f>+IFERROR((FT_RF_26[[#This Row],[Daño Insecto]]/FT_RF_26[[#This Row],[Muestra]]),"0")</f>
        <v>0</v>
      </c>
      <c r="X105" s="38">
        <v>0</v>
      </c>
      <c r="Y105" s="39">
        <f>+IFERROR((FT_RF_26[[#This Row],[Sobremadura]]/FT_RF_26[[#This Row],[Muestra]]),"0")</f>
        <v>0</v>
      </c>
      <c r="Z105" s="38">
        <v>0</v>
      </c>
      <c r="AA105" s="39">
        <f>+IFERROR((FT_RF_26[[#This Row],[Deforme]]/FT_RF_26[[#This Row],[Muestra]]),"0")</f>
        <v>0</v>
      </c>
      <c r="AB105" s="27"/>
      <c r="AC105" s="38">
        <v>0</v>
      </c>
      <c r="AD105" s="39">
        <f>+IFERROR((FT_RF_26[[#This Row],[Valor Extra 1]]/FT_RF_26[[#This Row],[Muestra]]),"0")</f>
        <v>0</v>
      </c>
      <c r="AF105" s="38">
        <v>0</v>
      </c>
      <c r="AG105" s="39">
        <f>+IFERROR((FT_RF_26[[#This Row],[Valor Extra 2]]/FT_RF_26[[#This Row],[Muestra]]),"0")</f>
        <v>0</v>
      </c>
      <c r="AH105" s="40">
        <v>0</v>
      </c>
      <c r="AI105" s="39">
        <f>+IFERROR((FT_RF_26[[#This Row],[Hongos]]/FT_RF_26[[#This Row],[Muestra]]),"0")</f>
        <v>0</v>
      </c>
      <c r="AJ105" s="38">
        <v>0</v>
      </c>
      <c r="AK105" s="39">
        <f>+IFERROR((FT_RF_26[[#This Row],[Block]]/FT_RF_26[[#This Row],[Muestra]]),"0")</f>
        <v>0</v>
      </c>
      <c r="AL105" s="41">
        <v>0</v>
      </c>
      <c r="AM105" s="42">
        <v>0</v>
      </c>
      <c r="AN105" s="38">
        <v>0</v>
      </c>
      <c r="AO105" s="39">
        <f>+IFERROR((FT_RF_26[[#This Row],[Fuera de calibre &lt;12mm]]/FT_RF_26[[#This Row],[Muestra]]),"0")</f>
        <v>0</v>
      </c>
      <c r="AP105" s="38">
        <v>0</v>
      </c>
      <c r="AQ105" s="39">
        <f>+IFERROR((FT_RF_26[[#This Row],[Calibre &lt;25]]/FT_RF_26[[#This Row],[Muestra]]),"0")</f>
        <v>0</v>
      </c>
      <c r="AR105" s="38">
        <v>0</v>
      </c>
      <c r="AS105" s="39">
        <f>+IFERROR((FT_RF_26[[#This Row],[Calibre &gt;12]]/FT_RF_26[[#This Row],[Muestra]]),"0")</f>
        <v>0</v>
      </c>
      <c r="AT105" s="38">
        <v>0</v>
      </c>
      <c r="AU105" s="39">
        <f>+IFERROR((FT_RF_26[[#This Row],[Calibre &lt;14]]/FT_RF_26[[#This Row],[Muestra]]),"0")</f>
        <v>0</v>
      </c>
      <c r="AV105" s="38">
        <v>0</v>
      </c>
      <c r="AW105" s="39">
        <f>+IFERROR((FT_RF_26[[#This Row],[Calibre &gt;14]]/FT_RF_26[[#This Row],[Muestra]]),"0")</f>
        <v>0</v>
      </c>
      <c r="AX105" s="38">
        <v>0</v>
      </c>
      <c r="AY105" s="39">
        <f>+IFERROR((FT_RF_26[[#This Row],[Calibre &lt;10]]/FT_RF_26[[#This Row],[Muestra]]),"0")</f>
        <v>0</v>
      </c>
      <c r="AZ105" s="38">
        <v>0</v>
      </c>
      <c r="BA105" s="39">
        <f>+IFERROR((FT_RF_26[[#This Row],[Calibre &gt;13]]/FT_RF_26[[#This Row],[Muestra]]),"0")</f>
        <v>0</v>
      </c>
      <c r="BB105" s="41"/>
      <c r="BG105" s="42"/>
      <c r="BH105" s="43">
        <v>0</v>
      </c>
      <c r="BI105" s="29" t="s">
        <v>894</v>
      </c>
      <c r="BJ105" s="29" t="s">
        <v>894</v>
      </c>
      <c r="BK10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0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05" s="45">
        <f>1-FT_RF_26[[#This Row],[% Defectos]]</f>
        <v>1</v>
      </c>
      <c r="BO105" s="60"/>
      <c r="BP105" s="12">
        <f>SUM(FT_RF_26[[#This Row],[Hoja (Un.)]:[Larvas Caja]])</f>
        <v>0</v>
      </c>
      <c r="BQ105" s="12">
        <f>SUM(FT_RF_26[[#This Row],[Vidrios]:[Plástico]])</f>
        <v>0</v>
      </c>
      <c r="BR105" s="12" t="str">
        <f>IF(ISBLANK(FT_RF_26[[#This Row],[Descripción del producto]]),"",FT_RF_26[[#This Row],[Descripción del producto]])</f>
        <v/>
      </c>
      <c r="BS105" s="29" t="str">
        <f>IF(ISBLANK(FT_RF_26[[#This Row],[N° de Lote]]),"",FT_RF_26[[#This Row],[N° de Lote]])</f>
        <v/>
      </c>
      <c r="BT105" s="29" t="str">
        <f>IF(ISBLANK(FT_RF_26[[#This Row],[N° de Pallet]]),"",FT_RF_26[[#This Row],[N° de Pallet]])</f>
        <v/>
      </c>
    </row>
    <row r="106" spans="2:72">
      <c r="B106" s="29">
        <f>+_xlfn.ISOWEEKNUM(FT_RF_26[[#This Row],[Fecha]])</f>
        <v>52</v>
      </c>
      <c r="E106" s="31"/>
      <c r="F106" s="12" t="str">
        <f>IFERROR(""&amp;_xlfn.XLOOKUP(FT_RF_26[[#This Row],[Código]],BD_Cod[SKU],BD_Cod[Descripción]),"")</f>
        <v/>
      </c>
      <c r="G106" s="32" t="str">
        <f>IFERROR(""&amp;_xlfn.XLOOKUP(FT_RF_26[[#This Row],[Código]],BD_Cod[SKU],BD_Cod[Familia Calidad]),"")</f>
        <v/>
      </c>
      <c r="J106" s="33">
        <v>1000</v>
      </c>
      <c r="L106" s="30" t="s">
        <v>244</v>
      </c>
      <c r="O106" s="30" t="s">
        <v>894</v>
      </c>
      <c r="P106" s="29" t="s">
        <v>894</v>
      </c>
      <c r="Q106" s="37">
        <f>1-FT_RF_26[[#This Row],[% Defectos]]</f>
        <v>1</v>
      </c>
      <c r="R106" s="38">
        <v>0</v>
      </c>
      <c r="S106" s="39">
        <f>+IFERROR((FT_RF_26[[#This Row],[Inmadura]]/FT_RF_26[[#This Row],[Muestra]]),"0")</f>
        <v>0</v>
      </c>
      <c r="T106" s="38">
        <v>0</v>
      </c>
      <c r="U106" s="39">
        <f>+IFERROR((FT_RF_26[[#This Row],[Partidas]]/FT_RF_26[[#This Row],[Muestra]]),"0")</f>
        <v>0</v>
      </c>
      <c r="V106" s="38">
        <v>0</v>
      </c>
      <c r="W106" s="39">
        <f>+IFERROR((FT_RF_26[[#This Row],[Daño Insecto]]/FT_RF_26[[#This Row],[Muestra]]),"0")</f>
        <v>0</v>
      </c>
      <c r="X106" s="38">
        <v>0</v>
      </c>
      <c r="Y106" s="39">
        <f>+IFERROR((FT_RF_26[[#This Row],[Sobremadura]]/FT_RF_26[[#This Row],[Muestra]]),"0")</f>
        <v>0</v>
      </c>
      <c r="Z106" s="38">
        <v>0</v>
      </c>
      <c r="AA106" s="39">
        <f>+IFERROR((FT_RF_26[[#This Row],[Deforme]]/FT_RF_26[[#This Row],[Muestra]]),"0")</f>
        <v>0</v>
      </c>
      <c r="AB106" s="27"/>
      <c r="AC106" s="38">
        <v>0</v>
      </c>
      <c r="AD106" s="39">
        <f>+IFERROR((FT_RF_26[[#This Row],[Valor Extra 1]]/FT_RF_26[[#This Row],[Muestra]]),"0")</f>
        <v>0</v>
      </c>
      <c r="AF106" s="38">
        <v>0</v>
      </c>
      <c r="AG106" s="39">
        <f>+IFERROR((FT_RF_26[[#This Row],[Valor Extra 2]]/FT_RF_26[[#This Row],[Muestra]]),"0")</f>
        <v>0</v>
      </c>
      <c r="AH106" s="40">
        <v>0</v>
      </c>
      <c r="AI106" s="39">
        <f>+IFERROR((FT_RF_26[[#This Row],[Hongos]]/FT_RF_26[[#This Row],[Muestra]]),"0")</f>
        <v>0</v>
      </c>
      <c r="AJ106" s="38">
        <v>0</v>
      </c>
      <c r="AK106" s="39">
        <f>+IFERROR((FT_RF_26[[#This Row],[Block]]/FT_RF_26[[#This Row],[Muestra]]),"0")</f>
        <v>0</v>
      </c>
      <c r="AL106" s="41">
        <v>0</v>
      </c>
      <c r="AM106" s="42">
        <v>0</v>
      </c>
      <c r="AN106" s="38">
        <v>0</v>
      </c>
      <c r="AO106" s="39">
        <f>+IFERROR((FT_RF_26[[#This Row],[Fuera de calibre &lt;12mm]]/FT_RF_26[[#This Row],[Muestra]]),"0")</f>
        <v>0</v>
      </c>
      <c r="AP106" s="38">
        <v>0</v>
      </c>
      <c r="AQ106" s="39">
        <f>+IFERROR((FT_RF_26[[#This Row],[Calibre &lt;25]]/FT_RF_26[[#This Row],[Muestra]]),"0")</f>
        <v>0</v>
      </c>
      <c r="AR106" s="38">
        <v>0</v>
      </c>
      <c r="AS106" s="39">
        <f>+IFERROR((FT_RF_26[[#This Row],[Calibre &gt;12]]/FT_RF_26[[#This Row],[Muestra]]),"0")</f>
        <v>0</v>
      </c>
      <c r="AT106" s="38">
        <v>0</v>
      </c>
      <c r="AU106" s="39">
        <f>+IFERROR((FT_RF_26[[#This Row],[Calibre &lt;14]]/FT_RF_26[[#This Row],[Muestra]]),"0")</f>
        <v>0</v>
      </c>
      <c r="AV106" s="38">
        <v>0</v>
      </c>
      <c r="AW106" s="39">
        <f>+IFERROR((FT_RF_26[[#This Row],[Calibre &gt;14]]/FT_RF_26[[#This Row],[Muestra]]),"0")</f>
        <v>0</v>
      </c>
      <c r="AX106" s="38">
        <v>0</v>
      </c>
      <c r="AY106" s="39">
        <f>+IFERROR((FT_RF_26[[#This Row],[Calibre &lt;10]]/FT_RF_26[[#This Row],[Muestra]]),"0")</f>
        <v>0</v>
      </c>
      <c r="AZ106" s="38">
        <v>0</v>
      </c>
      <c r="BA106" s="39">
        <f>+IFERROR((FT_RF_26[[#This Row],[Calibre &gt;13]]/FT_RF_26[[#This Row],[Muestra]]),"0")</f>
        <v>0</v>
      </c>
      <c r="BB106" s="41"/>
      <c r="BG106" s="42"/>
      <c r="BH106" s="43">
        <v>0</v>
      </c>
      <c r="BI106" s="29" t="s">
        <v>894</v>
      </c>
      <c r="BJ106" s="29" t="s">
        <v>894</v>
      </c>
      <c r="BK10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0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06" s="45">
        <f>1-FT_RF_26[[#This Row],[% Defectos]]</f>
        <v>1</v>
      </c>
      <c r="BO106" s="60"/>
      <c r="BP106" s="12">
        <f>SUM(FT_RF_26[[#This Row],[Hoja (Un.)]:[Larvas Caja]])</f>
        <v>0</v>
      </c>
      <c r="BQ106" s="12">
        <f>SUM(FT_RF_26[[#This Row],[Vidrios]:[Plástico]])</f>
        <v>0</v>
      </c>
      <c r="BR106" s="12" t="str">
        <f>IF(ISBLANK(FT_RF_26[[#This Row],[Descripción del producto]]),"",FT_RF_26[[#This Row],[Descripción del producto]])</f>
        <v/>
      </c>
      <c r="BS106" s="29" t="str">
        <f>IF(ISBLANK(FT_RF_26[[#This Row],[N° de Lote]]),"",FT_RF_26[[#This Row],[N° de Lote]])</f>
        <v/>
      </c>
      <c r="BT106" s="29" t="str">
        <f>IF(ISBLANK(FT_RF_26[[#This Row],[N° de Pallet]]),"",FT_RF_26[[#This Row],[N° de Pallet]])</f>
        <v/>
      </c>
    </row>
    <row r="107" spans="2:72">
      <c r="B107" s="29">
        <f>+_xlfn.ISOWEEKNUM(FT_RF_26[[#This Row],[Fecha]])</f>
        <v>52</v>
      </c>
      <c r="E107" s="31"/>
      <c r="F107" s="12" t="str">
        <f>IFERROR(""&amp;_xlfn.XLOOKUP(FT_RF_26[[#This Row],[Código]],BD_Cod[SKU],BD_Cod[Descripción]),"")</f>
        <v/>
      </c>
      <c r="G107" s="32" t="str">
        <f>IFERROR(""&amp;_xlfn.XLOOKUP(FT_RF_26[[#This Row],[Código]],BD_Cod[SKU],BD_Cod[Familia Calidad]),"")</f>
        <v/>
      </c>
      <c r="J107" s="33">
        <v>1000</v>
      </c>
      <c r="L107" s="30" t="s">
        <v>244</v>
      </c>
      <c r="O107" s="30" t="s">
        <v>894</v>
      </c>
      <c r="P107" s="29" t="s">
        <v>894</v>
      </c>
      <c r="Q107" s="37">
        <f>1-FT_RF_26[[#This Row],[% Defectos]]</f>
        <v>1</v>
      </c>
      <c r="R107" s="38">
        <v>0</v>
      </c>
      <c r="S107" s="39">
        <f>+IFERROR((FT_RF_26[[#This Row],[Inmadura]]/FT_RF_26[[#This Row],[Muestra]]),"0")</f>
        <v>0</v>
      </c>
      <c r="T107" s="38">
        <v>0</v>
      </c>
      <c r="U107" s="39">
        <f>+IFERROR((FT_RF_26[[#This Row],[Partidas]]/FT_RF_26[[#This Row],[Muestra]]),"0")</f>
        <v>0</v>
      </c>
      <c r="V107" s="38">
        <v>0</v>
      </c>
      <c r="W107" s="39">
        <f>+IFERROR((FT_RF_26[[#This Row],[Daño Insecto]]/FT_RF_26[[#This Row],[Muestra]]),"0")</f>
        <v>0</v>
      </c>
      <c r="X107" s="38">
        <v>0</v>
      </c>
      <c r="Y107" s="39">
        <f>+IFERROR((FT_RF_26[[#This Row],[Sobremadura]]/FT_RF_26[[#This Row],[Muestra]]),"0")</f>
        <v>0</v>
      </c>
      <c r="Z107" s="38">
        <v>0</v>
      </c>
      <c r="AA107" s="39">
        <f>+IFERROR((FT_RF_26[[#This Row],[Deforme]]/FT_RF_26[[#This Row],[Muestra]]),"0")</f>
        <v>0</v>
      </c>
      <c r="AB107" s="27"/>
      <c r="AC107" s="38">
        <v>0</v>
      </c>
      <c r="AD107" s="39">
        <f>+IFERROR((FT_RF_26[[#This Row],[Valor Extra 1]]/FT_RF_26[[#This Row],[Muestra]]),"0")</f>
        <v>0</v>
      </c>
      <c r="AF107" s="38">
        <v>0</v>
      </c>
      <c r="AG107" s="39">
        <f>+IFERROR((FT_RF_26[[#This Row],[Valor Extra 2]]/FT_RF_26[[#This Row],[Muestra]]),"0")</f>
        <v>0</v>
      </c>
      <c r="AH107" s="40">
        <v>0</v>
      </c>
      <c r="AI107" s="39">
        <f>+IFERROR((FT_RF_26[[#This Row],[Hongos]]/FT_RF_26[[#This Row],[Muestra]]),"0")</f>
        <v>0</v>
      </c>
      <c r="AJ107" s="38">
        <v>0</v>
      </c>
      <c r="AK107" s="39">
        <f>+IFERROR((FT_RF_26[[#This Row],[Block]]/FT_RF_26[[#This Row],[Muestra]]),"0")</f>
        <v>0</v>
      </c>
      <c r="AL107" s="41">
        <v>0</v>
      </c>
      <c r="AM107" s="42">
        <v>0</v>
      </c>
      <c r="AN107" s="38">
        <v>0</v>
      </c>
      <c r="AO107" s="39">
        <f>+IFERROR((FT_RF_26[[#This Row],[Fuera de calibre &lt;12mm]]/FT_RF_26[[#This Row],[Muestra]]),"0")</f>
        <v>0</v>
      </c>
      <c r="AP107" s="38">
        <v>0</v>
      </c>
      <c r="AQ107" s="39">
        <f>+IFERROR((FT_RF_26[[#This Row],[Calibre &lt;25]]/FT_RF_26[[#This Row],[Muestra]]),"0")</f>
        <v>0</v>
      </c>
      <c r="AR107" s="38">
        <v>0</v>
      </c>
      <c r="AS107" s="39">
        <f>+IFERROR((FT_RF_26[[#This Row],[Calibre &gt;12]]/FT_RF_26[[#This Row],[Muestra]]),"0")</f>
        <v>0</v>
      </c>
      <c r="AT107" s="38">
        <v>0</v>
      </c>
      <c r="AU107" s="39">
        <f>+IFERROR((FT_RF_26[[#This Row],[Calibre &lt;14]]/FT_RF_26[[#This Row],[Muestra]]),"0")</f>
        <v>0</v>
      </c>
      <c r="AV107" s="38">
        <v>0</v>
      </c>
      <c r="AW107" s="39">
        <f>+IFERROR((FT_RF_26[[#This Row],[Calibre &gt;14]]/FT_RF_26[[#This Row],[Muestra]]),"0")</f>
        <v>0</v>
      </c>
      <c r="AX107" s="38">
        <v>0</v>
      </c>
      <c r="AY107" s="39">
        <f>+IFERROR((FT_RF_26[[#This Row],[Calibre &lt;10]]/FT_RF_26[[#This Row],[Muestra]]),"0")</f>
        <v>0</v>
      </c>
      <c r="AZ107" s="38">
        <v>0</v>
      </c>
      <c r="BA107" s="39">
        <f>+IFERROR((FT_RF_26[[#This Row],[Calibre &gt;13]]/FT_RF_26[[#This Row],[Muestra]]),"0")</f>
        <v>0</v>
      </c>
      <c r="BB107" s="41"/>
      <c r="BG107" s="42"/>
      <c r="BH107" s="43">
        <v>0</v>
      </c>
      <c r="BI107" s="29" t="s">
        <v>894</v>
      </c>
      <c r="BJ107" s="29" t="s">
        <v>894</v>
      </c>
      <c r="BK10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0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07" s="45">
        <f>1-FT_RF_26[[#This Row],[% Defectos]]</f>
        <v>1</v>
      </c>
      <c r="BO107" s="60"/>
      <c r="BP107" s="12">
        <f>SUM(FT_RF_26[[#This Row],[Hoja (Un.)]:[Larvas Caja]])</f>
        <v>0</v>
      </c>
      <c r="BQ107" s="12">
        <f>SUM(FT_RF_26[[#This Row],[Vidrios]:[Plástico]])</f>
        <v>0</v>
      </c>
      <c r="BR107" s="12" t="str">
        <f>IF(ISBLANK(FT_RF_26[[#This Row],[Descripción del producto]]),"",FT_RF_26[[#This Row],[Descripción del producto]])</f>
        <v/>
      </c>
      <c r="BS107" s="29" t="str">
        <f>IF(ISBLANK(FT_RF_26[[#This Row],[N° de Lote]]),"",FT_RF_26[[#This Row],[N° de Lote]])</f>
        <v/>
      </c>
      <c r="BT107" s="29" t="str">
        <f>IF(ISBLANK(FT_RF_26[[#This Row],[N° de Pallet]]),"",FT_RF_26[[#This Row],[N° de Pallet]])</f>
        <v/>
      </c>
    </row>
    <row r="108" spans="2:72">
      <c r="B108" s="29">
        <f>+_xlfn.ISOWEEKNUM(FT_RF_26[[#This Row],[Fecha]])</f>
        <v>52</v>
      </c>
      <c r="E108" s="31"/>
      <c r="F108" s="12" t="str">
        <f>IFERROR(""&amp;_xlfn.XLOOKUP(FT_RF_26[[#This Row],[Código]],BD_Cod[SKU],BD_Cod[Descripción]),"")</f>
        <v/>
      </c>
      <c r="G108" s="32" t="str">
        <f>IFERROR(""&amp;_xlfn.XLOOKUP(FT_RF_26[[#This Row],[Código]],BD_Cod[SKU],BD_Cod[Familia Calidad]),"")</f>
        <v/>
      </c>
      <c r="J108" s="33">
        <v>1000</v>
      </c>
      <c r="L108" s="30" t="s">
        <v>244</v>
      </c>
      <c r="O108" s="30" t="s">
        <v>894</v>
      </c>
      <c r="P108" s="29" t="s">
        <v>894</v>
      </c>
      <c r="Q108" s="37">
        <f>1-FT_RF_26[[#This Row],[% Defectos]]</f>
        <v>1</v>
      </c>
      <c r="R108" s="38">
        <v>0</v>
      </c>
      <c r="S108" s="39">
        <f>+IFERROR((FT_RF_26[[#This Row],[Inmadura]]/FT_RF_26[[#This Row],[Muestra]]),"0")</f>
        <v>0</v>
      </c>
      <c r="T108" s="38">
        <v>0</v>
      </c>
      <c r="U108" s="39">
        <f>+IFERROR((FT_RF_26[[#This Row],[Partidas]]/FT_RF_26[[#This Row],[Muestra]]),"0")</f>
        <v>0</v>
      </c>
      <c r="V108" s="38">
        <v>0</v>
      </c>
      <c r="W108" s="39">
        <f>+IFERROR((FT_RF_26[[#This Row],[Daño Insecto]]/FT_RF_26[[#This Row],[Muestra]]),"0")</f>
        <v>0</v>
      </c>
      <c r="X108" s="38">
        <v>0</v>
      </c>
      <c r="Y108" s="39">
        <f>+IFERROR((FT_RF_26[[#This Row],[Sobremadura]]/FT_RF_26[[#This Row],[Muestra]]),"0")</f>
        <v>0</v>
      </c>
      <c r="Z108" s="38">
        <v>0</v>
      </c>
      <c r="AA108" s="39">
        <f>+IFERROR((FT_RF_26[[#This Row],[Deforme]]/FT_RF_26[[#This Row],[Muestra]]),"0")</f>
        <v>0</v>
      </c>
      <c r="AB108" s="27"/>
      <c r="AC108" s="38">
        <v>0</v>
      </c>
      <c r="AD108" s="39">
        <f>+IFERROR((FT_RF_26[[#This Row],[Valor Extra 1]]/FT_RF_26[[#This Row],[Muestra]]),"0")</f>
        <v>0</v>
      </c>
      <c r="AF108" s="38">
        <v>0</v>
      </c>
      <c r="AG108" s="39">
        <f>+IFERROR((FT_RF_26[[#This Row],[Valor Extra 2]]/FT_RF_26[[#This Row],[Muestra]]),"0")</f>
        <v>0</v>
      </c>
      <c r="AH108" s="40">
        <v>0</v>
      </c>
      <c r="AI108" s="39">
        <f>+IFERROR((FT_RF_26[[#This Row],[Hongos]]/FT_RF_26[[#This Row],[Muestra]]),"0")</f>
        <v>0</v>
      </c>
      <c r="AJ108" s="38">
        <v>0</v>
      </c>
      <c r="AK108" s="39">
        <f>+IFERROR((FT_RF_26[[#This Row],[Block]]/FT_RF_26[[#This Row],[Muestra]]),"0")</f>
        <v>0</v>
      </c>
      <c r="AL108" s="41">
        <v>0</v>
      </c>
      <c r="AM108" s="42">
        <v>0</v>
      </c>
      <c r="AN108" s="38">
        <v>0</v>
      </c>
      <c r="AO108" s="39">
        <f>+IFERROR((FT_RF_26[[#This Row],[Fuera de calibre &lt;12mm]]/FT_RF_26[[#This Row],[Muestra]]),"0")</f>
        <v>0</v>
      </c>
      <c r="AP108" s="38">
        <v>0</v>
      </c>
      <c r="AQ108" s="39">
        <f>+IFERROR((FT_RF_26[[#This Row],[Calibre &lt;25]]/FT_RF_26[[#This Row],[Muestra]]),"0")</f>
        <v>0</v>
      </c>
      <c r="AR108" s="38">
        <v>0</v>
      </c>
      <c r="AS108" s="39">
        <f>+IFERROR((FT_RF_26[[#This Row],[Calibre &gt;12]]/FT_RF_26[[#This Row],[Muestra]]),"0")</f>
        <v>0</v>
      </c>
      <c r="AT108" s="38">
        <v>0</v>
      </c>
      <c r="AU108" s="39">
        <f>+IFERROR((FT_RF_26[[#This Row],[Calibre &lt;14]]/FT_RF_26[[#This Row],[Muestra]]),"0")</f>
        <v>0</v>
      </c>
      <c r="AV108" s="38">
        <v>0</v>
      </c>
      <c r="AW108" s="39">
        <f>+IFERROR((FT_RF_26[[#This Row],[Calibre &gt;14]]/FT_RF_26[[#This Row],[Muestra]]),"0")</f>
        <v>0</v>
      </c>
      <c r="AX108" s="38">
        <v>0</v>
      </c>
      <c r="AY108" s="39">
        <f>+IFERROR((FT_RF_26[[#This Row],[Calibre &lt;10]]/FT_RF_26[[#This Row],[Muestra]]),"0")</f>
        <v>0</v>
      </c>
      <c r="AZ108" s="38">
        <v>0</v>
      </c>
      <c r="BA108" s="39">
        <f>+IFERROR((FT_RF_26[[#This Row],[Calibre &gt;13]]/FT_RF_26[[#This Row],[Muestra]]),"0")</f>
        <v>0</v>
      </c>
      <c r="BB108" s="41"/>
      <c r="BG108" s="42"/>
      <c r="BH108" s="43">
        <v>0</v>
      </c>
      <c r="BI108" s="29" t="s">
        <v>894</v>
      </c>
      <c r="BJ108" s="29" t="s">
        <v>894</v>
      </c>
      <c r="BK10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0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08" s="45">
        <f>1-FT_RF_26[[#This Row],[% Defectos]]</f>
        <v>1</v>
      </c>
      <c r="BO108" s="60"/>
      <c r="BP108" s="12">
        <f>SUM(FT_RF_26[[#This Row],[Hoja (Un.)]:[Larvas Caja]])</f>
        <v>0</v>
      </c>
      <c r="BQ108" s="12">
        <f>SUM(FT_RF_26[[#This Row],[Vidrios]:[Plástico]])</f>
        <v>0</v>
      </c>
      <c r="BR108" s="12" t="str">
        <f>IF(ISBLANK(FT_RF_26[[#This Row],[Descripción del producto]]),"",FT_RF_26[[#This Row],[Descripción del producto]])</f>
        <v/>
      </c>
      <c r="BS108" s="29" t="str">
        <f>IF(ISBLANK(FT_RF_26[[#This Row],[N° de Lote]]),"",FT_RF_26[[#This Row],[N° de Lote]])</f>
        <v/>
      </c>
      <c r="BT108" s="29" t="str">
        <f>IF(ISBLANK(FT_RF_26[[#This Row],[N° de Pallet]]),"",FT_RF_26[[#This Row],[N° de Pallet]])</f>
        <v/>
      </c>
    </row>
    <row r="109" spans="2:72">
      <c r="B109" s="29">
        <f>+_xlfn.ISOWEEKNUM(FT_RF_26[[#This Row],[Fecha]])</f>
        <v>52</v>
      </c>
      <c r="E109" s="31"/>
      <c r="F109" s="12" t="str">
        <f>IFERROR(""&amp;_xlfn.XLOOKUP(FT_RF_26[[#This Row],[Código]],BD_Cod[SKU],BD_Cod[Descripción]),"")</f>
        <v/>
      </c>
      <c r="G109" s="32" t="str">
        <f>IFERROR(""&amp;_xlfn.XLOOKUP(FT_RF_26[[#This Row],[Código]],BD_Cod[SKU],BD_Cod[Familia Calidad]),"")</f>
        <v/>
      </c>
      <c r="J109" s="33">
        <v>1000</v>
      </c>
      <c r="L109" s="30" t="s">
        <v>244</v>
      </c>
      <c r="O109" s="30" t="s">
        <v>894</v>
      </c>
      <c r="P109" s="29" t="s">
        <v>894</v>
      </c>
      <c r="Q109" s="37">
        <f>1-FT_RF_26[[#This Row],[% Defectos]]</f>
        <v>1</v>
      </c>
      <c r="R109" s="38">
        <v>0</v>
      </c>
      <c r="S109" s="39">
        <f>+IFERROR((FT_RF_26[[#This Row],[Inmadura]]/FT_RF_26[[#This Row],[Muestra]]),"0")</f>
        <v>0</v>
      </c>
      <c r="T109" s="38">
        <v>0</v>
      </c>
      <c r="U109" s="39">
        <f>+IFERROR((FT_RF_26[[#This Row],[Partidas]]/FT_RF_26[[#This Row],[Muestra]]),"0")</f>
        <v>0</v>
      </c>
      <c r="V109" s="38">
        <v>0</v>
      </c>
      <c r="W109" s="39">
        <f>+IFERROR((FT_RF_26[[#This Row],[Daño Insecto]]/FT_RF_26[[#This Row],[Muestra]]),"0")</f>
        <v>0</v>
      </c>
      <c r="X109" s="38">
        <v>0</v>
      </c>
      <c r="Y109" s="39">
        <f>+IFERROR((FT_RF_26[[#This Row],[Sobremadura]]/FT_RF_26[[#This Row],[Muestra]]),"0")</f>
        <v>0</v>
      </c>
      <c r="Z109" s="38">
        <v>0</v>
      </c>
      <c r="AA109" s="39">
        <f>+IFERROR((FT_RF_26[[#This Row],[Deforme]]/FT_RF_26[[#This Row],[Muestra]]),"0")</f>
        <v>0</v>
      </c>
      <c r="AB109" s="27"/>
      <c r="AC109" s="38">
        <v>0</v>
      </c>
      <c r="AD109" s="39">
        <f>+IFERROR((FT_RF_26[[#This Row],[Valor Extra 1]]/FT_RF_26[[#This Row],[Muestra]]),"0")</f>
        <v>0</v>
      </c>
      <c r="AF109" s="38">
        <v>0</v>
      </c>
      <c r="AG109" s="39">
        <f>+IFERROR((FT_RF_26[[#This Row],[Valor Extra 2]]/FT_RF_26[[#This Row],[Muestra]]),"0")</f>
        <v>0</v>
      </c>
      <c r="AH109" s="40">
        <v>0</v>
      </c>
      <c r="AI109" s="39">
        <f>+IFERROR((FT_RF_26[[#This Row],[Hongos]]/FT_RF_26[[#This Row],[Muestra]]),"0")</f>
        <v>0</v>
      </c>
      <c r="AJ109" s="38">
        <v>0</v>
      </c>
      <c r="AK109" s="39">
        <f>+IFERROR((FT_RF_26[[#This Row],[Block]]/FT_RF_26[[#This Row],[Muestra]]),"0")</f>
        <v>0</v>
      </c>
      <c r="AL109" s="41">
        <v>0</v>
      </c>
      <c r="AM109" s="42">
        <v>0</v>
      </c>
      <c r="AN109" s="38">
        <v>0</v>
      </c>
      <c r="AO109" s="39">
        <f>+IFERROR((FT_RF_26[[#This Row],[Fuera de calibre &lt;12mm]]/FT_RF_26[[#This Row],[Muestra]]),"0")</f>
        <v>0</v>
      </c>
      <c r="AP109" s="38">
        <v>0</v>
      </c>
      <c r="AQ109" s="39">
        <f>+IFERROR((FT_RF_26[[#This Row],[Calibre &lt;25]]/FT_RF_26[[#This Row],[Muestra]]),"0")</f>
        <v>0</v>
      </c>
      <c r="AR109" s="38">
        <v>0</v>
      </c>
      <c r="AS109" s="39">
        <f>+IFERROR((FT_RF_26[[#This Row],[Calibre &gt;12]]/FT_RF_26[[#This Row],[Muestra]]),"0")</f>
        <v>0</v>
      </c>
      <c r="AT109" s="38">
        <v>0</v>
      </c>
      <c r="AU109" s="39">
        <f>+IFERROR((FT_RF_26[[#This Row],[Calibre &lt;14]]/FT_RF_26[[#This Row],[Muestra]]),"0")</f>
        <v>0</v>
      </c>
      <c r="AV109" s="38">
        <v>0</v>
      </c>
      <c r="AW109" s="39">
        <f>+IFERROR((FT_RF_26[[#This Row],[Calibre &gt;14]]/FT_RF_26[[#This Row],[Muestra]]),"0")</f>
        <v>0</v>
      </c>
      <c r="AX109" s="38">
        <v>0</v>
      </c>
      <c r="AY109" s="39">
        <f>+IFERROR((FT_RF_26[[#This Row],[Calibre &lt;10]]/FT_RF_26[[#This Row],[Muestra]]),"0")</f>
        <v>0</v>
      </c>
      <c r="AZ109" s="38">
        <v>0</v>
      </c>
      <c r="BA109" s="39">
        <f>+IFERROR((FT_RF_26[[#This Row],[Calibre &gt;13]]/FT_RF_26[[#This Row],[Muestra]]),"0")</f>
        <v>0</v>
      </c>
      <c r="BB109" s="41"/>
      <c r="BG109" s="42"/>
      <c r="BH109" s="43">
        <v>0</v>
      </c>
      <c r="BI109" s="29" t="s">
        <v>894</v>
      </c>
      <c r="BJ109" s="29" t="s">
        <v>894</v>
      </c>
      <c r="BK10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0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09" s="45">
        <f>1-FT_RF_26[[#This Row],[% Defectos]]</f>
        <v>1</v>
      </c>
      <c r="BO109" s="60"/>
      <c r="BP109" s="12">
        <f>SUM(FT_RF_26[[#This Row],[Hoja (Un.)]:[Larvas Caja]])</f>
        <v>0</v>
      </c>
      <c r="BQ109" s="12">
        <f>SUM(FT_RF_26[[#This Row],[Vidrios]:[Plástico]])</f>
        <v>0</v>
      </c>
      <c r="BR109" s="12" t="str">
        <f>IF(ISBLANK(FT_RF_26[[#This Row],[Descripción del producto]]),"",FT_RF_26[[#This Row],[Descripción del producto]])</f>
        <v/>
      </c>
      <c r="BS109" s="29" t="str">
        <f>IF(ISBLANK(FT_RF_26[[#This Row],[N° de Lote]]),"",FT_RF_26[[#This Row],[N° de Lote]])</f>
        <v/>
      </c>
      <c r="BT109" s="29" t="str">
        <f>IF(ISBLANK(FT_RF_26[[#This Row],[N° de Pallet]]),"",FT_RF_26[[#This Row],[N° de Pallet]])</f>
        <v/>
      </c>
    </row>
    <row r="110" spans="2:72">
      <c r="B110" s="29">
        <f>+_xlfn.ISOWEEKNUM(FT_RF_26[[#This Row],[Fecha]])</f>
        <v>52</v>
      </c>
      <c r="E110" s="31"/>
      <c r="F110" s="12" t="str">
        <f>IFERROR(""&amp;_xlfn.XLOOKUP(FT_RF_26[[#This Row],[Código]],BD_Cod[SKU],BD_Cod[Descripción]),"")</f>
        <v/>
      </c>
      <c r="G110" s="32" t="str">
        <f>IFERROR(""&amp;_xlfn.XLOOKUP(FT_RF_26[[#This Row],[Código]],BD_Cod[SKU],BD_Cod[Familia Calidad]),"")</f>
        <v/>
      </c>
      <c r="J110" s="33">
        <v>1000</v>
      </c>
      <c r="L110" s="30" t="s">
        <v>244</v>
      </c>
      <c r="O110" s="30" t="s">
        <v>894</v>
      </c>
      <c r="P110" s="29" t="s">
        <v>894</v>
      </c>
      <c r="Q110" s="37">
        <f>1-FT_RF_26[[#This Row],[% Defectos]]</f>
        <v>1</v>
      </c>
      <c r="R110" s="38">
        <v>0</v>
      </c>
      <c r="S110" s="39">
        <f>+IFERROR((FT_RF_26[[#This Row],[Inmadura]]/FT_RF_26[[#This Row],[Muestra]]),"0")</f>
        <v>0</v>
      </c>
      <c r="T110" s="38">
        <v>0</v>
      </c>
      <c r="U110" s="39">
        <f>+IFERROR((FT_RF_26[[#This Row],[Partidas]]/FT_RF_26[[#This Row],[Muestra]]),"0")</f>
        <v>0</v>
      </c>
      <c r="V110" s="38">
        <v>0</v>
      </c>
      <c r="W110" s="39">
        <f>+IFERROR((FT_RF_26[[#This Row],[Daño Insecto]]/FT_RF_26[[#This Row],[Muestra]]),"0")</f>
        <v>0</v>
      </c>
      <c r="X110" s="38">
        <v>0</v>
      </c>
      <c r="Y110" s="39">
        <f>+IFERROR((FT_RF_26[[#This Row],[Sobremadura]]/FT_RF_26[[#This Row],[Muestra]]),"0")</f>
        <v>0</v>
      </c>
      <c r="Z110" s="38">
        <v>0</v>
      </c>
      <c r="AA110" s="39">
        <f>+IFERROR((FT_RF_26[[#This Row],[Deforme]]/FT_RF_26[[#This Row],[Muestra]]),"0")</f>
        <v>0</v>
      </c>
      <c r="AB110" s="27"/>
      <c r="AC110" s="38">
        <v>0</v>
      </c>
      <c r="AD110" s="39">
        <f>+IFERROR((FT_RF_26[[#This Row],[Valor Extra 1]]/FT_RF_26[[#This Row],[Muestra]]),"0")</f>
        <v>0</v>
      </c>
      <c r="AF110" s="38">
        <v>0</v>
      </c>
      <c r="AG110" s="39">
        <f>+IFERROR((FT_RF_26[[#This Row],[Valor Extra 2]]/FT_RF_26[[#This Row],[Muestra]]),"0")</f>
        <v>0</v>
      </c>
      <c r="AH110" s="40">
        <v>0</v>
      </c>
      <c r="AI110" s="39">
        <f>+IFERROR((FT_RF_26[[#This Row],[Hongos]]/FT_RF_26[[#This Row],[Muestra]]),"0")</f>
        <v>0</v>
      </c>
      <c r="AJ110" s="38">
        <v>0</v>
      </c>
      <c r="AK110" s="39">
        <f>+IFERROR((FT_RF_26[[#This Row],[Block]]/FT_RF_26[[#This Row],[Muestra]]),"0")</f>
        <v>0</v>
      </c>
      <c r="AL110" s="41">
        <v>0</v>
      </c>
      <c r="AM110" s="42">
        <v>0</v>
      </c>
      <c r="AN110" s="38">
        <v>0</v>
      </c>
      <c r="AO110" s="39">
        <f>+IFERROR((FT_RF_26[[#This Row],[Fuera de calibre &lt;12mm]]/FT_RF_26[[#This Row],[Muestra]]),"0")</f>
        <v>0</v>
      </c>
      <c r="AP110" s="38">
        <v>0</v>
      </c>
      <c r="AQ110" s="39">
        <f>+IFERROR((FT_RF_26[[#This Row],[Calibre &lt;25]]/FT_RF_26[[#This Row],[Muestra]]),"0")</f>
        <v>0</v>
      </c>
      <c r="AR110" s="38">
        <v>0</v>
      </c>
      <c r="AS110" s="39">
        <f>+IFERROR((FT_RF_26[[#This Row],[Calibre &gt;12]]/FT_RF_26[[#This Row],[Muestra]]),"0")</f>
        <v>0</v>
      </c>
      <c r="AT110" s="38">
        <v>0</v>
      </c>
      <c r="AU110" s="39">
        <f>+IFERROR((FT_RF_26[[#This Row],[Calibre &lt;14]]/FT_RF_26[[#This Row],[Muestra]]),"0")</f>
        <v>0</v>
      </c>
      <c r="AV110" s="38">
        <v>0</v>
      </c>
      <c r="AW110" s="39">
        <f>+IFERROR((FT_RF_26[[#This Row],[Calibre &gt;14]]/FT_RF_26[[#This Row],[Muestra]]),"0")</f>
        <v>0</v>
      </c>
      <c r="AX110" s="38">
        <v>0</v>
      </c>
      <c r="AY110" s="39">
        <f>+IFERROR((FT_RF_26[[#This Row],[Calibre &lt;10]]/FT_RF_26[[#This Row],[Muestra]]),"0")</f>
        <v>0</v>
      </c>
      <c r="AZ110" s="38">
        <v>0</v>
      </c>
      <c r="BA110" s="39">
        <f>+IFERROR((FT_RF_26[[#This Row],[Calibre &gt;13]]/FT_RF_26[[#This Row],[Muestra]]),"0")</f>
        <v>0</v>
      </c>
      <c r="BB110" s="41"/>
      <c r="BG110" s="42"/>
      <c r="BH110" s="43">
        <v>0</v>
      </c>
      <c r="BI110" s="29" t="s">
        <v>894</v>
      </c>
      <c r="BJ110" s="29" t="s">
        <v>894</v>
      </c>
      <c r="BK11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1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10" s="45">
        <f>1-FT_RF_26[[#This Row],[% Defectos]]</f>
        <v>1</v>
      </c>
      <c r="BO110" s="60"/>
      <c r="BP110" s="12">
        <f>SUM(FT_RF_26[[#This Row],[Hoja (Un.)]:[Larvas Caja]])</f>
        <v>0</v>
      </c>
      <c r="BQ110" s="12">
        <f>SUM(FT_RF_26[[#This Row],[Vidrios]:[Plástico]])</f>
        <v>0</v>
      </c>
      <c r="BR110" s="12" t="str">
        <f>IF(ISBLANK(FT_RF_26[[#This Row],[Descripción del producto]]),"",FT_RF_26[[#This Row],[Descripción del producto]])</f>
        <v/>
      </c>
      <c r="BS110" s="29" t="str">
        <f>IF(ISBLANK(FT_RF_26[[#This Row],[N° de Lote]]),"",FT_RF_26[[#This Row],[N° de Lote]])</f>
        <v/>
      </c>
      <c r="BT110" s="29" t="str">
        <f>IF(ISBLANK(FT_RF_26[[#This Row],[N° de Pallet]]),"",FT_RF_26[[#This Row],[N° de Pallet]])</f>
        <v/>
      </c>
    </row>
    <row r="111" spans="2:72">
      <c r="B111" s="29">
        <f>+_xlfn.ISOWEEKNUM(FT_RF_26[[#This Row],[Fecha]])</f>
        <v>52</v>
      </c>
      <c r="E111" s="31"/>
      <c r="F111" s="12" t="str">
        <f>IFERROR(""&amp;_xlfn.XLOOKUP(FT_RF_26[[#This Row],[Código]],BD_Cod[SKU],BD_Cod[Descripción]),"")</f>
        <v/>
      </c>
      <c r="G111" s="32" t="str">
        <f>IFERROR(""&amp;_xlfn.XLOOKUP(FT_RF_26[[#This Row],[Código]],BD_Cod[SKU],BD_Cod[Familia Calidad]),"")</f>
        <v/>
      </c>
      <c r="J111" s="33">
        <v>1000</v>
      </c>
      <c r="L111" s="30" t="s">
        <v>244</v>
      </c>
      <c r="O111" s="30" t="s">
        <v>894</v>
      </c>
      <c r="P111" s="29" t="s">
        <v>894</v>
      </c>
      <c r="Q111" s="37">
        <f>1-FT_RF_26[[#This Row],[% Defectos]]</f>
        <v>1</v>
      </c>
      <c r="R111" s="38">
        <v>0</v>
      </c>
      <c r="S111" s="39">
        <f>+IFERROR((FT_RF_26[[#This Row],[Inmadura]]/FT_RF_26[[#This Row],[Muestra]]),"0")</f>
        <v>0</v>
      </c>
      <c r="T111" s="38">
        <v>0</v>
      </c>
      <c r="U111" s="39">
        <f>+IFERROR((FT_RF_26[[#This Row],[Partidas]]/FT_RF_26[[#This Row],[Muestra]]),"0")</f>
        <v>0</v>
      </c>
      <c r="V111" s="38">
        <v>0</v>
      </c>
      <c r="W111" s="39">
        <f>+IFERROR((FT_RF_26[[#This Row],[Daño Insecto]]/FT_RF_26[[#This Row],[Muestra]]),"0")</f>
        <v>0</v>
      </c>
      <c r="X111" s="38">
        <v>0</v>
      </c>
      <c r="Y111" s="39">
        <f>+IFERROR((FT_RF_26[[#This Row],[Sobremadura]]/FT_RF_26[[#This Row],[Muestra]]),"0")</f>
        <v>0</v>
      </c>
      <c r="Z111" s="38">
        <v>0</v>
      </c>
      <c r="AA111" s="39">
        <f>+IFERROR((FT_RF_26[[#This Row],[Deforme]]/FT_RF_26[[#This Row],[Muestra]]),"0")</f>
        <v>0</v>
      </c>
      <c r="AB111" s="27"/>
      <c r="AC111" s="38">
        <v>0</v>
      </c>
      <c r="AD111" s="39">
        <f>+IFERROR((FT_RF_26[[#This Row],[Valor Extra 1]]/FT_RF_26[[#This Row],[Muestra]]),"0")</f>
        <v>0</v>
      </c>
      <c r="AF111" s="38">
        <v>0</v>
      </c>
      <c r="AG111" s="39">
        <f>+IFERROR((FT_RF_26[[#This Row],[Valor Extra 2]]/FT_RF_26[[#This Row],[Muestra]]),"0")</f>
        <v>0</v>
      </c>
      <c r="AH111" s="40">
        <v>0</v>
      </c>
      <c r="AI111" s="39">
        <f>+IFERROR((FT_RF_26[[#This Row],[Hongos]]/FT_RF_26[[#This Row],[Muestra]]),"0")</f>
        <v>0</v>
      </c>
      <c r="AJ111" s="38">
        <v>0</v>
      </c>
      <c r="AK111" s="39">
        <f>+IFERROR((FT_RF_26[[#This Row],[Block]]/FT_RF_26[[#This Row],[Muestra]]),"0")</f>
        <v>0</v>
      </c>
      <c r="AL111" s="41">
        <v>0</v>
      </c>
      <c r="AM111" s="42">
        <v>0</v>
      </c>
      <c r="AN111" s="38">
        <v>0</v>
      </c>
      <c r="AO111" s="39">
        <f>+IFERROR((FT_RF_26[[#This Row],[Fuera de calibre &lt;12mm]]/FT_RF_26[[#This Row],[Muestra]]),"0")</f>
        <v>0</v>
      </c>
      <c r="AP111" s="38">
        <v>0</v>
      </c>
      <c r="AQ111" s="39">
        <f>+IFERROR((FT_RF_26[[#This Row],[Calibre &lt;25]]/FT_RF_26[[#This Row],[Muestra]]),"0")</f>
        <v>0</v>
      </c>
      <c r="AR111" s="38">
        <v>0</v>
      </c>
      <c r="AS111" s="39">
        <f>+IFERROR((FT_RF_26[[#This Row],[Calibre &gt;12]]/FT_RF_26[[#This Row],[Muestra]]),"0")</f>
        <v>0</v>
      </c>
      <c r="AT111" s="38">
        <v>0</v>
      </c>
      <c r="AU111" s="39">
        <f>+IFERROR((FT_RF_26[[#This Row],[Calibre &lt;14]]/FT_RF_26[[#This Row],[Muestra]]),"0")</f>
        <v>0</v>
      </c>
      <c r="AV111" s="38">
        <v>0</v>
      </c>
      <c r="AW111" s="39">
        <f>+IFERROR((FT_RF_26[[#This Row],[Calibre &gt;14]]/FT_RF_26[[#This Row],[Muestra]]),"0")</f>
        <v>0</v>
      </c>
      <c r="AX111" s="38">
        <v>0</v>
      </c>
      <c r="AY111" s="39">
        <f>+IFERROR((FT_RF_26[[#This Row],[Calibre &lt;10]]/FT_RF_26[[#This Row],[Muestra]]),"0")</f>
        <v>0</v>
      </c>
      <c r="AZ111" s="38">
        <v>0</v>
      </c>
      <c r="BA111" s="39">
        <f>+IFERROR((FT_RF_26[[#This Row],[Calibre &gt;13]]/FT_RF_26[[#This Row],[Muestra]]),"0")</f>
        <v>0</v>
      </c>
      <c r="BB111" s="41"/>
      <c r="BG111" s="42"/>
      <c r="BH111" s="43">
        <v>0</v>
      </c>
      <c r="BI111" s="29" t="s">
        <v>894</v>
      </c>
      <c r="BJ111" s="29" t="s">
        <v>894</v>
      </c>
      <c r="BK11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1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11" s="45">
        <f>1-FT_RF_26[[#This Row],[% Defectos]]</f>
        <v>1</v>
      </c>
      <c r="BO111" s="60"/>
      <c r="BP111" s="12">
        <f>SUM(FT_RF_26[[#This Row],[Hoja (Un.)]:[Larvas Caja]])</f>
        <v>0</v>
      </c>
      <c r="BQ111" s="12">
        <f>SUM(FT_RF_26[[#This Row],[Vidrios]:[Plástico]])</f>
        <v>0</v>
      </c>
      <c r="BR111" s="12" t="str">
        <f>IF(ISBLANK(FT_RF_26[[#This Row],[Descripción del producto]]),"",FT_RF_26[[#This Row],[Descripción del producto]])</f>
        <v/>
      </c>
      <c r="BS111" s="29" t="str">
        <f>IF(ISBLANK(FT_RF_26[[#This Row],[N° de Lote]]),"",FT_RF_26[[#This Row],[N° de Lote]])</f>
        <v/>
      </c>
      <c r="BT111" s="29" t="str">
        <f>IF(ISBLANK(FT_RF_26[[#This Row],[N° de Pallet]]),"",FT_RF_26[[#This Row],[N° de Pallet]])</f>
        <v/>
      </c>
    </row>
    <row r="112" spans="2:72">
      <c r="B112" s="29">
        <f>+_xlfn.ISOWEEKNUM(FT_RF_26[[#This Row],[Fecha]])</f>
        <v>52</v>
      </c>
      <c r="E112" s="31"/>
      <c r="F112" s="12" t="str">
        <f>IFERROR(""&amp;_xlfn.XLOOKUP(FT_RF_26[[#This Row],[Código]],BD_Cod[SKU],BD_Cod[Descripción]),"")</f>
        <v/>
      </c>
      <c r="G112" s="32" t="str">
        <f>IFERROR(""&amp;_xlfn.XLOOKUP(FT_RF_26[[#This Row],[Código]],BD_Cod[SKU],BD_Cod[Familia Calidad]),"")</f>
        <v/>
      </c>
      <c r="J112" s="33">
        <v>1000</v>
      </c>
      <c r="L112" s="30" t="s">
        <v>244</v>
      </c>
      <c r="O112" s="30" t="s">
        <v>894</v>
      </c>
      <c r="P112" s="29" t="s">
        <v>894</v>
      </c>
      <c r="Q112" s="37">
        <f>1-FT_RF_26[[#This Row],[% Defectos]]</f>
        <v>1</v>
      </c>
      <c r="R112" s="38">
        <v>0</v>
      </c>
      <c r="S112" s="39">
        <f>+IFERROR((FT_RF_26[[#This Row],[Inmadura]]/FT_RF_26[[#This Row],[Muestra]]),"0")</f>
        <v>0</v>
      </c>
      <c r="T112" s="38">
        <v>0</v>
      </c>
      <c r="U112" s="39">
        <f>+IFERROR((FT_RF_26[[#This Row],[Partidas]]/FT_RF_26[[#This Row],[Muestra]]),"0")</f>
        <v>0</v>
      </c>
      <c r="V112" s="38">
        <v>0</v>
      </c>
      <c r="W112" s="39">
        <f>+IFERROR((FT_RF_26[[#This Row],[Daño Insecto]]/FT_RF_26[[#This Row],[Muestra]]),"0")</f>
        <v>0</v>
      </c>
      <c r="X112" s="38">
        <v>0</v>
      </c>
      <c r="Y112" s="39">
        <f>+IFERROR((FT_RF_26[[#This Row],[Sobremadura]]/FT_RF_26[[#This Row],[Muestra]]),"0")</f>
        <v>0</v>
      </c>
      <c r="Z112" s="38">
        <v>0</v>
      </c>
      <c r="AA112" s="39">
        <f>+IFERROR((FT_RF_26[[#This Row],[Deforme]]/FT_RF_26[[#This Row],[Muestra]]),"0")</f>
        <v>0</v>
      </c>
      <c r="AB112" s="27"/>
      <c r="AC112" s="38">
        <v>0</v>
      </c>
      <c r="AD112" s="39">
        <f>+IFERROR((FT_RF_26[[#This Row],[Valor Extra 1]]/FT_RF_26[[#This Row],[Muestra]]),"0")</f>
        <v>0</v>
      </c>
      <c r="AF112" s="38">
        <v>0</v>
      </c>
      <c r="AG112" s="39">
        <f>+IFERROR((FT_RF_26[[#This Row],[Valor Extra 2]]/FT_RF_26[[#This Row],[Muestra]]),"0")</f>
        <v>0</v>
      </c>
      <c r="AH112" s="40">
        <v>0</v>
      </c>
      <c r="AI112" s="39">
        <f>+IFERROR((FT_RF_26[[#This Row],[Hongos]]/FT_RF_26[[#This Row],[Muestra]]),"0")</f>
        <v>0</v>
      </c>
      <c r="AJ112" s="38">
        <v>0</v>
      </c>
      <c r="AK112" s="39">
        <f>+IFERROR((FT_RF_26[[#This Row],[Block]]/FT_RF_26[[#This Row],[Muestra]]),"0")</f>
        <v>0</v>
      </c>
      <c r="AL112" s="41">
        <v>0</v>
      </c>
      <c r="AM112" s="42">
        <v>0</v>
      </c>
      <c r="AN112" s="38">
        <v>0</v>
      </c>
      <c r="AO112" s="39">
        <f>+IFERROR((FT_RF_26[[#This Row],[Fuera de calibre &lt;12mm]]/FT_RF_26[[#This Row],[Muestra]]),"0")</f>
        <v>0</v>
      </c>
      <c r="AP112" s="38">
        <v>0</v>
      </c>
      <c r="AQ112" s="39">
        <f>+IFERROR((FT_RF_26[[#This Row],[Calibre &lt;25]]/FT_RF_26[[#This Row],[Muestra]]),"0")</f>
        <v>0</v>
      </c>
      <c r="AR112" s="38">
        <v>0</v>
      </c>
      <c r="AS112" s="39">
        <f>+IFERROR((FT_RF_26[[#This Row],[Calibre &gt;12]]/FT_RF_26[[#This Row],[Muestra]]),"0")</f>
        <v>0</v>
      </c>
      <c r="AT112" s="38">
        <v>0</v>
      </c>
      <c r="AU112" s="39">
        <f>+IFERROR((FT_RF_26[[#This Row],[Calibre &lt;14]]/FT_RF_26[[#This Row],[Muestra]]),"0")</f>
        <v>0</v>
      </c>
      <c r="AV112" s="38">
        <v>0</v>
      </c>
      <c r="AW112" s="39">
        <f>+IFERROR((FT_RF_26[[#This Row],[Calibre &gt;14]]/FT_RF_26[[#This Row],[Muestra]]),"0")</f>
        <v>0</v>
      </c>
      <c r="AX112" s="38">
        <v>0</v>
      </c>
      <c r="AY112" s="39">
        <f>+IFERROR((FT_RF_26[[#This Row],[Calibre &lt;10]]/FT_RF_26[[#This Row],[Muestra]]),"0")</f>
        <v>0</v>
      </c>
      <c r="AZ112" s="38">
        <v>0</v>
      </c>
      <c r="BA112" s="39">
        <f>+IFERROR((FT_RF_26[[#This Row],[Calibre &gt;13]]/FT_RF_26[[#This Row],[Muestra]]),"0")</f>
        <v>0</v>
      </c>
      <c r="BB112" s="41"/>
      <c r="BG112" s="42"/>
      <c r="BH112" s="43">
        <v>0</v>
      </c>
      <c r="BI112" s="29" t="s">
        <v>894</v>
      </c>
      <c r="BJ112" s="29" t="s">
        <v>894</v>
      </c>
      <c r="BK11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1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12" s="45">
        <f>1-FT_RF_26[[#This Row],[% Defectos]]</f>
        <v>1</v>
      </c>
      <c r="BO112" s="60"/>
      <c r="BP112" s="12">
        <f>SUM(FT_RF_26[[#This Row],[Hoja (Un.)]:[Larvas Caja]])</f>
        <v>0</v>
      </c>
      <c r="BQ112" s="12">
        <f>SUM(FT_RF_26[[#This Row],[Vidrios]:[Plástico]])</f>
        <v>0</v>
      </c>
      <c r="BR112" s="12" t="str">
        <f>IF(ISBLANK(FT_RF_26[[#This Row],[Descripción del producto]]),"",FT_RF_26[[#This Row],[Descripción del producto]])</f>
        <v/>
      </c>
      <c r="BS112" s="29" t="str">
        <f>IF(ISBLANK(FT_RF_26[[#This Row],[N° de Lote]]),"",FT_RF_26[[#This Row],[N° de Lote]])</f>
        <v/>
      </c>
      <c r="BT112" s="29" t="str">
        <f>IF(ISBLANK(FT_RF_26[[#This Row],[N° de Pallet]]),"",FT_RF_26[[#This Row],[N° de Pallet]])</f>
        <v/>
      </c>
    </row>
    <row r="113" spans="2:72">
      <c r="B113" s="29">
        <f>+_xlfn.ISOWEEKNUM(FT_RF_26[[#This Row],[Fecha]])</f>
        <v>52</v>
      </c>
      <c r="E113" s="31"/>
      <c r="F113" s="12" t="str">
        <f>IFERROR(""&amp;_xlfn.XLOOKUP(FT_RF_26[[#This Row],[Código]],BD_Cod[SKU],BD_Cod[Descripción]),"")</f>
        <v/>
      </c>
      <c r="G113" s="32" t="str">
        <f>IFERROR(""&amp;_xlfn.XLOOKUP(FT_RF_26[[#This Row],[Código]],BD_Cod[SKU],BD_Cod[Familia Calidad]),"")</f>
        <v/>
      </c>
      <c r="J113" s="33">
        <v>1000</v>
      </c>
      <c r="L113" s="30" t="s">
        <v>244</v>
      </c>
      <c r="O113" s="30" t="s">
        <v>894</v>
      </c>
      <c r="P113" s="29" t="s">
        <v>894</v>
      </c>
      <c r="Q113" s="37">
        <f>1-FT_RF_26[[#This Row],[% Defectos]]</f>
        <v>1</v>
      </c>
      <c r="R113" s="38">
        <v>0</v>
      </c>
      <c r="S113" s="39">
        <f>+IFERROR((FT_RF_26[[#This Row],[Inmadura]]/FT_RF_26[[#This Row],[Muestra]]),"0")</f>
        <v>0</v>
      </c>
      <c r="T113" s="38">
        <v>0</v>
      </c>
      <c r="U113" s="39">
        <f>+IFERROR((FT_RF_26[[#This Row],[Partidas]]/FT_RF_26[[#This Row],[Muestra]]),"0")</f>
        <v>0</v>
      </c>
      <c r="V113" s="38">
        <v>0</v>
      </c>
      <c r="W113" s="39">
        <f>+IFERROR((FT_RF_26[[#This Row],[Daño Insecto]]/FT_RF_26[[#This Row],[Muestra]]),"0")</f>
        <v>0</v>
      </c>
      <c r="X113" s="38">
        <v>0</v>
      </c>
      <c r="Y113" s="39">
        <f>+IFERROR((FT_RF_26[[#This Row],[Sobremadura]]/FT_RF_26[[#This Row],[Muestra]]),"0")</f>
        <v>0</v>
      </c>
      <c r="Z113" s="38">
        <v>0</v>
      </c>
      <c r="AA113" s="39">
        <f>+IFERROR((FT_RF_26[[#This Row],[Deforme]]/FT_RF_26[[#This Row],[Muestra]]),"0")</f>
        <v>0</v>
      </c>
      <c r="AB113" s="27"/>
      <c r="AC113" s="38">
        <v>0</v>
      </c>
      <c r="AD113" s="39">
        <f>+IFERROR((FT_RF_26[[#This Row],[Valor Extra 1]]/FT_RF_26[[#This Row],[Muestra]]),"0")</f>
        <v>0</v>
      </c>
      <c r="AF113" s="38">
        <v>0</v>
      </c>
      <c r="AG113" s="39">
        <f>+IFERROR((FT_RF_26[[#This Row],[Valor Extra 2]]/FT_RF_26[[#This Row],[Muestra]]),"0")</f>
        <v>0</v>
      </c>
      <c r="AH113" s="40">
        <v>0</v>
      </c>
      <c r="AI113" s="39">
        <f>+IFERROR((FT_RF_26[[#This Row],[Hongos]]/FT_RF_26[[#This Row],[Muestra]]),"0")</f>
        <v>0</v>
      </c>
      <c r="AJ113" s="38">
        <v>0</v>
      </c>
      <c r="AK113" s="39">
        <f>+IFERROR((FT_RF_26[[#This Row],[Block]]/FT_RF_26[[#This Row],[Muestra]]),"0")</f>
        <v>0</v>
      </c>
      <c r="AL113" s="41">
        <v>0</v>
      </c>
      <c r="AM113" s="42">
        <v>0</v>
      </c>
      <c r="AN113" s="38">
        <v>0</v>
      </c>
      <c r="AO113" s="39">
        <f>+IFERROR((FT_RF_26[[#This Row],[Fuera de calibre &lt;12mm]]/FT_RF_26[[#This Row],[Muestra]]),"0")</f>
        <v>0</v>
      </c>
      <c r="AP113" s="38">
        <v>0</v>
      </c>
      <c r="AQ113" s="39">
        <f>+IFERROR((FT_RF_26[[#This Row],[Calibre &lt;25]]/FT_RF_26[[#This Row],[Muestra]]),"0")</f>
        <v>0</v>
      </c>
      <c r="AR113" s="38">
        <v>0</v>
      </c>
      <c r="AS113" s="39">
        <f>+IFERROR((FT_RF_26[[#This Row],[Calibre &gt;12]]/FT_RF_26[[#This Row],[Muestra]]),"0")</f>
        <v>0</v>
      </c>
      <c r="AT113" s="38">
        <v>0</v>
      </c>
      <c r="AU113" s="39">
        <f>+IFERROR((FT_RF_26[[#This Row],[Calibre &lt;14]]/FT_RF_26[[#This Row],[Muestra]]),"0")</f>
        <v>0</v>
      </c>
      <c r="AV113" s="38">
        <v>0</v>
      </c>
      <c r="AW113" s="39">
        <f>+IFERROR((FT_RF_26[[#This Row],[Calibre &gt;14]]/FT_RF_26[[#This Row],[Muestra]]),"0")</f>
        <v>0</v>
      </c>
      <c r="AX113" s="38">
        <v>0</v>
      </c>
      <c r="AY113" s="39">
        <f>+IFERROR((FT_RF_26[[#This Row],[Calibre &lt;10]]/FT_RF_26[[#This Row],[Muestra]]),"0")</f>
        <v>0</v>
      </c>
      <c r="AZ113" s="38">
        <v>0</v>
      </c>
      <c r="BA113" s="39">
        <f>+IFERROR((FT_RF_26[[#This Row],[Calibre &gt;13]]/FT_RF_26[[#This Row],[Muestra]]),"0")</f>
        <v>0</v>
      </c>
      <c r="BB113" s="41"/>
      <c r="BG113" s="42"/>
      <c r="BH113" s="43">
        <v>0</v>
      </c>
      <c r="BI113" s="29" t="s">
        <v>894</v>
      </c>
      <c r="BJ113" s="29" t="s">
        <v>894</v>
      </c>
      <c r="BK11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1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13" s="45">
        <f>1-FT_RF_26[[#This Row],[% Defectos]]</f>
        <v>1</v>
      </c>
      <c r="BO113" s="60"/>
      <c r="BP113" s="12">
        <f>SUM(FT_RF_26[[#This Row],[Hoja (Un.)]:[Larvas Caja]])</f>
        <v>0</v>
      </c>
      <c r="BQ113" s="12">
        <f>SUM(FT_RF_26[[#This Row],[Vidrios]:[Plástico]])</f>
        <v>0</v>
      </c>
      <c r="BR113" s="12" t="str">
        <f>IF(ISBLANK(FT_RF_26[[#This Row],[Descripción del producto]]),"",FT_RF_26[[#This Row],[Descripción del producto]])</f>
        <v/>
      </c>
      <c r="BS113" s="29" t="str">
        <f>IF(ISBLANK(FT_RF_26[[#This Row],[N° de Lote]]),"",FT_RF_26[[#This Row],[N° de Lote]])</f>
        <v/>
      </c>
      <c r="BT113" s="29" t="str">
        <f>IF(ISBLANK(FT_RF_26[[#This Row],[N° de Pallet]]),"",FT_RF_26[[#This Row],[N° de Pallet]])</f>
        <v/>
      </c>
    </row>
    <row r="114" spans="2:72">
      <c r="B114" s="29">
        <f>+_xlfn.ISOWEEKNUM(FT_RF_26[[#This Row],[Fecha]])</f>
        <v>52</v>
      </c>
      <c r="E114" s="31"/>
      <c r="F114" s="12" t="str">
        <f>IFERROR(""&amp;_xlfn.XLOOKUP(FT_RF_26[[#This Row],[Código]],BD_Cod[SKU],BD_Cod[Descripción]),"")</f>
        <v/>
      </c>
      <c r="G114" s="32" t="str">
        <f>IFERROR(""&amp;_xlfn.XLOOKUP(FT_RF_26[[#This Row],[Código]],BD_Cod[SKU],BD_Cod[Familia Calidad]),"")</f>
        <v/>
      </c>
      <c r="J114" s="33">
        <v>1000</v>
      </c>
      <c r="L114" s="30" t="s">
        <v>244</v>
      </c>
      <c r="O114" s="30" t="s">
        <v>894</v>
      </c>
      <c r="P114" s="29" t="s">
        <v>894</v>
      </c>
      <c r="Q114" s="37">
        <f>1-FT_RF_26[[#This Row],[% Defectos]]</f>
        <v>1</v>
      </c>
      <c r="R114" s="38">
        <v>0</v>
      </c>
      <c r="S114" s="39">
        <f>+IFERROR((FT_RF_26[[#This Row],[Inmadura]]/FT_RF_26[[#This Row],[Muestra]]),"0")</f>
        <v>0</v>
      </c>
      <c r="T114" s="38">
        <v>0</v>
      </c>
      <c r="U114" s="39">
        <f>+IFERROR((FT_RF_26[[#This Row],[Partidas]]/FT_RF_26[[#This Row],[Muestra]]),"0")</f>
        <v>0</v>
      </c>
      <c r="V114" s="38">
        <v>0</v>
      </c>
      <c r="W114" s="39">
        <f>+IFERROR((FT_RF_26[[#This Row],[Daño Insecto]]/FT_RF_26[[#This Row],[Muestra]]),"0")</f>
        <v>0</v>
      </c>
      <c r="X114" s="38">
        <v>0</v>
      </c>
      <c r="Y114" s="39">
        <f>+IFERROR((FT_RF_26[[#This Row],[Sobremadura]]/FT_RF_26[[#This Row],[Muestra]]),"0")</f>
        <v>0</v>
      </c>
      <c r="Z114" s="38">
        <v>0</v>
      </c>
      <c r="AA114" s="39">
        <f>+IFERROR((FT_RF_26[[#This Row],[Deforme]]/FT_RF_26[[#This Row],[Muestra]]),"0")</f>
        <v>0</v>
      </c>
      <c r="AB114" s="27"/>
      <c r="AC114" s="38">
        <v>0</v>
      </c>
      <c r="AD114" s="39">
        <f>+IFERROR((FT_RF_26[[#This Row],[Valor Extra 1]]/FT_RF_26[[#This Row],[Muestra]]),"0")</f>
        <v>0</v>
      </c>
      <c r="AF114" s="38">
        <v>0</v>
      </c>
      <c r="AG114" s="39">
        <f>+IFERROR((FT_RF_26[[#This Row],[Valor Extra 2]]/FT_RF_26[[#This Row],[Muestra]]),"0")</f>
        <v>0</v>
      </c>
      <c r="AH114" s="40">
        <v>0</v>
      </c>
      <c r="AI114" s="39">
        <f>+IFERROR((FT_RF_26[[#This Row],[Hongos]]/FT_RF_26[[#This Row],[Muestra]]),"0")</f>
        <v>0</v>
      </c>
      <c r="AJ114" s="38">
        <v>0</v>
      </c>
      <c r="AK114" s="39">
        <f>+IFERROR((FT_RF_26[[#This Row],[Block]]/FT_RF_26[[#This Row],[Muestra]]),"0")</f>
        <v>0</v>
      </c>
      <c r="AL114" s="41">
        <v>0</v>
      </c>
      <c r="AM114" s="42">
        <v>0</v>
      </c>
      <c r="AN114" s="38">
        <v>0</v>
      </c>
      <c r="AO114" s="39">
        <f>+IFERROR((FT_RF_26[[#This Row],[Fuera de calibre &lt;12mm]]/FT_RF_26[[#This Row],[Muestra]]),"0")</f>
        <v>0</v>
      </c>
      <c r="AP114" s="38">
        <v>0</v>
      </c>
      <c r="AQ114" s="39">
        <f>+IFERROR((FT_RF_26[[#This Row],[Calibre &lt;25]]/FT_RF_26[[#This Row],[Muestra]]),"0")</f>
        <v>0</v>
      </c>
      <c r="AR114" s="38">
        <v>0</v>
      </c>
      <c r="AS114" s="39">
        <f>+IFERROR((FT_RF_26[[#This Row],[Calibre &gt;12]]/FT_RF_26[[#This Row],[Muestra]]),"0")</f>
        <v>0</v>
      </c>
      <c r="AT114" s="38">
        <v>0</v>
      </c>
      <c r="AU114" s="39">
        <f>+IFERROR((FT_RF_26[[#This Row],[Calibre &lt;14]]/FT_RF_26[[#This Row],[Muestra]]),"0")</f>
        <v>0</v>
      </c>
      <c r="AV114" s="38">
        <v>0</v>
      </c>
      <c r="AW114" s="39">
        <f>+IFERROR((FT_RF_26[[#This Row],[Calibre &gt;14]]/FT_RF_26[[#This Row],[Muestra]]),"0")</f>
        <v>0</v>
      </c>
      <c r="AX114" s="38">
        <v>0</v>
      </c>
      <c r="AY114" s="39">
        <f>+IFERROR((FT_RF_26[[#This Row],[Calibre &lt;10]]/FT_RF_26[[#This Row],[Muestra]]),"0")</f>
        <v>0</v>
      </c>
      <c r="AZ114" s="38">
        <v>0</v>
      </c>
      <c r="BA114" s="39">
        <f>+IFERROR((FT_RF_26[[#This Row],[Calibre &gt;13]]/FT_RF_26[[#This Row],[Muestra]]),"0")</f>
        <v>0</v>
      </c>
      <c r="BB114" s="41"/>
      <c r="BG114" s="42"/>
      <c r="BH114" s="43">
        <v>0</v>
      </c>
      <c r="BI114" s="29" t="s">
        <v>894</v>
      </c>
      <c r="BJ114" s="29" t="s">
        <v>894</v>
      </c>
      <c r="BK11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1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14" s="45">
        <f>1-FT_RF_26[[#This Row],[% Defectos]]</f>
        <v>1</v>
      </c>
      <c r="BO114" s="60"/>
      <c r="BP114" s="12">
        <f>SUM(FT_RF_26[[#This Row],[Hoja (Un.)]:[Larvas Caja]])</f>
        <v>0</v>
      </c>
      <c r="BQ114" s="12">
        <f>SUM(FT_RF_26[[#This Row],[Vidrios]:[Plástico]])</f>
        <v>0</v>
      </c>
      <c r="BR114" s="12" t="str">
        <f>IF(ISBLANK(FT_RF_26[[#This Row],[Descripción del producto]]),"",FT_RF_26[[#This Row],[Descripción del producto]])</f>
        <v/>
      </c>
      <c r="BS114" s="29" t="str">
        <f>IF(ISBLANK(FT_RF_26[[#This Row],[N° de Lote]]),"",FT_RF_26[[#This Row],[N° de Lote]])</f>
        <v/>
      </c>
      <c r="BT114" s="29" t="str">
        <f>IF(ISBLANK(FT_RF_26[[#This Row],[N° de Pallet]]),"",FT_RF_26[[#This Row],[N° de Pallet]])</f>
        <v/>
      </c>
    </row>
    <row r="115" spans="2:72">
      <c r="B115" s="29">
        <f>+_xlfn.ISOWEEKNUM(FT_RF_26[[#This Row],[Fecha]])</f>
        <v>52</v>
      </c>
      <c r="E115" s="31"/>
      <c r="F115" s="12" t="str">
        <f>IFERROR(""&amp;_xlfn.XLOOKUP(FT_RF_26[[#This Row],[Código]],BD_Cod[SKU],BD_Cod[Descripción]),"")</f>
        <v/>
      </c>
      <c r="G115" s="32" t="str">
        <f>IFERROR(""&amp;_xlfn.XLOOKUP(FT_RF_26[[#This Row],[Código]],BD_Cod[SKU],BD_Cod[Familia Calidad]),"")</f>
        <v/>
      </c>
      <c r="J115" s="33">
        <v>1000</v>
      </c>
      <c r="L115" s="30" t="s">
        <v>244</v>
      </c>
      <c r="O115" s="30" t="s">
        <v>894</v>
      </c>
      <c r="P115" s="29" t="s">
        <v>894</v>
      </c>
      <c r="Q115" s="37">
        <f>1-FT_RF_26[[#This Row],[% Defectos]]</f>
        <v>1</v>
      </c>
      <c r="R115" s="38">
        <v>0</v>
      </c>
      <c r="S115" s="39">
        <f>+IFERROR((FT_RF_26[[#This Row],[Inmadura]]/FT_RF_26[[#This Row],[Muestra]]),"0")</f>
        <v>0</v>
      </c>
      <c r="T115" s="38">
        <v>0</v>
      </c>
      <c r="U115" s="39">
        <f>+IFERROR((FT_RF_26[[#This Row],[Partidas]]/FT_RF_26[[#This Row],[Muestra]]),"0")</f>
        <v>0</v>
      </c>
      <c r="V115" s="38">
        <v>0</v>
      </c>
      <c r="W115" s="39">
        <f>+IFERROR((FT_RF_26[[#This Row],[Daño Insecto]]/FT_RF_26[[#This Row],[Muestra]]),"0")</f>
        <v>0</v>
      </c>
      <c r="X115" s="38">
        <v>0</v>
      </c>
      <c r="Y115" s="39">
        <f>+IFERROR((FT_RF_26[[#This Row],[Sobremadura]]/FT_RF_26[[#This Row],[Muestra]]),"0")</f>
        <v>0</v>
      </c>
      <c r="Z115" s="38">
        <v>0</v>
      </c>
      <c r="AA115" s="39">
        <f>+IFERROR((FT_RF_26[[#This Row],[Deforme]]/FT_RF_26[[#This Row],[Muestra]]),"0")</f>
        <v>0</v>
      </c>
      <c r="AB115" s="27"/>
      <c r="AC115" s="38">
        <v>0</v>
      </c>
      <c r="AD115" s="39">
        <f>+IFERROR((FT_RF_26[[#This Row],[Valor Extra 1]]/FT_RF_26[[#This Row],[Muestra]]),"0")</f>
        <v>0</v>
      </c>
      <c r="AF115" s="38">
        <v>0</v>
      </c>
      <c r="AG115" s="39">
        <f>+IFERROR((FT_RF_26[[#This Row],[Valor Extra 2]]/FT_RF_26[[#This Row],[Muestra]]),"0")</f>
        <v>0</v>
      </c>
      <c r="AH115" s="40">
        <v>0</v>
      </c>
      <c r="AI115" s="39">
        <f>+IFERROR((FT_RF_26[[#This Row],[Hongos]]/FT_RF_26[[#This Row],[Muestra]]),"0")</f>
        <v>0</v>
      </c>
      <c r="AJ115" s="38">
        <v>0</v>
      </c>
      <c r="AK115" s="39">
        <f>+IFERROR((FT_RF_26[[#This Row],[Block]]/FT_RF_26[[#This Row],[Muestra]]),"0")</f>
        <v>0</v>
      </c>
      <c r="AL115" s="41">
        <v>0</v>
      </c>
      <c r="AM115" s="42">
        <v>0</v>
      </c>
      <c r="AN115" s="38">
        <v>0</v>
      </c>
      <c r="AO115" s="39">
        <f>+IFERROR((FT_RF_26[[#This Row],[Fuera de calibre &lt;12mm]]/FT_RF_26[[#This Row],[Muestra]]),"0")</f>
        <v>0</v>
      </c>
      <c r="AP115" s="38">
        <v>0</v>
      </c>
      <c r="AQ115" s="39">
        <f>+IFERROR((FT_RF_26[[#This Row],[Calibre &lt;25]]/FT_RF_26[[#This Row],[Muestra]]),"0")</f>
        <v>0</v>
      </c>
      <c r="AR115" s="38">
        <v>0</v>
      </c>
      <c r="AS115" s="39">
        <f>+IFERROR((FT_RF_26[[#This Row],[Calibre &gt;12]]/FT_RF_26[[#This Row],[Muestra]]),"0")</f>
        <v>0</v>
      </c>
      <c r="AT115" s="38">
        <v>0</v>
      </c>
      <c r="AU115" s="39">
        <f>+IFERROR((FT_RF_26[[#This Row],[Calibre &lt;14]]/FT_RF_26[[#This Row],[Muestra]]),"0")</f>
        <v>0</v>
      </c>
      <c r="AV115" s="38">
        <v>0</v>
      </c>
      <c r="AW115" s="39">
        <f>+IFERROR((FT_RF_26[[#This Row],[Calibre &gt;14]]/FT_RF_26[[#This Row],[Muestra]]),"0")</f>
        <v>0</v>
      </c>
      <c r="AX115" s="38">
        <v>0</v>
      </c>
      <c r="AY115" s="39">
        <f>+IFERROR((FT_RF_26[[#This Row],[Calibre &lt;10]]/FT_RF_26[[#This Row],[Muestra]]),"0")</f>
        <v>0</v>
      </c>
      <c r="AZ115" s="38">
        <v>0</v>
      </c>
      <c r="BA115" s="39">
        <f>+IFERROR((FT_RF_26[[#This Row],[Calibre &gt;13]]/FT_RF_26[[#This Row],[Muestra]]),"0")</f>
        <v>0</v>
      </c>
      <c r="BB115" s="41"/>
      <c r="BG115" s="42"/>
      <c r="BH115" s="43">
        <v>0</v>
      </c>
      <c r="BI115" s="29" t="s">
        <v>894</v>
      </c>
      <c r="BJ115" s="29" t="s">
        <v>894</v>
      </c>
      <c r="BK11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1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15" s="45">
        <f>1-FT_RF_26[[#This Row],[% Defectos]]</f>
        <v>1</v>
      </c>
      <c r="BO115" s="60"/>
      <c r="BP115" s="12">
        <f>SUM(FT_RF_26[[#This Row],[Hoja (Un.)]:[Larvas Caja]])</f>
        <v>0</v>
      </c>
      <c r="BQ115" s="12">
        <f>SUM(FT_RF_26[[#This Row],[Vidrios]:[Plástico]])</f>
        <v>0</v>
      </c>
      <c r="BR115" s="12" t="str">
        <f>IF(ISBLANK(FT_RF_26[[#This Row],[Descripción del producto]]),"",FT_RF_26[[#This Row],[Descripción del producto]])</f>
        <v/>
      </c>
      <c r="BS115" s="29" t="str">
        <f>IF(ISBLANK(FT_RF_26[[#This Row],[N° de Lote]]),"",FT_RF_26[[#This Row],[N° de Lote]])</f>
        <v/>
      </c>
      <c r="BT115" s="29" t="str">
        <f>IF(ISBLANK(FT_RF_26[[#This Row],[N° de Pallet]]),"",FT_RF_26[[#This Row],[N° de Pallet]])</f>
        <v/>
      </c>
    </row>
    <row r="116" spans="2:72">
      <c r="B116" s="29">
        <f>+_xlfn.ISOWEEKNUM(FT_RF_26[[#This Row],[Fecha]])</f>
        <v>52</v>
      </c>
      <c r="E116" s="31"/>
      <c r="F116" s="12" t="str">
        <f>IFERROR(""&amp;_xlfn.XLOOKUP(FT_RF_26[[#This Row],[Código]],BD_Cod[SKU],BD_Cod[Descripción]),"")</f>
        <v/>
      </c>
      <c r="G116" s="32" t="str">
        <f>IFERROR(""&amp;_xlfn.XLOOKUP(FT_RF_26[[#This Row],[Código]],BD_Cod[SKU],BD_Cod[Familia Calidad]),"")</f>
        <v/>
      </c>
      <c r="J116" s="33">
        <v>1000</v>
      </c>
      <c r="L116" s="30" t="s">
        <v>244</v>
      </c>
      <c r="O116" s="30" t="s">
        <v>894</v>
      </c>
      <c r="P116" s="29" t="s">
        <v>894</v>
      </c>
      <c r="Q116" s="37">
        <f>1-FT_RF_26[[#This Row],[% Defectos]]</f>
        <v>1</v>
      </c>
      <c r="R116" s="38">
        <v>0</v>
      </c>
      <c r="S116" s="39">
        <f>+IFERROR((FT_RF_26[[#This Row],[Inmadura]]/FT_RF_26[[#This Row],[Muestra]]),"0")</f>
        <v>0</v>
      </c>
      <c r="T116" s="38">
        <v>0</v>
      </c>
      <c r="U116" s="39">
        <f>+IFERROR((FT_RF_26[[#This Row],[Partidas]]/FT_RF_26[[#This Row],[Muestra]]),"0")</f>
        <v>0</v>
      </c>
      <c r="V116" s="38">
        <v>0</v>
      </c>
      <c r="W116" s="39">
        <f>+IFERROR((FT_RF_26[[#This Row],[Daño Insecto]]/FT_RF_26[[#This Row],[Muestra]]),"0")</f>
        <v>0</v>
      </c>
      <c r="X116" s="38">
        <v>0</v>
      </c>
      <c r="Y116" s="39">
        <f>+IFERROR((FT_RF_26[[#This Row],[Sobremadura]]/FT_RF_26[[#This Row],[Muestra]]),"0")</f>
        <v>0</v>
      </c>
      <c r="Z116" s="38">
        <v>0</v>
      </c>
      <c r="AA116" s="39">
        <f>+IFERROR((FT_RF_26[[#This Row],[Deforme]]/FT_RF_26[[#This Row],[Muestra]]),"0")</f>
        <v>0</v>
      </c>
      <c r="AB116" s="27"/>
      <c r="AC116" s="38">
        <v>0</v>
      </c>
      <c r="AD116" s="39">
        <f>+IFERROR((FT_RF_26[[#This Row],[Valor Extra 1]]/FT_RF_26[[#This Row],[Muestra]]),"0")</f>
        <v>0</v>
      </c>
      <c r="AF116" s="38">
        <v>0</v>
      </c>
      <c r="AG116" s="39">
        <f>+IFERROR((FT_RF_26[[#This Row],[Valor Extra 2]]/FT_RF_26[[#This Row],[Muestra]]),"0")</f>
        <v>0</v>
      </c>
      <c r="AH116" s="40">
        <v>0</v>
      </c>
      <c r="AI116" s="39">
        <f>+IFERROR((FT_RF_26[[#This Row],[Hongos]]/FT_RF_26[[#This Row],[Muestra]]),"0")</f>
        <v>0</v>
      </c>
      <c r="AJ116" s="38">
        <v>0</v>
      </c>
      <c r="AK116" s="39">
        <f>+IFERROR((FT_RF_26[[#This Row],[Block]]/FT_RF_26[[#This Row],[Muestra]]),"0")</f>
        <v>0</v>
      </c>
      <c r="AL116" s="41">
        <v>0</v>
      </c>
      <c r="AM116" s="42">
        <v>0</v>
      </c>
      <c r="AN116" s="38">
        <v>0</v>
      </c>
      <c r="AO116" s="39">
        <f>+IFERROR((FT_RF_26[[#This Row],[Fuera de calibre &lt;12mm]]/FT_RF_26[[#This Row],[Muestra]]),"0")</f>
        <v>0</v>
      </c>
      <c r="AP116" s="38">
        <v>0</v>
      </c>
      <c r="AQ116" s="39">
        <f>+IFERROR((FT_RF_26[[#This Row],[Calibre &lt;25]]/FT_RF_26[[#This Row],[Muestra]]),"0")</f>
        <v>0</v>
      </c>
      <c r="AR116" s="38">
        <v>0</v>
      </c>
      <c r="AS116" s="39">
        <f>+IFERROR((FT_RF_26[[#This Row],[Calibre &gt;12]]/FT_RF_26[[#This Row],[Muestra]]),"0")</f>
        <v>0</v>
      </c>
      <c r="AT116" s="38">
        <v>0</v>
      </c>
      <c r="AU116" s="39">
        <f>+IFERROR((FT_RF_26[[#This Row],[Calibre &lt;14]]/FT_RF_26[[#This Row],[Muestra]]),"0")</f>
        <v>0</v>
      </c>
      <c r="AV116" s="38">
        <v>0</v>
      </c>
      <c r="AW116" s="39">
        <f>+IFERROR((FT_RF_26[[#This Row],[Calibre &gt;14]]/FT_RF_26[[#This Row],[Muestra]]),"0")</f>
        <v>0</v>
      </c>
      <c r="AX116" s="38">
        <v>0</v>
      </c>
      <c r="AY116" s="39">
        <f>+IFERROR((FT_RF_26[[#This Row],[Calibre &lt;10]]/FT_RF_26[[#This Row],[Muestra]]),"0")</f>
        <v>0</v>
      </c>
      <c r="AZ116" s="38">
        <v>0</v>
      </c>
      <c r="BA116" s="39">
        <f>+IFERROR((FT_RF_26[[#This Row],[Calibre &gt;13]]/FT_RF_26[[#This Row],[Muestra]]),"0")</f>
        <v>0</v>
      </c>
      <c r="BB116" s="41"/>
      <c r="BG116" s="42"/>
      <c r="BH116" s="43">
        <v>0</v>
      </c>
      <c r="BI116" s="29" t="s">
        <v>894</v>
      </c>
      <c r="BJ116" s="29" t="s">
        <v>894</v>
      </c>
      <c r="BK11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1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16" s="45">
        <f>1-FT_RF_26[[#This Row],[% Defectos]]</f>
        <v>1</v>
      </c>
      <c r="BO116" s="60"/>
      <c r="BP116" s="12">
        <f>SUM(FT_RF_26[[#This Row],[Hoja (Un.)]:[Larvas Caja]])</f>
        <v>0</v>
      </c>
      <c r="BQ116" s="12">
        <f>SUM(FT_RF_26[[#This Row],[Vidrios]:[Plástico]])</f>
        <v>0</v>
      </c>
      <c r="BR116" s="12" t="str">
        <f>IF(ISBLANK(FT_RF_26[[#This Row],[Descripción del producto]]),"",FT_RF_26[[#This Row],[Descripción del producto]])</f>
        <v/>
      </c>
      <c r="BS116" s="29" t="str">
        <f>IF(ISBLANK(FT_RF_26[[#This Row],[N° de Lote]]),"",FT_RF_26[[#This Row],[N° de Lote]])</f>
        <v/>
      </c>
      <c r="BT116" s="29" t="str">
        <f>IF(ISBLANK(FT_RF_26[[#This Row],[N° de Pallet]]),"",FT_RF_26[[#This Row],[N° de Pallet]])</f>
        <v/>
      </c>
    </row>
    <row r="117" spans="2:72">
      <c r="B117" s="29">
        <f>+_xlfn.ISOWEEKNUM(FT_RF_26[[#This Row],[Fecha]])</f>
        <v>52</v>
      </c>
      <c r="E117" s="31"/>
      <c r="F117" s="12" t="str">
        <f>IFERROR(""&amp;_xlfn.XLOOKUP(FT_RF_26[[#This Row],[Código]],BD_Cod[SKU],BD_Cod[Descripción]),"")</f>
        <v/>
      </c>
      <c r="G117" s="32" t="str">
        <f>IFERROR(""&amp;_xlfn.XLOOKUP(FT_RF_26[[#This Row],[Código]],BD_Cod[SKU],BD_Cod[Familia Calidad]),"")</f>
        <v/>
      </c>
      <c r="J117" s="33">
        <v>1000</v>
      </c>
      <c r="L117" s="30" t="s">
        <v>244</v>
      </c>
      <c r="O117" s="30" t="s">
        <v>894</v>
      </c>
      <c r="P117" s="29" t="s">
        <v>894</v>
      </c>
      <c r="Q117" s="37">
        <f>1-FT_RF_26[[#This Row],[% Defectos]]</f>
        <v>1</v>
      </c>
      <c r="R117" s="38">
        <v>0</v>
      </c>
      <c r="S117" s="39">
        <f>+IFERROR((FT_RF_26[[#This Row],[Inmadura]]/FT_RF_26[[#This Row],[Muestra]]),"0")</f>
        <v>0</v>
      </c>
      <c r="T117" s="38">
        <v>0</v>
      </c>
      <c r="U117" s="39">
        <f>+IFERROR((FT_RF_26[[#This Row],[Partidas]]/FT_RF_26[[#This Row],[Muestra]]),"0")</f>
        <v>0</v>
      </c>
      <c r="V117" s="38">
        <v>0</v>
      </c>
      <c r="W117" s="39">
        <f>+IFERROR((FT_RF_26[[#This Row],[Daño Insecto]]/FT_RF_26[[#This Row],[Muestra]]),"0")</f>
        <v>0</v>
      </c>
      <c r="X117" s="38">
        <v>0</v>
      </c>
      <c r="Y117" s="39">
        <f>+IFERROR((FT_RF_26[[#This Row],[Sobremadura]]/FT_RF_26[[#This Row],[Muestra]]),"0")</f>
        <v>0</v>
      </c>
      <c r="Z117" s="38">
        <v>0</v>
      </c>
      <c r="AA117" s="39">
        <f>+IFERROR((FT_RF_26[[#This Row],[Deforme]]/FT_RF_26[[#This Row],[Muestra]]),"0")</f>
        <v>0</v>
      </c>
      <c r="AB117" s="27"/>
      <c r="AC117" s="38">
        <v>0</v>
      </c>
      <c r="AD117" s="39">
        <f>+IFERROR((FT_RF_26[[#This Row],[Valor Extra 1]]/FT_RF_26[[#This Row],[Muestra]]),"0")</f>
        <v>0</v>
      </c>
      <c r="AF117" s="38">
        <v>0</v>
      </c>
      <c r="AG117" s="39">
        <f>+IFERROR((FT_RF_26[[#This Row],[Valor Extra 2]]/FT_RF_26[[#This Row],[Muestra]]),"0")</f>
        <v>0</v>
      </c>
      <c r="AH117" s="40">
        <v>0</v>
      </c>
      <c r="AI117" s="39">
        <f>+IFERROR((FT_RF_26[[#This Row],[Hongos]]/FT_RF_26[[#This Row],[Muestra]]),"0")</f>
        <v>0</v>
      </c>
      <c r="AJ117" s="38">
        <v>0</v>
      </c>
      <c r="AK117" s="39">
        <f>+IFERROR((FT_RF_26[[#This Row],[Block]]/FT_RF_26[[#This Row],[Muestra]]),"0")</f>
        <v>0</v>
      </c>
      <c r="AL117" s="41">
        <v>0</v>
      </c>
      <c r="AM117" s="42">
        <v>0</v>
      </c>
      <c r="AN117" s="38">
        <v>0</v>
      </c>
      <c r="AO117" s="39">
        <f>+IFERROR((FT_RF_26[[#This Row],[Fuera de calibre &lt;12mm]]/FT_RF_26[[#This Row],[Muestra]]),"0")</f>
        <v>0</v>
      </c>
      <c r="AP117" s="38">
        <v>0</v>
      </c>
      <c r="AQ117" s="39">
        <f>+IFERROR((FT_RF_26[[#This Row],[Calibre &lt;25]]/FT_RF_26[[#This Row],[Muestra]]),"0")</f>
        <v>0</v>
      </c>
      <c r="AR117" s="38">
        <v>0</v>
      </c>
      <c r="AS117" s="39">
        <f>+IFERROR((FT_RF_26[[#This Row],[Calibre &gt;12]]/FT_RF_26[[#This Row],[Muestra]]),"0")</f>
        <v>0</v>
      </c>
      <c r="AT117" s="38">
        <v>0</v>
      </c>
      <c r="AU117" s="39">
        <f>+IFERROR((FT_RF_26[[#This Row],[Calibre &lt;14]]/FT_RF_26[[#This Row],[Muestra]]),"0")</f>
        <v>0</v>
      </c>
      <c r="AV117" s="38">
        <v>0</v>
      </c>
      <c r="AW117" s="39">
        <f>+IFERROR((FT_RF_26[[#This Row],[Calibre &gt;14]]/FT_RF_26[[#This Row],[Muestra]]),"0")</f>
        <v>0</v>
      </c>
      <c r="AX117" s="38">
        <v>0</v>
      </c>
      <c r="AY117" s="39">
        <f>+IFERROR((FT_RF_26[[#This Row],[Calibre &lt;10]]/FT_RF_26[[#This Row],[Muestra]]),"0")</f>
        <v>0</v>
      </c>
      <c r="AZ117" s="38">
        <v>0</v>
      </c>
      <c r="BA117" s="39">
        <f>+IFERROR((FT_RF_26[[#This Row],[Calibre &gt;13]]/FT_RF_26[[#This Row],[Muestra]]),"0")</f>
        <v>0</v>
      </c>
      <c r="BB117" s="41"/>
      <c r="BG117" s="42"/>
      <c r="BH117" s="43">
        <v>0</v>
      </c>
      <c r="BI117" s="29" t="s">
        <v>894</v>
      </c>
      <c r="BJ117" s="29" t="s">
        <v>894</v>
      </c>
      <c r="BK11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1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17" s="45">
        <f>1-FT_RF_26[[#This Row],[% Defectos]]</f>
        <v>1</v>
      </c>
      <c r="BO117" s="60"/>
      <c r="BP117" s="12">
        <f>SUM(FT_RF_26[[#This Row],[Hoja (Un.)]:[Larvas Caja]])</f>
        <v>0</v>
      </c>
      <c r="BQ117" s="12">
        <f>SUM(FT_RF_26[[#This Row],[Vidrios]:[Plástico]])</f>
        <v>0</v>
      </c>
      <c r="BR117" s="12" t="str">
        <f>IF(ISBLANK(FT_RF_26[[#This Row],[Descripción del producto]]),"",FT_RF_26[[#This Row],[Descripción del producto]])</f>
        <v/>
      </c>
      <c r="BS117" s="29" t="str">
        <f>IF(ISBLANK(FT_RF_26[[#This Row],[N° de Lote]]),"",FT_RF_26[[#This Row],[N° de Lote]])</f>
        <v/>
      </c>
      <c r="BT117" s="29" t="str">
        <f>IF(ISBLANK(FT_RF_26[[#This Row],[N° de Pallet]]),"",FT_RF_26[[#This Row],[N° de Pallet]])</f>
        <v/>
      </c>
    </row>
    <row r="118" spans="2:72">
      <c r="B118" s="29">
        <f>+_xlfn.ISOWEEKNUM(FT_RF_26[[#This Row],[Fecha]])</f>
        <v>52</v>
      </c>
      <c r="E118" s="31"/>
      <c r="F118" s="12" t="str">
        <f>IFERROR(""&amp;_xlfn.XLOOKUP(FT_RF_26[[#This Row],[Código]],BD_Cod[SKU],BD_Cod[Descripción]),"")</f>
        <v/>
      </c>
      <c r="G118" s="32" t="str">
        <f>IFERROR(""&amp;_xlfn.XLOOKUP(FT_RF_26[[#This Row],[Código]],BD_Cod[SKU],BD_Cod[Familia Calidad]),"")</f>
        <v/>
      </c>
      <c r="J118" s="33">
        <v>1000</v>
      </c>
      <c r="L118" s="30" t="s">
        <v>244</v>
      </c>
      <c r="O118" s="30" t="s">
        <v>894</v>
      </c>
      <c r="P118" s="29" t="s">
        <v>894</v>
      </c>
      <c r="Q118" s="37">
        <f>1-FT_RF_26[[#This Row],[% Defectos]]</f>
        <v>1</v>
      </c>
      <c r="R118" s="38">
        <v>0</v>
      </c>
      <c r="S118" s="39">
        <f>+IFERROR((FT_RF_26[[#This Row],[Inmadura]]/FT_RF_26[[#This Row],[Muestra]]),"0")</f>
        <v>0</v>
      </c>
      <c r="T118" s="38">
        <v>0</v>
      </c>
      <c r="U118" s="39">
        <f>+IFERROR((FT_RF_26[[#This Row],[Partidas]]/FT_RF_26[[#This Row],[Muestra]]),"0")</f>
        <v>0</v>
      </c>
      <c r="V118" s="38">
        <v>0</v>
      </c>
      <c r="W118" s="39">
        <f>+IFERROR((FT_RF_26[[#This Row],[Daño Insecto]]/FT_RF_26[[#This Row],[Muestra]]),"0")</f>
        <v>0</v>
      </c>
      <c r="X118" s="38">
        <v>0</v>
      </c>
      <c r="Y118" s="39">
        <f>+IFERROR((FT_RF_26[[#This Row],[Sobremadura]]/FT_RF_26[[#This Row],[Muestra]]),"0")</f>
        <v>0</v>
      </c>
      <c r="Z118" s="38">
        <v>0</v>
      </c>
      <c r="AA118" s="39">
        <f>+IFERROR((FT_RF_26[[#This Row],[Deforme]]/FT_RF_26[[#This Row],[Muestra]]),"0")</f>
        <v>0</v>
      </c>
      <c r="AB118" s="27"/>
      <c r="AC118" s="38">
        <v>0</v>
      </c>
      <c r="AD118" s="39">
        <f>+IFERROR((FT_RF_26[[#This Row],[Valor Extra 1]]/FT_RF_26[[#This Row],[Muestra]]),"0")</f>
        <v>0</v>
      </c>
      <c r="AF118" s="38">
        <v>0</v>
      </c>
      <c r="AG118" s="39">
        <f>+IFERROR((FT_RF_26[[#This Row],[Valor Extra 2]]/FT_RF_26[[#This Row],[Muestra]]),"0")</f>
        <v>0</v>
      </c>
      <c r="AH118" s="40">
        <v>0</v>
      </c>
      <c r="AI118" s="39">
        <f>+IFERROR((FT_RF_26[[#This Row],[Hongos]]/FT_RF_26[[#This Row],[Muestra]]),"0")</f>
        <v>0</v>
      </c>
      <c r="AJ118" s="38">
        <v>0</v>
      </c>
      <c r="AK118" s="39">
        <f>+IFERROR((FT_RF_26[[#This Row],[Block]]/FT_RF_26[[#This Row],[Muestra]]),"0")</f>
        <v>0</v>
      </c>
      <c r="AL118" s="41">
        <v>0</v>
      </c>
      <c r="AM118" s="42">
        <v>0</v>
      </c>
      <c r="AN118" s="38">
        <v>0</v>
      </c>
      <c r="AO118" s="39">
        <f>+IFERROR((FT_RF_26[[#This Row],[Fuera de calibre &lt;12mm]]/FT_RF_26[[#This Row],[Muestra]]),"0")</f>
        <v>0</v>
      </c>
      <c r="AP118" s="38">
        <v>0</v>
      </c>
      <c r="AQ118" s="39">
        <f>+IFERROR((FT_RF_26[[#This Row],[Calibre &lt;25]]/FT_RF_26[[#This Row],[Muestra]]),"0")</f>
        <v>0</v>
      </c>
      <c r="AR118" s="38">
        <v>0</v>
      </c>
      <c r="AS118" s="39">
        <f>+IFERROR((FT_RF_26[[#This Row],[Calibre &gt;12]]/FT_RF_26[[#This Row],[Muestra]]),"0")</f>
        <v>0</v>
      </c>
      <c r="AT118" s="38">
        <v>0</v>
      </c>
      <c r="AU118" s="39">
        <f>+IFERROR((FT_RF_26[[#This Row],[Calibre &lt;14]]/FT_RF_26[[#This Row],[Muestra]]),"0")</f>
        <v>0</v>
      </c>
      <c r="AV118" s="38">
        <v>0</v>
      </c>
      <c r="AW118" s="39">
        <f>+IFERROR((FT_RF_26[[#This Row],[Calibre &gt;14]]/FT_RF_26[[#This Row],[Muestra]]),"0")</f>
        <v>0</v>
      </c>
      <c r="AX118" s="38">
        <v>0</v>
      </c>
      <c r="AY118" s="39">
        <f>+IFERROR((FT_RF_26[[#This Row],[Calibre &lt;10]]/FT_RF_26[[#This Row],[Muestra]]),"0")</f>
        <v>0</v>
      </c>
      <c r="AZ118" s="38">
        <v>0</v>
      </c>
      <c r="BA118" s="39">
        <f>+IFERROR((FT_RF_26[[#This Row],[Calibre &gt;13]]/FT_RF_26[[#This Row],[Muestra]]),"0")</f>
        <v>0</v>
      </c>
      <c r="BB118" s="41"/>
      <c r="BG118" s="42"/>
      <c r="BH118" s="43">
        <v>0</v>
      </c>
      <c r="BI118" s="29" t="s">
        <v>894</v>
      </c>
      <c r="BJ118" s="29" t="s">
        <v>894</v>
      </c>
      <c r="BK11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1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18" s="45">
        <f>1-FT_RF_26[[#This Row],[% Defectos]]</f>
        <v>1</v>
      </c>
      <c r="BO118" s="60"/>
      <c r="BP118" s="12">
        <f>SUM(FT_RF_26[[#This Row],[Hoja (Un.)]:[Larvas Caja]])</f>
        <v>0</v>
      </c>
      <c r="BQ118" s="12">
        <f>SUM(FT_RF_26[[#This Row],[Vidrios]:[Plástico]])</f>
        <v>0</v>
      </c>
      <c r="BR118" s="12" t="str">
        <f>IF(ISBLANK(FT_RF_26[[#This Row],[Descripción del producto]]),"",FT_RF_26[[#This Row],[Descripción del producto]])</f>
        <v/>
      </c>
      <c r="BS118" s="29" t="str">
        <f>IF(ISBLANK(FT_RF_26[[#This Row],[N° de Lote]]),"",FT_RF_26[[#This Row],[N° de Lote]])</f>
        <v/>
      </c>
      <c r="BT118" s="29" t="str">
        <f>IF(ISBLANK(FT_RF_26[[#This Row],[N° de Pallet]]),"",FT_RF_26[[#This Row],[N° de Pallet]])</f>
        <v/>
      </c>
    </row>
    <row r="119" spans="2:72">
      <c r="B119" s="29">
        <f>+_xlfn.ISOWEEKNUM(FT_RF_26[[#This Row],[Fecha]])</f>
        <v>52</v>
      </c>
      <c r="E119" s="31"/>
      <c r="F119" s="12" t="str">
        <f>IFERROR(""&amp;_xlfn.XLOOKUP(FT_RF_26[[#This Row],[Código]],BD_Cod[SKU],BD_Cod[Descripción]),"")</f>
        <v/>
      </c>
      <c r="G119" s="32" t="str">
        <f>IFERROR(""&amp;_xlfn.XLOOKUP(FT_RF_26[[#This Row],[Código]],BD_Cod[SKU],BD_Cod[Familia Calidad]),"")</f>
        <v/>
      </c>
      <c r="J119" s="33">
        <v>1000</v>
      </c>
      <c r="L119" s="30" t="s">
        <v>244</v>
      </c>
      <c r="O119" s="30" t="s">
        <v>894</v>
      </c>
      <c r="P119" s="29" t="s">
        <v>894</v>
      </c>
      <c r="Q119" s="37">
        <f>1-FT_RF_26[[#This Row],[% Defectos]]</f>
        <v>1</v>
      </c>
      <c r="R119" s="38">
        <v>0</v>
      </c>
      <c r="S119" s="39">
        <f>+IFERROR((FT_RF_26[[#This Row],[Inmadura]]/FT_RF_26[[#This Row],[Muestra]]),"0")</f>
        <v>0</v>
      </c>
      <c r="T119" s="38">
        <v>0</v>
      </c>
      <c r="U119" s="39">
        <f>+IFERROR((FT_RF_26[[#This Row],[Partidas]]/FT_RF_26[[#This Row],[Muestra]]),"0")</f>
        <v>0</v>
      </c>
      <c r="V119" s="38">
        <v>0</v>
      </c>
      <c r="W119" s="39">
        <f>+IFERROR((FT_RF_26[[#This Row],[Daño Insecto]]/FT_RF_26[[#This Row],[Muestra]]),"0")</f>
        <v>0</v>
      </c>
      <c r="X119" s="38">
        <v>0</v>
      </c>
      <c r="Y119" s="39">
        <f>+IFERROR((FT_RF_26[[#This Row],[Sobremadura]]/FT_RF_26[[#This Row],[Muestra]]),"0")</f>
        <v>0</v>
      </c>
      <c r="Z119" s="38">
        <v>0</v>
      </c>
      <c r="AA119" s="39">
        <f>+IFERROR((FT_RF_26[[#This Row],[Deforme]]/FT_RF_26[[#This Row],[Muestra]]),"0")</f>
        <v>0</v>
      </c>
      <c r="AB119" s="27"/>
      <c r="AC119" s="38">
        <v>0</v>
      </c>
      <c r="AD119" s="39">
        <f>+IFERROR((FT_RF_26[[#This Row],[Valor Extra 1]]/FT_RF_26[[#This Row],[Muestra]]),"0")</f>
        <v>0</v>
      </c>
      <c r="AF119" s="38">
        <v>0</v>
      </c>
      <c r="AG119" s="39">
        <f>+IFERROR((FT_RF_26[[#This Row],[Valor Extra 2]]/FT_RF_26[[#This Row],[Muestra]]),"0")</f>
        <v>0</v>
      </c>
      <c r="AH119" s="40">
        <v>0</v>
      </c>
      <c r="AI119" s="39">
        <f>+IFERROR((FT_RF_26[[#This Row],[Hongos]]/FT_RF_26[[#This Row],[Muestra]]),"0")</f>
        <v>0</v>
      </c>
      <c r="AJ119" s="38">
        <v>0</v>
      </c>
      <c r="AK119" s="39">
        <f>+IFERROR((FT_RF_26[[#This Row],[Block]]/FT_RF_26[[#This Row],[Muestra]]),"0")</f>
        <v>0</v>
      </c>
      <c r="AL119" s="41">
        <v>0</v>
      </c>
      <c r="AM119" s="42">
        <v>0</v>
      </c>
      <c r="AN119" s="38">
        <v>0</v>
      </c>
      <c r="AO119" s="39">
        <f>+IFERROR((FT_RF_26[[#This Row],[Fuera de calibre &lt;12mm]]/FT_RF_26[[#This Row],[Muestra]]),"0")</f>
        <v>0</v>
      </c>
      <c r="AP119" s="38">
        <v>0</v>
      </c>
      <c r="AQ119" s="39">
        <f>+IFERROR((FT_RF_26[[#This Row],[Calibre &lt;25]]/FT_RF_26[[#This Row],[Muestra]]),"0")</f>
        <v>0</v>
      </c>
      <c r="AR119" s="38">
        <v>0</v>
      </c>
      <c r="AS119" s="39">
        <f>+IFERROR((FT_RF_26[[#This Row],[Calibre &gt;12]]/FT_RF_26[[#This Row],[Muestra]]),"0")</f>
        <v>0</v>
      </c>
      <c r="AT119" s="38">
        <v>0</v>
      </c>
      <c r="AU119" s="39">
        <f>+IFERROR((FT_RF_26[[#This Row],[Calibre &lt;14]]/FT_RF_26[[#This Row],[Muestra]]),"0")</f>
        <v>0</v>
      </c>
      <c r="AV119" s="38">
        <v>0</v>
      </c>
      <c r="AW119" s="39">
        <f>+IFERROR((FT_RF_26[[#This Row],[Calibre &gt;14]]/FT_RF_26[[#This Row],[Muestra]]),"0")</f>
        <v>0</v>
      </c>
      <c r="AX119" s="38">
        <v>0</v>
      </c>
      <c r="AY119" s="39">
        <f>+IFERROR((FT_RF_26[[#This Row],[Calibre &lt;10]]/FT_RF_26[[#This Row],[Muestra]]),"0")</f>
        <v>0</v>
      </c>
      <c r="AZ119" s="38">
        <v>0</v>
      </c>
      <c r="BA119" s="39">
        <f>+IFERROR((FT_RF_26[[#This Row],[Calibre &gt;13]]/FT_RF_26[[#This Row],[Muestra]]),"0")</f>
        <v>0</v>
      </c>
      <c r="BB119" s="41"/>
      <c r="BG119" s="42"/>
      <c r="BH119" s="43">
        <v>0</v>
      </c>
      <c r="BI119" s="29" t="s">
        <v>894</v>
      </c>
      <c r="BJ119" s="29" t="s">
        <v>894</v>
      </c>
      <c r="BK11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1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19" s="45">
        <f>1-FT_RF_26[[#This Row],[% Defectos]]</f>
        <v>1</v>
      </c>
      <c r="BO119" s="60"/>
      <c r="BP119" s="12">
        <f>SUM(FT_RF_26[[#This Row],[Hoja (Un.)]:[Larvas Caja]])</f>
        <v>0</v>
      </c>
      <c r="BQ119" s="12">
        <f>SUM(FT_RF_26[[#This Row],[Vidrios]:[Plástico]])</f>
        <v>0</v>
      </c>
      <c r="BR119" s="12" t="str">
        <f>IF(ISBLANK(FT_RF_26[[#This Row],[Descripción del producto]]),"",FT_RF_26[[#This Row],[Descripción del producto]])</f>
        <v/>
      </c>
      <c r="BS119" s="29" t="str">
        <f>IF(ISBLANK(FT_RF_26[[#This Row],[N° de Lote]]),"",FT_RF_26[[#This Row],[N° de Lote]])</f>
        <v/>
      </c>
      <c r="BT119" s="29" t="str">
        <f>IF(ISBLANK(FT_RF_26[[#This Row],[N° de Pallet]]),"",FT_RF_26[[#This Row],[N° de Pallet]])</f>
        <v/>
      </c>
    </row>
    <row r="120" spans="2:72">
      <c r="B120" s="29">
        <f>+_xlfn.ISOWEEKNUM(FT_RF_26[[#This Row],[Fecha]])</f>
        <v>52</v>
      </c>
      <c r="E120" s="31"/>
      <c r="F120" s="12" t="str">
        <f>IFERROR(""&amp;_xlfn.XLOOKUP(FT_RF_26[[#This Row],[Código]],BD_Cod[SKU],BD_Cod[Descripción]),"")</f>
        <v/>
      </c>
      <c r="G120" s="32" t="str">
        <f>IFERROR(""&amp;_xlfn.XLOOKUP(FT_RF_26[[#This Row],[Código]],BD_Cod[SKU],BD_Cod[Familia Calidad]),"")</f>
        <v/>
      </c>
      <c r="J120" s="33">
        <v>1000</v>
      </c>
      <c r="L120" s="30" t="s">
        <v>244</v>
      </c>
      <c r="O120" s="30" t="s">
        <v>894</v>
      </c>
      <c r="P120" s="29" t="s">
        <v>894</v>
      </c>
      <c r="Q120" s="37">
        <f>1-FT_RF_26[[#This Row],[% Defectos]]</f>
        <v>1</v>
      </c>
      <c r="R120" s="38">
        <v>0</v>
      </c>
      <c r="S120" s="39">
        <f>+IFERROR((FT_RF_26[[#This Row],[Inmadura]]/FT_RF_26[[#This Row],[Muestra]]),"0")</f>
        <v>0</v>
      </c>
      <c r="T120" s="38">
        <v>0</v>
      </c>
      <c r="U120" s="39">
        <f>+IFERROR((FT_RF_26[[#This Row],[Partidas]]/FT_RF_26[[#This Row],[Muestra]]),"0")</f>
        <v>0</v>
      </c>
      <c r="V120" s="38">
        <v>0</v>
      </c>
      <c r="W120" s="39">
        <f>+IFERROR((FT_RF_26[[#This Row],[Daño Insecto]]/FT_RF_26[[#This Row],[Muestra]]),"0")</f>
        <v>0</v>
      </c>
      <c r="X120" s="38">
        <v>0</v>
      </c>
      <c r="Y120" s="39">
        <f>+IFERROR((FT_RF_26[[#This Row],[Sobremadura]]/FT_RF_26[[#This Row],[Muestra]]),"0")</f>
        <v>0</v>
      </c>
      <c r="Z120" s="38">
        <v>0</v>
      </c>
      <c r="AA120" s="39">
        <f>+IFERROR((FT_RF_26[[#This Row],[Deforme]]/FT_RF_26[[#This Row],[Muestra]]),"0")</f>
        <v>0</v>
      </c>
      <c r="AB120" s="27"/>
      <c r="AC120" s="38">
        <v>0</v>
      </c>
      <c r="AD120" s="39">
        <f>+IFERROR((FT_RF_26[[#This Row],[Valor Extra 1]]/FT_RF_26[[#This Row],[Muestra]]),"0")</f>
        <v>0</v>
      </c>
      <c r="AF120" s="38">
        <v>0</v>
      </c>
      <c r="AG120" s="39">
        <f>+IFERROR((FT_RF_26[[#This Row],[Valor Extra 2]]/FT_RF_26[[#This Row],[Muestra]]),"0")</f>
        <v>0</v>
      </c>
      <c r="AH120" s="40">
        <v>0</v>
      </c>
      <c r="AI120" s="39">
        <f>+IFERROR((FT_RF_26[[#This Row],[Hongos]]/FT_RF_26[[#This Row],[Muestra]]),"0")</f>
        <v>0</v>
      </c>
      <c r="AJ120" s="38">
        <v>0</v>
      </c>
      <c r="AK120" s="39">
        <f>+IFERROR((FT_RF_26[[#This Row],[Block]]/FT_RF_26[[#This Row],[Muestra]]),"0")</f>
        <v>0</v>
      </c>
      <c r="AL120" s="41">
        <v>0</v>
      </c>
      <c r="AM120" s="42">
        <v>0</v>
      </c>
      <c r="AN120" s="38">
        <v>0</v>
      </c>
      <c r="AO120" s="39">
        <f>+IFERROR((FT_RF_26[[#This Row],[Fuera de calibre &lt;12mm]]/FT_RF_26[[#This Row],[Muestra]]),"0")</f>
        <v>0</v>
      </c>
      <c r="AP120" s="38">
        <v>0</v>
      </c>
      <c r="AQ120" s="39">
        <f>+IFERROR((FT_RF_26[[#This Row],[Calibre &lt;25]]/FT_RF_26[[#This Row],[Muestra]]),"0")</f>
        <v>0</v>
      </c>
      <c r="AR120" s="38">
        <v>0</v>
      </c>
      <c r="AS120" s="39">
        <f>+IFERROR((FT_RF_26[[#This Row],[Calibre &gt;12]]/FT_RF_26[[#This Row],[Muestra]]),"0")</f>
        <v>0</v>
      </c>
      <c r="AT120" s="38">
        <v>0</v>
      </c>
      <c r="AU120" s="39">
        <f>+IFERROR((FT_RF_26[[#This Row],[Calibre &lt;14]]/FT_RF_26[[#This Row],[Muestra]]),"0")</f>
        <v>0</v>
      </c>
      <c r="AV120" s="38">
        <v>0</v>
      </c>
      <c r="AW120" s="39">
        <f>+IFERROR((FT_RF_26[[#This Row],[Calibre &gt;14]]/FT_RF_26[[#This Row],[Muestra]]),"0")</f>
        <v>0</v>
      </c>
      <c r="AX120" s="38">
        <v>0</v>
      </c>
      <c r="AY120" s="39">
        <f>+IFERROR((FT_RF_26[[#This Row],[Calibre &lt;10]]/FT_RF_26[[#This Row],[Muestra]]),"0")</f>
        <v>0</v>
      </c>
      <c r="AZ120" s="38">
        <v>0</v>
      </c>
      <c r="BA120" s="39">
        <f>+IFERROR((FT_RF_26[[#This Row],[Calibre &gt;13]]/FT_RF_26[[#This Row],[Muestra]]),"0")</f>
        <v>0</v>
      </c>
      <c r="BB120" s="41"/>
      <c r="BG120" s="42"/>
      <c r="BH120" s="43">
        <v>0</v>
      </c>
      <c r="BI120" s="29" t="s">
        <v>894</v>
      </c>
      <c r="BJ120" s="29" t="s">
        <v>894</v>
      </c>
      <c r="BK12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2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20" s="45">
        <f>1-FT_RF_26[[#This Row],[% Defectos]]</f>
        <v>1</v>
      </c>
      <c r="BO120" s="60"/>
      <c r="BP120" s="12">
        <f>SUM(FT_RF_26[[#This Row],[Hoja (Un.)]:[Larvas Caja]])</f>
        <v>0</v>
      </c>
      <c r="BQ120" s="12">
        <f>SUM(FT_RF_26[[#This Row],[Vidrios]:[Plástico]])</f>
        <v>0</v>
      </c>
      <c r="BR120" s="12" t="str">
        <f>IF(ISBLANK(FT_RF_26[[#This Row],[Descripción del producto]]),"",FT_RF_26[[#This Row],[Descripción del producto]])</f>
        <v/>
      </c>
      <c r="BS120" s="29" t="str">
        <f>IF(ISBLANK(FT_RF_26[[#This Row],[N° de Lote]]),"",FT_RF_26[[#This Row],[N° de Lote]])</f>
        <v/>
      </c>
      <c r="BT120" s="29" t="str">
        <f>IF(ISBLANK(FT_RF_26[[#This Row],[N° de Pallet]]),"",FT_RF_26[[#This Row],[N° de Pallet]])</f>
        <v/>
      </c>
    </row>
    <row r="121" spans="2:72">
      <c r="B121" s="29">
        <f>+_xlfn.ISOWEEKNUM(FT_RF_26[[#This Row],[Fecha]])</f>
        <v>52</v>
      </c>
      <c r="E121" s="31"/>
      <c r="F121" s="12" t="str">
        <f>IFERROR(""&amp;_xlfn.XLOOKUP(FT_RF_26[[#This Row],[Código]],BD_Cod[SKU],BD_Cod[Descripción]),"")</f>
        <v/>
      </c>
      <c r="G121" s="32" t="str">
        <f>IFERROR(""&amp;_xlfn.XLOOKUP(FT_RF_26[[#This Row],[Código]],BD_Cod[SKU],BD_Cod[Familia Calidad]),"")</f>
        <v/>
      </c>
      <c r="J121" s="33">
        <v>1000</v>
      </c>
      <c r="L121" s="30" t="s">
        <v>244</v>
      </c>
      <c r="O121" s="30" t="s">
        <v>894</v>
      </c>
      <c r="P121" s="29" t="s">
        <v>894</v>
      </c>
      <c r="Q121" s="37">
        <f>1-FT_RF_26[[#This Row],[% Defectos]]</f>
        <v>1</v>
      </c>
      <c r="R121" s="38">
        <v>0</v>
      </c>
      <c r="S121" s="39">
        <f>+IFERROR((FT_RF_26[[#This Row],[Inmadura]]/FT_RF_26[[#This Row],[Muestra]]),"0")</f>
        <v>0</v>
      </c>
      <c r="T121" s="38">
        <v>0</v>
      </c>
      <c r="U121" s="39">
        <f>+IFERROR((FT_RF_26[[#This Row],[Partidas]]/FT_RF_26[[#This Row],[Muestra]]),"0")</f>
        <v>0</v>
      </c>
      <c r="V121" s="38">
        <v>0</v>
      </c>
      <c r="W121" s="39">
        <f>+IFERROR((FT_RF_26[[#This Row],[Daño Insecto]]/FT_RF_26[[#This Row],[Muestra]]),"0")</f>
        <v>0</v>
      </c>
      <c r="X121" s="38">
        <v>0</v>
      </c>
      <c r="Y121" s="39">
        <f>+IFERROR((FT_RF_26[[#This Row],[Sobremadura]]/FT_RF_26[[#This Row],[Muestra]]),"0")</f>
        <v>0</v>
      </c>
      <c r="Z121" s="38">
        <v>0</v>
      </c>
      <c r="AA121" s="39">
        <f>+IFERROR((FT_RF_26[[#This Row],[Deforme]]/FT_RF_26[[#This Row],[Muestra]]),"0")</f>
        <v>0</v>
      </c>
      <c r="AB121" s="27"/>
      <c r="AC121" s="38">
        <v>0</v>
      </c>
      <c r="AD121" s="39">
        <f>+IFERROR((FT_RF_26[[#This Row],[Valor Extra 1]]/FT_RF_26[[#This Row],[Muestra]]),"0")</f>
        <v>0</v>
      </c>
      <c r="AF121" s="38">
        <v>0</v>
      </c>
      <c r="AG121" s="39">
        <f>+IFERROR((FT_RF_26[[#This Row],[Valor Extra 2]]/FT_RF_26[[#This Row],[Muestra]]),"0")</f>
        <v>0</v>
      </c>
      <c r="AH121" s="40">
        <v>0</v>
      </c>
      <c r="AI121" s="39">
        <f>+IFERROR((FT_RF_26[[#This Row],[Hongos]]/FT_RF_26[[#This Row],[Muestra]]),"0")</f>
        <v>0</v>
      </c>
      <c r="AJ121" s="38">
        <v>0</v>
      </c>
      <c r="AK121" s="39">
        <f>+IFERROR((FT_RF_26[[#This Row],[Block]]/FT_RF_26[[#This Row],[Muestra]]),"0")</f>
        <v>0</v>
      </c>
      <c r="AL121" s="41">
        <v>0</v>
      </c>
      <c r="AM121" s="42">
        <v>0</v>
      </c>
      <c r="AN121" s="38">
        <v>0</v>
      </c>
      <c r="AO121" s="39">
        <f>+IFERROR((FT_RF_26[[#This Row],[Fuera de calibre &lt;12mm]]/FT_RF_26[[#This Row],[Muestra]]),"0")</f>
        <v>0</v>
      </c>
      <c r="AP121" s="38">
        <v>0</v>
      </c>
      <c r="AQ121" s="39">
        <f>+IFERROR((FT_RF_26[[#This Row],[Calibre &lt;25]]/FT_RF_26[[#This Row],[Muestra]]),"0")</f>
        <v>0</v>
      </c>
      <c r="AR121" s="38">
        <v>0</v>
      </c>
      <c r="AS121" s="39">
        <f>+IFERROR((FT_RF_26[[#This Row],[Calibre &gt;12]]/FT_RF_26[[#This Row],[Muestra]]),"0")</f>
        <v>0</v>
      </c>
      <c r="AT121" s="38">
        <v>0</v>
      </c>
      <c r="AU121" s="39">
        <f>+IFERROR((FT_RF_26[[#This Row],[Calibre &lt;14]]/FT_RF_26[[#This Row],[Muestra]]),"0")</f>
        <v>0</v>
      </c>
      <c r="AV121" s="38">
        <v>0</v>
      </c>
      <c r="AW121" s="39">
        <f>+IFERROR((FT_RF_26[[#This Row],[Calibre &gt;14]]/FT_RF_26[[#This Row],[Muestra]]),"0")</f>
        <v>0</v>
      </c>
      <c r="AX121" s="38">
        <v>0</v>
      </c>
      <c r="AY121" s="39">
        <f>+IFERROR((FT_RF_26[[#This Row],[Calibre &lt;10]]/FT_RF_26[[#This Row],[Muestra]]),"0")</f>
        <v>0</v>
      </c>
      <c r="AZ121" s="38">
        <v>0</v>
      </c>
      <c r="BA121" s="39">
        <f>+IFERROR((FT_RF_26[[#This Row],[Calibre &gt;13]]/FT_RF_26[[#This Row],[Muestra]]),"0")</f>
        <v>0</v>
      </c>
      <c r="BB121" s="41"/>
      <c r="BG121" s="42"/>
      <c r="BH121" s="43">
        <v>0</v>
      </c>
      <c r="BI121" s="29" t="s">
        <v>894</v>
      </c>
      <c r="BJ121" s="29" t="s">
        <v>894</v>
      </c>
      <c r="BK12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2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21" s="45">
        <f>1-FT_RF_26[[#This Row],[% Defectos]]</f>
        <v>1</v>
      </c>
      <c r="BO121" s="60"/>
      <c r="BP121" s="12">
        <f>SUM(FT_RF_26[[#This Row],[Hoja (Un.)]:[Larvas Caja]])</f>
        <v>0</v>
      </c>
      <c r="BQ121" s="12">
        <f>SUM(FT_RF_26[[#This Row],[Vidrios]:[Plástico]])</f>
        <v>0</v>
      </c>
      <c r="BR121" s="12" t="str">
        <f>IF(ISBLANK(FT_RF_26[[#This Row],[Descripción del producto]]),"",FT_RF_26[[#This Row],[Descripción del producto]])</f>
        <v/>
      </c>
      <c r="BS121" s="29" t="str">
        <f>IF(ISBLANK(FT_RF_26[[#This Row],[N° de Lote]]),"",FT_RF_26[[#This Row],[N° de Lote]])</f>
        <v/>
      </c>
      <c r="BT121" s="29" t="str">
        <f>IF(ISBLANK(FT_RF_26[[#This Row],[N° de Pallet]]),"",FT_RF_26[[#This Row],[N° de Pallet]])</f>
        <v/>
      </c>
    </row>
    <row r="122" spans="2:72">
      <c r="B122" s="29">
        <f>+_xlfn.ISOWEEKNUM(FT_RF_26[[#This Row],[Fecha]])</f>
        <v>52</v>
      </c>
      <c r="E122" s="31"/>
      <c r="F122" s="12" t="str">
        <f>IFERROR(""&amp;_xlfn.XLOOKUP(FT_RF_26[[#This Row],[Código]],BD_Cod[SKU],BD_Cod[Descripción]),"")</f>
        <v/>
      </c>
      <c r="G122" s="32" t="str">
        <f>IFERROR(""&amp;_xlfn.XLOOKUP(FT_RF_26[[#This Row],[Código]],BD_Cod[SKU],BD_Cod[Familia Calidad]),"")</f>
        <v/>
      </c>
      <c r="J122" s="33">
        <v>1000</v>
      </c>
      <c r="L122" s="30" t="s">
        <v>244</v>
      </c>
      <c r="O122" s="30" t="s">
        <v>894</v>
      </c>
      <c r="P122" s="29" t="s">
        <v>894</v>
      </c>
      <c r="Q122" s="37">
        <f>1-FT_RF_26[[#This Row],[% Defectos]]</f>
        <v>1</v>
      </c>
      <c r="R122" s="38">
        <v>0</v>
      </c>
      <c r="S122" s="39">
        <f>+IFERROR((FT_RF_26[[#This Row],[Inmadura]]/FT_RF_26[[#This Row],[Muestra]]),"0")</f>
        <v>0</v>
      </c>
      <c r="T122" s="38">
        <v>0</v>
      </c>
      <c r="U122" s="39">
        <f>+IFERROR((FT_RF_26[[#This Row],[Partidas]]/FT_RF_26[[#This Row],[Muestra]]),"0")</f>
        <v>0</v>
      </c>
      <c r="V122" s="38">
        <v>0</v>
      </c>
      <c r="W122" s="39">
        <f>+IFERROR((FT_RF_26[[#This Row],[Daño Insecto]]/FT_RF_26[[#This Row],[Muestra]]),"0")</f>
        <v>0</v>
      </c>
      <c r="X122" s="38">
        <v>0</v>
      </c>
      <c r="Y122" s="39">
        <f>+IFERROR((FT_RF_26[[#This Row],[Sobremadura]]/FT_RF_26[[#This Row],[Muestra]]),"0")</f>
        <v>0</v>
      </c>
      <c r="Z122" s="38">
        <v>0</v>
      </c>
      <c r="AA122" s="39">
        <f>+IFERROR((FT_RF_26[[#This Row],[Deforme]]/FT_RF_26[[#This Row],[Muestra]]),"0")</f>
        <v>0</v>
      </c>
      <c r="AB122" s="27"/>
      <c r="AC122" s="38">
        <v>0</v>
      </c>
      <c r="AD122" s="39">
        <f>+IFERROR((FT_RF_26[[#This Row],[Valor Extra 1]]/FT_RF_26[[#This Row],[Muestra]]),"0")</f>
        <v>0</v>
      </c>
      <c r="AF122" s="38">
        <v>0</v>
      </c>
      <c r="AG122" s="39">
        <f>+IFERROR((FT_RF_26[[#This Row],[Valor Extra 2]]/FT_RF_26[[#This Row],[Muestra]]),"0")</f>
        <v>0</v>
      </c>
      <c r="AH122" s="40">
        <v>0</v>
      </c>
      <c r="AI122" s="39">
        <f>+IFERROR((FT_RF_26[[#This Row],[Hongos]]/FT_RF_26[[#This Row],[Muestra]]),"0")</f>
        <v>0</v>
      </c>
      <c r="AJ122" s="38">
        <v>0</v>
      </c>
      <c r="AK122" s="39">
        <f>+IFERROR((FT_RF_26[[#This Row],[Block]]/FT_RF_26[[#This Row],[Muestra]]),"0")</f>
        <v>0</v>
      </c>
      <c r="AL122" s="41">
        <v>0</v>
      </c>
      <c r="AM122" s="42">
        <v>0</v>
      </c>
      <c r="AN122" s="38">
        <v>0</v>
      </c>
      <c r="AO122" s="39">
        <f>+IFERROR((FT_RF_26[[#This Row],[Fuera de calibre &lt;12mm]]/FT_RF_26[[#This Row],[Muestra]]),"0")</f>
        <v>0</v>
      </c>
      <c r="AP122" s="38">
        <v>0</v>
      </c>
      <c r="AQ122" s="39">
        <f>+IFERROR((FT_RF_26[[#This Row],[Calibre &lt;25]]/FT_RF_26[[#This Row],[Muestra]]),"0")</f>
        <v>0</v>
      </c>
      <c r="AR122" s="38">
        <v>0</v>
      </c>
      <c r="AS122" s="39">
        <f>+IFERROR((FT_RF_26[[#This Row],[Calibre &gt;12]]/FT_RF_26[[#This Row],[Muestra]]),"0")</f>
        <v>0</v>
      </c>
      <c r="AT122" s="38">
        <v>0</v>
      </c>
      <c r="AU122" s="39">
        <f>+IFERROR((FT_RF_26[[#This Row],[Calibre &lt;14]]/FT_RF_26[[#This Row],[Muestra]]),"0")</f>
        <v>0</v>
      </c>
      <c r="AV122" s="38">
        <v>0</v>
      </c>
      <c r="AW122" s="39">
        <f>+IFERROR((FT_RF_26[[#This Row],[Calibre &gt;14]]/FT_RF_26[[#This Row],[Muestra]]),"0")</f>
        <v>0</v>
      </c>
      <c r="AX122" s="38">
        <v>0</v>
      </c>
      <c r="AY122" s="39">
        <f>+IFERROR((FT_RF_26[[#This Row],[Calibre &lt;10]]/FT_RF_26[[#This Row],[Muestra]]),"0")</f>
        <v>0</v>
      </c>
      <c r="AZ122" s="38">
        <v>0</v>
      </c>
      <c r="BA122" s="39">
        <f>+IFERROR((FT_RF_26[[#This Row],[Calibre &gt;13]]/FT_RF_26[[#This Row],[Muestra]]),"0")</f>
        <v>0</v>
      </c>
      <c r="BB122" s="41"/>
      <c r="BG122" s="42"/>
      <c r="BH122" s="43">
        <v>0</v>
      </c>
      <c r="BI122" s="29" t="s">
        <v>894</v>
      </c>
      <c r="BJ122" s="29" t="s">
        <v>894</v>
      </c>
      <c r="BK12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2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22" s="45">
        <f>1-FT_RF_26[[#This Row],[% Defectos]]</f>
        <v>1</v>
      </c>
      <c r="BO122" s="60"/>
      <c r="BP122" s="12">
        <f>SUM(FT_RF_26[[#This Row],[Hoja (Un.)]:[Larvas Caja]])</f>
        <v>0</v>
      </c>
      <c r="BQ122" s="12">
        <f>SUM(FT_RF_26[[#This Row],[Vidrios]:[Plástico]])</f>
        <v>0</v>
      </c>
      <c r="BR122" s="12" t="str">
        <f>IF(ISBLANK(FT_RF_26[[#This Row],[Descripción del producto]]),"",FT_RF_26[[#This Row],[Descripción del producto]])</f>
        <v/>
      </c>
      <c r="BS122" s="29" t="str">
        <f>IF(ISBLANK(FT_RF_26[[#This Row],[N° de Lote]]),"",FT_RF_26[[#This Row],[N° de Lote]])</f>
        <v/>
      </c>
      <c r="BT122" s="29" t="str">
        <f>IF(ISBLANK(FT_RF_26[[#This Row],[N° de Pallet]]),"",FT_RF_26[[#This Row],[N° de Pallet]])</f>
        <v/>
      </c>
    </row>
    <row r="123" spans="2:72">
      <c r="B123" s="29">
        <f>+_xlfn.ISOWEEKNUM(FT_RF_26[[#This Row],[Fecha]])</f>
        <v>52</v>
      </c>
      <c r="E123" s="31"/>
      <c r="F123" s="12" t="str">
        <f>IFERROR(""&amp;_xlfn.XLOOKUP(FT_RF_26[[#This Row],[Código]],BD_Cod[SKU],BD_Cod[Descripción]),"")</f>
        <v/>
      </c>
      <c r="G123" s="32" t="str">
        <f>IFERROR(""&amp;_xlfn.XLOOKUP(FT_RF_26[[#This Row],[Código]],BD_Cod[SKU],BD_Cod[Familia Calidad]),"")</f>
        <v/>
      </c>
      <c r="J123" s="33">
        <v>1000</v>
      </c>
      <c r="L123" s="30" t="s">
        <v>244</v>
      </c>
      <c r="O123" s="30" t="s">
        <v>894</v>
      </c>
      <c r="P123" s="29" t="s">
        <v>894</v>
      </c>
      <c r="Q123" s="37">
        <f>1-FT_RF_26[[#This Row],[% Defectos]]</f>
        <v>1</v>
      </c>
      <c r="R123" s="38">
        <v>0</v>
      </c>
      <c r="S123" s="39">
        <f>+IFERROR((FT_RF_26[[#This Row],[Inmadura]]/FT_RF_26[[#This Row],[Muestra]]),"0")</f>
        <v>0</v>
      </c>
      <c r="T123" s="38">
        <v>0</v>
      </c>
      <c r="U123" s="39">
        <f>+IFERROR((FT_RF_26[[#This Row],[Partidas]]/FT_RF_26[[#This Row],[Muestra]]),"0")</f>
        <v>0</v>
      </c>
      <c r="V123" s="38">
        <v>0</v>
      </c>
      <c r="W123" s="39">
        <f>+IFERROR((FT_RF_26[[#This Row],[Daño Insecto]]/FT_RF_26[[#This Row],[Muestra]]),"0")</f>
        <v>0</v>
      </c>
      <c r="X123" s="38">
        <v>0</v>
      </c>
      <c r="Y123" s="39">
        <f>+IFERROR((FT_RF_26[[#This Row],[Sobremadura]]/FT_RF_26[[#This Row],[Muestra]]),"0")</f>
        <v>0</v>
      </c>
      <c r="Z123" s="38">
        <v>0</v>
      </c>
      <c r="AA123" s="39">
        <f>+IFERROR((FT_RF_26[[#This Row],[Deforme]]/FT_RF_26[[#This Row],[Muestra]]),"0")</f>
        <v>0</v>
      </c>
      <c r="AB123" s="27"/>
      <c r="AC123" s="38">
        <v>0</v>
      </c>
      <c r="AD123" s="39">
        <f>+IFERROR((FT_RF_26[[#This Row],[Valor Extra 1]]/FT_RF_26[[#This Row],[Muestra]]),"0")</f>
        <v>0</v>
      </c>
      <c r="AF123" s="38">
        <v>0</v>
      </c>
      <c r="AG123" s="39">
        <f>+IFERROR((FT_RF_26[[#This Row],[Valor Extra 2]]/FT_RF_26[[#This Row],[Muestra]]),"0")</f>
        <v>0</v>
      </c>
      <c r="AH123" s="40">
        <v>0</v>
      </c>
      <c r="AI123" s="39">
        <f>+IFERROR((FT_RF_26[[#This Row],[Hongos]]/FT_RF_26[[#This Row],[Muestra]]),"0")</f>
        <v>0</v>
      </c>
      <c r="AJ123" s="38">
        <v>0</v>
      </c>
      <c r="AK123" s="39">
        <f>+IFERROR((FT_RF_26[[#This Row],[Block]]/FT_RF_26[[#This Row],[Muestra]]),"0")</f>
        <v>0</v>
      </c>
      <c r="AL123" s="41">
        <v>0</v>
      </c>
      <c r="AM123" s="42">
        <v>0</v>
      </c>
      <c r="AN123" s="38">
        <v>0</v>
      </c>
      <c r="AO123" s="39">
        <f>+IFERROR((FT_RF_26[[#This Row],[Fuera de calibre &lt;12mm]]/FT_RF_26[[#This Row],[Muestra]]),"0")</f>
        <v>0</v>
      </c>
      <c r="AP123" s="38">
        <v>0</v>
      </c>
      <c r="AQ123" s="39">
        <f>+IFERROR((FT_RF_26[[#This Row],[Calibre &lt;25]]/FT_RF_26[[#This Row],[Muestra]]),"0")</f>
        <v>0</v>
      </c>
      <c r="AR123" s="38">
        <v>0</v>
      </c>
      <c r="AS123" s="39">
        <f>+IFERROR((FT_RF_26[[#This Row],[Calibre &gt;12]]/FT_RF_26[[#This Row],[Muestra]]),"0")</f>
        <v>0</v>
      </c>
      <c r="AT123" s="38">
        <v>0</v>
      </c>
      <c r="AU123" s="39">
        <f>+IFERROR((FT_RF_26[[#This Row],[Calibre &lt;14]]/FT_RF_26[[#This Row],[Muestra]]),"0")</f>
        <v>0</v>
      </c>
      <c r="AV123" s="38">
        <v>0</v>
      </c>
      <c r="AW123" s="39">
        <f>+IFERROR((FT_RF_26[[#This Row],[Calibre &gt;14]]/FT_RF_26[[#This Row],[Muestra]]),"0")</f>
        <v>0</v>
      </c>
      <c r="AX123" s="38">
        <v>0</v>
      </c>
      <c r="AY123" s="39">
        <f>+IFERROR((FT_RF_26[[#This Row],[Calibre &lt;10]]/FT_RF_26[[#This Row],[Muestra]]),"0")</f>
        <v>0</v>
      </c>
      <c r="AZ123" s="38">
        <v>0</v>
      </c>
      <c r="BA123" s="39">
        <f>+IFERROR((FT_RF_26[[#This Row],[Calibre &gt;13]]/FT_RF_26[[#This Row],[Muestra]]),"0")</f>
        <v>0</v>
      </c>
      <c r="BB123" s="41"/>
      <c r="BG123" s="42"/>
      <c r="BH123" s="43">
        <v>0</v>
      </c>
      <c r="BI123" s="29" t="s">
        <v>894</v>
      </c>
      <c r="BJ123" s="29" t="s">
        <v>894</v>
      </c>
      <c r="BK12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2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23" s="45">
        <f>1-FT_RF_26[[#This Row],[% Defectos]]</f>
        <v>1</v>
      </c>
      <c r="BO123" s="60"/>
      <c r="BP123" s="12">
        <f>SUM(FT_RF_26[[#This Row],[Hoja (Un.)]:[Larvas Caja]])</f>
        <v>0</v>
      </c>
      <c r="BQ123" s="12">
        <f>SUM(FT_RF_26[[#This Row],[Vidrios]:[Plástico]])</f>
        <v>0</v>
      </c>
      <c r="BR123" s="12" t="str">
        <f>IF(ISBLANK(FT_RF_26[[#This Row],[Descripción del producto]]),"",FT_RF_26[[#This Row],[Descripción del producto]])</f>
        <v/>
      </c>
      <c r="BS123" s="29" t="str">
        <f>IF(ISBLANK(FT_RF_26[[#This Row],[N° de Lote]]),"",FT_RF_26[[#This Row],[N° de Lote]])</f>
        <v/>
      </c>
      <c r="BT123" s="29" t="str">
        <f>IF(ISBLANK(FT_RF_26[[#This Row],[N° de Pallet]]),"",FT_RF_26[[#This Row],[N° de Pallet]])</f>
        <v/>
      </c>
    </row>
    <row r="124" spans="2:72">
      <c r="B124" s="29">
        <f>+_xlfn.ISOWEEKNUM(FT_RF_26[[#This Row],[Fecha]])</f>
        <v>52</v>
      </c>
      <c r="E124" s="31"/>
      <c r="F124" s="12" t="str">
        <f>IFERROR(""&amp;_xlfn.XLOOKUP(FT_RF_26[[#This Row],[Código]],BD_Cod[SKU],BD_Cod[Descripción]),"")</f>
        <v/>
      </c>
      <c r="G124" s="32" t="str">
        <f>IFERROR(""&amp;_xlfn.XLOOKUP(FT_RF_26[[#This Row],[Código]],BD_Cod[SKU],BD_Cod[Familia Calidad]),"")</f>
        <v/>
      </c>
      <c r="J124" s="33">
        <v>1000</v>
      </c>
      <c r="L124" s="30" t="s">
        <v>244</v>
      </c>
      <c r="O124" s="30" t="s">
        <v>894</v>
      </c>
      <c r="P124" s="29" t="s">
        <v>894</v>
      </c>
      <c r="Q124" s="37">
        <f>1-FT_RF_26[[#This Row],[% Defectos]]</f>
        <v>1</v>
      </c>
      <c r="R124" s="38">
        <v>0</v>
      </c>
      <c r="S124" s="39">
        <f>+IFERROR((FT_RF_26[[#This Row],[Inmadura]]/FT_RF_26[[#This Row],[Muestra]]),"0")</f>
        <v>0</v>
      </c>
      <c r="T124" s="38">
        <v>0</v>
      </c>
      <c r="U124" s="39">
        <f>+IFERROR((FT_RF_26[[#This Row],[Partidas]]/FT_RF_26[[#This Row],[Muestra]]),"0")</f>
        <v>0</v>
      </c>
      <c r="V124" s="38">
        <v>0</v>
      </c>
      <c r="W124" s="39">
        <f>+IFERROR((FT_RF_26[[#This Row],[Daño Insecto]]/FT_RF_26[[#This Row],[Muestra]]),"0")</f>
        <v>0</v>
      </c>
      <c r="X124" s="38">
        <v>0</v>
      </c>
      <c r="Y124" s="39">
        <f>+IFERROR((FT_RF_26[[#This Row],[Sobremadura]]/FT_RF_26[[#This Row],[Muestra]]),"0")</f>
        <v>0</v>
      </c>
      <c r="Z124" s="38">
        <v>0</v>
      </c>
      <c r="AA124" s="39">
        <f>+IFERROR((FT_RF_26[[#This Row],[Deforme]]/FT_RF_26[[#This Row],[Muestra]]),"0")</f>
        <v>0</v>
      </c>
      <c r="AB124" s="27"/>
      <c r="AC124" s="38">
        <v>0</v>
      </c>
      <c r="AD124" s="39">
        <f>+IFERROR((FT_RF_26[[#This Row],[Valor Extra 1]]/FT_RF_26[[#This Row],[Muestra]]),"0")</f>
        <v>0</v>
      </c>
      <c r="AF124" s="38">
        <v>0</v>
      </c>
      <c r="AG124" s="39">
        <f>+IFERROR((FT_RF_26[[#This Row],[Valor Extra 2]]/FT_RF_26[[#This Row],[Muestra]]),"0")</f>
        <v>0</v>
      </c>
      <c r="AH124" s="40">
        <v>0</v>
      </c>
      <c r="AI124" s="39">
        <f>+IFERROR((FT_RF_26[[#This Row],[Hongos]]/FT_RF_26[[#This Row],[Muestra]]),"0")</f>
        <v>0</v>
      </c>
      <c r="AJ124" s="38">
        <v>0</v>
      </c>
      <c r="AK124" s="39">
        <f>+IFERROR((FT_RF_26[[#This Row],[Block]]/FT_RF_26[[#This Row],[Muestra]]),"0")</f>
        <v>0</v>
      </c>
      <c r="AL124" s="41">
        <v>0</v>
      </c>
      <c r="AM124" s="42">
        <v>0</v>
      </c>
      <c r="AN124" s="38">
        <v>0</v>
      </c>
      <c r="AO124" s="39">
        <f>+IFERROR((FT_RF_26[[#This Row],[Fuera de calibre &lt;12mm]]/FT_RF_26[[#This Row],[Muestra]]),"0")</f>
        <v>0</v>
      </c>
      <c r="AP124" s="38">
        <v>0</v>
      </c>
      <c r="AQ124" s="39">
        <f>+IFERROR((FT_RF_26[[#This Row],[Calibre &lt;25]]/FT_RF_26[[#This Row],[Muestra]]),"0")</f>
        <v>0</v>
      </c>
      <c r="AR124" s="38">
        <v>0</v>
      </c>
      <c r="AS124" s="39">
        <f>+IFERROR((FT_RF_26[[#This Row],[Calibre &gt;12]]/FT_RF_26[[#This Row],[Muestra]]),"0")</f>
        <v>0</v>
      </c>
      <c r="AT124" s="38">
        <v>0</v>
      </c>
      <c r="AU124" s="39">
        <f>+IFERROR((FT_RF_26[[#This Row],[Calibre &lt;14]]/FT_RF_26[[#This Row],[Muestra]]),"0")</f>
        <v>0</v>
      </c>
      <c r="AV124" s="38">
        <v>0</v>
      </c>
      <c r="AW124" s="39">
        <f>+IFERROR((FT_RF_26[[#This Row],[Calibre &gt;14]]/FT_RF_26[[#This Row],[Muestra]]),"0")</f>
        <v>0</v>
      </c>
      <c r="AX124" s="38">
        <v>0</v>
      </c>
      <c r="AY124" s="39">
        <f>+IFERROR((FT_RF_26[[#This Row],[Calibre &lt;10]]/FT_RF_26[[#This Row],[Muestra]]),"0")</f>
        <v>0</v>
      </c>
      <c r="AZ124" s="38">
        <v>0</v>
      </c>
      <c r="BA124" s="39">
        <f>+IFERROR((FT_RF_26[[#This Row],[Calibre &gt;13]]/FT_RF_26[[#This Row],[Muestra]]),"0")</f>
        <v>0</v>
      </c>
      <c r="BB124" s="41"/>
      <c r="BG124" s="42"/>
      <c r="BH124" s="43">
        <v>0</v>
      </c>
      <c r="BI124" s="29" t="s">
        <v>894</v>
      </c>
      <c r="BJ124" s="29" t="s">
        <v>894</v>
      </c>
      <c r="BK12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2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24" s="45">
        <f>1-FT_RF_26[[#This Row],[% Defectos]]</f>
        <v>1</v>
      </c>
      <c r="BO124" s="60"/>
      <c r="BP124" s="12">
        <f>SUM(FT_RF_26[[#This Row],[Hoja (Un.)]:[Larvas Caja]])</f>
        <v>0</v>
      </c>
      <c r="BQ124" s="12">
        <f>SUM(FT_RF_26[[#This Row],[Vidrios]:[Plástico]])</f>
        <v>0</v>
      </c>
      <c r="BR124" s="12" t="str">
        <f>IF(ISBLANK(FT_RF_26[[#This Row],[Descripción del producto]]),"",FT_RF_26[[#This Row],[Descripción del producto]])</f>
        <v/>
      </c>
      <c r="BS124" s="29" t="str">
        <f>IF(ISBLANK(FT_RF_26[[#This Row],[N° de Lote]]),"",FT_RF_26[[#This Row],[N° de Lote]])</f>
        <v/>
      </c>
      <c r="BT124" s="29" t="str">
        <f>IF(ISBLANK(FT_RF_26[[#This Row],[N° de Pallet]]),"",FT_RF_26[[#This Row],[N° de Pallet]])</f>
        <v/>
      </c>
    </row>
    <row r="125" spans="2:72">
      <c r="B125" s="29">
        <f>+_xlfn.ISOWEEKNUM(FT_RF_26[[#This Row],[Fecha]])</f>
        <v>52</v>
      </c>
      <c r="E125" s="31"/>
      <c r="F125" s="12" t="str">
        <f>IFERROR(""&amp;_xlfn.XLOOKUP(FT_RF_26[[#This Row],[Código]],BD_Cod[SKU],BD_Cod[Descripción]),"")</f>
        <v/>
      </c>
      <c r="G125" s="32" t="str">
        <f>IFERROR(""&amp;_xlfn.XLOOKUP(FT_RF_26[[#This Row],[Código]],BD_Cod[SKU],BD_Cod[Familia Calidad]),"")</f>
        <v/>
      </c>
      <c r="J125" s="33">
        <v>1000</v>
      </c>
      <c r="L125" s="30" t="s">
        <v>244</v>
      </c>
      <c r="O125" s="30" t="s">
        <v>894</v>
      </c>
      <c r="P125" s="29" t="s">
        <v>894</v>
      </c>
      <c r="Q125" s="37">
        <f>1-FT_RF_26[[#This Row],[% Defectos]]</f>
        <v>1</v>
      </c>
      <c r="R125" s="38">
        <v>0</v>
      </c>
      <c r="S125" s="39">
        <f>+IFERROR((FT_RF_26[[#This Row],[Inmadura]]/FT_RF_26[[#This Row],[Muestra]]),"0")</f>
        <v>0</v>
      </c>
      <c r="T125" s="38">
        <v>0</v>
      </c>
      <c r="U125" s="39">
        <f>+IFERROR((FT_RF_26[[#This Row],[Partidas]]/FT_RF_26[[#This Row],[Muestra]]),"0")</f>
        <v>0</v>
      </c>
      <c r="V125" s="38">
        <v>0</v>
      </c>
      <c r="W125" s="39">
        <f>+IFERROR((FT_RF_26[[#This Row],[Daño Insecto]]/FT_RF_26[[#This Row],[Muestra]]),"0")</f>
        <v>0</v>
      </c>
      <c r="X125" s="38">
        <v>0</v>
      </c>
      <c r="Y125" s="39">
        <f>+IFERROR((FT_RF_26[[#This Row],[Sobremadura]]/FT_RF_26[[#This Row],[Muestra]]),"0")</f>
        <v>0</v>
      </c>
      <c r="Z125" s="38">
        <v>0</v>
      </c>
      <c r="AA125" s="39">
        <f>+IFERROR((FT_RF_26[[#This Row],[Deforme]]/FT_RF_26[[#This Row],[Muestra]]),"0")</f>
        <v>0</v>
      </c>
      <c r="AB125" s="27"/>
      <c r="AC125" s="38">
        <v>0</v>
      </c>
      <c r="AD125" s="39">
        <f>+IFERROR((FT_RF_26[[#This Row],[Valor Extra 1]]/FT_RF_26[[#This Row],[Muestra]]),"0")</f>
        <v>0</v>
      </c>
      <c r="AF125" s="38">
        <v>0</v>
      </c>
      <c r="AG125" s="39">
        <f>+IFERROR((FT_RF_26[[#This Row],[Valor Extra 2]]/FT_RF_26[[#This Row],[Muestra]]),"0")</f>
        <v>0</v>
      </c>
      <c r="AH125" s="40">
        <v>0</v>
      </c>
      <c r="AI125" s="39">
        <f>+IFERROR((FT_RF_26[[#This Row],[Hongos]]/FT_RF_26[[#This Row],[Muestra]]),"0")</f>
        <v>0</v>
      </c>
      <c r="AJ125" s="38">
        <v>0</v>
      </c>
      <c r="AK125" s="39">
        <f>+IFERROR((FT_RF_26[[#This Row],[Block]]/FT_RF_26[[#This Row],[Muestra]]),"0")</f>
        <v>0</v>
      </c>
      <c r="AL125" s="41">
        <v>0</v>
      </c>
      <c r="AM125" s="42">
        <v>0</v>
      </c>
      <c r="AN125" s="38">
        <v>0</v>
      </c>
      <c r="AO125" s="39">
        <f>+IFERROR((FT_RF_26[[#This Row],[Fuera de calibre &lt;12mm]]/FT_RF_26[[#This Row],[Muestra]]),"0")</f>
        <v>0</v>
      </c>
      <c r="AP125" s="38">
        <v>0</v>
      </c>
      <c r="AQ125" s="39">
        <f>+IFERROR((FT_RF_26[[#This Row],[Calibre &lt;25]]/FT_RF_26[[#This Row],[Muestra]]),"0")</f>
        <v>0</v>
      </c>
      <c r="AR125" s="38">
        <v>0</v>
      </c>
      <c r="AS125" s="39">
        <f>+IFERROR((FT_RF_26[[#This Row],[Calibre &gt;12]]/FT_RF_26[[#This Row],[Muestra]]),"0")</f>
        <v>0</v>
      </c>
      <c r="AT125" s="38">
        <v>0</v>
      </c>
      <c r="AU125" s="39">
        <f>+IFERROR((FT_RF_26[[#This Row],[Calibre &lt;14]]/FT_RF_26[[#This Row],[Muestra]]),"0")</f>
        <v>0</v>
      </c>
      <c r="AV125" s="38">
        <v>0</v>
      </c>
      <c r="AW125" s="39">
        <f>+IFERROR((FT_RF_26[[#This Row],[Calibre &gt;14]]/FT_RF_26[[#This Row],[Muestra]]),"0")</f>
        <v>0</v>
      </c>
      <c r="AX125" s="38">
        <v>0</v>
      </c>
      <c r="AY125" s="39">
        <f>+IFERROR((FT_RF_26[[#This Row],[Calibre &lt;10]]/FT_RF_26[[#This Row],[Muestra]]),"0")</f>
        <v>0</v>
      </c>
      <c r="AZ125" s="38">
        <v>0</v>
      </c>
      <c r="BA125" s="39">
        <f>+IFERROR((FT_RF_26[[#This Row],[Calibre &gt;13]]/FT_RF_26[[#This Row],[Muestra]]),"0")</f>
        <v>0</v>
      </c>
      <c r="BB125" s="41"/>
      <c r="BG125" s="42"/>
      <c r="BH125" s="43">
        <v>0</v>
      </c>
      <c r="BI125" s="29" t="s">
        <v>894</v>
      </c>
      <c r="BJ125" s="29" t="s">
        <v>894</v>
      </c>
      <c r="BK12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2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25" s="45">
        <f>1-FT_RF_26[[#This Row],[% Defectos]]</f>
        <v>1</v>
      </c>
      <c r="BO125" s="60"/>
      <c r="BP125" s="12">
        <f>SUM(FT_RF_26[[#This Row],[Hoja (Un.)]:[Larvas Caja]])</f>
        <v>0</v>
      </c>
      <c r="BQ125" s="12">
        <f>SUM(FT_RF_26[[#This Row],[Vidrios]:[Plástico]])</f>
        <v>0</v>
      </c>
      <c r="BR125" s="12" t="str">
        <f>IF(ISBLANK(FT_RF_26[[#This Row],[Descripción del producto]]),"",FT_RF_26[[#This Row],[Descripción del producto]])</f>
        <v/>
      </c>
      <c r="BS125" s="29" t="str">
        <f>IF(ISBLANK(FT_RF_26[[#This Row],[N° de Lote]]),"",FT_RF_26[[#This Row],[N° de Lote]])</f>
        <v/>
      </c>
      <c r="BT125" s="29" t="str">
        <f>IF(ISBLANK(FT_RF_26[[#This Row],[N° de Pallet]]),"",FT_RF_26[[#This Row],[N° de Pallet]])</f>
        <v/>
      </c>
    </row>
    <row r="126" spans="2:72">
      <c r="B126" s="29">
        <f>+_xlfn.ISOWEEKNUM(FT_RF_26[[#This Row],[Fecha]])</f>
        <v>52</v>
      </c>
      <c r="E126" s="31"/>
      <c r="F126" s="12" t="str">
        <f>IFERROR(""&amp;_xlfn.XLOOKUP(FT_RF_26[[#This Row],[Código]],BD_Cod[SKU],BD_Cod[Descripción]),"")</f>
        <v/>
      </c>
      <c r="G126" s="32" t="str">
        <f>IFERROR(""&amp;_xlfn.XLOOKUP(FT_RF_26[[#This Row],[Código]],BD_Cod[SKU],BD_Cod[Familia Calidad]),"")</f>
        <v/>
      </c>
      <c r="J126" s="33">
        <v>1000</v>
      </c>
      <c r="L126" s="30" t="s">
        <v>244</v>
      </c>
      <c r="O126" s="30" t="s">
        <v>894</v>
      </c>
      <c r="P126" s="29" t="s">
        <v>894</v>
      </c>
      <c r="Q126" s="37">
        <f>1-FT_RF_26[[#This Row],[% Defectos]]</f>
        <v>1</v>
      </c>
      <c r="R126" s="38">
        <v>0</v>
      </c>
      <c r="S126" s="39">
        <f>+IFERROR((FT_RF_26[[#This Row],[Inmadura]]/FT_RF_26[[#This Row],[Muestra]]),"0")</f>
        <v>0</v>
      </c>
      <c r="T126" s="38">
        <v>0</v>
      </c>
      <c r="U126" s="39">
        <f>+IFERROR((FT_RF_26[[#This Row],[Partidas]]/FT_RF_26[[#This Row],[Muestra]]),"0")</f>
        <v>0</v>
      </c>
      <c r="V126" s="38">
        <v>0</v>
      </c>
      <c r="W126" s="39">
        <f>+IFERROR((FT_RF_26[[#This Row],[Daño Insecto]]/FT_RF_26[[#This Row],[Muestra]]),"0")</f>
        <v>0</v>
      </c>
      <c r="X126" s="38">
        <v>0</v>
      </c>
      <c r="Y126" s="39">
        <f>+IFERROR((FT_RF_26[[#This Row],[Sobremadura]]/FT_RF_26[[#This Row],[Muestra]]),"0")</f>
        <v>0</v>
      </c>
      <c r="Z126" s="38">
        <v>0</v>
      </c>
      <c r="AA126" s="39">
        <f>+IFERROR((FT_RF_26[[#This Row],[Deforme]]/FT_RF_26[[#This Row],[Muestra]]),"0")</f>
        <v>0</v>
      </c>
      <c r="AB126" s="27"/>
      <c r="AC126" s="38">
        <v>0</v>
      </c>
      <c r="AD126" s="39">
        <f>+IFERROR((FT_RF_26[[#This Row],[Valor Extra 1]]/FT_RF_26[[#This Row],[Muestra]]),"0")</f>
        <v>0</v>
      </c>
      <c r="AF126" s="38">
        <v>0</v>
      </c>
      <c r="AG126" s="39">
        <f>+IFERROR((FT_RF_26[[#This Row],[Valor Extra 2]]/FT_RF_26[[#This Row],[Muestra]]),"0")</f>
        <v>0</v>
      </c>
      <c r="AH126" s="40">
        <v>0</v>
      </c>
      <c r="AI126" s="39">
        <f>+IFERROR((FT_RF_26[[#This Row],[Hongos]]/FT_RF_26[[#This Row],[Muestra]]),"0")</f>
        <v>0</v>
      </c>
      <c r="AJ126" s="38">
        <v>0</v>
      </c>
      <c r="AK126" s="39">
        <f>+IFERROR((FT_RF_26[[#This Row],[Block]]/FT_RF_26[[#This Row],[Muestra]]),"0")</f>
        <v>0</v>
      </c>
      <c r="AL126" s="41">
        <v>0</v>
      </c>
      <c r="AM126" s="42">
        <v>0</v>
      </c>
      <c r="AN126" s="38">
        <v>0</v>
      </c>
      <c r="AO126" s="39">
        <f>+IFERROR((FT_RF_26[[#This Row],[Fuera de calibre &lt;12mm]]/FT_RF_26[[#This Row],[Muestra]]),"0")</f>
        <v>0</v>
      </c>
      <c r="AP126" s="38">
        <v>0</v>
      </c>
      <c r="AQ126" s="39">
        <f>+IFERROR((FT_RF_26[[#This Row],[Calibre &lt;25]]/FT_RF_26[[#This Row],[Muestra]]),"0")</f>
        <v>0</v>
      </c>
      <c r="AR126" s="38">
        <v>0</v>
      </c>
      <c r="AS126" s="39">
        <f>+IFERROR((FT_RF_26[[#This Row],[Calibre &gt;12]]/FT_RF_26[[#This Row],[Muestra]]),"0")</f>
        <v>0</v>
      </c>
      <c r="AT126" s="38">
        <v>0</v>
      </c>
      <c r="AU126" s="39">
        <f>+IFERROR((FT_RF_26[[#This Row],[Calibre &lt;14]]/FT_RF_26[[#This Row],[Muestra]]),"0")</f>
        <v>0</v>
      </c>
      <c r="AV126" s="38">
        <v>0</v>
      </c>
      <c r="AW126" s="39">
        <f>+IFERROR((FT_RF_26[[#This Row],[Calibre &gt;14]]/FT_RF_26[[#This Row],[Muestra]]),"0")</f>
        <v>0</v>
      </c>
      <c r="AX126" s="38">
        <v>0</v>
      </c>
      <c r="AY126" s="39">
        <f>+IFERROR((FT_RF_26[[#This Row],[Calibre &lt;10]]/FT_RF_26[[#This Row],[Muestra]]),"0")</f>
        <v>0</v>
      </c>
      <c r="AZ126" s="38">
        <v>0</v>
      </c>
      <c r="BA126" s="39">
        <f>+IFERROR((FT_RF_26[[#This Row],[Calibre &gt;13]]/FT_RF_26[[#This Row],[Muestra]]),"0")</f>
        <v>0</v>
      </c>
      <c r="BB126" s="41"/>
      <c r="BG126" s="42"/>
      <c r="BH126" s="43">
        <v>0</v>
      </c>
      <c r="BI126" s="29" t="s">
        <v>894</v>
      </c>
      <c r="BJ126" s="29" t="s">
        <v>894</v>
      </c>
      <c r="BK12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2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26" s="45">
        <f>1-FT_RF_26[[#This Row],[% Defectos]]</f>
        <v>1</v>
      </c>
      <c r="BO126" s="60"/>
      <c r="BP126" s="12">
        <f>SUM(FT_RF_26[[#This Row],[Hoja (Un.)]:[Larvas Caja]])</f>
        <v>0</v>
      </c>
      <c r="BQ126" s="12">
        <f>SUM(FT_RF_26[[#This Row],[Vidrios]:[Plástico]])</f>
        <v>0</v>
      </c>
      <c r="BR126" s="12" t="str">
        <f>IF(ISBLANK(FT_RF_26[[#This Row],[Descripción del producto]]),"",FT_RF_26[[#This Row],[Descripción del producto]])</f>
        <v/>
      </c>
      <c r="BS126" s="29" t="str">
        <f>IF(ISBLANK(FT_RF_26[[#This Row],[N° de Lote]]),"",FT_RF_26[[#This Row],[N° de Lote]])</f>
        <v/>
      </c>
      <c r="BT126" s="29" t="str">
        <f>IF(ISBLANK(FT_RF_26[[#This Row],[N° de Pallet]]),"",FT_RF_26[[#This Row],[N° de Pallet]])</f>
        <v/>
      </c>
    </row>
    <row r="127" spans="2:72">
      <c r="B127" s="29">
        <f>+_xlfn.ISOWEEKNUM(FT_RF_26[[#This Row],[Fecha]])</f>
        <v>52</v>
      </c>
      <c r="E127" s="31"/>
      <c r="F127" s="12" t="str">
        <f>IFERROR(""&amp;_xlfn.XLOOKUP(FT_RF_26[[#This Row],[Código]],BD_Cod[SKU],BD_Cod[Descripción]),"")</f>
        <v/>
      </c>
      <c r="G127" s="32" t="str">
        <f>IFERROR(""&amp;_xlfn.XLOOKUP(FT_RF_26[[#This Row],[Código]],BD_Cod[SKU],BD_Cod[Familia Calidad]),"")</f>
        <v/>
      </c>
      <c r="J127" s="33">
        <v>1000</v>
      </c>
      <c r="L127" s="30" t="s">
        <v>244</v>
      </c>
      <c r="O127" s="30" t="s">
        <v>894</v>
      </c>
      <c r="P127" s="29" t="s">
        <v>894</v>
      </c>
      <c r="Q127" s="37">
        <f>1-FT_RF_26[[#This Row],[% Defectos]]</f>
        <v>1</v>
      </c>
      <c r="R127" s="38">
        <v>0</v>
      </c>
      <c r="S127" s="39">
        <f>+IFERROR((FT_RF_26[[#This Row],[Inmadura]]/FT_RF_26[[#This Row],[Muestra]]),"0")</f>
        <v>0</v>
      </c>
      <c r="T127" s="38">
        <v>0</v>
      </c>
      <c r="U127" s="39">
        <f>+IFERROR((FT_RF_26[[#This Row],[Partidas]]/FT_RF_26[[#This Row],[Muestra]]),"0")</f>
        <v>0</v>
      </c>
      <c r="V127" s="38">
        <v>0</v>
      </c>
      <c r="W127" s="39">
        <f>+IFERROR((FT_RF_26[[#This Row],[Daño Insecto]]/FT_RF_26[[#This Row],[Muestra]]),"0")</f>
        <v>0</v>
      </c>
      <c r="X127" s="38">
        <v>0</v>
      </c>
      <c r="Y127" s="39">
        <f>+IFERROR((FT_RF_26[[#This Row],[Sobremadura]]/FT_RF_26[[#This Row],[Muestra]]),"0")</f>
        <v>0</v>
      </c>
      <c r="Z127" s="38">
        <v>0</v>
      </c>
      <c r="AA127" s="39">
        <f>+IFERROR((FT_RF_26[[#This Row],[Deforme]]/FT_RF_26[[#This Row],[Muestra]]),"0")</f>
        <v>0</v>
      </c>
      <c r="AB127" s="27"/>
      <c r="AC127" s="38">
        <v>0</v>
      </c>
      <c r="AD127" s="39">
        <f>+IFERROR((FT_RF_26[[#This Row],[Valor Extra 1]]/FT_RF_26[[#This Row],[Muestra]]),"0")</f>
        <v>0</v>
      </c>
      <c r="AF127" s="38">
        <v>0</v>
      </c>
      <c r="AG127" s="39">
        <f>+IFERROR((FT_RF_26[[#This Row],[Valor Extra 2]]/FT_RF_26[[#This Row],[Muestra]]),"0")</f>
        <v>0</v>
      </c>
      <c r="AH127" s="40">
        <v>0</v>
      </c>
      <c r="AI127" s="39">
        <f>+IFERROR((FT_RF_26[[#This Row],[Hongos]]/FT_RF_26[[#This Row],[Muestra]]),"0")</f>
        <v>0</v>
      </c>
      <c r="AJ127" s="38">
        <v>0</v>
      </c>
      <c r="AK127" s="39">
        <f>+IFERROR((FT_RF_26[[#This Row],[Block]]/FT_RF_26[[#This Row],[Muestra]]),"0")</f>
        <v>0</v>
      </c>
      <c r="AL127" s="41">
        <v>0</v>
      </c>
      <c r="AM127" s="42">
        <v>0</v>
      </c>
      <c r="AN127" s="38">
        <v>0</v>
      </c>
      <c r="AO127" s="39">
        <f>+IFERROR((FT_RF_26[[#This Row],[Fuera de calibre &lt;12mm]]/FT_RF_26[[#This Row],[Muestra]]),"0")</f>
        <v>0</v>
      </c>
      <c r="AP127" s="38">
        <v>0</v>
      </c>
      <c r="AQ127" s="39">
        <f>+IFERROR((FT_RF_26[[#This Row],[Calibre &lt;25]]/FT_RF_26[[#This Row],[Muestra]]),"0")</f>
        <v>0</v>
      </c>
      <c r="AR127" s="38">
        <v>0</v>
      </c>
      <c r="AS127" s="39">
        <f>+IFERROR((FT_RF_26[[#This Row],[Calibre &gt;12]]/FT_RF_26[[#This Row],[Muestra]]),"0")</f>
        <v>0</v>
      </c>
      <c r="AT127" s="38">
        <v>0</v>
      </c>
      <c r="AU127" s="39">
        <f>+IFERROR((FT_RF_26[[#This Row],[Calibre &lt;14]]/FT_RF_26[[#This Row],[Muestra]]),"0")</f>
        <v>0</v>
      </c>
      <c r="AV127" s="38">
        <v>0</v>
      </c>
      <c r="AW127" s="39">
        <f>+IFERROR((FT_RF_26[[#This Row],[Calibre &gt;14]]/FT_RF_26[[#This Row],[Muestra]]),"0")</f>
        <v>0</v>
      </c>
      <c r="AX127" s="38">
        <v>0</v>
      </c>
      <c r="AY127" s="39">
        <f>+IFERROR((FT_RF_26[[#This Row],[Calibre &lt;10]]/FT_RF_26[[#This Row],[Muestra]]),"0")</f>
        <v>0</v>
      </c>
      <c r="AZ127" s="38">
        <v>0</v>
      </c>
      <c r="BA127" s="39">
        <f>+IFERROR((FT_RF_26[[#This Row],[Calibre &gt;13]]/FT_RF_26[[#This Row],[Muestra]]),"0")</f>
        <v>0</v>
      </c>
      <c r="BB127" s="41"/>
      <c r="BG127" s="42"/>
      <c r="BH127" s="43">
        <v>0</v>
      </c>
      <c r="BI127" s="29" t="s">
        <v>894</v>
      </c>
      <c r="BJ127" s="29" t="s">
        <v>894</v>
      </c>
      <c r="BK12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2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27" s="45">
        <f>1-FT_RF_26[[#This Row],[% Defectos]]</f>
        <v>1</v>
      </c>
      <c r="BO127" s="60"/>
      <c r="BP127" s="12">
        <f>SUM(FT_RF_26[[#This Row],[Hoja (Un.)]:[Larvas Caja]])</f>
        <v>0</v>
      </c>
      <c r="BQ127" s="12">
        <f>SUM(FT_RF_26[[#This Row],[Vidrios]:[Plástico]])</f>
        <v>0</v>
      </c>
      <c r="BR127" s="12" t="str">
        <f>IF(ISBLANK(FT_RF_26[[#This Row],[Descripción del producto]]),"",FT_RF_26[[#This Row],[Descripción del producto]])</f>
        <v/>
      </c>
      <c r="BS127" s="29" t="str">
        <f>IF(ISBLANK(FT_RF_26[[#This Row],[N° de Lote]]),"",FT_RF_26[[#This Row],[N° de Lote]])</f>
        <v/>
      </c>
      <c r="BT127" s="29" t="str">
        <f>IF(ISBLANK(FT_RF_26[[#This Row],[N° de Pallet]]),"",FT_RF_26[[#This Row],[N° de Pallet]])</f>
        <v/>
      </c>
    </row>
    <row r="128" spans="2:72">
      <c r="B128" s="29">
        <f>+_xlfn.ISOWEEKNUM(FT_RF_26[[#This Row],[Fecha]])</f>
        <v>52</v>
      </c>
      <c r="E128" s="31"/>
      <c r="F128" s="12" t="str">
        <f>IFERROR(""&amp;_xlfn.XLOOKUP(FT_RF_26[[#This Row],[Código]],BD_Cod[SKU],BD_Cod[Descripción]),"")</f>
        <v/>
      </c>
      <c r="G128" s="32" t="str">
        <f>IFERROR(""&amp;_xlfn.XLOOKUP(FT_RF_26[[#This Row],[Código]],BD_Cod[SKU],BD_Cod[Familia Calidad]),"")</f>
        <v/>
      </c>
      <c r="J128" s="33">
        <v>1000</v>
      </c>
      <c r="L128" s="30" t="s">
        <v>244</v>
      </c>
      <c r="O128" s="30" t="s">
        <v>894</v>
      </c>
      <c r="P128" s="29" t="s">
        <v>894</v>
      </c>
      <c r="Q128" s="37">
        <f>1-FT_RF_26[[#This Row],[% Defectos]]</f>
        <v>1</v>
      </c>
      <c r="R128" s="38">
        <v>0</v>
      </c>
      <c r="S128" s="39">
        <f>+IFERROR((FT_RF_26[[#This Row],[Inmadura]]/FT_RF_26[[#This Row],[Muestra]]),"0")</f>
        <v>0</v>
      </c>
      <c r="T128" s="38">
        <v>0</v>
      </c>
      <c r="U128" s="39">
        <f>+IFERROR((FT_RF_26[[#This Row],[Partidas]]/FT_RF_26[[#This Row],[Muestra]]),"0")</f>
        <v>0</v>
      </c>
      <c r="V128" s="38">
        <v>0</v>
      </c>
      <c r="W128" s="39">
        <f>+IFERROR((FT_RF_26[[#This Row],[Daño Insecto]]/FT_RF_26[[#This Row],[Muestra]]),"0")</f>
        <v>0</v>
      </c>
      <c r="X128" s="38">
        <v>0</v>
      </c>
      <c r="Y128" s="39">
        <f>+IFERROR((FT_RF_26[[#This Row],[Sobremadura]]/FT_RF_26[[#This Row],[Muestra]]),"0")</f>
        <v>0</v>
      </c>
      <c r="Z128" s="38">
        <v>0</v>
      </c>
      <c r="AA128" s="39">
        <f>+IFERROR((FT_RF_26[[#This Row],[Deforme]]/FT_RF_26[[#This Row],[Muestra]]),"0")</f>
        <v>0</v>
      </c>
      <c r="AB128" s="27"/>
      <c r="AC128" s="38">
        <v>0</v>
      </c>
      <c r="AD128" s="39">
        <f>+IFERROR((FT_RF_26[[#This Row],[Valor Extra 1]]/FT_RF_26[[#This Row],[Muestra]]),"0")</f>
        <v>0</v>
      </c>
      <c r="AF128" s="38">
        <v>0</v>
      </c>
      <c r="AG128" s="39">
        <f>+IFERROR((FT_RF_26[[#This Row],[Valor Extra 2]]/FT_RF_26[[#This Row],[Muestra]]),"0")</f>
        <v>0</v>
      </c>
      <c r="AH128" s="40">
        <v>0</v>
      </c>
      <c r="AI128" s="39">
        <f>+IFERROR((FT_RF_26[[#This Row],[Hongos]]/FT_RF_26[[#This Row],[Muestra]]),"0")</f>
        <v>0</v>
      </c>
      <c r="AJ128" s="38">
        <v>0</v>
      </c>
      <c r="AK128" s="39">
        <f>+IFERROR((FT_RF_26[[#This Row],[Block]]/FT_RF_26[[#This Row],[Muestra]]),"0")</f>
        <v>0</v>
      </c>
      <c r="AL128" s="41">
        <v>0</v>
      </c>
      <c r="AM128" s="42">
        <v>0</v>
      </c>
      <c r="AN128" s="38">
        <v>0</v>
      </c>
      <c r="AO128" s="39">
        <f>+IFERROR((FT_RF_26[[#This Row],[Fuera de calibre &lt;12mm]]/FT_RF_26[[#This Row],[Muestra]]),"0")</f>
        <v>0</v>
      </c>
      <c r="AP128" s="38">
        <v>0</v>
      </c>
      <c r="AQ128" s="39">
        <f>+IFERROR((FT_RF_26[[#This Row],[Calibre &lt;25]]/FT_RF_26[[#This Row],[Muestra]]),"0")</f>
        <v>0</v>
      </c>
      <c r="AR128" s="38">
        <v>0</v>
      </c>
      <c r="AS128" s="39">
        <f>+IFERROR((FT_RF_26[[#This Row],[Calibre &gt;12]]/FT_RF_26[[#This Row],[Muestra]]),"0")</f>
        <v>0</v>
      </c>
      <c r="AT128" s="38">
        <v>0</v>
      </c>
      <c r="AU128" s="39">
        <f>+IFERROR((FT_RF_26[[#This Row],[Calibre &lt;14]]/FT_RF_26[[#This Row],[Muestra]]),"0")</f>
        <v>0</v>
      </c>
      <c r="AV128" s="38">
        <v>0</v>
      </c>
      <c r="AW128" s="39">
        <f>+IFERROR((FT_RF_26[[#This Row],[Calibre &gt;14]]/FT_RF_26[[#This Row],[Muestra]]),"0")</f>
        <v>0</v>
      </c>
      <c r="AX128" s="38">
        <v>0</v>
      </c>
      <c r="AY128" s="39">
        <f>+IFERROR((FT_RF_26[[#This Row],[Calibre &lt;10]]/FT_RF_26[[#This Row],[Muestra]]),"0")</f>
        <v>0</v>
      </c>
      <c r="AZ128" s="38">
        <v>0</v>
      </c>
      <c r="BA128" s="39">
        <f>+IFERROR((FT_RF_26[[#This Row],[Calibre &gt;13]]/FT_RF_26[[#This Row],[Muestra]]),"0")</f>
        <v>0</v>
      </c>
      <c r="BB128" s="41"/>
      <c r="BG128" s="42"/>
      <c r="BH128" s="43">
        <v>0</v>
      </c>
      <c r="BI128" s="29" t="s">
        <v>894</v>
      </c>
      <c r="BJ128" s="29" t="s">
        <v>894</v>
      </c>
      <c r="BK12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2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28" s="45">
        <f>1-FT_RF_26[[#This Row],[% Defectos]]</f>
        <v>1</v>
      </c>
      <c r="BO128" s="60"/>
      <c r="BP128" s="12">
        <f>SUM(FT_RF_26[[#This Row],[Hoja (Un.)]:[Larvas Caja]])</f>
        <v>0</v>
      </c>
      <c r="BQ128" s="12">
        <f>SUM(FT_RF_26[[#This Row],[Vidrios]:[Plástico]])</f>
        <v>0</v>
      </c>
      <c r="BR128" s="12" t="str">
        <f>IF(ISBLANK(FT_RF_26[[#This Row],[Descripción del producto]]),"",FT_RF_26[[#This Row],[Descripción del producto]])</f>
        <v/>
      </c>
      <c r="BS128" s="29" t="str">
        <f>IF(ISBLANK(FT_RF_26[[#This Row],[N° de Lote]]),"",FT_RF_26[[#This Row],[N° de Lote]])</f>
        <v/>
      </c>
      <c r="BT128" s="29" t="str">
        <f>IF(ISBLANK(FT_RF_26[[#This Row],[N° de Pallet]]),"",FT_RF_26[[#This Row],[N° de Pallet]])</f>
        <v/>
      </c>
    </row>
    <row r="129" spans="2:72">
      <c r="B129" s="29">
        <f>+_xlfn.ISOWEEKNUM(FT_RF_26[[#This Row],[Fecha]])</f>
        <v>52</v>
      </c>
      <c r="E129" s="31"/>
      <c r="F129" s="12" t="str">
        <f>IFERROR(""&amp;_xlfn.XLOOKUP(FT_RF_26[[#This Row],[Código]],BD_Cod[SKU],BD_Cod[Descripción]),"")</f>
        <v/>
      </c>
      <c r="G129" s="32" t="str">
        <f>IFERROR(""&amp;_xlfn.XLOOKUP(FT_RF_26[[#This Row],[Código]],BD_Cod[SKU],BD_Cod[Familia Calidad]),"")</f>
        <v/>
      </c>
      <c r="J129" s="33">
        <v>1000</v>
      </c>
      <c r="L129" s="30" t="s">
        <v>244</v>
      </c>
      <c r="O129" s="30" t="s">
        <v>894</v>
      </c>
      <c r="P129" s="29" t="s">
        <v>894</v>
      </c>
      <c r="Q129" s="37">
        <f>1-FT_RF_26[[#This Row],[% Defectos]]</f>
        <v>1</v>
      </c>
      <c r="R129" s="38">
        <v>0</v>
      </c>
      <c r="S129" s="39">
        <f>+IFERROR((FT_RF_26[[#This Row],[Inmadura]]/FT_RF_26[[#This Row],[Muestra]]),"0")</f>
        <v>0</v>
      </c>
      <c r="T129" s="38">
        <v>0</v>
      </c>
      <c r="U129" s="39">
        <f>+IFERROR((FT_RF_26[[#This Row],[Partidas]]/FT_RF_26[[#This Row],[Muestra]]),"0")</f>
        <v>0</v>
      </c>
      <c r="V129" s="38">
        <v>0</v>
      </c>
      <c r="W129" s="39">
        <f>+IFERROR((FT_RF_26[[#This Row],[Daño Insecto]]/FT_RF_26[[#This Row],[Muestra]]),"0")</f>
        <v>0</v>
      </c>
      <c r="X129" s="38">
        <v>0</v>
      </c>
      <c r="Y129" s="39">
        <f>+IFERROR((FT_RF_26[[#This Row],[Sobremadura]]/FT_RF_26[[#This Row],[Muestra]]),"0")</f>
        <v>0</v>
      </c>
      <c r="Z129" s="38">
        <v>0</v>
      </c>
      <c r="AA129" s="39">
        <f>+IFERROR((FT_RF_26[[#This Row],[Deforme]]/FT_RF_26[[#This Row],[Muestra]]),"0")</f>
        <v>0</v>
      </c>
      <c r="AB129" s="27"/>
      <c r="AC129" s="38">
        <v>0</v>
      </c>
      <c r="AD129" s="39">
        <f>+IFERROR((FT_RF_26[[#This Row],[Valor Extra 1]]/FT_RF_26[[#This Row],[Muestra]]),"0")</f>
        <v>0</v>
      </c>
      <c r="AF129" s="38">
        <v>0</v>
      </c>
      <c r="AG129" s="39">
        <f>+IFERROR((FT_RF_26[[#This Row],[Valor Extra 2]]/FT_RF_26[[#This Row],[Muestra]]),"0")</f>
        <v>0</v>
      </c>
      <c r="AH129" s="40">
        <v>0</v>
      </c>
      <c r="AI129" s="39">
        <f>+IFERROR((FT_RF_26[[#This Row],[Hongos]]/FT_RF_26[[#This Row],[Muestra]]),"0")</f>
        <v>0</v>
      </c>
      <c r="AJ129" s="38">
        <v>0</v>
      </c>
      <c r="AK129" s="39">
        <f>+IFERROR((FT_RF_26[[#This Row],[Block]]/FT_RF_26[[#This Row],[Muestra]]),"0")</f>
        <v>0</v>
      </c>
      <c r="AL129" s="41">
        <v>0</v>
      </c>
      <c r="AM129" s="42">
        <v>0</v>
      </c>
      <c r="AN129" s="38">
        <v>0</v>
      </c>
      <c r="AO129" s="39">
        <f>+IFERROR((FT_RF_26[[#This Row],[Fuera de calibre &lt;12mm]]/FT_RF_26[[#This Row],[Muestra]]),"0")</f>
        <v>0</v>
      </c>
      <c r="AP129" s="38">
        <v>0</v>
      </c>
      <c r="AQ129" s="39">
        <f>+IFERROR((FT_RF_26[[#This Row],[Calibre &lt;25]]/FT_RF_26[[#This Row],[Muestra]]),"0")</f>
        <v>0</v>
      </c>
      <c r="AR129" s="38">
        <v>0</v>
      </c>
      <c r="AS129" s="39">
        <f>+IFERROR((FT_RF_26[[#This Row],[Calibre &gt;12]]/FT_RF_26[[#This Row],[Muestra]]),"0")</f>
        <v>0</v>
      </c>
      <c r="AT129" s="38">
        <v>0</v>
      </c>
      <c r="AU129" s="39">
        <f>+IFERROR((FT_RF_26[[#This Row],[Calibre &lt;14]]/FT_RF_26[[#This Row],[Muestra]]),"0")</f>
        <v>0</v>
      </c>
      <c r="AV129" s="38">
        <v>0</v>
      </c>
      <c r="AW129" s="39">
        <f>+IFERROR((FT_RF_26[[#This Row],[Calibre &gt;14]]/FT_RF_26[[#This Row],[Muestra]]),"0")</f>
        <v>0</v>
      </c>
      <c r="AX129" s="38">
        <v>0</v>
      </c>
      <c r="AY129" s="39">
        <f>+IFERROR((FT_RF_26[[#This Row],[Calibre &lt;10]]/FT_RF_26[[#This Row],[Muestra]]),"0")</f>
        <v>0</v>
      </c>
      <c r="AZ129" s="38">
        <v>0</v>
      </c>
      <c r="BA129" s="39">
        <f>+IFERROR((FT_RF_26[[#This Row],[Calibre &gt;13]]/FT_RF_26[[#This Row],[Muestra]]),"0")</f>
        <v>0</v>
      </c>
      <c r="BB129" s="41"/>
      <c r="BG129" s="42"/>
      <c r="BH129" s="43">
        <v>0</v>
      </c>
      <c r="BI129" s="29" t="s">
        <v>894</v>
      </c>
      <c r="BJ129" s="29" t="s">
        <v>894</v>
      </c>
      <c r="BK12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2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29" s="45">
        <f>1-FT_RF_26[[#This Row],[% Defectos]]</f>
        <v>1</v>
      </c>
      <c r="BO129" s="60"/>
      <c r="BP129" s="12">
        <f>SUM(FT_RF_26[[#This Row],[Hoja (Un.)]:[Larvas Caja]])</f>
        <v>0</v>
      </c>
      <c r="BQ129" s="12">
        <f>SUM(FT_RF_26[[#This Row],[Vidrios]:[Plástico]])</f>
        <v>0</v>
      </c>
      <c r="BR129" s="12" t="str">
        <f>IF(ISBLANK(FT_RF_26[[#This Row],[Descripción del producto]]),"",FT_RF_26[[#This Row],[Descripción del producto]])</f>
        <v/>
      </c>
      <c r="BS129" s="29" t="str">
        <f>IF(ISBLANK(FT_RF_26[[#This Row],[N° de Lote]]),"",FT_RF_26[[#This Row],[N° de Lote]])</f>
        <v/>
      </c>
      <c r="BT129" s="29" t="str">
        <f>IF(ISBLANK(FT_RF_26[[#This Row],[N° de Pallet]]),"",FT_RF_26[[#This Row],[N° de Pallet]])</f>
        <v/>
      </c>
    </row>
    <row r="130" spans="2:72">
      <c r="B130" s="29">
        <f>+_xlfn.ISOWEEKNUM(FT_RF_26[[#This Row],[Fecha]])</f>
        <v>52</v>
      </c>
      <c r="E130" s="31"/>
      <c r="F130" s="12" t="str">
        <f>IFERROR(""&amp;_xlfn.XLOOKUP(FT_RF_26[[#This Row],[Código]],BD_Cod[SKU],BD_Cod[Descripción]),"")</f>
        <v/>
      </c>
      <c r="G130" s="32" t="str">
        <f>IFERROR(""&amp;_xlfn.XLOOKUP(FT_RF_26[[#This Row],[Código]],BD_Cod[SKU],BD_Cod[Familia Calidad]),"")</f>
        <v/>
      </c>
      <c r="J130" s="33">
        <v>1000</v>
      </c>
      <c r="L130" s="30" t="s">
        <v>244</v>
      </c>
      <c r="O130" s="30" t="s">
        <v>894</v>
      </c>
      <c r="P130" s="29" t="s">
        <v>894</v>
      </c>
      <c r="Q130" s="37">
        <f>1-FT_RF_26[[#This Row],[% Defectos]]</f>
        <v>1</v>
      </c>
      <c r="R130" s="38">
        <v>0</v>
      </c>
      <c r="S130" s="39">
        <f>+IFERROR((FT_RF_26[[#This Row],[Inmadura]]/FT_RF_26[[#This Row],[Muestra]]),"0")</f>
        <v>0</v>
      </c>
      <c r="T130" s="38">
        <v>0</v>
      </c>
      <c r="U130" s="39">
        <f>+IFERROR((FT_RF_26[[#This Row],[Partidas]]/FT_RF_26[[#This Row],[Muestra]]),"0")</f>
        <v>0</v>
      </c>
      <c r="V130" s="38">
        <v>0</v>
      </c>
      <c r="W130" s="39">
        <f>+IFERROR((FT_RF_26[[#This Row],[Daño Insecto]]/FT_RF_26[[#This Row],[Muestra]]),"0")</f>
        <v>0</v>
      </c>
      <c r="X130" s="38">
        <v>0</v>
      </c>
      <c r="Y130" s="39">
        <f>+IFERROR((FT_RF_26[[#This Row],[Sobremadura]]/FT_RF_26[[#This Row],[Muestra]]),"0")</f>
        <v>0</v>
      </c>
      <c r="Z130" s="38">
        <v>0</v>
      </c>
      <c r="AA130" s="39">
        <f>+IFERROR((FT_RF_26[[#This Row],[Deforme]]/FT_RF_26[[#This Row],[Muestra]]),"0")</f>
        <v>0</v>
      </c>
      <c r="AB130" s="27"/>
      <c r="AC130" s="38">
        <v>0</v>
      </c>
      <c r="AD130" s="39">
        <f>+IFERROR((FT_RF_26[[#This Row],[Valor Extra 1]]/FT_RF_26[[#This Row],[Muestra]]),"0")</f>
        <v>0</v>
      </c>
      <c r="AF130" s="38">
        <v>0</v>
      </c>
      <c r="AG130" s="39">
        <f>+IFERROR((FT_RF_26[[#This Row],[Valor Extra 2]]/FT_RF_26[[#This Row],[Muestra]]),"0")</f>
        <v>0</v>
      </c>
      <c r="AH130" s="40">
        <v>0</v>
      </c>
      <c r="AI130" s="39">
        <f>+IFERROR((FT_RF_26[[#This Row],[Hongos]]/FT_RF_26[[#This Row],[Muestra]]),"0")</f>
        <v>0</v>
      </c>
      <c r="AJ130" s="38">
        <v>0</v>
      </c>
      <c r="AK130" s="39">
        <f>+IFERROR((FT_RF_26[[#This Row],[Block]]/FT_RF_26[[#This Row],[Muestra]]),"0")</f>
        <v>0</v>
      </c>
      <c r="AL130" s="41">
        <v>0</v>
      </c>
      <c r="AM130" s="42">
        <v>0</v>
      </c>
      <c r="AN130" s="38">
        <v>0</v>
      </c>
      <c r="AO130" s="39">
        <f>+IFERROR((FT_RF_26[[#This Row],[Fuera de calibre &lt;12mm]]/FT_RF_26[[#This Row],[Muestra]]),"0")</f>
        <v>0</v>
      </c>
      <c r="AP130" s="38">
        <v>0</v>
      </c>
      <c r="AQ130" s="39">
        <f>+IFERROR((FT_RF_26[[#This Row],[Calibre &lt;25]]/FT_RF_26[[#This Row],[Muestra]]),"0")</f>
        <v>0</v>
      </c>
      <c r="AR130" s="38">
        <v>0</v>
      </c>
      <c r="AS130" s="39">
        <f>+IFERROR((FT_RF_26[[#This Row],[Calibre &gt;12]]/FT_RF_26[[#This Row],[Muestra]]),"0")</f>
        <v>0</v>
      </c>
      <c r="AT130" s="38">
        <v>0</v>
      </c>
      <c r="AU130" s="39">
        <f>+IFERROR((FT_RF_26[[#This Row],[Calibre &lt;14]]/FT_RF_26[[#This Row],[Muestra]]),"0")</f>
        <v>0</v>
      </c>
      <c r="AV130" s="38">
        <v>0</v>
      </c>
      <c r="AW130" s="39">
        <f>+IFERROR((FT_RF_26[[#This Row],[Calibre &gt;14]]/FT_RF_26[[#This Row],[Muestra]]),"0")</f>
        <v>0</v>
      </c>
      <c r="AX130" s="38">
        <v>0</v>
      </c>
      <c r="AY130" s="39">
        <f>+IFERROR((FT_RF_26[[#This Row],[Calibre &lt;10]]/FT_RF_26[[#This Row],[Muestra]]),"0")</f>
        <v>0</v>
      </c>
      <c r="AZ130" s="38">
        <v>0</v>
      </c>
      <c r="BA130" s="39">
        <f>+IFERROR((FT_RF_26[[#This Row],[Calibre &gt;13]]/FT_RF_26[[#This Row],[Muestra]]),"0")</f>
        <v>0</v>
      </c>
      <c r="BB130" s="41"/>
      <c r="BG130" s="42"/>
      <c r="BH130" s="43">
        <v>0</v>
      </c>
      <c r="BI130" s="29" t="s">
        <v>894</v>
      </c>
      <c r="BJ130" s="29" t="s">
        <v>894</v>
      </c>
      <c r="BK13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3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30" s="45">
        <f>1-FT_RF_26[[#This Row],[% Defectos]]</f>
        <v>1</v>
      </c>
      <c r="BO130" s="60"/>
      <c r="BP130" s="12">
        <f>SUM(FT_RF_26[[#This Row],[Hoja (Un.)]:[Larvas Caja]])</f>
        <v>0</v>
      </c>
      <c r="BQ130" s="12">
        <f>SUM(FT_RF_26[[#This Row],[Vidrios]:[Plástico]])</f>
        <v>0</v>
      </c>
      <c r="BR130" s="12" t="str">
        <f>IF(ISBLANK(FT_RF_26[[#This Row],[Descripción del producto]]),"",FT_RF_26[[#This Row],[Descripción del producto]])</f>
        <v/>
      </c>
      <c r="BS130" s="29" t="str">
        <f>IF(ISBLANK(FT_RF_26[[#This Row],[N° de Lote]]),"",FT_RF_26[[#This Row],[N° de Lote]])</f>
        <v/>
      </c>
      <c r="BT130" s="29" t="str">
        <f>IF(ISBLANK(FT_RF_26[[#This Row],[N° de Pallet]]),"",FT_RF_26[[#This Row],[N° de Pallet]])</f>
        <v/>
      </c>
    </row>
    <row r="131" spans="2:72">
      <c r="B131" s="29">
        <f>+_xlfn.ISOWEEKNUM(FT_RF_26[[#This Row],[Fecha]])</f>
        <v>52</v>
      </c>
      <c r="E131" s="31"/>
      <c r="F131" s="12" t="str">
        <f>IFERROR(""&amp;_xlfn.XLOOKUP(FT_RF_26[[#This Row],[Código]],BD_Cod[SKU],BD_Cod[Descripción]),"")</f>
        <v/>
      </c>
      <c r="G131" s="32" t="str">
        <f>IFERROR(""&amp;_xlfn.XLOOKUP(FT_RF_26[[#This Row],[Código]],BD_Cod[SKU],BD_Cod[Familia Calidad]),"")</f>
        <v/>
      </c>
      <c r="J131" s="33">
        <v>1000</v>
      </c>
      <c r="L131" s="30" t="s">
        <v>244</v>
      </c>
      <c r="O131" s="30" t="s">
        <v>894</v>
      </c>
      <c r="P131" s="29" t="s">
        <v>894</v>
      </c>
      <c r="Q131" s="37">
        <f>1-FT_RF_26[[#This Row],[% Defectos]]</f>
        <v>1</v>
      </c>
      <c r="R131" s="38">
        <v>0</v>
      </c>
      <c r="S131" s="39">
        <f>+IFERROR((FT_RF_26[[#This Row],[Inmadura]]/FT_RF_26[[#This Row],[Muestra]]),"0")</f>
        <v>0</v>
      </c>
      <c r="T131" s="38">
        <v>0</v>
      </c>
      <c r="U131" s="39">
        <f>+IFERROR((FT_RF_26[[#This Row],[Partidas]]/FT_RF_26[[#This Row],[Muestra]]),"0")</f>
        <v>0</v>
      </c>
      <c r="V131" s="38">
        <v>0</v>
      </c>
      <c r="W131" s="39">
        <f>+IFERROR((FT_RF_26[[#This Row],[Daño Insecto]]/FT_RF_26[[#This Row],[Muestra]]),"0")</f>
        <v>0</v>
      </c>
      <c r="X131" s="38">
        <v>0</v>
      </c>
      <c r="Y131" s="39">
        <f>+IFERROR((FT_RF_26[[#This Row],[Sobremadura]]/FT_RF_26[[#This Row],[Muestra]]),"0")</f>
        <v>0</v>
      </c>
      <c r="Z131" s="38">
        <v>0</v>
      </c>
      <c r="AA131" s="39">
        <f>+IFERROR((FT_RF_26[[#This Row],[Deforme]]/FT_RF_26[[#This Row],[Muestra]]),"0")</f>
        <v>0</v>
      </c>
      <c r="AB131" s="27"/>
      <c r="AC131" s="38">
        <v>0</v>
      </c>
      <c r="AD131" s="39">
        <f>+IFERROR((FT_RF_26[[#This Row],[Valor Extra 1]]/FT_RF_26[[#This Row],[Muestra]]),"0")</f>
        <v>0</v>
      </c>
      <c r="AF131" s="38">
        <v>0</v>
      </c>
      <c r="AG131" s="39">
        <f>+IFERROR((FT_RF_26[[#This Row],[Valor Extra 2]]/FT_RF_26[[#This Row],[Muestra]]),"0")</f>
        <v>0</v>
      </c>
      <c r="AH131" s="40">
        <v>0</v>
      </c>
      <c r="AI131" s="39">
        <f>+IFERROR((FT_RF_26[[#This Row],[Hongos]]/FT_RF_26[[#This Row],[Muestra]]),"0")</f>
        <v>0</v>
      </c>
      <c r="AJ131" s="38">
        <v>0</v>
      </c>
      <c r="AK131" s="39">
        <f>+IFERROR((FT_RF_26[[#This Row],[Block]]/FT_RF_26[[#This Row],[Muestra]]),"0")</f>
        <v>0</v>
      </c>
      <c r="AL131" s="41">
        <v>0</v>
      </c>
      <c r="AM131" s="42">
        <v>0</v>
      </c>
      <c r="AN131" s="38">
        <v>0</v>
      </c>
      <c r="AO131" s="39">
        <f>+IFERROR((FT_RF_26[[#This Row],[Fuera de calibre &lt;12mm]]/FT_RF_26[[#This Row],[Muestra]]),"0")</f>
        <v>0</v>
      </c>
      <c r="AP131" s="38">
        <v>0</v>
      </c>
      <c r="AQ131" s="39">
        <f>+IFERROR((FT_RF_26[[#This Row],[Calibre &lt;25]]/FT_RF_26[[#This Row],[Muestra]]),"0")</f>
        <v>0</v>
      </c>
      <c r="AR131" s="38">
        <v>0</v>
      </c>
      <c r="AS131" s="39">
        <f>+IFERROR((FT_RF_26[[#This Row],[Calibre &gt;12]]/FT_RF_26[[#This Row],[Muestra]]),"0")</f>
        <v>0</v>
      </c>
      <c r="AT131" s="38">
        <v>0</v>
      </c>
      <c r="AU131" s="39">
        <f>+IFERROR((FT_RF_26[[#This Row],[Calibre &lt;14]]/FT_RF_26[[#This Row],[Muestra]]),"0")</f>
        <v>0</v>
      </c>
      <c r="AV131" s="38">
        <v>0</v>
      </c>
      <c r="AW131" s="39">
        <f>+IFERROR((FT_RF_26[[#This Row],[Calibre &gt;14]]/FT_RF_26[[#This Row],[Muestra]]),"0")</f>
        <v>0</v>
      </c>
      <c r="AX131" s="38">
        <v>0</v>
      </c>
      <c r="AY131" s="39">
        <f>+IFERROR((FT_RF_26[[#This Row],[Calibre &lt;10]]/FT_RF_26[[#This Row],[Muestra]]),"0")</f>
        <v>0</v>
      </c>
      <c r="AZ131" s="38">
        <v>0</v>
      </c>
      <c r="BA131" s="39">
        <f>+IFERROR((FT_RF_26[[#This Row],[Calibre &gt;13]]/FT_RF_26[[#This Row],[Muestra]]),"0")</f>
        <v>0</v>
      </c>
      <c r="BB131" s="41"/>
      <c r="BG131" s="42"/>
      <c r="BH131" s="43">
        <v>0</v>
      </c>
      <c r="BI131" s="29" t="s">
        <v>894</v>
      </c>
      <c r="BJ131" s="29" t="s">
        <v>894</v>
      </c>
      <c r="BK13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3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31" s="45">
        <f>1-FT_RF_26[[#This Row],[% Defectos]]</f>
        <v>1</v>
      </c>
      <c r="BO131" s="60"/>
      <c r="BP131" s="12">
        <f>SUM(FT_RF_26[[#This Row],[Hoja (Un.)]:[Larvas Caja]])</f>
        <v>0</v>
      </c>
      <c r="BQ131" s="12">
        <f>SUM(FT_RF_26[[#This Row],[Vidrios]:[Plástico]])</f>
        <v>0</v>
      </c>
      <c r="BR131" s="12" t="str">
        <f>IF(ISBLANK(FT_RF_26[[#This Row],[Descripción del producto]]),"",FT_RF_26[[#This Row],[Descripción del producto]])</f>
        <v/>
      </c>
      <c r="BS131" s="29" t="str">
        <f>IF(ISBLANK(FT_RF_26[[#This Row],[N° de Lote]]),"",FT_RF_26[[#This Row],[N° de Lote]])</f>
        <v/>
      </c>
      <c r="BT131" s="29" t="str">
        <f>IF(ISBLANK(FT_RF_26[[#This Row],[N° de Pallet]]),"",FT_RF_26[[#This Row],[N° de Pallet]])</f>
        <v/>
      </c>
    </row>
    <row r="132" spans="2:72">
      <c r="B132" s="29">
        <f>+_xlfn.ISOWEEKNUM(FT_RF_26[[#This Row],[Fecha]])</f>
        <v>52</v>
      </c>
      <c r="E132" s="31"/>
      <c r="F132" s="12" t="str">
        <f>IFERROR(""&amp;_xlfn.XLOOKUP(FT_RF_26[[#This Row],[Código]],BD_Cod[SKU],BD_Cod[Descripción]),"")</f>
        <v/>
      </c>
      <c r="G132" s="32" t="str">
        <f>IFERROR(""&amp;_xlfn.XLOOKUP(FT_RF_26[[#This Row],[Código]],BD_Cod[SKU],BD_Cod[Familia Calidad]),"")</f>
        <v/>
      </c>
      <c r="J132" s="33">
        <v>1000</v>
      </c>
      <c r="L132" s="30" t="s">
        <v>244</v>
      </c>
      <c r="O132" s="30" t="s">
        <v>894</v>
      </c>
      <c r="P132" s="29" t="s">
        <v>894</v>
      </c>
      <c r="Q132" s="37">
        <f>1-FT_RF_26[[#This Row],[% Defectos]]</f>
        <v>1</v>
      </c>
      <c r="R132" s="38">
        <v>0</v>
      </c>
      <c r="S132" s="39">
        <f>+IFERROR((FT_RF_26[[#This Row],[Inmadura]]/FT_RF_26[[#This Row],[Muestra]]),"0")</f>
        <v>0</v>
      </c>
      <c r="T132" s="38">
        <v>0</v>
      </c>
      <c r="U132" s="39">
        <f>+IFERROR((FT_RF_26[[#This Row],[Partidas]]/FT_RF_26[[#This Row],[Muestra]]),"0")</f>
        <v>0</v>
      </c>
      <c r="V132" s="38">
        <v>0</v>
      </c>
      <c r="W132" s="39">
        <f>+IFERROR((FT_RF_26[[#This Row],[Daño Insecto]]/FT_RF_26[[#This Row],[Muestra]]),"0")</f>
        <v>0</v>
      </c>
      <c r="X132" s="38">
        <v>0</v>
      </c>
      <c r="Y132" s="39">
        <f>+IFERROR((FT_RF_26[[#This Row],[Sobremadura]]/FT_RF_26[[#This Row],[Muestra]]),"0")</f>
        <v>0</v>
      </c>
      <c r="Z132" s="38">
        <v>0</v>
      </c>
      <c r="AA132" s="39">
        <f>+IFERROR((FT_RF_26[[#This Row],[Deforme]]/FT_RF_26[[#This Row],[Muestra]]),"0")</f>
        <v>0</v>
      </c>
      <c r="AB132" s="27"/>
      <c r="AC132" s="38">
        <v>0</v>
      </c>
      <c r="AD132" s="39">
        <f>+IFERROR((FT_RF_26[[#This Row],[Valor Extra 1]]/FT_RF_26[[#This Row],[Muestra]]),"0")</f>
        <v>0</v>
      </c>
      <c r="AF132" s="38">
        <v>0</v>
      </c>
      <c r="AG132" s="39">
        <f>+IFERROR((FT_RF_26[[#This Row],[Valor Extra 2]]/FT_RF_26[[#This Row],[Muestra]]),"0")</f>
        <v>0</v>
      </c>
      <c r="AH132" s="40">
        <v>0</v>
      </c>
      <c r="AI132" s="39">
        <f>+IFERROR((FT_RF_26[[#This Row],[Hongos]]/FT_RF_26[[#This Row],[Muestra]]),"0")</f>
        <v>0</v>
      </c>
      <c r="AJ132" s="38">
        <v>0</v>
      </c>
      <c r="AK132" s="39">
        <f>+IFERROR((FT_RF_26[[#This Row],[Block]]/FT_RF_26[[#This Row],[Muestra]]),"0")</f>
        <v>0</v>
      </c>
      <c r="AL132" s="41">
        <v>0</v>
      </c>
      <c r="AM132" s="42">
        <v>0</v>
      </c>
      <c r="AN132" s="38">
        <v>0</v>
      </c>
      <c r="AO132" s="39">
        <f>+IFERROR((FT_RF_26[[#This Row],[Fuera de calibre &lt;12mm]]/FT_RF_26[[#This Row],[Muestra]]),"0")</f>
        <v>0</v>
      </c>
      <c r="AP132" s="38">
        <v>0</v>
      </c>
      <c r="AQ132" s="39">
        <f>+IFERROR((FT_RF_26[[#This Row],[Calibre &lt;25]]/FT_RF_26[[#This Row],[Muestra]]),"0")</f>
        <v>0</v>
      </c>
      <c r="AR132" s="38">
        <v>0</v>
      </c>
      <c r="AS132" s="39">
        <f>+IFERROR((FT_RF_26[[#This Row],[Calibre &gt;12]]/FT_RF_26[[#This Row],[Muestra]]),"0")</f>
        <v>0</v>
      </c>
      <c r="AT132" s="38">
        <v>0</v>
      </c>
      <c r="AU132" s="39">
        <f>+IFERROR((FT_RF_26[[#This Row],[Calibre &lt;14]]/FT_RF_26[[#This Row],[Muestra]]),"0")</f>
        <v>0</v>
      </c>
      <c r="AV132" s="38">
        <v>0</v>
      </c>
      <c r="AW132" s="39">
        <f>+IFERROR((FT_RF_26[[#This Row],[Calibre &gt;14]]/FT_RF_26[[#This Row],[Muestra]]),"0")</f>
        <v>0</v>
      </c>
      <c r="AX132" s="38">
        <v>0</v>
      </c>
      <c r="AY132" s="39">
        <f>+IFERROR((FT_RF_26[[#This Row],[Calibre &lt;10]]/FT_RF_26[[#This Row],[Muestra]]),"0")</f>
        <v>0</v>
      </c>
      <c r="AZ132" s="38">
        <v>0</v>
      </c>
      <c r="BA132" s="39">
        <f>+IFERROR((FT_RF_26[[#This Row],[Calibre &gt;13]]/FT_RF_26[[#This Row],[Muestra]]),"0")</f>
        <v>0</v>
      </c>
      <c r="BB132" s="41"/>
      <c r="BG132" s="42"/>
      <c r="BH132" s="43">
        <v>0</v>
      </c>
      <c r="BI132" s="29" t="s">
        <v>894</v>
      </c>
      <c r="BJ132" s="29" t="s">
        <v>894</v>
      </c>
      <c r="BK13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3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32" s="45">
        <f>1-FT_RF_26[[#This Row],[% Defectos]]</f>
        <v>1</v>
      </c>
      <c r="BO132" s="60"/>
      <c r="BP132" s="12">
        <f>SUM(FT_RF_26[[#This Row],[Hoja (Un.)]:[Larvas Caja]])</f>
        <v>0</v>
      </c>
      <c r="BQ132" s="12">
        <f>SUM(FT_RF_26[[#This Row],[Vidrios]:[Plástico]])</f>
        <v>0</v>
      </c>
      <c r="BR132" s="12" t="str">
        <f>IF(ISBLANK(FT_RF_26[[#This Row],[Descripción del producto]]),"",FT_RF_26[[#This Row],[Descripción del producto]])</f>
        <v/>
      </c>
      <c r="BS132" s="29" t="str">
        <f>IF(ISBLANK(FT_RF_26[[#This Row],[N° de Lote]]),"",FT_RF_26[[#This Row],[N° de Lote]])</f>
        <v/>
      </c>
      <c r="BT132" s="29" t="str">
        <f>IF(ISBLANK(FT_RF_26[[#This Row],[N° de Pallet]]),"",FT_RF_26[[#This Row],[N° de Pallet]])</f>
        <v/>
      </c>
    </row>
    <row r="133" spans="2:72">
      <c r="B133" s="29">
        <f>+_xlfn.ISOWEEKNUM(FT_RF_26[[#This Row],[Fecha]])</f>
        <v>52</v>
      </c>
      <c r="E133" s="31"/>
      <c r="F133" s="12" t="str">
        <f>IFERROR(""&amp;_xlfn.XLOOKUP(FT_RF_26[[#This Row],[Código]],BD_Cod[SKU],BD_Cod[Descripción]),"")</f>
        <v/>
      </c>
      <c r="G133" s="32" t="str">
        <f>IFERROR(""&amp;_xlfn.XLOOKUP(FT_RF_26[[#This Row],[Código]],BD_Cod[SKU],BD_Cod[Familia Calidad]),"")</f>
        <v/>
      </c>
      <c r="J133" s="33">
        <v>1000</v>
      </c>
      <c r="L133" s="30" t="s">
        <v>244</v>
      </c>
      <c r="O133" s="30" t="s">
        <v>894</v>
      </c>
      <c r="P133" s="29" t="s">
        <v>894</v>
      </c>
      <c r="Q133" s="37">
        <f>1-FT_RF_26[[#This Row],[% Defectos]]</f>
        <v>1</v>
      </c>
      <c r="R133" s="38">
        <v>0</v>
      </c>
      <c r="S133" s="39">
        <f>+IFERROR((FT_RF_26[[#This Row],[Inmadura]]/FT_RF_26[[#This Row],[Muestra]]),"0")</f>
        <v>0</v>
      </c>
      <c r="T133" s="38">
        <v>0</v>
      </c>
      <c r="U133" s="39">
        <f>+IFERROR((FT_RF_26[[#This Row],[Partidas]]/FT_RF_26[[#This Row],[Muestra]]),"0")</f>
        <v>0</v>
      </c>
      <c r="V133" s="38">
        <v>0</v>
      </c>
      <c r="W133" s="39">
        <f>+IFERROR((FT_RF_26[[#This Row],[Daño Insecto]]/FT_RF_26[[#This Row],[Muestra]]),"0")</f>
        <v>0</v>
      </c>
      <c r="X133" s="38">
        <v>0</v>
      </c>
      <c r="Y133" s="39">
        <f>+IFERROR((FT_RF_26[[#This Row],[Sobremadura]]/FT_RF_26[[#This Row],[Muestra]]),"0")</f>
        <v>0</v>
      </c>
      <c r="Z133" s="38">
        <v>0</v>
      </c>
      <c r="AA133" s="39">
        <f>+IFERROR((FT_RF_26[[#This Row],[Deforme]]/FT_RF_26[[#This Row],[Muestra]]),"0")</f>
        <v>0</v>
      </c>
      <c r="AB133" s="27"/>
      <c r="AC133" s="38">
        <v>0</v>
      </c>
      <c r="AD133" s="39">
        <f>+IFERROR((FT_RF_26[[#This Row],[Valor Extra 1]]/FT_RF_26[[#This Row],[Muestra]]),"0")</f>
        <v>0</v>
      </c>
      <c r="AF133" s="38">
        <v>0</v>
      </c>
      <c r="AG133" s="39">
        <f>+IFERROR((FT_RF_26[[#This Row],[Valor Extra 2]]/FT_RF_26[[#This Row],[Muestra]]),"0")</f>
        <v>0</v>
      </c>
      <c r="AH133" s="40">
        <v>0</v>
      </c>
      <c r="AI133" s="39">
        <f>+IFERROR((FT_RF_26[[#This Row],[Hongos]]/FT_RF_26[[#This Row],[Muestra]]),"0")</f>
        <v>0</v>
      </c>
      <c r="AJ133" s="38">
        <v>0</v>
      </c>
      <c r="AK133" s="39">
        <f>+IFERROR((FT_RF_26[[#This Row],[Block]]/FT_RF_26[[#This Row],[Muestra]]),"0")</f>
        <v>0</v>
      </c>
      <c r="AL133" s="41">
        <v>0</v>
      </c>
      <c r="AM133" s="42">
        <v>0</v>
      </c>
      <c r="AN133" s="38">
        <v>0</v>
      </c>
      <c r="AO133" s="39">
        <f>+IFERROR((FT_RF_26[[#This Row],[Fuera de calibre &lt;12mm]]/FT_RF_26[[#This Row],[Muestra]]),"0")</f>
        <v>0</v>
      </c>
      <c r="AP133" s="38">
        <v>0</v>
      </c>
      <c r="AQ133" s="39">
        <f>+IFERROR((FT_RF_26[[#This Row],[Calibre &lt;25]]/FT_RF_26[[#This Row],[Muestra]]),"0")</f>
        <v>0</v>
      </c>
      <c r="AR133" s="38">
        <v>0</v>
      </c>
      <c r="AS133" s="39">
        <f>+IFERROR((FT_RF_26[[#This Row],[Calibre &gt;12]]/FT_RF_26[[#This Row],[Muestra]]),"0")</f>
        <v>0</v>
      </c>
      <c r="AT133" s="38">
        <v>0</v>
      </c>
      <c r="AU133" s="39">
        <f>+IFERROR((FT_RF_26[[#This Row],[Calibre &lt;14]]/FT_RF_26[[#This Row],[Muestra]]),"0")</f>
        <v>0</v>
      </c>
      <c r="AV133" s="38">
        <v>0</v>
      </c>
      <c r="AW133" s="39">
        <f>+IFERROR((FT_RF_26[[#This Row],[Calibre &gt;14]]/FT_RF_26[[#This Row],[Muestra]]),"0")</f>
        <v>0</v>
      </c>
      <c r="AX133" s="38">
        <v>0</v>
      </c>
      <c r="AY133" s="39">
        <f>+IFERROR((FT_RF_26[[#This Row],[Calibre &lt;10]]/FT_RF_26[[#This Row],[Muestra]]),"0")</f>
        <v>0</v>
      </c>
      <c r="AZ133" s="38">
        <v>0</v>
      </c>
      <c r="BA133" s="39">
        <f>+IFERROR((FT_RF_26[[#This Row],[Calibre &gt;13]]/FT_RF_26[[#This Row],[Muestra]]),"0")</f>
        <v>0</v>
      </c>
      <c r="BB133" s="41"/>
      <c r="BG133" s="42"/>
      <c r="BH133" s="43">
        <v>0</v>
      </c>
      <c r="BI133" s="29" t="s">
        <v>894</v>
      </c>
      <c r="BJ133" s="29" t="s">
        <v>894</v>
      </c>
      <c r="BK13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3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33" s="45">
        <f>1-FT_RF_26[[#This Row],[% Defectos]]</f>
        <v>1</v>
      </c>
      <c r="BO133" s="60"/>
      <c r="BP133" s="12">
        <f>SUM(FT_RF_26[[#This Row],[Hoja (Un.)]:[Larvas Caja]])</f>
        <v>0</v>
      </c>
      <c r="BQ133" s="12">
        <f>SUM(FT_RF_26[[#This Row],[Vidrios]:[Plástico]])</f>
        <v>0</v>
      </c>
      <c r="BR133" s="12" t="str">
        <f>IF(ISBLANK(FT_RF_26[[#This Row],[Descripción del producto]]),"",FT_RF_26[[#This Row],[Descripción del producto]])</f>
        <v/>
      </c>
      <c r="BS133" s="29" t="str">
        <f>IF(ISBLANK(FT_RF_26[[#This Row],[N° de Lote]]),"",FT_RF_26[[#This Row],[N° de Lote]])</f>
        <v/>
      </c>
      <c r="BT133" s="29" t="str">
        <f>IF(ISBLANK(FT_RF_26[[#This Row],[N° de Pallet]]),"",FT_RF_26[[#This Row],[N° de Pallet]])</f>
        <v/>
      </c>
    </row>
    <row r="134" spans="2:72">
      <c r="B134" s="29">
        <f>+_xlfn.ISOWEEKNUM(FT_RF_26[[#This Row],[Fecha]])</f>
        <v>52</v>
      </c>
      <c r="E134" s="31"/>
      <c r="F134" s="12" t="str">
        <f>IFERROR(""&amp;_xlfn.XLOOKUP(FT_RF_26[[#This Row],[Código]],BD_Cod[SKU],BD_Cod[Descripción]),"")</f>
        <v/>
      </c>
      <c r="G134" s="32" t="str">
        <f>IFERROR(""&amp;_xlfn.XLOOKUP(FT_RF_26[[#This Row],[Código]],BD_Cod[SKU],BD_Cod[Familia Calidad]),"")</f>
        <v/>
      </c>
      <c r="J134" s="33">
        <v>1000</v>
      </c>
      <c r="L134" s="30" t="s">
        <v>244</v>
      </c>
      <c r="O134" s="30" t="s">
        <v>894</v>
      </c>
      <c r="P134" s="29" t="s">
        <v>894</v>
      </c>
      <c r="Q134" s="37">
        <f>1-FT_RF_26[[#This Row],[% Defectos]]</f>
        <v>1</v>
      </c>
      <c r="R134" s="38">
        <v>0</v>
      </c>
      <c r="S134" s="39">
        <f>+IFERROR((FT_RF_26[[#This Row],[Inmadura]]/FT_RF_26[[#This Row],[Muestra]]),"0")</f>
        <v>0</v>
      </c>
      <c r="T134" s="38">
        <v>0</v>
      </c>
      <c r="U134" s="39">
        <f>+IFERROR((FT_RF_26[[#This Row],[Partidas]]/FT_RF_26[[#This Row],[Muestra]]),"0")</f>
        <v>0</v>
      </c>
      <c r="V134" s="38">
        <v>0</v>
      </c>
      <c r="W134" s="39">
        <f>+IFERROR((FT_RF_26[[#This Row],[Daño Insecto]]/FT_RF_26[[#This Row],[Muestra]]),"0")</f>
        <v>0</v>
      </c>
      <c r="X134" s="38">
        <v>0</v>
      </c>
      <c r="Y134" s="39">
        <f>+IFERROR((FT_RF_26[[#This Row],[Sobremadura]]/FT_RF_26[[#This Row],[Muestra]]),"0")</f>
        <v>0</v>
      </c>
      <c r="Z134" s="38">
        <v>0</v>
      </c>
      <c r="AA134" s="39">
        <f>+IFERROR((FT_RF_26[[#This Row],[Deforme]]/FT_RF_26[[#This Row],[Muestra]]),"0")</f>
        <v>0</v>
      </c>
      <c r="AB134" s="27"/>
      <c r="AC134" s="38">
        <v>0</v>
      </c>
      <c r="AD134" s="39">
        <f>+IFERROR((FT_RF_26[[#This Row],[Valor Extra 1]]/FT_RF_26[[#This Row],[Muestra]]),"0")</f>
        <v>0</v>
      </c>
      <c r="AF134" s="38">
        <v>0</v>
      </c>
      <c r="AG134" s="39">
        <f>+IFERROR((FT_RF_26[[#This Row],[Valor Extra 2]]/FT_RF_26[[#This Row],[Muestra]]),"0")</f>
        <v>0</v>
      </c>
      <c r="AH134" s="40">
        <v>0</v>
      </c>
      <c r="AI134" s="39">
        <f>+IFERROR((FT_RF_26[[#This Row],[Hongos]]/FT_RF_26[[#This Row],[Muestra]]),"0")</f>
        <v>0</v>
      </c>
      <c r="AJ134" s="38">
        <v>0</v>
      </c>
      <c r="AK134" s="39">
        <f>+IFERROR((FT_RF_26[[#This Row],[Block]]/FT_RF_26[[#This Row],[Muestra]]),"0")</f>
        <v>0</v>
      </c>
      <c r="AL134" s="41">
        <v>0</v>
      </c>
      <c r="AM134" s="42">
        <v>0</v>
      </c>
      <c r="AN134" s="38">
        <v>0</v>
      </c>
      <c r="AO134" s="39">
        <f>+IFERROR((FT_RF_26[[#This Row],[Fuera de calibre &lt;12mm]]/FT_RF_26[[#This Row],[Muestra]]),"0")</f>
        <v>0</v>
      </c>
      <c r="AP134" s="38">
        <v>0</v>
      </c>
      <c r="AQ134" s="39">
        <f>+IFERROR((FT_RF_26[[#This Row],[Calibre &lt;25]]/FT_RF_26[[#This Row],[Muestra]]),"0")</f>
        <v>0</v>
      </c>
      <c r="AR134" s="38">
        <v>0</v>
      </c>
      <c r="AS134" s="39">
        <f>+IFERROR((FT_RF_26[[#This Row],[Calibre &gt;12]]/FT_RF_26[[#This Row],[Muestra]]),"0")</f>
        <v>0</v>
      </c>
      <c r="AT134" s="38">
        <v>0</v>
      </c>
      <c r="AU134" s="39">
        <f>+IFERROR((FT_RF_26[[#This Row],[Calibre &lt;14]]/FT_RF_26[[#This Row],[Muestra]]),"0")</f>
        <v>0</v>
      </c>
      <c r="AV134" s="38">
        <v>0</v>
      </c>
      <c r="AW134" s="39">
        <f>+IFERROR((FT_RF_26[[#This Row],[Calibre &gt;14]]/FT_RF_26[[#This Row],[Muestra]]),"0")</f>
        <v>0</v>
      </c>
      <c r="AX134" s="38">
        <v>0</v>
      </c>
      <c r="AY134" s="39">
        <f>+IFERROR((FT_RF_26[[#This Row],[Calibre &lt;10]]/FT_RF_26[[#This Row],[Muestra]]),"0")</f>
        <v>0</v>
      </c>
      <c r="AZ134" s="38">
        <v>0</v>
      </c>
      <c r="BA134" s="39">
        <f>+IFERROR((FT_RF_26[[#This Row],[Calibre &gt;13]]/FT_RF_26[[#This Row],[Muestra]]),"0")</f>
        <v>0</v>
      </c>
      <c r="BB134" s="41"/>
      <c r="BG134" s="42"/>
      <c r="BH134" s="43">
        <v>0</v>
      </c>
      <c r="BI134" s="29" t="s">
        <v>894</v>
      </c>
      <c r="BJ134" s="29" t="s">
        <v>894</v>
      </c>
      <c r="BK13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3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34" s="45">
        <f>1-FT_RF_26[[#This Row],[% Defectos]]</f>
        <v>1</v>
      </c>
      <c r="BO134" s="60"/>
      <c r="BP134" s="12">
        <f>SUM(FT_RF_26[[#This Row],[Hoja (Un.)]:[Larvas Caja]])</f>
        <v>0</v>
      </c>
      <c r="BQ134" s="12">
        <f>SUM(FT_RF_26[[#This Row],[Vidrios]:[Plástico]])</f>
        <v>0</v>
      </c>
      <c r="BR134" s="12" t="str">
        <f>IF(ISBLANK(FT_RF_26[[#This Row],[Descripción del producto]]),"",FT_RF_26[[#This Row],[Descripción del producto]])</f>
        <v/>
      </c>
      <c r="BS134" s="29" t="str">
        <f>IF(ISBLANK(FT_RF_26[[#This Row],[N° de Lote]]),"",FT_RF_26[[#This Row],[N° de Lote]])</f>
        <v/>
      </c>
      <c r="BT134" s="29" t="str">
        <f>IF(ISBLANK(FT_RF_26[[#This Row],[N° de Pallet]]),"",FT_RF_26[[#This Row],[N° de Pallet]])</f>
        <v/>
      </c>
    </row>
    <row r="135" spans="2:72">
      <c r="B135" s="29">
        <f>+_xlfn.ISOWEEKNUM(FT_RF_26[[#This Row],[Fecha]])</f>
        <v>52</v>
      </c>
      <c r="E135" s="31"/>
      <c r="F135" s="12" t="str">
        <f>IFERROR(""&amp;_xlfn.XLOOKUP(FT_RF_26[[#This Row],[Código]],BD_Cod[SKU],BD_Cod[Descripción]),"")</f>
        <v/>
      </c>
      <c r="G135" s="32" t="str">
        <f>IFERROR(""&amp;_xlfn.XLOOKUP(FT_RF_26[[#This Row],[Código]],BD_Cod[SKU],BD_Cod[Familia Calidad]),"")</f>
        <v/>
      </c>
      <c r="J135" s="33">
        <v>1000</v>
      </c>
      <c r="L135" s="30" t="s">
        <v>244</v>
      </c>
      <c r="O135" s="30" t="s">
        <v>894</v>
      </c>
      <c r="P135" s="29" t="s">
        <v>894</v>
      </c>
      <c r="Q135" s="37">
        <f>1-FT_RF_26[[#This Row],[% Defectos]]</f>
        <v>1</v>
      </c>
      <c r="R135" s="38">
        <v>0</v>
      </c>
      <c r="S135" s="39">
        <f>+IFERROR((FT_RF_26[[#This Row],[Inmadura]]/FT_RF_26[[#This Row],[Muestra]]),"0")</f>
        <v>0</v>
      </c>
      <c r="T135" s="38">
        <v>0</v>
      </c>
      <c r="U135" s="39">
        <f>+IFERROR((FT_RF_26[[#This Row],[Partidas]]/FT_RF_26[[#This Row],[Muestra]]),"0")</f>
        <v>0</v>
      </c>
      <c r="V135" s="38">
        <v>0</v>
      </c>
      <c r="W135" s="39">
        <f>+IFERROR((FT_RF_26[[#This Row],[Daño Insecto]]/FT_RF_26[[#This Row],[Muestra]]),"0")</f>
        <v>0</v>
      </c>
      <c r="X135" s="38">
        <v>0</v>
      </c>
      <c r="Y135" s="39">
        <f>+IFERROR((FT_RF_26[[#This Row],[Sobremadura]]/FT_RF_26[[#This Row],[Muestra]]),"0")</f>
        <v>0</v>
      </c>
      <c r="Z135" s="38">
        <v>0</v>
      </c>
      <c r="AA135" s="39">
        <f>+IFERROR((FT_RF_26[[#This Row],[Deforme]]/FT_RF_26[[#This Row],[Muestra]]),"0")</f>
        <v>0</v>
      </c>
      <c r="AB135" s="27"/>
      <c r="AC135" s="38">
        <v>0</v>
      </c>
      <c r="AD135" s="39">
        <f>+IFERROR((FT_RF_26[[#This Row],[Valor Extra 1]]/FT_RF_26[[#This Row],[Muestra]]),"0")</f>
        <v>0</v>
      </c>
      <c r="AF135" s="38">
        <v>0</v>
      </c>
      <c r="AG135" s="39">
        <f>+IFERROR((FT_RF_26[[#This Row],[Valor Extra 2]]/FT_RF_26[[#This Row],[Muestra]]),"0")</f>
        <v>0</v>
      </c>
      <c r="AH135" s="40">
        <v>0</v>
      </c>
      <c r="AI135" s="39">
        <f>+IFERROR((FT_RF_26[[#This Row],[Hongos]]/FT_RF_26[[#This Row],[Muestra]]),"0")</f>
        <v>0</v>
      </c>
      <c r="AJ135" s="38">
        <v>0</v>
      </c>
      <c r="AK135" s="39">
        <f>+IFERROR((FT_RF_26[[#This Row],[Block]]/FT_RF_26[[#This Row],[Muestra]]),"0")</f>
        <v>0</v>
      </c>
      <c r="AL135" s="41">
        <v>0</v>
      </c>
      <c r="AM135" s="42">
        <v>0</v>
      </c>
      <c r="AN135" s="38">
        <v>0</v>
      </c>
      <c r="AO135" s="39">
        <f>+IFERROR((FT_RF_26[[#This Row],[Fuera de calibre &lt;12mm]]/FT_RF_26[[#This Row],[Muestra]]),"0")</f>
        <v>0</v>
      </c>
      <c r="AP135" s="38">
        <v>0</v>
      </c>
      <c r="AQ135" s="39">
        <f>+IFERROR((FT_RF_26[[#This Row],[Calibre &lt;25]]/FT_RF_26[[#This Row],[Muestra]]),"0")</f>
        <v>0</v>
      </c>
      <c r="AR135" s="38">
        <v>0</v>
      </c>
      <c r="AS135" s="39">
        <f>+IFERROR((FT_RF_26[[#This Row],[Calibre &gt;12]]/FT_RF_26[[#This Row],[Muestra]]),"0")</f>
        <v>0</v>
      </c>
      <c r="AT135" s="38">
        <v>0</v>
      </c>
      <c r="AU135" s="39">
        <f>+IFERROR((FT_RF_26[[#This Row],[Calibre &lt;14]]/FT_RF_26[[#This Row],[Muestra]]),"0")</f>
        <v>0</v>
      </c>
      <c r="AV135" s="38">
        <v>0</v>
      </c>
      <c r="AW135" s="39">
        <f>+IFERROR((FT_RF_26[[#This Row],[Calibre &gt;14]]/FT_RF_26[[#This Row],[Muestra]]),"0")</f>
        <v>0</v>
      </c>
      <c r="AX135" s="38">
        <v>0</v>
      </c>
      <c r="AY135" s="39">
        <f>+IFERROR((FT_RF_26[[#This Row],[Calibre &lt;10]]/FT_RF_26[[#This Row],[Muestra]]),"0")</f>
        <v>0</v>
      </c>
      <c r="AZ135" s="38">
        <v>0</v>
      </c>
      <c r="BA135" s="39">
        <f>+IFERROR((FT_RF_26[[#This Row],[Calibre &gt;13]]/FT_RF_26[[#This Row],[Muestra]]),"0")</f>
        <v>0</v>
      </c>
      <c r="BB135" s="41"/>
      <c r="BG135" s="42"/>
      <c r="BH135" s="43">
        <v>0</v>
      </c>
      <c r="BI135" s="29" t="s">
        <v>894</v>
      </c>
      <c r="BJ135" s="29" t="s">
        <v>894</v>
      </c>
      <c r="BK13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3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35" s="45">
        <f>1-FT_RF_26[[#This Row],[% Defectos]]</f>
        <v>1</v>
      </c>
      <c r="BO135" s="60"/>
      <c r="BP135" s="12">
        <f>SUM(FT_RF_26[[#This Row],[Hoja (Un.)]:[Larvas Caja]])</f>
        <v>0</v>
      </c>
      <c r="BQ135" s="12">
        <f>SUM(FT_RF_26[[#This Row],[Vidrios]:[Plástico]])</f>
        <v>0</v>
      </c>
      <c r="BR135" s="12" t="str">
        <f>IF(ISBLANK(FT_RF_26[[#This Row],[Descripción del producto]]),"",FT_RF_26[[#This Row],[Descripción del producto]])</f>
        <v/>
      </c>
      <c r="BS135" s="29" t="str">
        <f>IF(ISBLANK(FT_RF_26[[#This Row],[N° de Lote]]),"",FT_RF_26[[#This Row],[N° de Lote]])</f>
        <v/>
      </c>
      <c r="BT135" s="29" t="str">
        <f>IF(ISBLANK(FT_RF_26[[#This Row],[N° de Pallet]]),"",FT_RF_26[[#This Row],[N° de Pallet]])</f>
        <v/>
      </c>
    </row>
    <row r="136" spans="2:72">
      <c r="B136" s="29">
        <f>+_xlfn.ISOWEEKNUM(FT_RF_26[[#This Row],[Fecha]])</f>
        <v>52</v>
      </c>
      <c r="E136" s="31"/>
      <c r="F136" s="12" t="str">
        <f>IFERROR(""&amp;_xlfn.XLOOKUP(FT_RF_26[[#This Row],[Código]],BD_Cod[SKU],BD_Cod[Descripción]),"")</f>
        <v/>
      </c>
      <c r="G136" s="32" t="str">
        <f>IFERROR(""&amp;_xlfn.XLOOKUP(FT_RF_26[[#This Row],[Código]],BD_Cod[SKU],BD_Cod[Familia Calidad]),"")</f>
        <v/>
      </c>
      <c r="J136" s="33">
        <v>1000</v>
      </c>
      <c r="L136" s="30" t="s">
        <v>244</v>
      </c>
      <c r="O136" s="30" t="s">
        <v>894</v>
      </c>
      <c r="P136" s="29" t="s">
        <v>894</v>
      </c>
      <c r="Q136" s="37">
        <f>1-FT_RF_26[[#This Row],[% Defectos]]</f>
        <v>1</v>
      </c>
      <c r="R136" s="38">
        <v>0</v>
      </c>
      <c r="S136" s="39">
        <f>+IFERROR((FT_RF_26[[#This Row],[Inmadura]]/FT_RF_26[[#This Row],[Muestra]]),"0")</f>
        <v>0</v>
      </c>
      <c r="T136" s="38">
        <v>0</v>
      </c>
      <c r="U136" s="39">
        <f>+IFERROR((FT_RF_26[[#This Row],[Partidas]]/FT_RF_26[[#This Row],[Muestra]]),"0")</f>
        <v>0</v>
      </c>
      <c r="V136" s="38">
        <v>0</v>
      </c>
      <c r="W136" s="39">
        <f>+IFERROR((FT_RF_26[[#This Row],[Daño Insecto]]/FT_RF_26[[#This Row],[Muestra]]),"0")</f>
        <v>0</v>
      </c>
      <c r="X136" s="38">
        <v>0</v>
      </c>
      <c r="Y136" s="39">
        <f>+IFERROR((FT_RF_26[[#This Row],[Sobremadura]]/FT_RF_26[[#This Row],[Muestra]]),"0")</f>
        <v>0</v>
      </c>
      <c r="Z136" s="38">
        <v>0</v>
      </c>
      <c r="AA136" s="39">
        <f>+IFERROR((FT_RF_26[[#This Row],[Deforme]]/FT_RF_26[[#This Row],[Muestra]]),"0")</f>
        <v>0</v>
      </c>
      <c r="AB136" s="27"/>
      <c r="AC136" s="38">
        <v>0</v>
      </c>
      <c r="AD136" s="39">
        <f>+IFERROR((FT_RF_26[[#This Row],[Valor Extra 1]]/FT_RF_26[[#This Row],[Muestra]]),"0")</f>
        <v>0</v>
      </c>
      <c r="AF136" s="38">
        <v>0</v>
      </c>
      <c r="AG136" s="39">
        <f>+IFERROR((FT_RF_26[[#This Row],[Valor Extra 2]]/FT_RF_26[[#This Row],[Muestra]]),"0")</f>
        <v>0</v>
      </c>
      <c r="AH136" s="40">
        <v>0</v>
      </c>
      <c r="AI136" s="39">
        <f>+IFERROR((FT_RF_26[[#This Row],[Hongos]]/FT_RF_26[[#This Row],[Muestra]]),"0")</f>
        <v>0</v>
      </c>
      <c r="AJ136" s="38">
        <v>0</v>
      </c>
      <c r="AK136" s="39">
        <f>+IFERROR((FT_RF_26[[#This Row],[Block]]/FT_RF_26[[#This Row],[Muestra]]),"0")</f>
        <v>0</v>
      </c>
      <c r="AL136" s="41">
        <v>0</v>
      </c>
      <c r="AM136" s="42">
        <v>0</v>
      </c>
      <c r="AN136" s="38">
        <v>0</v>
      </c>
      <c r="AO136" s="39">
        <f>+IFERROR((FT_RF_26[[#This Row],[Fuera de calibre &lt;12mm]]/FT_RF_26[[#This Row],[Muestra]]),"0")</f>
        <v>0</v>
      </c>
      <c r="AP136" s="38">
        <v>0</v>
      </c>
      <c r="AQ136" s="39">
        <f>+IFERROR((FT_RF_26[[#This Row],[Calibre &lt;25]]/FT_RF_26[[#This Row],[Muestra]]),"0")</f>
        <v>0</v>
      </c>
      <c r="AR136" s="38">
        <v>0</v>
      </c>
      <c r="AS136" s="39">
        <f>+IFERROR((FT_RF_26[[#This Row],[Calibre &gt;12]]/FT_RF_26[[#This Row],[Muestra]]),"0")</f>
        <v>0</v>
      </c>
      <c r="AT136" s="38">
        <v>0</v>
      </c>
      <c r="AU136" s="39">
        <f>+IFERROR((FT_RF_26[[#This Row],[Calibre &lt;14]]/FT_RF_26[[#This Row],[Muestra]]),"0")</f>
        <v>0</v>
      </c>
      <c r="AV136" s="38">
        <v>0</v>
      </c>
      <c r="AW136" s="39">
        <f>+IFERROR((FT_RF_26[[#This Row],[Calibre &gt;14]]/FT_RF_26[[#This Row],[Muestra]]),"0")</f>
        <v>0</v>
      </c>
      <c r="AX136" s="38">
        <v>0</v>
      </c>
      <c r="AY136" s="39">
        <f>+IFERROR((FT_RF_26[[#This Row],[Calibre &lt;10]]/FT_RF_26[[#This Row],[Muestra]]),"0")</f>
        <v>0</v>
      </c>
      <c r="AZ136" s="38">
        <v>0</v>
      </c>
      <c r="BA136" s="39">
        <f>+IFERROR((FT_RF_26[[#This Row],[Calibre &gt;13]]/FT_RF_26[[#This Row],[Muestra]]),"0")</f>
        <v>0</v>
      </c>
      <c r="BB136" s="41"/>
      <c r="BG136" s="42"/>
      <c r="BH136" s="43">
        <v>0</v>
      </c>
      <c r="BI136" s="29" t="s">
        <v>894</v>
      </c>
      <c r="BJ136" s="29" t="s">
        <v>894</v>
      </c>
      <c r="BK13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3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36" s="45">
        <f>1-FT_RF_26[[#This Row],[% Defectos]]</f>
        <v>1</v>
      </c>
      <c r="BO136" s="60"/>
      <c r="BP136" s="12">
        <f>SUM(FT_RF_26[[#This Row],[Hoja (Un.)]:[Larvas Caja]])</f>
        <v>0</v>
      </c>
      <c r="BQ136" s="12">
        <f>SUM(FT_RF_26[[#This Row],[Vidrios]:[Plástico]])</f>
        <v>0</v>
      </c>
      <c r="BR136" s="12" t="str">
        <f>IF(ISBLANK(FT_RF_26[[#This Row],[Descripción del producto]]),"",FT_RF_26[[#This Row],[Descripción del producto]])</f>
        <v/>
      </c>
      <c r="BS136" s="29" t="str">
        <f>IF(ISBLANK(FT_RF_26[[#This Row],[N° de Lote]]),"",FT_RF_26[[#This Row],[N° de Lote]])</f>
        <v/>
      </c>
      <c r="BT136" s="29" t="str">
        <f>IF(ISBLANK(FT_RF_26[[#This Row],[N° de Pallet]]),"",FT_RF_26[[#This Row],[N° de Pallet]])</f>
        <v/>
      </c>
    </row>
    <row r="137" spans="2:72">
      <c r="B137" s="29">
        <f>+_xlfn.ISOWEEKNUM(FT_RF_26[[#This Row],[Fecha]])</f>
        <v>52</v>
      </c>
      <c r="E137" s="31"/>
      <c r="F137" s="12" t="str">
        <f>IFERROR(""&amp;_xlfn.XLOOKUP(FT_RF_26[[#This Row],[Código]],BD_Cod[SKU],BD_Cod[Descripción]),"")</f>
        <v/>
      </c>
      <c r="G137" s="32" t="str">
        <f>IFERROR(""&amp;_xlfn.XLOOKUP(FT_RF_26[[#This Row],[Código]],BD_Cod[SKU],BD_Cod[Familia Calidad]),"")</f>
        <v/>
      </c>
      <c r="J137" s="33">
        <v>1000</v>
      </c>
      <c r="L137" s="30" t="s">
        <v>244</v>
      </c>
      <c r="O137" s="30" t="s">
        <v>894</v>
      </c>
      <c r="P137" s="29" t="s">
        <v>894</v>
      </c>
      <c r="Q137" s="37">
        <f>1-FT_RF_26[[#This Row],[% Defectos]]</f>
        <v>1</v>
      </c>
      <c r="R137" s="38">
        <v>0</v>
      </c>
      <c r="S137" s="39">
        <f>+IFERROR((FT_RF_26[[#This Row],[Inmadura]]/FT_RF_26[[#This Row],[Muestra]]),"0")</f>
        <v>0</v>
      </c>
      <c r="T137" s="38">
        <v>0</v>
      </c>
      <c r="U137" s="39">
        <f>+IFERROR((FT_RF_26[[#This Row],[Partidas]]/FT_RF_26[[#This Row],[Muestra]]),"0")</f>
        <v>0</v>
      </c>
      <c r="V137" s="38">
        <v>0</v>
      </c>
      <c r="W137" s="39">
        <f>+IFERROR((FT_RF_26[[#This Row],[Daño Insecto]]/FT_RF_26[[#This Row],[Muestra]]),"0")</f>
        <v>0</v>
      </c>
      <c r="X137" s="38">
        <v>0</v>
      </c>
      <c r="Y137" s="39">
        <f>+IFERROR((FT_RF_26[[#This Row],[Sobremadura]]/FT_RF_26[[#This Row],[Muestra]]),"0")</f>
        <v>0</v>
      </c>
      <c r="Z137" s="38">
        <v>0</v>
      </c>
      <c r="AA137" s="39">
        <f>+IFERROR((FT_RF_26[[#This Row],[Deforme]]/FT_RF_26[[#This Row],[Muestra]]),"0")</f>
        <v>0</v>
      </c>
      <c r="AB137" s="27"/>
      <c r="AC137" s="38">
        <v>0</v>
      </c>
      <c r="AD137" s="39">
        <f>+IFERROR((FT_RF_26[[#This Row],[Valor Extra 1]]/FT_RF_26[[#This Row],[Muestra]]),"0")</f>
        <v>0</v>
      </c>
      <c r="AF137" s="38">
        <v>0</v>
      </c>
      <c r="AG137" s="39">
        <f>+IFERROR((FT_RF_26[[#This Row],[Valor Extra 2]]/FT_RF_26[[#This Row],[Muestra]]),"0")</f>
        <v>0</v>
      </c>
      <c r="AH137" s="40">
        <v>0</v>
      </c>
      <c r="AI137" s="39">
        <f>+IFERROR((FT_RF_26[[#This Row],[Hongos]]/FT_RF_26[[#This Row],[Muestra]]),"0")</f>
        <v>0</v>
      </c>
      <c r="AJ137" s="38">
        <v>0</v>
      </c>
      <c r="AK137" s="39">
        <f>+IFERROR((FT_RF_26[[#This Row],[Block]]/FT_RF_26[[#This Row],[Muestra]]),"0")</f>
        <v>0</v>
      </c>
      <c r="AL137" s="41">
        <v>0</v>
      </c>
      <c r="AM137" s="42">
        <v>0</v>
      </c>
      <c r="AN137" s="38">
        <v>0</v>
      </c>
      <c r="AO137" s="39">
        <f>+IFERROR((FT_RF_26[[#This Row],[Fuera de calibre &lt;12mm]]/FT_RF_26[[#This Row],[Muestra]]),"0")</f>
        <v>0</v>
      </c>
      <c r="AP137" s="38">
        <v>0</v>
      </c>
      <c r="AQ137" s="39">
        <f>+IFERROR((FT_RF_26[[#This Row],[Calibre &lt;25]]/FT_RF_26[[#This Row],[Muestra]]),"0")</f>
        <v>0</v>
      </c>
      <c r="AR137" s="38">
        <v>0</v>
      </c>
      <c r="AS137" s="39">
        <f>+IFERROR((FT_RF_26[[#This Row],[Calibre &gt;12]]/FT_RF_26[[#This Row],[Muestra]]),"0")</f>
        <v>0</v>
      </c>
      <c r="AT137" s="38">
        <v>0</v>
      </c>
      <c r="AU137" s="39">
        <f>+IFERROR((FT_RF_26[[#This Row],[Calibre &lt;14]]/FT_RF_26[[#This Row],[Muestra]]),"0")</f>
        <v>0</v>
      </c>
      <c r="AV137" s="38">
        <v>0</v>
      </c>
      <c r="AW137" s="39">
        <f>+IFERROR((FT_RF_26[[#This Row],[Calibre &gt;14]]/FT_RF_26[[#This Row],[Muestra]]),"0")</f>
        <v>0</v>
      </c>
      <c r="AX137" s="38">
        <v>0</v>
      </c>
      <c r="AY137" s="39">
        <f>+IFERROR((FT_RF_26[[#This Row],[Calibre &lt;10]]/FT_RF_26[[#This Row],[Muestra]]),"0")</f>
        <v>0</v>
      </c>
      <c r="AZ137" s="38">
        <v>0</v>
      </c>
      <c r="BA137" s="39">
        <f>+IFERROR((FT_RF_26[[#This Row],[Calibre &gt;13]]/FT_RF_26[[#This Row],[Muestra]]),"0")</f>
        <v>0</v>
      </c>
      <c r="BB137" s="41"/>
      <c r="BG137" s="42"/>
      <c r="BH137" s="43">
        <v>0</v>
      </c>
      <c r="BI137" s="29" t="s">
        <v>894</v>
      </c>
      <c r="BJ137" s="29" t="s">
        <v>894</v>
      </c>
      <c r="BK13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3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37" s="45">
        <f>1-FT_RF_26[[#This Row],[% Defectos]]</f>
        <v>1</v>
      </c>
      <c r="BO137" s="60"/>
      <c r="BP137" s="12">
        <f>SUM(FT_RF_26[[#This Row],[Hoja (Un.)]:[Larvas Caja]])</f>
        <v>0</v>
      </c>
      <c r="BQ137" s="12">
        <f>SUM(FT_RF_26[[#This Row],[Vidrios]:[Plástico]])</f>
        <v>0</v>
      </c>
      <c r="BR137" s="12" t="str">
        <f>IF(ISBLANK(FT_RF_26[[#This Row],[Descripción del producto]]),"",FT_RF_26[[#This Row],[Descripción del producto]])</f>
        <v/>
      </c>
      <c r="BS137" s="29" t="str">
        <f>IF(ISBLANK(FT_RF_26[[#This Row],[N° de Lote]]),"",FT_RF_26[[#This Row],[N° de Lote]])</f>
        <v/>
      </c>
      <c r="BT137" s="29" t="str">
        <f>IF(ISBLANK(FT_RF_26[[#This Row],[N° de Pallet]]),"",FT_RF_26[[#This Row],[N° de Pallet]])</f>
        <v/>
      </c>
    </row>
    <row r="138" spans="2:72">
      <c r="B138" s="29">
        <f>+_xlfn.ISOWEEKNUM(FT_RF_26[[#This Row],[Fecha]])</f>
        <v>52</v>
      </c>
      <c r="E138" s="31"/>
      <c r="F138" s="12" t="str">
        <f>IFERROR(""&amp;_xlfn.XLOOKUP(FT_RF_26[[#This Row],[Código]],BD_Cod[SKU],BD_Cod[Descripción]),"")</f>
        <v/>
      </c>
      <c r="G138" s="32" t="str">
        <f>IFERROR(""&amp;_xlfn.XLOOKUP(FT_RF_26[[#This Row],[Código]],BD_Cod[SKU],BD_Cod[Familia Calidad]),"")</f>
        <v/>
      </c>
      <c r="J138" s="33">
        <v>1000</v>
      </c>
      <c r="L138" s="30" t="s">
        <v>244</v>
      </c>
      <c r="O138" s="30" t="s">
        <v>894</v>
      </c>
      <c r="P138" s="29" t="s">
        <v>894</v>
      </c>
      <c r="Q138" s="37">
        <f>1-FT_RF_26[[#This Row],[% Defectos]]</f>
        <v>1</v>
      </c>
      <c r="R138" s="38">
        <v>0</v>
      </c>
      <c r="S138" s="39">
        <f>+IFERROR((FT_RF_26[[#This Row],[Inmadura]]/FT_RF_26[[#This Row],[Muestra]]),"0")</f>
        <v>0</v>
      </c>
      <c r="T138" s="38">
        <v>0</v>
      </c>
      <c r="U138" s="39">
        <f>+IFERROR((FT_RF_26[[#This Row],[Partidas]]/FT_RF_26[[#This Row],[Muestra]]),"0")</f>
        <v>0</v>
      </c>
      <c r="V138" s="38">
        <v>0</v>
      </c>
      <c r="W138" s="39">
        <f>+IFERROR((FT_RF_26[[#This Row],[Daño Insecto]]/FT_RF_26[[#This Row],[Muestra]]),"0")</f>
        <v>0</v>
      </c>
      <c r="X138" s="38">
        <v>0</v>
      </c>
      <c r="Y138" s="39">
        <f>+IFERROR((FT_RF_26[[#This Row],[Sobremadura]]/FT_RF_26[[#This Row],[Muestra]]),"0")</f>
        <v>0</v>
      </c>
      <c r="Z138" s="38">
        <v>0</v>
      </c>
      <c r="AA138" s="39">
        <f>+IFERROR((FT_RF_26[[#This Row],[Deforme]]/FT_RF_26[[#This Row],[Muestra]]),"0")</f>
        <v>0</v>
      </c>
      <c r="AB138" s="27"/>
      <c r="AC138" s="38">
        <v>0</v>
      </c>
      <c r="AD138" s="39">
        <f>+IFERROR((FT_RF_26[[#This Row],[Valor Extra 1]]/FT_RF_26[[#This Row],[Muestra]]),"0")</f>
        <v>0</v>
      </c>
      <c r="AF138" s="38">
        <v>0</v>
      </c>
      <c r="AG138" s="39">
        <f>+IFERROR((FT_RF_26[[#This Row],[Valor Extra 2]]/FT_RF_26[[#This Row],[Muestra]]),"0")</f>
        <v>0</v>
      </c>
      <c r="AH138" s="40">
        <v>0</v>
      </c>
      <c r="AI138" s="39">
        <f>+IFERROR((FT_RF_26[[#This Row],[Hongos]]/FT_RF_26[[#This Row],[Muestra]]),"0")</f>
        <v>0</v>
      </c>
      <c r="AJ138" s="38">
        <v>0</v>
      </c>
      <c r="AK138" s="39">
        <f>+IFERROR((FT_RF_26[[#This Row],[Block]]/FT_RF_26[[#This Row],[Muestra]]),"0")</f>
        <v>0</v>
      </c>
      <c r="AL138" s="41">
        <v>0</v>
      </c>
      <c r="AM138" s="42">
        <v>0</v>
      </c>
      <c r="AN138" s="38">
        <v>0</v>
      </c>
      <c r="AO138" s="39">
        <f>+IFERROR((FT_RF_26[[#This Row],[Fuera de calibre &lt;12mm]]/FT_RF_26[[#This Row],[Muestra]]),"0")</f>
        <v>0</v>
      </c>
      <c r="AP138" s="38">
        <v>0</v>
      </c>
      <c r="AQ138" s="39">
        <f>+IFERROR((FT_RF_26[[#This Row],[Calibre &lt;25]]/FT_RF_26[[#This Row],[Muestra]]),"0")</f>
        <v>0</v>
      </c>
      <c r="AR138" s="38">
        <v>0</v>
      </c>
      <c r="AS138" s="39">
        <f>+IFERROR((FT_RF_26[[#This Row],[Calibre &gt;12]]/FT_RF_26[[#This Row],[Muestra]]),"0")</f>
        <v>0</v>
      </c>
      <c r="AT138" s="38">
        <v>0</v>
      </c>
      <c r="AU138" s="39">
        <f>+IFERROR((FT_RF_26[[#This Row],[Calibre &lt;14]]/FT_RF_26[[#This Row],[Muestra]]),"0")</f>
        <v>0</v>
      </c>
      <c r="AV138" s="38">
        <v>0</v>
      </c>
      <c r="AW138" s="39">
        <f>+IFERROR((FT_RF_26[[#This Row],[Calibre &gt;14]]/FT_RF_26[[#This Row],[Muestra]]),"0")</f>
        <v>0</v>
      </c>
      <c r="AX138" s="38">
        <v>0</v>
      </c>
      <c r="AY138" s="39">
        <f>+IFERROR((FT_RF_26[[#This Row],[Calibre &lt;10]]/FT_RF_26[[#This Row],[Muestra]]),"0")</f>
        <v>0</v>
      </c>
      <c r="AZ138" s="38">
        <v>0</v>
      </c>
      <c r="BA138" s="39">
        <f>+IFERROR((FT_RF_26[[#This Row],[Calibre &gt;13]]/FT_RF_26[[#This Row],[Muestra]]),"0")</f>
        <v>0</v>
      </c>
      <c r="BB138" s="41"/>
      <c r="BG138" s="42"/>
      <c r="BH138" s="43">
        <v>0</v>
      </c>
      <c r="BI138" s="29" t="s">
        <v>894</v>
      </c>
      <c r="BJ138" s="29" t="s">
        <v>894</v>
      </c>
      <c r="BK13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3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38" s="45">
        <f>1-FT_RF_26[[#This Row],[% Defectos]]</f>
        <v>1</v>
      </c>
      <c r="BO138" s="60"/>
      <c r="BP138" s="12">
        <f>SUM(FT_RF_26[[#This Row],[Hoja (Un.)]:[Larvas Caja]])</f>
        <v>0</v>
      </c>
      <c r="BQ138" s="12">
        <f>SUM(FT_RF_26[[#This Row],[Vidrios]:[Plástico]])</f>
        <v>0</v>
      </c>
      <c r="BR138" s="12" t="str">
        <f>IF(ISBLANK(FT_RF_26[[#This Row],[Descripción del producto]]),"",FT_RF_26[[#This Row],[Descripción del producto]])</f>
        <v/>
      </c>
      <c r="BS138" s="29" t="str">
        <f>IF(ISBLANK(FT_RF_26[[#This Row],[N° de Lote]]),"",FT_RF_26[[#This Row],[N° de Lote]])</f>
        <v/>
      </c>
      <c r="BT138" s="29" t="str">
        <f>IF(ISBLANK(FT_RF_26[[#This Row],[N° de Pallet]]),"",FT_RF_26[[#This Row],[N° de Pallet]])</f>
        <v/>
      </c>
    </row>
    <row r="139" spans="2:72">
      <c r="B139" s="29">
        <f>+_xlfn.ISOWEEKNUM(FT_RF_26[[#This Row],[Fecha]])</f>
        <v>52</v>
      </c>
      <c r="E139" s="31"/>
      <c r="F139" s="12" t="str">
        <f>IFERROR(""&amp;_xlfn.XLOOKUP(FT_RF_26[[#This Row],[Código]],BD_Cod[SKU],BD_Cod[Descripción]),"")</f>
        <v/>
      </c>
      <c r="G139" s="32" t="str">
        <f>IFERROR(""&amp;_xlfn.XLOOKUP(FT_RF_26[[#This Row],[Código]],BD_Cod[SKU],BD_Cod[Familia Calidad]),"")</f>
        <v/>
      </c>
      <c r="J139" s="33">
        <v>1000</v>
      </c>
      <c r="L139" s="30" t="s">
        <v>244</v>
      </c>
      <c r="O139" s="30" t="s">
        <v>894</v>
      </c>
      <c r="P139" s="29" t="s">
        <v>894</v>
      </c>
      <c r="Q139" s="37">
        <f>1-FT_RF_26[[#This Row],[% Defectos]]</f>
        <v>1</v>
      </c>
      <c r="R139" s="38">
        <v>0</v>
      </c>
      <c r="S139" s="39">
        <f>+IFERROR((FT_RF_26[[#This Row],[Inmadura]]/FT_RF_26[[#This Row],[Muestra]]),"0")</f>
        <v>0</v>
      </c>
      <c r="T139" s="38">
        <v>0</v>
      </c>
      <c r="U139" s="39">
        <f>+IFERROR((FT_RF_26[[#This Row],[Partidas]]/FT_RF_26[[#This Row],[Muestra]]),"0")</f>
        <v>0</v>
      </c>
      <c r="V139" s="38">
        <v>0</v>
      </c>
      <c r="W139" s="39">
        <f>+IFERROR((FT_RF_26[[#This Row],[Daño Insecto]]/FT_RF_26[[#This Row],[Muestra]]),"0")</f>
        <v>0</v>
      </c>
      <c r="X139" s="38">
        <v>0</v>
      </c>
      <c r="Y139" s="39">
        <f>+IFERROR((FT_RF_26[[#This Row],[Sobremadura]]/FT_RF_26[[#This Row],[Muestra]]),"0")</f>
        <v>0</v>
      </c>
      <c r="Z139" s="38">
        <v>0</v>
      </c>
      <c r="AA139" s="39">
        <f>+IFERROR((FT_RF_26[[#This Row],[Deforme]]/FT_RF_26[[#This Row],[Muestra]]),"0")</f>
        <v>0</v>
      </c>
      <c r="AB139" s="27"/>
      <c r="AC139" s="38">
        <v>0</v>
      </c>
      <c r="AD139" s="39">
        <f>+IFERROR((FT_RF_26[[#This Row],[Valor Extra 1]]/FT_RF_26[[#This Row],[Muestra]]),"0")</f>
        <v>0</v>
      </c>
      <c r="AF139" s="38">
        <v>0</v>
      </c>
      <c r="AG139" s="39">
        <f>+IFERROR((FT_RF_26[[#This Row],[Valor Extra 2]]/FT_RF_26[[#This Row],[Muestra]]),"0")</f>
        <v>0</v>
      </c>
      <c r="AH139" s="40">
        <v>0</v>
      </c>
      <c r="AI139" s="39">
        <f>+IFERROR((FT_RF_26[[#This Row],[Hongos]]/FT_RF_26[[#This Row],[Muestra]]),"0")</f>
        <v>0</v>
      </c>
      <c r="AJ139" s="38">
        <v>0</v>
      </c>
      <c r="AK139" s="39">
        <f>+IFERROR((FT_RF_26[[#This Row],[Block]]/FT_RF_26[[#This Row],[Muestra]]),"0")</f>
        <v>0</v>
      </c>
      <c r="AL139" s="41">
        <v>0</v>
      </c>
      <c r="AM139" s="42">
        <v>0</v>
      </c>
      <c r="AN139" s="38">
        <v>0</v>
      </c>
      <c r="AO139" s="39">
        <f>+IFERROR((FT_RF_26[[#This Row],[Fuera de calibre &lt;12mm]]/FT_RF_26[[#This Row],[Muestra]]),"0")</f>
        <v>0</v>
      </c>
      <c r="AP139" s="38">
        <v>0</v>
      </c>
      <c r="AQ139" s="39">
        <f>+IFERROR((FT_RF_26[[#This Row],[Calibre &lt;25]]/FT_RF_26[[#This Row],[Muestra]]),"0")</f>
        <v>0</v>
      </c>
      <c r="AR139" s="38">
        <v>0</v>
      </c>
      <c r="AS139" s="39">
        <f>+IFERROR((FT_RF_26[[#This Row],[Calibre &gt;12]]/FT_RF_26[[#This Row],[Muestra]]),"0")</f>
        <v>0</v>
      </c>
      <c r="AT139" s="38">
        <v>0</v>
      </c>
      <c r="AU139" s="39">
        <f>+IFERROR((FT_RF_26[[#This Row],[Calibre &lt;14]]/FT_RF_26[[#This Row],[Muestra]]),"0")</f>
        <v>0</v>
      </c>
      <c r="AV139" s="38">
        <v>0</v>
      </c>
      <c r="AW139" s="39">
        <f>+IFERROR((FT_RF_26[[#This Row],[Calibre &gt;14]]/FT_RF_26[[#This Row],[Muestra]]),"0")</f>
        <v>0</v>
      </c>
      <c r="AX139" s="38">
        <v>0</v>
      </c>
      <c r="AY139" s="39">
        <f>+IFERROR((FT_RF_26[[#This Row],[Calibre &lt;10]]/FT_RF_26[[#This Row],[Muestra]]),"0")</f>
        <v>0</v>
      </c>
      <c r="AZ139" s="38">
        <v>0</v>
      </c>
      <c r="BA139" s="39">
        <f>+IFERROR((FT_RF_26[[#This Row],[Calibre &gt;13]]/FT_RF_26[[#This Row],[Muestra]]),"0")</f>
        <v>0</v>
      </c>
      <c r="BB139" s="41"/>
      <c r="BG139" s="42"/>
      <c r="BH139" s="43">
        <v>0</v>
      </c>
      <c r="BI139" s="29" t="s">
        <v>894</v>
      </c>
      <c r="BJ139" s="29" t="s">
        <v>894</v>
      </c>
      <c r="BK13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3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39" s="45">
        <f>1-FT_RF_26[[#This Row],[% Defectos]]</f>
        <v>1</v>
      </c>
      <c r="BO139" s="60"/>
      <c r="BP139" s="12">
        <f>SUM(FT_RF_26[[#This Row],[Hoja (Un.)]:[Larvas Caja]])</f>
        <v>0</v>
      </c>
      <c r="BQ139" s="12">
        <f>SUM(FT_RF_26[[#This Row],[Vidrios]:[Plástico]])</f>
        <v>0</v>
      </c>
      <c r="BR139" s="12" t="str">
        <f>IF(ISBLANK(FT_RF_26[[#This Row],[Descripción del producto]]),"",FT_RF_26[[#This Row],[Descripción del producto]])</f>
        <v/>
      </c>
      <c r="BS139" s="29" t="str">
        <f>IF(ISBLANK(FT_RF_26[[#This Row],[N° de Lote]]),"",FT_RF_26[[#This Row],[N° de Lote]])</f>
        <v/>
      </c>
      <c r="BT139" s="29" t="str">
        <f>IF(ISBLANK(FT_RF_26[[#This Row],[N° de Pallet]]),"",FT_RF_26[[#This Row],[N° de Pallet]])</f>
        <v/>
      </c>
    </row>
    <row r="140" spans="2:72">
      <c r="B140" s="29">
        <f>+_xlfn.ISOWEEKNUM(FT_RF_26[[#This Row],[Fecha]])</f>
        <v>52</v>
      </c>
      <c r="E140" s="31"/>
      <c r="F140" s="12" t="str">
        <f>IFERROR(""&amp;_xlfn.XLOOKUP(FT_RF_26[[#This Row],[Código]],BD_Cod[SKU],BD_Cod[Descripción]),"")</f>
        <v/>
      </c>
      <c r="G140" s="32" t="str">
        <f>IFERROR(""&amp;_xlfn.XLOOKUP(FT_RF_26[[#This Row],[Código]],BD_Cod[SKU],BD_Cod[Familia Calidad]),"")</f>
        <v/>
      </c>
      <c r="J140" s="33">
        <v>1000</v>
      </c>
      <c r="L140" s="30" t="s">
        <v>244</v>
      </c>
      <c r="O140" s="30" t="s">
        <v>894</v>
      </c>
      <c r="P140" s="29" t="s">
        <v>894</v>
      </c>
      <c r="Q140" s="37">
        <f>1-FT_RF_26[[#This Row],[% Defectos]]</f>
        <v>1</v>
      </c>
      <c r="R140" s="38">
        <v>0</v>
      </c>
      <c r="S140" s="39">
        <f>+IFERROR((FT_RF_26[[#This Row],[Inmadura]]/FT_RF_26[[#This Row],[Muestra]]),"0")</f>
        <v>0</v>
      </c>
      <c r="T140" s="38">
        <v>0</v>
      </c>
      <c r="U140" s="39">
        <f>+IFERROR((FT_RF_26[[#This Row],[Partidas]]/FT_RF_26[[#This Row],[Muestra]]),"0")</f>
        <v>0</v>
      </c>
      <c r="V140" s="38">
        <v>0</v>
      </c>
      <c r="W140" s="39">
        <f>+IFERROR((FT_RF_26[[#This Row],[Daño Insecto]]/FT_RF_26[[#This Row],[Muestra]]),"0")</f>
        <v>0</v>
      </c>
      <c r="X140" s="38">
        <v>0</v>
      </c>
      <c r="Y140" s="39">
        <f>+IFERROR((FT_RF_26[[#This Row],[Sobremadura]]/FT_RF_26[[#This Row],[Muestra]]),"0")</f>
        <v>0</v>
      </c>
      <c r="Z140" s="38">
        <v>0</v>
      </c>
      <c r="AA140" s="39">
        <f>+IFERROR((FT_RF_26[[#This Row],[Deforme]]/FT_RF_26[[#This Row],[Muestra]]),"0")</f>
        <v>0</v>
      </c>
      <c r="AB140" s="27"/>
      <c r="AC140" s="38">
        <v>0</v>
      </c>
      <c r="AD140" s="39">
        <f>+IFERROR((FT_RF_26[[#This Row],[Valor Extra 1]]/FT_RF_26[[#This Row],[Muestra]]),"0")</f>
        <v>0</v>
      </c>
      <c r="AF140" s="38">
        <v>0</v>
      </c>
      <c r="AG140" s="39">
        <f>+IFERROR((FT_RF_26[[#This Row],[Valor Extra 2]]/FT_RF_26[[#This Row],[Muestra]]),"0")</f>
        <v>0</v>
      </c>
      <c r="AH140" s="40">
        <v>0</v>
      </c>
      <c r="AI140" s="39">
        <f>+IFERROR((FT_RF_26[[#This Row],[Hongos]]/FT_RF_26[[#This Row],[Muestra]]),"0")</f>
        <v>0</v>
      </c>
      <c r="AJ140" s="38">
        <v>0</v>
      </c>
      <c r="AK140" s="39">
        <f>+IFERROR((FT_RF_26[[#This Row],[Block]]/FT_RF_26[[#This Row],[Muestra]]),"0")</f>
        <v>0</v>
      </c>
      <c r="AL140" s="41">
        <v>0</v>
      </c>
      <c r="AM140" s="42">
        <v>0</v>
      </c>
      <c r="AN140" s="38">
        <v>0</v>
      </c>
      <c r="AO140" s="39">
        <f>+IFERROR((FT_RF_26[[#This Row],[Fuera de calibre &lt;12mm]]/FT_RF_26[[#This Row],[Muestra]]),"0")</f>
        <v>0</v>
      </c>
      <c r="AP140" s="38">
        <v>0</v>
      </c>
      <c r="AQ140" s="39">
        <f>+IFERROR((FT_RF_26[[#This Row],[Calibre &lt;25]]/FT_RF_26[[#This Row],[Muestra]]),"0")</f>
        <v>0</v>
      </c>
      <c r="AR140" s="38">
        <v>0</v>
      </c>
      <c r="AS140" s="39">
        <f>+IFERROR((FT_RF_26[[#This Row],[Calibre &gt;12]]/FT_RF_26[[#This Row],[Muestra]]),"0")</f>
        <v>0</v>
      </c>
      <c r="AT140" s="38">
        <v>0</v>
      </c>
      <c r="AU140" s="39">
        <f>+IFERROR((FT_RF_26[[#This Row],[Calibre &lt;14]]/FT_RF_26[[#This Row],[Muestra]]),"0")</f>
        <v>0</v>
      </c>
      <c r="AV140" s="38">
        <v>0</v>
      </c>
      <c r="AW140" s="39">
        <f>+IFERROR((FT_RF_26[[#This Row],[Calibre &gt;14]]/FT_RF_26[[#This Row],[Muestra]]),"0")</f>
        <v>0</v>
      </c>
      <c r="AX140" s="38">
        <v>0</v>
      </c>
      <c r="AY140" s="39">
        <f>+IFERROR((FT_RF_26[[#This Row],[Calibre &lt;10]]/FT_RF_26[[#This Row],[Muestra]]),"0")</f>
        <v>0</v>
      </c>
      <c r="AZ140" s="38">
        <v>0</v>
      </c>
      <c r="BA140" s="39">
        <f>+IFERROR((FT_RF_26[[#This Row],[Calibre &gt;13]]/FT_RF_26[[#This Row],[Muestra]]),"0")</f>
        <v>0</v>
      </c>
      <c r="BB140" s="41"/>
      <c r="BG140" s="42"/>
      <c r="BH140" s="43">
        <v>0</v>
      </c>
      <c r="BI140" s="29" t="s">
        <v>894</v>
      </c>
      <c r="BJ140" s="29" t="s">
        <v>894</v>
      </c>
      <c r="BK14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4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40" s="45">
        <f>1-FT_RF_26[[#This Row],[% Defectos]]</f>
        <v>1</v>
      </c>
      <c r="BO140" s="60"/>
      <c r="BP140" s="12">
        <f>SUM(FT_RF_26[[#This Row],[Hoja (Un.)]:[Larvas Caja]])</f>
        <v>0</v>
      </c>
      <c r="BQ140" s="12">
        <f>SUM(FT_RF_26[[#This Row],[Vidrios]:[Plástico]])</f>
        <v>0</v>
      </c>
      <c r="BR140" s="12" t="str">
        <f>IF(ISBLANK(FT_RF_26[[#This Row],[Descripción del producto]]),"",FT_RF_26[[#This Row],[Descripción del producto]])</f>
        <v/>
      </c>
      <c r="BS140" s="29" t="str">
        <f>IF(ISBLANK(FT_RF_26[[#This Row],[N° de Lote]]),"",FT_RF_26[[#This Row],[N° de Lote]])</f>
        <v/>
      </c>
      <c r="BT140" s="29" t="str">
        <f>IF(ISBLANK(FT_RF_26[[#This Row],[N° de Pallet]]),"",FT_RF_26[[#This Row],[N° de Pallet]])</f>
        <v/>
      </c>
    </row>
    <row r="141" spans="2:72">
      <c r="B141" s="29">
        <f>+_xlfn.ISOWEEKNUM(FT_RF_26[[#This Row],[Fecha]])</f>
        <v>52</v>
      </c>
      <c r="E141" s="31"/>
      <c r="F141" s="12" t="str">
        <f>IFERROR(""&amp;_xlfn.XLOOKUP(FT_RF_26[[#This Row],[Código]],BD_Cod[SKU],BD_Cod[Descripción]),"")</f>
        <v/>
      </c>
      <c r="G141" s="32" t="str">
        <f>IFERROR(""&amp;_xlfn.XLOOKUP(FT_RF_26[[#This Row],[Código]],BD_Cod[SKU],BD_Cod[Familia Calidad]),"")</f>
        <v/>
      </c>
      <c r="J141" s="33">
        <v>1000</v>
      </c>
      <c r="L141" s="30" t="s">
        <v>244</v>
      </c>
      <c r="O141" s="30" t="s">
        <v>894</v>
      </c>
      <c r="P141" s="29" t="s">
        <v>894</v>
      </c>
      <c r="Q141" s="37">
        <f>1-FT_RF_26[[#This Row],[% Defectos]]</f>
        <v>1</v>
      </c>
      <c r="R141" s="38">
        <v>0</v>
      </c>
      <c r="S141" s="39">
        <f>+IFERROR((FT_RF_26[[#This Row],[Inmadura]]/FT_RF_26[[#This Row],[Muestra]]),"0")</f>
        <v>0</v>
      </c>
      <c r="T141" s="38">
        <v>0</v>
      </c>
      <c r="U141" s="39">
        <f>+IFERROR((FT_RF_26[[#This Row],[Partidas]]/FT_RF_26[[#This Row],[Muestra]]),"0")</f>
        <v>0</v>
      </c>
      <c r="V141" s="38">
        <v>0</v>
      </c>
      <c r="W141" s="39">
        <f>+IFERROR((FT_RF_26[[#This Row],[Daño Insecto]]/FT_RF_26[[#This Row],[Muestra]]),"0")</f>
        <v>0</v>
      </c>
      <c r="X141" s="38">
        <v>0</v>
      </c>
      <c r="Y141" s="39">
        <f>+IFERROR((FT_RF_26[[#This Row],[Sobremadura]]/FT_RF_26[[#This Row],[Muestra]]),"0")</f>
        <v>0</v>
      </c>
      <c r="Z141" s="38">
        <v>0</v>
      </c>
      <c r="AA141" s="39">
        <f>+IFERROR((FT_RF_26[[#This Row],[Deforme]]/FT_RF_26[[#This Row],[Muestra]]),"0")</f>
        <v>0</v>
      </c>
      <c r="AB141" s="27"/>
      <c r="AC141" s="38">
        <v>0</v>
      </c>
      <c r="AD141" s="39">
        <f>+IFERROR((FT_RF_26[[#This Row],[Valor Extra 1]]/FT_RF_26[[#This Row],[Muestra]]),"0")</f>
        <v>0</v>
      </c>
      <c r="AF141" s="38">
        <v>0</v>
      </c>
      <c r="AG141" s="39">
        <f>+IFERROR((FT_RF_26[[#This Row],[Valor Extra 2]]/FT_RF_26[[#This Row],[Muestra]]),"0")</f>
        <v>0</v>
      </c>
      <c r="AH141" s="40">
        <v>0</v>
      </c>
      <c r="AI141" s="39">
        <f>+IFERROR((FT_RF_26[[#This Row],[Hongos]]/FT_RF_26[[#This Row],[Muestra]]),"0")</f>
        <v>0</v>
      </c>
      <c r="AJ141" s="38">
        <v>0</v>
      </c>
      <c r="AK141" s="39">
        <f>+IFERROR((FT_RF_26[[#This Row],[Block]]/FT_RF_26[[#This Row],[Muestra]]),"0")</f>
        <v>0</v>
      </c>
      <c r="AL141" s="41">
        <v>0</v>
      </c>
      <c r="AM141" s="42">
        <v>0</v>
      </c>
      <c r="AN141" s="38">
        <v>0</v>
      </c>
      <c r="AO141" s="39">
        <f>+IFERROR((FT_RF_26[[#This Row],[Fuera de calibre &lt;12mm]]/FT_RF_26[[#This Row],[Muestra]]),"0")</f>
        <v>0</v>
      </c>
      <c r="AP141" s="38">
        <v>0</v>
      </c>
      <c r="AQ141" s="39">
        <f>+IFERROR((FT_RF_26[[#This Row],[Calibre &lt;25]]/FT_RF_26[[#This Row],[Muestra]]),"0")</f>
        <v>0</v>
      </c>
      <c r="AR141" s="38">
        <v>0</v>
      </c>
      <c r="AS141" s="39">
        <f>+IFERROR((FT_RF_26[[#This Row],[Calibre &gt;12]]/FT_RF_26[[#This Row],[Muestra]]),"0")</f>
        <v>0</v>
      </c>
      <c r="AT141" s="38">
        <v>0</v>
      </c>
      <c r="AU141" s="39">
        <f>+IFERROR((FT_RF_26[[#This Row],[Calibre &lt;14]]/FT_RF_26[[#This Row],[Muestra]]),"0")</f>
        <v>0</v>
      </c>
      <c r="AV141" s="38">
        <v>0</v>
      </c>
      <c r="AW141" s="39">
        <f>+IFERROR((FT_RF_26[[#This Row],[Calibre &gt;14]]/FT_RF_26[[#This Row],[Muestra]]),"0")</f>
        <v>0</v>
      </c>
      <c r="AX141" s="38">
        <v>0</v>
      </c>
      <c r="AY141" s="39">
        <f>+IFERROR((FT_RF_26[[#This Row],[Calibre &lt;10]]/FT_RF_26[[#This Row],[Muestra]]),"0")</f>
        <v>0</v>
      </c>
      <c r="AZ141" s="38">
        <v>0</v>
      </c>
      <c r="BA141" s="39">
        <f>+IFERROR((FT_RF_26[[#This Row],[Calibre &gt;13]]/FT_RF_26[[#This Row],[Muestra]]),"0")</f>
        <v>0</v>
      </c>
      <c r="BB141" s="41"/>
      <c r="BG141" s="42"/>
      <c r="BH141" s="43">
        <v>0</v>
      </c>
      <c r="BI141" s="29" t="s">
        <v>894</v>
      </c>
      <c r="BJ141" s="29" t="s">
        <v>894</v>
      </c>
      <c r="BK14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4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41" s="45">
        <f>1-FT_RF_26[[#This Row],[% Defectos]]</f>
        <v>1</v>
      </c>
      <c r="BO141" s="60"/>
      <c r="BP141" s="12">
        <f>SUM(FT_RF_26[[#This Row],[Hoja (Un.)]:[Larvas Caja]])</f>
        <v>0</v>
      </c>
      <c r="BQ141" s="12">
        <f>SUM(FT_RF_26[[#This Row],[Vidrios]:[Plástico]])</f>
        <v>0</v>
      </c>
      <c r="BR141" s="12" t="str">
        <f>IF(ISBLANK(FT_RF_26[[#This Row],[Descripción del producto]]),"",FT_RF_26[[#This Row],[Descripción del producto]])</f>
        <v/>
      </c>
      <c r="BS141" s="29" t="str">
        <f>IF(ISBLANK(FT_RF_26[[#This Row],[N° de Lote]]),"",FT_RF_26[[#This Row],[N° de Lote]])</f>
        <v/>
      </c>
      <c r="BT141" s="29" t="str">
        <f>IF(ISBLANK(FT_RF_26[[#This Row],[N° de Pallet]]),"",FT_RF_26[[#This Row],[N° de Pallet]])</f>
        <v/>
      </c>
    </row>
    <row r="142" spans="2:72">
      <c r="B142" s="29">
        <f>+_xlfn.ISOWEEKNUM(FT_RF_26[[#This Row],[Fecha]])</f>
        <v>52</v>
      </c>
      <c r="E142" s="31"/>
      <c r="F142" s="12" t="str">
        <f>IFERROR(""&amp;_xlfn.XLOOKUP(FT_RF_26[[#This Row],[Código]],BD_Cod[SKU],BD_Cod[Descripción]),"")</f>
        <v/>
      </c>
      <c r="G142" s="32" t="str">
        <f>IFERROR(""&amp;_xlfn.XLOOKUP(FT_RF_26[[#This Row],[Código]],BD_Cod[SKU],BD_Cod[Familia Calidad]),"")</f>
        <v/>
      </c>
      <c r="J142" s="33">
        <v>1000</v>
      </c>
      <c r="L142" s="30" t="s">
        <v>244</v>
      </c>
      <c r="O142" s="30" t="s">
        <v>894</v>
      </c>
      <c r="P142" s="29" t="s">
        <v>894</v>
      </c>
      <c r="Q142" s="37">
        <f>1-FT_RF_26[[#This Row],[% Defectos]]</f>
        <v>1</v>
      </c>
      <c r="R142" s="38">
        <v>0</v>
      </c>
      <c r="S142" s="39">
        <f>+IFERROR((FT_RF_26[[#This Row],[Inmadura]]/FT_RF_26[[#This Row],[Muestra]]),"0")</f>
        <v>0</v>
      </c>
      <c r="T142" s="38">
        <v>0</v>
      </c>
      <c r="U142" s="39">
        <f>+IFERROR((FT_RF_26[[#This Row],[Partidas]]/FT_RF_26[[#This Row],[Muestra]]),"0")</f>
        <v>0</v>
      </c>
      <c r="V142" s="38">
        <v>0</v>
      </c>
      <c r="W142" s="39">
        <f>+IFERROR((FT_RF_26[[#This Row],[Daño Insecto]]/FT_RF_26[[#This Row],[Muestra]]),"0")</f>
        <v>0</v>
      </c>
      <c r="X142" s="38">
        <v>0</v>
      </c>
      <c r="Y142" s="39">
        <f>+IFERROR((FT_RF_26[[#This Row],[Sobremadura]]/FT_RF_26[[#This Row],[Muestra]]),"0")</f>
        <v>0</v>
      </c>
      <c r="Z142" s="38">
        <v>0</v>
      </c>
      <c r="AA142" s="39">
        <f>+IFERROR((FT_RF_26[[#This Row],[Deforme]]/FT_RF_26[[#This Row],[Muestra]]),"0")</f>
        <v>0</v>
      </c>
      <c r="AB142" s="27"/>
      <c r="AC142" s="38">
        <v>0</v>
      </c>
      <c r="AD142" s="39">
        <f>+IFERROR((FT_RF_26[[#This Row],[Valor Extra 1]]/FT_RF_26[[#This Row],[Muestra]]),"0")</f>
        <v>0</v>
      </c>
      <c r="AF142" s="38">
        <v>0</v>
      </c>
      <c r="AG142" s="39">
        <f>+IFERROR((FT_RF_26[[#This Row],[Valor Extra 2]]/FT_RF_26[[#This Row],[Muestra]]),"0")</f>
        <v>0</v>
      </c>
      <c r="AH142" s="40">
        <v>0</v>
      </c>
      <c r="AI142" s="39">
        <f>+IFERROR((FT_RF_26[[#This Row],[Hongos]]/FT_RF_26[[#This Row],[Muestra]]),"0")</f>
        <v>0</v>
      </c>
      <c r="AJ142" s="38">
        <v>0</v>
      </c>
      <c r="AK142" s="39">
        <f>+IFERROR((FT_RF_26[[#This Row],[Block]]/FT_RF_26[[#This Row],[Muestra]]),"0")</f>
        <v>0</v>
      </c>
      <c r="AL142" s="41">
        <v>0</v>
      </c>
      <c r="AM142" s="42">
        <v>0</v>
      </c>
      <c r="AN142" s="38">
        <v>0</v>
      </c>
      <c r="AO142" s="39">
        <f>+IFERROR((FT_RF_26[[#This Row],[Fuera de calibre &lt;12mm]]/FT_RF_26[[#This Row],[Muestra]]),"0")</f>
        <v>0</v>
      </c>
      <c r="AP142" s="38">
        <v>0</v>
      </c>
      <c r="AQ142" s="39">
        <f>+IFERROR((FT_RF_26[[#This Row],[Calibre &lt;25]]/FT_RF_26[[#This Row],[Muestra]]),"0")</f>
        <v>0</v>
      </c>
      <c r="AR142" s="38">
        <v>0</v>
      </c>
      <c r="AS142" s="39">
        <f>+IFERROR((FT_RF_26[[#This Row],[Calibre &gt;12]]/FT_RF_26[[#This Row],[Muestra]]),"0")</f>
        <v>0</v>
      </c>
      <c r="AT142" s="38">
        <v>0</v>
      </c>
      <c r="AU142" s="39">
        <f>+IFERROR((FT_RF_26[[#This Row],[Calibre &lt;14]]/FT_RF_26[[#This Row],[Muestra]]),"0")</f>
        <v>0</v>
      </c>
      <c r="AV142" s="38">
        <v>0</v>
      </c>
      <c r="AW142" s="39">
        <f>+IFERROR((FT_RF_26[[#This Row],[Calibre &gt;14]]/FT_RF_26[[#This Row],[Muestra]]),"0")</f>
        <v>0</v>
      </c>
      <c r="AX142" s="38">
        <v>0</v>
      </c>
      <c r="AY142" s="39">
        <f>+IFERROR((FT_RF_26[[#This Row],[Calibre &lt;10]]/FT_RF_26[[#This Row],[Muestra]]),"0")</f>
        <v>0</v>
      </c>
      <c r="AZ142" s="38">
        <v>0</v>
      </c>
      <c r="BA142" s="39">
        <f>+IFERROR((FT_RF_26[[#This Row],[Calibre &gt;13]]/FT_RF_26[[#This Row],[Muestra]]),"0")</f>
        <v>0</v>
      </c>
      <c r="BB142" s="41"/>
      <c r="BG142" s="42"/>
      <c r="BH142" s="43">
        <v>0</v>
      </c>
      <c r="BI142" s="29" t="s">
        <v>894</v>
      </c>
      <c r="BJ142" s="29" t="s">
        <v>894</v>
      </c>
      <c r="BK14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4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42" s="45">
        <f>1-FT_RF_26[[#This Row],[% Defectos]]</f>
        <v>1</v>
      </c>
      <c r="BO142" s="60"/>
      <c r="BP142" s="12">
        <f>SUM(FT_RF_26[[#This Row],[Hoja (Un.)]:[Larvas Caja]])</f>
        <v>0</v>
      </c>
      <c r="BQ142" s="12">
        <f>SUM(FT_RF_26[[#This Row],[Vidrios]:[Plástico]])</f>
        <v>0</v>
      </c>
      <c r="BR142" s="12" t="str">
        <f>IF(ISBLANK(FT_RF_26[[#This Row],[Descripción del producto]]),"",FT_RF_26[[#This Row],[Descripción del producto]])</f>
        <v/>
      </c>
      <c r="BS142" s="29" t="str">
        <f>IF(ISBLANK(FT_RF_26[[#This Row],[N° de Lote]]),"",FT_RF_26[[#This Row],[N° de Lote]])</f>
        <v/>
      </c>
      <c r="BT142" s="29" t="str">
        <f>IF(ISBLANK(FT_RF_26[[#This Row],[N° de Pallet]]),"",FT_RF_26[[#This Row],[N° de Pallet]])</f>
        <v/>
      </c>
    </row>
    <row r="143" spans="2:72">
      <c r="B143" s="29">
        <f>+_xlfn.ISOWEEKNUM(FT_RF_26[[#This Row],[Fecha]])</f>
        <v>52</v>
      </c>
      <c r="E143" s="31"/>
      <c r="F143" s="12" t="str">
        <f>IFERROR(""&amp;_xlfn.XLOOKUP(FT_RF_26[[#This Row],[Código]],BD_Cod[SKU],BD_Cod[Descripción]),"")</f>
        <v/>
      </c>
      <c r="G143" s="32" t="str">
        <f>IFERROR(""&amp;_xlfn.XLOOKUP(FT_RF_26[[#This Row],[Código]],BD_Cod[SKU],BD_Cod[Familia Calidad]),"")</f>
        <v/>
      </c>
      <c r="J143" s="33">
        <v>1000</v>
      </c>
      <c r="L143" s="30" t="s">
        <v>244</v>
      </c>
      <c r="O143" s="30" t="s">
        <v>894</v>
      </c>
      <c r="P143" s="29" t="s">
        <v>894</v>
      </c>
      <c r="Q143" s="37">
        <f>1-FT_RF_26[[#This Row],[% Defectos]]</f>
        <v>1</v>
      </c>
      <c r="R143" s="38">
        <v>0</v>
      </c>
      <c r="S143" s="39">
        <f>+IFERROR((FT_RF_26[[#This Row],[Inmadura]]/FT_RF_26[[#This Row],[Muestra]]),"0")</f>
        <v>0</v>
      </c>
      <c r="T143" s="38">
        <v>0</v>
      </c>
      <c r="U143" s="39">
        <f>+IFERROR((FT_RF_26[[#This Row],[Partidas]]/FT_RF_26[[#This Row],[Muestra]]),"0")</f>
        <v>0</v>
      </c>
      <c r="V143" s="38">
        <v>0</v>
      </c>
      <c r="W143" s="39">
        <f>+IFERROR((FT_RF_26[[#This Row],[Daño Insecto]]/FT_RF_26[[#This Row],[Muestra]]),"0")</f>
        <v>0</v>
      </c>
      <c r="X143" s="38">
        <v>0</v>
      </c>
      <c r="Y143" s="39">
        <f>+IFERROR((FT_RF_26[[#This Row],[Sobremadura]]/FT_RF_26[[#This Row],[Muestra]]),"0")</f>
        <v>0</v>
      </c>
      <c r="Z143" s="38">
        <v>0</v>
      </c>
      <c r="AA143" s="39">
        <f>+IFERROR((FT_RF_26[[#This Row],[Deforme]]/FT_RF_26[[#This Row],[Muestra]]),"0")</f>
        <v>0</v>
      </c>
      <c r="AB143" s="27"/>
      <c r="AC143" s="38">
        <v>0</v>
      </c>
      <c r="AD143" s="39">
        <f>+IFERROR((FT_RF_26[[#This Row],[Valor Extra 1]]/FT_RF_26[[#This Row],[Muestra]]),"0")</f>
        <v>0</v>
      </c>
      <c r="AF143" s="38">
        <v>0</v>
      </c>
      <c r="AG143" s="39">
        <f>+IFERROR((FT_RF_26[[#This Row],[Valor Extra 2]]/FT_RF_26[[#This Row],[Muestra]]),"0")</f>
        <v>0</v>
      </c>
      <c r="AH143" s="40">
        <v>0</v>
      </c>
      <c r="AI143" s="39">
        <f>+IFERROR((FT_RF_26[[#This Row],[Hongos]]/FT_RF_26[[#This Row],[Muestra]]),"0")</f>
        <v>0</v>
      </c>
      <c r="AJ143" s="38">
        <v>0</v>
      </c>
      <c r="AK143" s="39">
        <f>+IFERROR((FT_RF_26[[#This Row],[Block]]/FT_RF_26[[#This Row],[Muestra]]),"0")</f>
        <v>0</v>
      </c>
      <c r="AL143" s="41">
        <v>0</v>
      </c>
      <c r="AM143" s="42">
        <v>0</v>
      </c>
      <c r="AN143" s="38">
        <v>0</v>
      </c>
      <c r="AO143" s="39">
        <f>+IFERROR((FT_RF_26[[#This Row],[Fuera de calibre &lt;12mm]]/FT_RF_26[[#This Row],[Muestra]]),"0")</f>
        <v>0</v>
      </c>
      <c r="AP143" s="38">
        <v>0</v>
      </c>
      <c r="AQ143" s="39">
        <f>+IFERROR((FT_RF_26[[#This Row],[Calibre &lt;25]]/FT_RF_26[[#This Row],[Muestra]]),"0")</f>
        <v>0</v>
      </c>
      <c r="AR143" s="38">
        <v>0</v>
      </c>
      <c r="AS143" s="39">
        <f>+IFERROR((FT_RF_26[[#This Row],[Calibre &gt;12]]/FT_RF_26[[#This Row],[Muestra]]),"0")</f>
        <v>0</v>
      </c>
      <c r="AT143" s="38">
        <v>0</v>
      </c>
      <c r="AU143" s="39">
        <f>+IFERROR((FT_RF_26[[#This Row],[Calibre &lt;14]]/FT_RF_26[[#This Row],[Muestra]]),"0")</f>
        <v>0</v>
      </c>
      <c r="AV143" s="38">
        <v>0</v>
      </c>
      <c r="AW143" s="39">
        <f>+IFERROR((FT_RF_26[[#This Row],[Calibre &gt;14]]/FT_RF_26[[#This Row],[Muestra]]),"0")</f>
        <v>0</v>
      </c>
      <c r="AX143" s="38">
        <v>0</v>
      </c>
      <c r="AY143" s="39">
        <f>+IFERROR((FT_RF_26[[#This Row],[Calibre &lt;10]]/FT_RF_26[[#This Row],[Muestra]]),"0")</f>
        <v>0</v>
      </c>
      <c r="AZ143" s="38">
        <v>0</v>
      </c>
      <c r="BA143" s="39">
        <f>+IFERROR((FT_RF_26[[#This Row],[Calibre &gt;13]]/FT_RF_26[[#This Row],[Muestra]]),"0")</f>
        <v>0</v>
      </c>
      <c r="BB143" s="41"/>
      <c r="BG143" s="42"/>
      <c r="BH143" s="43">
        <v>0</v>
      </c>
      <c r="BI143" s="29" t="s">
        <v>894</v>
      </c>
      <c r="BJ143" s="29" t="s">
        <v>894</v>
      </c>
      <c r="BK14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4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43" s="45">
        <f>1-FT_RF_26[[#This Row],[% Defectos]]</f>
        <v>1</v>
      </c>
      <c r="BO143" s="60"/>
      <c r="BP143" s="12">
        <f>SUM(FT_RF_26[[#This Row],[Hoja (Un.)]:[Larvas Caja]])</f>
        <v>0</v>
      </c>
      <c r="BQ143" s="12">
        <f>SUM(FT_RF_26[[#This Row],[Vidrios]:[Plástico]])</f>
        <v>0</v>
      </c>
      <c r="BR143" s="12" t="str">
        <f>IF(ISBLANK(FT_RF_26[[#This Row],[Descripción del producto]]),"",FT_RF_26[[#This Row],[Descripción del producto]])</f>
        <v/>
      </c>
      <c r="BS143" s="29" t="str">
        <f>IF(ISBLANK(FT_RF_26[[#This Row],[N° de Lote]]),"",FT_RF_26[[#This Row],[N° de Lote]])</f>
        <v/>
      </c>
      <c r="BT143" s="29" t="str">
        <f>IF(ISBLANK(FT_RF_26[[#This Row],[N° de Pallet]]),"",FT_RF_26[[#This Row],[N° de Pallet]])</f>
        <v/>
      </c>
    </row>
    <row r="144" spans="2:72">
      <c r="B144" s="29">
        <f>+_xlfn.ISOWEEKNUM(FT_RF_26[[#This Row],[Fecha]])</f>
        <v>52</v>
      </c>
      <c r="E144" s="31"/>
      <c r="F144" s="12" t="str">
        <f>IFERROR(""&amp;_xlfn.XLOOKUP(FT_RF_26[[#This Row],[Código]],BD_Cod[SKU],BD_Cod[Descripción]),"")</f>
        <v/>
      </c>
      <c r="G144" s="32" t="str">
        <f>IFERROR(""&amp;_xlfn.XLOOKUP(FT_RF_26[[#This Row],[Código]],BD_Cod[SKU],BD_Cod[Familia Calidad]),"")</f>
        <v/>
      </c>
      <c r="J144" s="33">
        <v>1000</v>
      </c>
      <c r="L144" s="30" t="s">
        <v>244</v>
      </c>
      <c r="O144" s="30" t="s">
        <v>894</v>
      </c>
      <c r="P144" s="29" t="s">
        <v>894</v>
      </c>
      <c r="Q144" s="37">
        <f>1-FT_RF_26[[#This Row],[% Defectos]]</f>
        <v>1</v>
      </c>
      <c r="R144" s="38">
        <v>0</v>
      </c>
      <c r="S144" s="39">
        <f>+IFERROR((FT_RF_26[[#This Row],[Inmadura]]/FT_RF_26[[#This Row],[Muestra]]),"0")</f>
        <v>0</v>
      </c>
      <c r="T144" s="38">
        <v>0</v>
      </c>
      <c r="U144" s="39">
        <f>+IFERROR((FT_RF_26[[#This Row],[Partidas]]/FT_RF_26[[#This Row],[Muestra]]),"0")</f>
        <v>0</v>
      </c>
      <c r="V144" s="38">
        <v>0</v>
      </c>
      <c r="W144" s="39">
        <f>+IFERROR((FT_RF_26[[#This Row],[Daño Insecto]]/FT_RF_26[[#This Row],[Muestra]]),"0")</f>
        <v>0</v>
      </c>
      <c r="X144" s="38">
        <v>0</v>
      </c>
      <c r="Y144" s="39">
        <f>+IFERROR((FT_RF_26[[#This Row],[Sobremadura]]/FT_RF_26[[#This Row],[Muestra]]),"0")</f>
        <v>0</v>
      </c>
      <c r="Z144" s="38">
        <v>0</v>
      </c>
      <c r="AA144" s="39">
        <f>+IFERROR((FT_RF_26[[#This Row],[Deforme]]/FT_RF_26[[#This Row],[Muestra]]),"0")</f>
        <v>0</v>
      </c>
      <c r="AB144" s="27"/>
      <c r="AC144" s="38">
        <v>0</v>
      </c>
      <c r="AD144" s="39">
        <f>+IFERROR((FT_RF_26[[#This Row],[Valor Extra 1]]/FT_RF_26[[#This Row],[Muestra]]),"0")</f>
        <v>0</v>
      </c>
      <c r="AF144" s="38">
        <v>0</v>
      </c>
      <c r="AG144" s="39">
        <f>+IFERROR((FT_RF_26[[#This Row],[Valor Extra 2]]/FT_RF_26[[#This Row],[Muestra]]),"0")</f>
        <v>0</v>
      </c>
      <c r="AH144" s="40">
        <v>0</v>
      </c>
      <c r="AI144" s="39">
        <f>+IFERROR((FT_RF_26[[#This Row],[Hongos]]/FT_RF_26[[#This Row],[Muestra]]),"0")</f>
        <v>0</v>
      </c>
      <c r="AJ144" s="38">
        <v>0</v>
      </c>
      <c r="AK144" s="39">
        <f>+IFERROR((FT_RF_26[[#This Row],[Block]]/FT_RF_26[[#This Row],[Muestra]]),"0")</f>
        <v>0</v>
      </c>
      <c r="AL144" s="41">
        <v>0</v>
      </c>
      <c r="AM144" s="42">
        <v>0</v>
      </c>
      <c r="AN144" s="38">
        <v>0</v>
      </c>
      <c r="AO144" s="39">
        <f>+IFERROR((FT_RF_26[[#This Row],[Fuera de calibre &lt;12mm]]/FT_RF_26[[#This Row],[Muestra]]),"0")</f>
        <v>0</v>
      </c>
      <c r="AP144" s="38">
        <v>0</v>
      </c>
      <c r="AQ144" s="39">
        <f>+IFERROR((FT_RF_26[[#This Row],[Calibre &lt;25]]/FT_RF_26[[#This Row],[Muestra]]),"0")</f>
        <v>0</v>
      </c>
      <c r="AR144" s="38">
        <v>0</v>
      </c>
      <c r="AS144" s="39">
        <f>+IFERROR((FT_RF_26[[#This Row],[Calibre &gt;12]]/FT_RF_26[[#This Row],[Muestra]]),"0")</f>
        <v>0</v>
      </c>
      <c r="AT144" s="38">
        <v>0</v>
      </c>
      <c r="AU144" s="39">
        <f>+IFERROR((FT_RF_26[[#This Row],[Calibre &lt;14]]/FT_RF_26[[#This Row],[Muestra]]),"0")</f>
        <v>0</v>
      </c>
      <c r="AV144" s="38">
        <v>0</v>
      </c>
      <c r="AW144" s="39">
        <f>+IFERROR((FT_RF_26[[#This Row],[Calibre &gt;14]]/FT_RF_26[[#This Row],[Muestra]]),"0")</f>
        <v>0</v>
      </c>
      <c r="AX144" s="38">
        <v>0</v>
      </c>
      <c r="AY144" s="39">
        <f>+IFERROR((FT_RF_26[[#This Row],[Calibre &lt;10]]/FT_RF_26[[#This Row],[Muestra]]),"0")</f>
        <v>0</v>
      </c>
      <c r="AZ144" s="38">
        <v>0</v>
      </c>
      <c r="BA144" s="39">
        <f>+IFERROR((FT_RF_26[[#This Row],[Calibre &gt;13]]/FT_RF_26[[#This Row],[Muestra]]),"0")</f>
        <v>0</v>
      </c>
      <c r="BB144" s="41"/>
      <c r="BG144" s="42"/>
      <c r="BH144" s="43">
        <v>0</v>
      </c>
      <c r="BI144" s="29" t="s">
        <v>894</v>
      </c>
      <c r="BJ144" s="29" t="s">
        <v>894</v>
      </c>
      <c r="BK14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4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44" s="45">
        <f>1-FT_RF_26[[#This Row],[% Defectos]]</f>
        <v>1</v>
      </c>
      <c r="BO144" s="60"/>
      <c r="BP144" s="12">
        <f>SUM(FT_RF_26[[#This Row],[Hoja (Un.)]:[Larvas Caja]])</f>
        <v>0</v>
      </c>
      <c r="BQ144" s="12">
        <f>SUM(FT_RF_26[[#This Row],[Vidrios]:[Plástico]])</f>
        <v>0</v>
      </c>
      <c r="BR144" s="12" t="str">
        <f>IF(ISBLANK(FT_RF_26[[#This Row],[Descripción del producto]]),"",FT_RF_26[[#This Row],[Descripción del producto]])</f>
        <v/>
      </c>
      <c r="BS144" s="29" t="str">
        <f>IF(ISBLANK(FT_RF_26[[#This Row],[N° de Lote]]),"",FT_RF_26[[#This Row],[N° de Lote]])</f>
        <v/>
      </c>
      <c r="BT144" s="29" t="str">
        <f>IF(ISBLANK(FT_RF_26[[#This Row],[N° de Pallet]]),"",FT_RF_26[[#This Row],[N° de Pallet]])</f>
        <v/>
      </c>
    </row>
    <row r="145" spans="2:72">
      <c r="B145" s="29">
        <f>+_xlfn.ISOWEEKNUM(FT_RF_26[[#This Row],[Fecha]])</f>
        <v>52</v>
      </c>
      <c r="E145" s="31"/>
      <c r="F145" s="12" t="str">
        <f>IFERROR(""&amp;_xlfn.XLOOKUP(FT_RF_26[[#This Row],[Código]],BD_Cod[SKU],BD_Cod[Descripción]),"")</f>
        <v/>
      </c>
      <c r="G145" s="32" t="str">
        <f>IFERROR(""&amp;_xlfn.XLOOKUP(FT_RF_26[[#This Row],[Código]],BD_Cod[SKU],BD_Cod[Familia Calidad]),"")</f>
        <v/>
      </c>
      <c r="J145" s="33">
        <v>1000</v>
      </c>
      <c r="L145" s="30" t="s">
        <v>244</v>
      </c>
      <c r="O145" s="30" t="s">
        <v>894</v>
      </c>
      <c r="P145" s="29" t="s">
        <v>894</v>
      </c>
      <c r="Q145" s="37">
        <f>1-FT_RF_26[[#This Row],[% Defectos]]</f>
        <v>1</v>
      </c>
      <c r="R145" s="38">
        <v>0</v>
      </c>
      <c r="S145" s="39">
        <f>+IFERROR((FT_RF_26[[#This Row],[Inmadura]]/FT_RF_26[[#This Row],[Muestra]]),"0")</f>
        <v>0</v>
      </c>
      <c r="T145" s="38">
        <v>0</v>
      </c>
      <c r="U145" s="39">
        <f>+IFERROR((FT_RF_26[[#This Row],[Partidas]]/FT_RF_26[[#This Row],[Muestra]]),"0")</f>
        <v>0</v>
      </c>
      <c r="V145" s="38">
        <v>0</v>
      </c>
      <c r="W145" s="39">
        <f>+IFERROR((FT_RF_26[[#This Row],[Daño Insecto]]/FT_RF_26[[#This Row],[Muestra]]),"0")</f>
        <v>0</v>
      </c>
      <c r="X145" s="38">
        <v>0</v>
      </c>
      <c r="Y145" s="39">
        <f>+IFERROR((FT_RF_26[[#This Row],[Sobremadura]]/FT_RF_26[[#This Row],[Muestra]]),"0")</f>
        <v>0</v>
      </c>
      <c r="Z145" s="38">
        <v>0</v>
      </c>
      <c r="AA145" s="39">
        <f>+IFERROR((FT_RF_26[[#This Row],[Deforme]]/FT_RF_26[[#This Row],[Muestra]]),"0")</f>
        <v>0</v>
      </c>
      <c r="AB145" s="27"/>
      <c r="AC145" s="38">
        <v>0</v>
      </c>
      <c r="AD145" s="39">
        <f>+IFERROR((FT_RF_26[[#This Row],[Valor Extra 1]]/FT_RF_26[[#This Row],[Muestra]]),"0")</f>
        <v>0</v>
      </c>
      <c r="AF145" s="38">
        <v>0</v>
      </c>
      <c r="AG145" s="39">
        <f>+IFERROR((FT_RF_26[[#This Row],[Valor Extra 2]]/FT_RF_26[[#This Row],[Muestra]]),"0")</f>
        <v>0</v>
      </c>
      <c r="AH145" s="40">
        <v>0</v>
      </c>
      <c r="AI145" s="39">
        <f>+IFERROR((FT_RF_26[[#This Row],[Hongos]]/FT_RF_26[[#This Row],[Muestra]]),"0")</f>
        <v>0</v>
      </c>
      <c r="AJ145" s="38">
        <v>0</v>
      </c>
      <c r="AK145" s="39">
        <f>+IFERROR((FT_RF_26[[#This Row],[Block]]/FT_RF_26[[#This Row],[Muestra]]),"0")</f>
        <v>0</v>
      </c>
      <c r="AL145" s="41">
        <v>0</v>
      </c>
      <c r="AM145" s="42">
        <v>0</v>
      </c>
      <c r="AN145" s="38">
        <v>0</v>
      </c>
      <c r="AO145" s="39">
        <f>+IFERROR((FT_RF_26[[#This Row],[Fuera de calibre &lt;12mm]]/FT_RF_26[[#This Row],[Muestra]]),"0")</f>
        <v>0</v>
      </c>
      <c r="AP145" s="38">
        <v>0</v>
      </c>
      <c r="AQ145" s="39">
        <f>+IFERROR((FT_RF_26[[#This Row],[Calibre &lt;25]]/FT_RF_26[[#This Row],[Muestra]]),"0")</f>
        <v>0</v>
      </c>
      <c r="AR145" s="38">
        <v>0</v>
      </c>
      <c r="AS145" s="39">
        <f>+IFERROR((FT_RF_26[[#This Row],[Calibre &gt;12]]/FT_RF_26[[#This Row],[Muestra]]),"0")</f>
        <v>0</v>
      </c>
      <c r="AT145" s="38">
        <v>0</v>
      </c>
      <c r="AU145" s="39">
        <f>+IFERROR((FT_RF_26[[#This Row],[Calibre &lt;14]]/FT_RF_26[[#This Row],[Muestra]]),"0")</f>
        <v>0</v>
      </c>
      <c r="AV145" s="38">
        <v>0</v>
      </c>
      <c r="AW145" s="39">
        <f>+IFERROR((FT_RF_26[[#This Row],[Calibre &gt;14]]/FT_RF_26[[#This Row],[Muestra]]),"0")</f>
        <v>0</v>
      </c>
      <c r="AX145" s="38">
        <v>0</v>
      </c>
      <c r="AY145" s="39">
        <f>+IFERROR((FT_RF_26[[#This Row],[Calibre &lt;10]]/FT_RF_26[[#This Row],[Muestra]]),"0")</f>
        <v>0</v>
      </c>
      <c r="AZ145" s="38">
        <v>0</v>
      </c>
      <c r="BA145" s="39">
        <f>+IFERROR((FT_RF_26[[#This Row],[Calibre &gt;13]]/FT_RF_26[[#This Row],[Muestra]]),"0")</f>
        <v>0</v>
      </c>
      <c r="BB145" s="41"/>
      <c r="BG145" s="42"/>
      <c r="BH145" s="43">
        <v>0</v>
      </c>
      <c r="BI145" s="29" t="s">
        <v>894</v>
      </c>
      <c r="BJ145" s="29" t="s">
        <v>894</v>
      </c>
      <c r="BK14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4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45" s="45">
        <f>1-FT_RF_26[[#This Row],[% Defectos]]</f>
        <v>1</v>
      </c>
      <c r="BO145" s="60"/>
      <c r="BP145" s="12">
        <f>SUM(FT_RF_26[[#This Row],[Hoja (Un.)]:[Larvas Caja]])</f>
        <v>0</v>
      </c>
      <c r="BQ145" s="12">
        <f>SUM(FT_RF_26[[#This Row],[Vidrios]:[Plástico]])</f>
        <v>0</v>
      </c>
      <c r="BR145" s="12" t="str">
        <f>IF(ISBLANK(FT_RF_26[[#This Row],[Descripción del producto]]),"",FT_RF_26[[#This Row],[Descripción del producto]])</f>
        <v/>
      </c>
      <c r="BS145" s="29" t="str">
        <f>IF(ISBLANK(FT_RF_26[[#This Row],[N° de Lote]]),"",FT_RF_26[[#This Row],[N° de Lote]])</f>
        <v/>
      </c>
      <c r="BT145" s="29" t="str">
        <f>IF(ISBLANK(FT_RF_26[[#This Row],[N° de Pallet]]),"",FT_RF_26[[#This Row],[N° de Pallet]])</f>
        <v/>
      </c>
    </row>
    <row r="146" spans="2:72">
      <c r="B146" s="29">
        <f>+_xlfn.ISOWEEKNUM(FT_RF_26[[#This Row],[Fecha]])</f>
        <v>52</v>
      </c>
      <c r="E146" s="31"/>
      <c r="F146" s="12" t="str">
        <f>IFERROR(""&amp;_xlfn.XLOOKUP(FT_RF_26[[#This Row],[Código]],BD_Cod[SKU],BD_Cod[Descripción]),"")</f>
        <v/>
      </c>
      <c r="G146" s="32" t="str">
        <f>IFERROR(""&amp;_xlfn.XLOOKUP(FT_RF_26[[#This Row],[Código]],BD_Cod[SKU],BD_Cod[Familia Calidad]),"")</f>
        <v/>
      </c>
      <c r="J146" s="33">
        <v>1000</v>
      </c>
      <c r="L146" s="30" t="s">
        <v>244</v>
      </c>
      <c r="O146" s="30" t="s">
        <v>894</v>
      </c>
      <c r="P146" s="29" t="s">
        <v>894</v>
      </c>
      <c r="Q146" s="37">
        <f>1-FT_RF_26[[#This Row],[% Defectos]]</f>
        <v>1</v>
      </c>
      <c r="R146" s="38">
        <v>0</v>
      </c>
      <c r="S146" s="39">
        <f>+IFERROR((FT_RF_26[[#This Row],[Inmadura]]/FT_RF_26[[#This Row],[Muestra]]),"0")</f>
        <v>0</v>
      </c>
      <c r="T146" s="38">
        <v>0</v>
      </c>
      <c r="U146" s="39">
        <f>+IFERROR((FT_RF_26[[#This Row],[Partidas]]/FT_RF_26[[#This Row],[Muestra]]),"0")</f>
        <v>0</v>
      </c>
      <c r="V146" s="38">
        <v>0</v>
      </c>
      <c r="W146" s="39">
        <f>+IFERROR((FT_RF_26[[#This Row],[Daño Insecto]]/FT_RF_26[[#This Row],[Muestra]]),"0")</f>
        <v>0</v>
      </c>
      <c r="X146" s="38">
        <v>0</v>
      </c>
      <c r="Y146" s="39">
        <f>+IFERROR((FT_RF_26[[#This Row],[Sobremadura]]/FT_RF_26[[#This Row],[Muestra]]),"0")</f>
        <v>0</v>
      </c>
      <c r="Z146" s="38">
        <v>0</v>
      </c>
      <c r="AA146" s="39">
        <f>+IFERROR((FT_RF_26[[#This Row],[Deforme]]/FT_RF_26[[#This Row],[Muestra]]),"0")</f>
        <v>0</v>
      </c>
      <c r="AB146" s="27"/>
      <c r="AC146" s="38">
        <v>0</v>
      </c>
      <c r="AD146" s="39">
        <f>+IFERROR((FT_RF_26[[#This Row],[Valor Extra 1]]/FT_RF_26[[#This Row],[Muestra]]),"0")</f>
        <v>0</v>
      </c>
      <c r="AF146" s="38">
        <v>0</v>
      </c>
      <c r="AG146" s="39">
        <f>+IFERROR((FT_RF_26[[#This Row],[Valor Extra 2]]/FT_RF_26[[#This Row],[Muestra]]),"0")</f>
        <v>0</v>
      </c>
      <c r="AH146" s="40">
        <v>0</v>
      </c>
      <c r="AI146" s="39">
        <f>+IFERROR((FT_RF_26[[#This Row],[Hongos]]/FT_RF_26[[#This Row],[Muestra]]),"0")</f>
        <v>0</v>
      </c>
      <c r="AJ146" s="38">
        <v>0</v>
      </c>
      <c r="AK146" s="39">
        <f>+IFERROR((FT_RF_26[[#This Row],[Block]]/FT_RF_26[[#This Row],[Muestra]]),"0")</f>
        <v>0</v>
      </c>
      <c r="AL146" s="41">
        <v>0</v>
      </c>
      <c r="AM146" s="42">
        <v>0</v>
      </c>
      <c r="AN146" s="38">
        <v>0</v>
      </c>
      <c r="AO146" s="39">
        <f>+IFERROR((FT_RF_26[[#This Row],[Fuera de calibre &lt;12mm]]/FT_RF_26[[#This Row],[Muestra]]),"0")</f>
        <v>0</v>
      </c>
      <c r="AP146" s="38">
        <v>0</v>
      </c>
      <c r="AQ146" s="39">
        <f>+IFERROR((FT_RF_26[[#This Row],[Calibre &lt;25]]/FT_RF_26[[#This Row],[Muestra]]),"0")</f>
        <v>0</v>
      </c>
      <c r="AR146" s="38">
        <v>0</v>
      </c>
      <c r="AS146" s="39">
        <f>+IFERROR((FT_RF_26[[#This Row],[Calibre &gt;12]]/FT_RF_26[[#This Row],[Muestra]]),"0")</f>
        <v>0</v>
      </c>
      <c r="AT146" s="38">
        <v>0</v>
      </c>
      <c r="AU146" s="39">
        <f>+IFERROR((FT_RF_26[[#This Row],[Calibre &lt;14]]/FT_RF_26[[#This Row],[Muestra]]),"0")</f>
        <v>0</v>
      </c>
      <c r="AV146" s="38">
        <v>0</v>
      </c>
      <c r="AW146" s="39">
        <f>+IFERROR((FT_RF_26[[#This Row],[Calibre &gt;14]]/FT_RF_26[[#This Row],[Muestra]]),"0")</f>
        <v>0</v>
      </c>
      <c r="AX146" s="38">
        <v>0</v>
      </c>
      <c r="AY146" s="39">
        <f>+IFERROR((FT_RF_26[[#This Row],[Calibre &lt;10]]/FT_RF_26[[#This Row],[Muestra]]),"0")</f>
        <v>0</v>
      </c>
      <c r="AZ146" s="38">
        <v>0</v>
      </c>
      <c r="BA146" s="39">
        <f>+IFERROR((FT_RF_26[[#This Row],[Calibre &gt;13]]/FT_RF_26[[#This Row],[Muestra]]),"0")</f>
        <v>0</v>
      </c>
      <c r="BB146" s="41"/>
      <c r="BG146" s="42"/>
      <c r="BH146" s="43">
        <v>0</v>
      </c>
      <c r="BI146" s="29" t="s">
        <v>894</v>
      </c>
      <c r="BJ146" s="29" t="s">
        <v>894</v>
      </c>
      <c r="BK14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4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46" s="45">
        <f>1-FT_RF_26[[#This Row],[% Defectos]]</f>
        <v>1</v>
      </c>
      <c r="BO146" s="60"/>
      <c r="BP146" s="12">
        <f>SUM(FT_RF_26[[#This Row],[Hoja (Un.)]:[Larvas Caja]])</f>
        <v>0</v>
      </c>
      <c r="BQ146" s="12">
        <f>SUM(FT_RF_26[[#This Row],[Vidrios]:[Plástico]])</f>
        <v>0</v>
      </c>
      <c r="BR146" s="12" t="str">
        <f>IF(ISBLANK(FT_RF_26[[#This Row],[Descripción del producto]]),"",FT_RF_26[[#This Row],[Descripción del producto]])</f>
        <v/>
      </c>
      <c r="BS146" s="29" t="str">
        <f>IF(ISBLANK(FT_RF_26[[#This Row],[N° de Lote]]),"",FT_RF_26[[#This Row],[N° de Lote]])</f>
        <v/>
      </c>
      <c r="BT146" s="29" t="str">
        <f>IF(ISBLANK(FT_RF_26[[#This Row],[N° de Pallet]]),"",FT_RF_26[[#This Row],[N° de Pallet]])</f>
        <v/>
      </c>
    </row>
    <row r="147" spans="2:72">
      <c r="B147" s="29">
        <f>+_xlfn.ISOWEEKNUM(FT_RF_26[[#This Row],[Fecha]])</f>
        <v>52</v>
      </c>
      <c r="E147" s="31"/>
      <c r="F147" s="12" t="str">
        <f>IFERROR(""&amp;_xlfn.XLOOKUP(FT_RF_26[[#This Row],[Código]],BD_Cod[SKU],BD_Cod[Descripción]),"")</f>
        <v/>
      </c>
      <c r="G147" s="32" t="str">
        <f>IFERROR(""&amp;_xlfn.XLOOKUP(FT_RF_26[[#This Row],[Código]],BD_Cod[SKU],BD_Cod[Familia Calidad]),"")</f>
        <v/>
      </c>
      <c r="J147" s="33">
        <v>1000</v>
      </c>
      <c r="L147" s="30" t="s">
        <v>244</v>
      </c>
      <c r="O147" s="30" t="s">
        <v>894</v>
      </c>
      <c r="P147" s="29" t="s">
        <v>894</v>
      </c>
      <c r="Q147" s="37">
        <f>1-FT_RF_26[[#This Row],[% Defectos]]</f>
        <v>1</v>
      </c>
      <c r="R147" s="38">
        <v>0</v>
      </c>
      <c r="S147" s="39">
        <f>+IFERROR((FT_RF_26[[#This Row],[Inmadura]]/FT_RF_26[[#This Row],[Muestra]]),"0")</f>
        <v>0</v>
      </c>
      <c r="T147" s="38">
        <v>0</v>
      </c>
      <c r="U147" s="39">
        <f>+IFERROR((FT_RF_26[[#This Row],[Partidas]]/FT_RF_26[[#This Row],[Muestra]]),"0")</f>
        <v>0</v>
      </c>
      <c r="V147" s="38">
        <v>0</v>
      </c>
      <c r="W147" s="39">
        <f>+IFERROR((FT_RF_26[[#This Row],[Daño Insecto]]/FT_RF_26[[#This Row],[Muestra]]),"0")</f>
        <v>0</v>
      </c>
      <c r="X147" s="38">
        <v>0</v>
      </c>
      <c r="Y147" s="39">
        <f>+IFERROR((FT_RF_26[[#This Row],[Sobremadura]]/FT_RF_26[[#This Row],[Muestra]]),"0")</f>
        <v>0</v>
      </c>
      <c r="Z147" s="38">
        <v>0</v>
      </c>
      <c r="AA147" s="39">
        <f>+IFERROR((FT_RF_26[[#This Row],[Deforme]]/FT_RF_26[[#This Row],[Muestra]]),"0")</f>
        <v>0</v>
      </c>
      <c r="AB147" s="27"/>
      <c r="AC147" s="38">
        <v>0</v>
      </c>
      <c r="AD147" s="39">
        <f>+IFERROR((FT_RF_26[[#This Row],[Valor Extra 1]]/FT_RF_26[[#This Row],[Muestra]]),"0")</f>
        <v>0</v>
      </c>
      <c r="AF147" s="38">
        <v>0</v>
      </c>
      <c r="AG147" s="39">
        <f>+IFERROR((FT_RF_26[[#This Row],[Valor Extra 2]]/FT_RF_26[[#This Row],[Muestra]]),"0")</f>
        <v>0</v>
      </c>
      <c r="AH147" s="40">
        <v>0</v>
      </c>
      <c r="AI147" s="39">
        <f>+IFERROR((FT_RF_26[[#This Row],[Hongos]]/FT_RF_26[[#This Row],[Muestra]]),"0")</f>
        <v>0</v>
      </c>
      <c r="AJ147" s="38">
        <v>0</v>
      </c>
      <c r="AK147" s="39">
        <f>+IFERROR((FT_RF_26[[#This Row],[Block]]/FT_RF_26[[#This Row],[Muestra]]),"0")</f>
        <v>0</v>
      </c>
      <c r="AL147" s="41">
        <v>0</v>
      </c>
      <c r="AM147" s="42">
        <v>0</v>
      </c>
      <c r="AN147" s="38">
        <v>0</v>
      </c>
      <c r="AO147" s="39">
        <f>+IFERROR((FT_RF_26[[#This Row],[Fuera de calibre &lt;12mm]]/FT_RF_26[[#This Row],[Muestra]]),"0")</f>
        <v>0</v>
      </c>
      <c r="AP147" s="38">
        <v>0</v>
      </c>
      <c r="AQ147" s="39">
        <f>+IFERROR((FT_RF_26[[#This Row],[Calibre &lt;25]]/FT_RF_26[[#This Row],[Muestra]]),"0")</f>
        <v>0</v>
      </c>
      <c r="AR147" s="38">
        <v>0</v>
      </c>
      <c r="AS147" s="39">
        <f>+IFERROR((FT_RF_26[[#This Row],[Calibre &gt;12]]/FT_RF_26[[#This Row],[Muestra]]),"0")</f>
        <v>0</v>
      </c>
      <c r="AT147" s="38">
        <v>0</v>
      </c>
      <c r="AU147" s="39">
        <f>+IFERROR((FT_RF_26[[#This Row],[Calibre &lt;14]]/FT_RF_26[[#This Row],[Muestra]]),"0")</f>
        <v>0</v>
      </c>
      <c r="AV147" s="38">
        <v>0</v>
      </c>
      <c r="AW147" s="39">
        <f>+IFERROR((FT_RF_26[[#This Row],[Calibre &gt;14]]/FT_RF_26[[#This Row],[Muestra]]),"0")</f>
        <v>0</v>
      </c>
      <c r="AX147" s="38">
        <v>0</v>
      </c>
      <c r="AY147" s="39">
        <f>+IFERROR((FT_RF_26[[#This Row],[Calibre &lt;10]]/FT_RF_26[[#This Row],[Muestra]]),"0")</f>
        <v>0</v>
      </c>
      <c r="AZ147" s="38">
        <v>0</v>
      </c>
      <c r="BA147" s="39">
        <f>+IFERROR((FT_RF_26[[#This Row],[Calibre &gt;13]]/FT_RF_26[[#This Row],[Muestra]]),"0")</f>
        <v>0</v>
      </c>
      <c r="BB147" s="41"/>
      <c r="BG147" s="42"/>
      <c r="BH147" s="43">
        <v>0</v>
      </c>
      <c r="BI147" s="29" t="s">
        <v>894</v>
      </c>
      <c r="BJ147" s="29" t="s">
        <v>894</v>
      </c>
      <c r="BK14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4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47" s="45">
        <f>1-FT_RF_26[[#This Row],[% Defectos]]</f>
        <v>1</v>
      </c>
      <c r="BO147" s="60"/>
      <c r="BP147" s="12">
        <f>SUM(FT_RF_26[[#This Row],[Hoja (Un.)]:[Larvas Caja]])</f>
        <v>0</v>
      </c>
      <c r="BQ147" s="12">
        <f>SUM(FT_RF_26[[#This Row],[Vidrios]:[Plástico]])</f>
        <v>0</v>
      </c>
      <c r="BR147" s="12" t="str">
        <f>IF(ISBLANK(FT_RF_26[[#This Row],[Descripción del producto]]),"",FT_RF_26[[#This Row],[Descripción del producto]])</f>
        <v/>
      </c>
      <c r="BS147" s="29" t="str">
        <f>IF(ISBLANK(FT_RF_26[[#This Row],[N° de Lote]]),"",FT_RF_26[[#This Row],[N° de Lote]])</f>
        <v/>
      </c>
      <c r="BT147" s="29" t="str">
        <f>IF(ISBLANK(FT_RF_26[[#This Row],[N° de Pallet]]),"",FT_RF_26[[#This Row],[N° de Pallet]])</f>
        <v/>
      </c>
    </row>
    <row r="148" spans="2:72">
      <c r="B148" s="29">
        <f>+_xlfn.ISOWEEKNUM(FT_RF_26[[#This Row],[Fecha]])</f>
        <v>52</v>
      </c>
      <c r="E148" s="31"/>
      <c r="F148" s="12" t="str">
        <f>IFERROR(""&amp;_xlfn.XLOOKUP(FT_RF_26[[#This Row],[Código]],BD_Cod[SKU],BD_Cod[Descripción]),"")</f>
        <v/>
      </c>
      <c r="G148" s="32" t="str">
        <f>IFERROR(""&amp;_xlfn.XLOOKUP(FT_RF_26[[#This Row],[Código]],BD_Cod[SKU],BD_Cod[Familia Calidad]),"")</f>
        <v/>
      </c>
      <c r="J148" s="33">
        <v>1000</v>
      </c>
      <c r="L148" s="30" t="s">
        <v>244</v>
      </c>
      <c r="O148" s="30" t="s">
        <v>894</v>
      </c>
      <c r="P148" s="29" t="s">
        <v>894</v>
      </c>
      <c r="Q148" s="37">
        <f>1-FT_RF_26[[#This Row],[% Defectos]]</f>
        <v>1</v>
      </c>
      <c r="R148" s="38">
        <v>0</v>
      </c>
      <c r="S148" s="39">
        <f>+IFERROR((FT_RF_26[[#This Row],[Inmadura]]/FT_RF_26[[#This Row],[Muestra]]),"0")</f>
        <v>0</v>
      </c>
      <c r="T148" s="38">
        <v>0</v>
      </c>
      <c r="U148" s="39">
        <f>+IFERROR((FT_RF_26[[#This Row],[Partidas]]/FT_RF_26[[#This Row],[Muestra]]),"0")</f>
        <v>0</v>
      </c>
      <c r="V148" s="38">
        <v>0</v>
      </c>
      <c r="W148" s="39">
        <f>+IFERROR((FT_RF_26[[#This Row],[Daño Insecto]]/FT_RF_26[[#This Row],[Muestra]]),"0")</f>
        <v>0</v>
      </c>
      <c r="X148" s="38">
        <v>0</v>
      </c>
      <c r="Y148" s="39">
        <f>+IFERROR((FT_RF_26[[#This Row],[Sobremadura]]/FT_RF_26[[#This Row],[Muestra]]),"0")</f>
        <v>0</v>
      </c>
      <c r="Z148" s="38">
        <v>0</v>
      </c>
      <c r="AA148" s="39">
        <f>+IFERROR((FT_RF_26[[#This Row],[Deforme]]/FT_RF_26[[#This Row],[Muestra]]),"0")</f>
        <v>0</v>
      </c>
      <c r="AB148" s="27"/>
      <c r="AC148" s="38">
        <v>0</v>
      </c>
      <c r="AD148" s="39">
        <f>+IFERROR((FT_RF_26[[#This Row],[Valor Extra 1]]/FT_RF_26[[#This Row],[Muestra]]),"0")</f>
        <v>0</v>
      </c>
      <c r="AF148" s="38">
        <v>0</v>
      </c>
      <c r="AG148" s="39">
        <f>+IFERROR((FT_RF_26[[#This Row],[Valor Extra 2]]/FT_RF_26[[#This Row],[Muestra]]),"0")</f>
        <v>0</v>
      </c>
      <c r="AH148" s="40">
        <v>0</v>
      </c>
      <c r="AI148" s="39">
        <f>+IFERROR((FT_RF_26[[#This Row],[Hongos]]/FT_RF_26[[#This Row],[Muestra]]),"0")</f>
        <v>0</v>
      </c>
      <c r="AJ148" s="38">
        <v>0</v>
      </c>
      <c r="AK148" s="39">
        <f>+IFERROR((FT_RF_26[[#This Row],[Block]]/FT_RF_26[[#This Row],[Muestra]]),"0")</f>
        <v>0</v>
      </c>
      <c r="AL148" s="41">
        <v>0</v>
      </c>
      <c r="AM148" s="42">
        <v>0</v>
      </c>
      <c r="AN148" s="38">
        <v>0</v>
      </c>
      <c r="AO148" s="39">
        <f>+IFERROR((FT_RF_26[[#This Row],[Fuera de calibre &lt;12mm]]/FT_RF_26[[#This Row],[Muestra]]),"0")</f>
        <v>0</v>
      </c>
      <c r="AP148" s="38">
        <v>0</v>
      </c>
      <c r="AQ148" s="39">
        <f>+IFERROR((FT_RF_26[[#This Row],[Calibre &lt;25]]/FT_RF_26[[#This Row],[Muestra]]),"0")</f>
        <v>0</v>
      </c>
      <c r="AR148" s="38">
        <v>0</v>
      </c>
      <c r="AS148" s="39">
        <f>+IFERROR((FT_RF_26[[#This Row],[Calibre &gt;12]]/FT_RF_26[[#This Row],[Muestra]]),"0")</f>
        <v>0</v>
      </c>
      <c r="AT148" s="38">
        <v>0</v>
      </c>
      <c r="AU148" s="39">
        <f>+IFERROR((FT_RF_26[[#This Row],[Calibre &lt;14]]/FT_RF_26[[#This Row],[Muestra]]),"0")</f>
        <v>0</v>
      </c>
      <c r="AV148" s="38">
        <v>0</v>
      </c>
      <c r="AW148" s="39">
        <f>+IFERROR((FT_RF_26[[#This Row],[Calibre &gt;14]]/FT_RF_26[[#This Row],[Muestra]]),"0")</f>
        <v>0</v>
      </c>
      <c r="AX148" s="38">
        <v>0</v>
      </c>
      <c r="AY148" s="39">
        <f>+IFERROR((FT_RF_26[[#This Row],[Calibre &lt;10]]/FT_RF_26[[#This Row],[Muestra]]),"0")</f>
        <v>0</v>
      </c>
      <c r="AZ148" s="38">
        <v>0</v>
      </c>
      <c r="BA148" s="39">
        <f>+IFERROR((FT_RF_26[[#This Row],[Calibre &gt;13]]/FT_RF_26[[#This Row],[Muestra]]),"0")</f>
        <v>0</v>
      </c>
      <c r="BB148" s="41"/>
      <c r="BG148" s="42"/>
      <c r="BH148" s="43">
        <v>0</v>
      </c>
      <c r="BI148" s="29" t="s">
        <v>894</v>
      </c>
      <c r="BJ148" s="29" t="s">
        <v>894</v>
      </c>
      <c r="BK14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4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48" s="45">
        <f>1-FT_RF_26[[#This Row],[% Defectos]]</f>
        <v>1</v>
      </c>
      <c r="BO148" s="60"/>
      <c r="BP148" s="12">
        <f>SUM(FT_RF_26[[#This Row],[Hoja (Un.)]:[Larvas Caja]])</f>
        <v>0</v>
      </c>
      <c r="BQ148" s="12">
        <f>SUM(FT_RF_26[[#This Row],[Vidrios]:[Plástico]])</f>
        <v>0</v>
      </c>
      <c r="BR148" s="12" t="str">
        <f>IF(ISBLANK(FT_RF_26[[#This Row],[Descripción del producto]]),"",FT_RF_26[[#This Row],[Descripción del producto]])</f>
        <v/>
      </c>
      <c r="BS148" s="29" t="str">
        <f>IF(ISBLANK(FT_RF_26[[#This Row],[N° de Lote]]),"",FT_RF_26[[#This Row],[N° de Lote]])</f>
        <v/>
      </c>
      <c r="BT148" s="29" t="str">
        <f>IF(ISBLANK(FT_RF_26[[#This Row],[N° de Pallet]]),"",FT_RF_26[[#This Row],[N° de Pallet]])</f>
        <v/>
      </c>
    </row>
    <row r="149" spans="2:72">
      <c r="B149" s="29">
        <f>+_xlfn.ISOWEEKNUM(FT_RF_26[[#This Row],[Fecha]])</f>
        <v>52</v>
      </c>
      <c r="E149" s="31"/>
      <c r="F149" s="12" t="str">
        <f>IFERROR(""&amp;_xlfn.XLOOKUP(FT_RF_26[[#This Row],[Código]],BD_Cod[SKU],BD_Cod[Descripción]),"")</f>
        <v/>
      </c>
      <c r="G149" s="32" t="str">
        <f>IFERROR(""&amp;_xlfn.XLOOKUP(FT_RF_26[[#This Row],[Código]],BD_Cod[SKU],BD_Cod[Familia Calidad]),"")</f>
        <v/>
      </c>
      <c r="J149" s="33">
        <v>1000</v>
      </c>
      <c r="L149" s="30" t="s">
        <v>244</v>
      </c>
      <c r="O149" s="30" t="s">
        <v>894</v>
      </c>
      <c r="P149" s="29" t="s">
        <v>894</v>
      </c>
      <c r="Q149" s="37">
        <f>1-FT_RF_26[[#This Row],[% Defectos]]</f>
        <v>1</v>
      </c>
      <c r="R149" s="38">
        <v>0</v>
      </c>
      <c r="S149" s="39">
        <f>+IFERROR((FT_RF_26[[#This Row],[Inmadura]]/FT_RF_26[[#This Row],[Muestra]]),"0")</f>
        <v>0</v>
      </c>
      <c r="T149" s="38">
        <v>0</v>
      </c>
      <c r="U149" s="39">
        <f>+IFERROR((FT_RF_26[[#This Row],[Partidas]]/FT_RF_26[[#This Row],[Muestra]]),"0")</f>
        <v>0</v>
      </c>
      <c r="V149" s="38">
        <v>0</v>
      </c>
      <c r="W149" s="39">
        <f>+IFERROR((FT_RF_26[[#This Row],[Daño Insecto]]/FT_RF_26[[#This Row],[Muestra]]),"0")</f>
        <v>0</v>
      </c>
      <c r="X149" s="38">
        <v>0</v>
      </c>
      <c r="Y149" s="39">
        <f>+IFERROR((FT_RF_26[[#This Row],[Sobremadura]]/FT_RF_26[[#This Row],[Muestra]]),"0")</f>
        <v>0</v>
      </c>
      <c r="Z149" s="38">
        <v>0</v>
      </c>
      <c r="AA149" s="39">
        <f>+IFERROR((FT_RF_26[[#This Row],[Deforme]]/FT_RF_26[[#This Row],[Muestra]]),"0")</f>
        <v>0</v>
      </c>
      <c r="AB149" s="27"/>
      <c r="AC149" s="38">
        <v>0</v>
      </c>
      <c r="AD149" s="39">
        <f>+IFERROR((FT_RF_26[[#This Row],[Valor Extra 1]]/FT_RF_26[[#This Row],[Muestra]]),"0")</f>
        <v>0</v>
      </c>
      <c r="AF149" s="38">
        <v>0</v>
      </c>
      <c r="AG149" s="39">
        <f>+IFERROR((FT_RF_26[[#This Row],[Valor Extra 2]]/FT_RF_26[[#This Row],[Muestra]]),"0")</f>
        <v>0</v>
      </c>
      <c r="AH149" s="40">
        <v>0</v>
      </c>
      <c r="AI149" s="39">
        <f>+IFERROR((FT_RF_26[[#This Row],[Hongos]]/FT_RF_26[[#This Row],[Muestra]]),"0")</f>
        <v>0</v>
      </c>
      <c r="AJ149" s="38">
        <v>0</v>
      </c>
      <c r="AK149" s="39">
        <f>+IFERROR((FT_RF_26[[#This Row],[Block]]/FT_RF_26[[#This Row],[Muestra]]),"0")</f>
        <v>0</v>
      </c>
      <c r="AL149" s="41">
        <v>0</v>
      </c>
      <c r="AM149" s="42">
        <v>0</v>
      </c>
      <c r="AN149" s="38">
        <v>0</v>
      </c>
      <c r="AO149" s="39">
        <f>+IFERROR((FT_RF_26[[#This Row],[Fuera de calibre &lt;12mm]]/FT_RF_26[[#This Row],[Muestra]]),"0")</f>
        <v>0</v>
      </c>
      <c r="AP149" s="38">
        <v>0</v>
      </c>
      <c r="AQ149" s="39">
        <f>+IFERROR((FT_RF_26[[#This Row],[Calibre &lt;25]]/FT_RF_26[[#This Row],[Muestra]]),"0")</f>
        <v>0</v>
      </c>
      <c r="AR149" s="38">
        <v>0</v>
      </c>
      <c r="AS149" s="39">
        <f>+IFERROR((FT_RF_26[[#This Row],[Calibre &gt;12]]/FT_RF_26[[#This Row],[Muestra]]),"0")</f>
        <v>0</v>
      </c>
      <c r="AT149" s="38">
        <v>0</v>
      </c>
      <c r="AU149" s="39">
        <f>+IFERROR((FT_RF_26[[#This Row],[Calibre &lt;14]]/FT_RF_26[[#This Row],[Muestra]]),"0")</f>
        <v>0</v>
      </c>
      <c r="AV149" s="38">
        <v>0</v>
      </c>
      <c r="AW149" s="39">
        <f>+IFERROR((FT_RF_26[[#This Row],[Calibre &gt;14]]/FT_RF_26[[#This Row],[Muestra]]),"0")</f>
        <v>0</v>
      </c>
      <c r="AX149" s="38">
        <v>0</v>
      </c>
      <c r="AY149" s="39">
        <f>+IFERROR((FT_RF_26[[#This Row],[Calibre &lt;10]]/FT_RF_26[[#This Row],[Muestra]]),"0")</f>
        <v>0</v>
      </c>
      <c r="AZ149" s="38">
        <v>0</v>
      </c>
      <c r="BA149" s="39">
        <f>+IFERROR((FT_RF_26[[#This Row],[Calibre &gt;13]]/FT_RF_26[[#This Row],[Muestra]]),"0")</f>
        <v>0</v>
      </c>
      <c r="BB149" s="41"/>
      <c r="BG149" s="42"/>
      <c r="BH149" s="43">
        <v>0</v>
      </c>
      <c r="BI149" s="29" t="s">
        <v>894</v>
      </c>
      <c r="BJ149" s="29" t="s">
        <v>894</v>
      </c>
      <c r="BK14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4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49" s="45">
        <f>1-FT_RF_26[[#This Row],[% Defectos]]</f>
        <v>1</v>
      </c>
      <c r="BO149" s="60"/>
      <c r="BP149" s="12">
        <f>SUM(FT_RF_26[[#This Row],[Hoja (Un.)]:[Larvas Caja]])</f>
        <v>0</v>
      </c>
      <c r="BQ149" s="12">
        <f>SUM(FT_RF_26[[#This Row],[Vidrios]:[Plástico]])</f>
        <v>0</v>
      </c>
      <c r="BR149" s="12" t="str">
        <f>IF(ISBLANK(FT_RF_26[[#This Row],[Descripción del producto]]),"",FT_RF_26[[#This Row],[Descripción del producto]])</f>
        <v/>
      </c>
      <c r="BS149" s="29" t="str">
        <f>IF(ISBLANK(FT_RF_26[[#This Row],[N° de Lote]]),"",FT_RF_26[[#This Row],[N° de Lote]])</f>
        <v/>
      </c>
      <c r="BT149" s="29" t="str">
        <f>IF(ISBLANK(FT_RF_26[[#This Row],[N° de Pallet]]),"",FT_RF_26[[#This Row],[N° de Pallet]])</f>
        <v/>
      </c>
    </row>
    <row r="150" spans="2:72">
      <c r="B150" s="29">
        <f>+_xlfn.ISOWEEKNUM(FT_RF_26[[#This Row],[Fecha]])</f>
        <v>52</v>
      </c>
      <c r="E150" s="31"/>
      <c r="F150" s="12" t="str">
        <f>IFERROR(""&amp;_xlfn.XLOOKUP(FT_RF_26[[#This Row],[Código]],BD_Cod[SKU],BD_Cod[Descripción]),"")</f>
        <v/>
      </c>
      <c r="G150" s="32" t="str">
        <f>IFERROR(""&amp;_xlfn.XLOOKUP(FT_RF_26[[#This Row],[Código]],BD_Cod[SKU],BD_Cod[Familia Calidad]),"")</f>
        <v/>
      </c>
      <c r="J150" s="33">
        <v>1000</v>
      </c>
      <c r="L150" s="30" t="s">
        <v>244</v>
      </c>
      <c r="O150" s="30" t="s">
        <v>894</v>
      </c>
      <c r="P150" s="29" t="s">
        <v>894</v>
      </c>
      <c r="Q150" s="37">
        <f>1-FT_RF_26[[#This Row],[% Defectos]]</f>
        <v>1</v>
      </c>
      <c r="R150" s="38">
        <v>0</v>
      </c>
      <c r="S150" s="39">
        <f>+IFERROR((FT_RF_26[[#This Row],[Inmadura]]/FT_RF_26[[#This Row],[Muestra]]),"0")</f>
        <v>0</v>
      </c>
      <c r="T150" s="38">
        <v>0</v>
      </c>
      <c r="U150" s="39">
        <f>+IFERROR((FT_RF_26[[#This Row],[Partidas]]/FT_RF_26[[#This Row],[Muestra]]),"0")</f>
        <v>0</v>
      </c>
      <c r="V150" s="38">
        <v>0</v>
      </c>
      <c r="W150" s="39">
        <f>+IFERROR((FT_RF_26[[#This Row],[Daño Insecto]]/FT_RF_26[[#This Row],[Muestra]]),"0")</f>
        <v>0</v>
      </c>
      <c r="X150" s="38">
        <v>0</v>
      </c>
      <c r="Y150" s="39">
        <f>+IFERROR((FT_RF_26[[#This Row],[Sobremadura]]/FT_RF_26[[#This Row],[Muestra]]),"0")</f>
        <v>0</v>
      </c>
      <c r="Z150" s="38">
        <v>0</v>
      </c>
      <c r="AA150" s="39">
        <f>+IFERROR((FT_RF_26[[#This Row],[Deforme]]/FT_RF_26[[#This Row],[Muestra]]),"0")</f>
        <v>0</v>
      </c>
      <c r="AB150" s="27"/>
      <c r="AC150" s="38">
        <v>0</v>
      </c>
      <c r="AD150" s="39">
        <f>+IFERROR((FT_RF_26[[#This Row],[Valor Extra 1]]/FT_RF_26[[#This Row],[Muestra]]),"0")</f>
        <v>0</v>
      </c>
      <c r="AF150" s="38">
        <v>0</v>
      </c>
      <c r="AG150" s="39">
        <f>+IFERROR((FT_RF_26[[#This Row],[Valor Extra 2]]/FT_RF_26[[#This Row],[Muestra]]),"0")</f>
        <v>0</v>
      </c>
      <c r="AH150" s="40">
        <v>0</v>
      </c>
      <c r="AI150" s="39">
        <f>+IFERROR((FT_RF_26[[#This Row],[Hongos]]/FT_RF_26[[#This Row],[Muestra]]),"0")</f>
        <v>0</v>
      </c>
      <c r="AJ150" s="38">
        <v>0</v>
      </c>
      <c r="AK150" s="39">
        <f>+IFERROR((FT_RF_26[[#This Row],[Block]]/FT_RF_26[[#This Row],[Muestra]]),"0")</f>
        <v>0</v>
      </c>
      <c r="AL150" s="41">
        <v>0</v>
      </c>
      <c r="AM150" s="42">
        <v>0</v>
      </c>
      <c r="AN150" s="38">
        <v>0</v>
      </c>
      <c r="AO150" s="39">
        <f>+IFERROR((FT_RF_26[[#This Row],[Fuera de calibre &lt;12mm]]/FT_RF_26[[#This Row],[Muestra]]),"0")</f>
        <v>0</v>
      </c>
      <c r="AP150" s="38">
        <v>0</v>
      </c>
      <c r="AQ150" s="39">
        <f>+IFERROR((FT_RF_26[[#This Row],[Calibre &lt;25]]/FT_RF_26[[#This Row],[Muestra]]),"0")</f>
        <v>0</v>
      </c>
      <c r="AR150" s="38">
        <v>0</v>
      </c>
      <c r="AS150" s="39">
        <f>+IFERROR((FT_RF_26[[#This Row],[Calibre &gt;12]]/FT_RF_26[[#This Row],[Muestra]]),"0")</f>
        <v>0</v>
      </c>
      <c r="AT150" s="38">
        <v>0</v>
      </c>
      <c r="AU150" s="39">
        <f>+IFERROR((FT_RF_26[[#This Row],[Calibre &lt;14]]/FT_RF_26[[#This Row],[Muestra]]),"0")</f>
        <v>0</v>
      </c>
      <c r="AV150" s="38">
        <v>0</v>
      </c>
      <c r="AW150" s="39">
        <f>+IFERROR((FT_RF_26[[#This Row],[Calibre &gt;14]]/FT_RF_26[[#This Row],[Muestra]]),"0")</f>
        <v>0</v>
      </c>
      <c r="AX150" s="38">
        <v>0</v>
      </c>
      <c r="AY150" s="39">
        <f>+IFERROR((FT_RF_26[[#This Row],[Calibre &lt;10]]/FT_RF_26[[#This Row],[Muestra]]),"0")</f>
        <v>0</v>
      </c>
      <c r="AZ150" s="38">
        <v>0</v>
      </c>
      <c r="BA150" s="39">
        <f>+IFERROR((FT_RF_26[[#This Row],[Calibre &gt;13]]/FT_RF_26[[#This Row],[Muestra]]),"0")</f>
        <v>0</v>
      </c>
      <c r="BB150" s="41"/>
      <c r="BG150" s="42"/>
      <c r="BH150" s="43">
        <v>0</v>
      </c>
      <c r="BI150" s="29" t="s">
        <v>894</v>
      </c>
      <c r="BJ150" s="29" t="s">
        <v>894</v>
      </c>
      <c r="BK15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5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50" s="45">
        <f>1-FT_RF_26[[#This Row],[% Defectos]]</f>
        <v>1</v>
      </c>
      <c r="BO150" s="60"/>
      <c r="BP150" s="12">
        <f>SUM(FT_RF_26[[#This Row],[Hoja (Un.)]:[Larvas Caja]])</f>
        <v>0</v>
      </c>
      <c r="BQ150" s="12">
        <f>SUM(FT_RF_26[[#This Row],[Vidrios]:[Plástico]])</f>
        <v>0</v>
      </c>
      <c r="BR150" s="12" t="str">
        <f>IF(ISBLANK(FT_RF_26[[#This Row],[Descripción del producto]]),"",FT_RF_26[[#This Row],[Descripción del producto]])</f>
        <v/>
      </c>
      <c r="BS150" s="29" t="str">
        <f>IF(ISBLANK(FT_RF_26[[#This Row],[N° de Lote]]),"",FT_RF_26[[#This Row],[N° de Lote]])</f>
        <v/>
      </c>
      <c r="BT150" s="29" t="str">
        <f>IF(ISBLANK(FT_RF_26[[#This Row],[N° de Pallet]]),"",FT_RF_26[[#This Row],[N° de Pallet]])</f>
        <v/>
      </c>
    </row>
    <row r="151" spans="2:72">
      <c r="B151" s="29">
        <f>+_xlfn.ISOWEEKNUM(FT_RF_26[[#This Row],[Fecha]])</f>
        <v>52</v>
      </c>
      <c r="E151" s="31"/>
      <c r="F151" s="12" t="str">
        <f>IFERROR(""&amp;_xlfn.XLOOKUP(FT_RF_26[[#This Row],[Código]],BD_Cod[SKU],BD_Cod[Descripción]),"")</f>
        <v/>
      </c>
      <c r="G151" s="32" t="str">
        <f>IFERROR(""&amp;_xlfn.XLOOKUP(FT_RF_26[[#This Row],[Código]],BD_Cod[SKU],BD_Cod[Familia Calidad]),"")</f>
        <v/>
      </c>
      <c r="J151" s="33">
        <v>1000</v>
      </c>
      <c r="L151" s="30" t="s">
        <v>244</v>
      </c>
      <c r="O151" s="30" t="s">
        <v>894</v>
      </c>
      <c r="P151" s="29" t="s">
        <v>894</v>
      </c>
      <c r="Q151" s="37">
        <f>1-FT_RF_26[[#This Row],[% Defectos]]</f>
        <v>1</v>
      </c>
      <c r="R151" s="38">
        <v>0</v>
      </c>
      <c r="S151" s="39">
        <f>+IFERROR((FT_RF_26[[#This Row],[Inmadura]]/FT_RF_26[[#This Row],[Muestra]]),"0")</f>
        <v>0</v>
      </c>
      <c r="T151" s="38">
        <v>0</v>
      </c>
      <c r="U151" s="39">
        <f>+IFERROR((FT_RF_26[[#This Row],[Partidas]]/FT_RF_26[[#This Row],[Muestra]]),"0")</f>
        <v>0</v>
      </c>
      <c r="V151" s="38">
        <v>0</v>
      </c>
      <c r="W151" s="39">
        <f>+IFERROR((FT_RF_26[[#This Row],[Daño Insecto]]/FT_RF_26[[#This Row],[Muestra]]),"0")</f>
        <v>0</v>
      </c>
      <c r="X151" s="38">
        <v>0</v>
      </c>
      <c r="Y151" s="39">
        <f>+IFERROR((FT_RF_26[[#This Row],[Sobremadura]]/FT_RF_26[[#This Row],[Muestra]]),"0")</f>
        <v>0</v>
      </c>
      <c r="Z151" s="38">
        <v>0</v>
      </c>
      <c r="AA151" s="39">
        <f>+IFERROR((FT_RF_26[[#This Row],[Deforme]]/FT_RF_26[[#This Row],[Muestra]]),"0")</f>
        <v>0</v>
      </c>
      <c r="AB151" s="27"/>
      <c r="AC151" s="38">
        <v>0</v>
      </c>
      <c r="AD151" s="39">
        <f>+IFERROR((FT_RF_26[[#This Row],[Valor Extra 1]]/FT_RF_26[[#This Row],[Muestra]]),"0")</f>
        <v>0</v>
      </c>
      <c r="AF151" s="38">
        <v>0</v>
      </c>
      <c r="AG151" s="39">
        <f>+IFERROR((FT_RF_26[[#This Row],[Valor Extra 2]]/FT_RF_26[[#This Row],[Muestra]]),"0")</f>
        <v>0</v>
      </c>
      <c r="AH151" s="40">
        <v>0</v>
      </c>
      <c r="AI151" s="39">
        <f>+IFERROR((FT_RF_26[[#This Row],[Hongos]]/FT_RF_26[[#This Row],[Muestra]]),"0")</f>
        <v>0</v>
      </c>
      <c r="AJ151" s="38">
        <v>0</v>
      </c>
      <c r="AK151" s="39">
        <f>+IFERROR((FT_RF_26[[#This Row],[Block]]/FT_RF_26[[#This Row],[Muestra]]),"0")</f>
        <v>0</v>
      </c>
      <c r="AL151" s="41">
        <v>0</v>
      </c>
      <c r="AM151" s="42">
        <v>0</v>
      </c>
      <c r="AN151" s="38">
        <v>0</v>
      </c>
      <c r="AO151" s="39">
        <f>+IFERROR((FT_RF_26[[#This Row],[Fuera de calibre &lt;12mm]]/FT_RF_26[[#This Row],[Muestra]]),"0")</f>
        <v>0</v>
      </c>
      <c r="AP151" s="38">
        <v>0</v>
      </c>
      <c r="AQ151" s="39">
        <f>+IFERROR((FT_RF_26[[#This Row],[Calibre &lt;25]]/FT_RF_26[[#This Row],[Muestra]]),"0")</f>
        <v>0</v>
      </c>
      <c r="AR151" s="38">
        <v>0</v>
      </c>
      <c r="AS151" s="39">
        <f>+IFERROR((FT_RF_26[[#This Row],[Calibre &gt;12]]/FT_RF_26[[#This Row],[Muestra]]),"0")</f>
        <v>0</v>
      </c>
      <c r="AT151" s="38">
        <v>0</v>
      </c>
      <c r="AU151" s="39">
        <f>+IFERROR((FT_RF_26[[#This Row],[Calibre &lt;14]]/FT_RF_26[[#This Row],[Muestra]]),"0")</f>
        <v>0</v>
      </c>
      <c r="AV151" s="38">
        <v>0</v>
      </c>
      <c r="AW151" s="39">
        <f>+IFERROR((FT_RF_26[[#This Row],[Calibre &gt;14]]/FT_RF_26[[#This Row],[Muestra]]),"0")</f>
        <v>0</v>
      </c>
      <c r="AX151" s="38">
        <v>0</v>
      </c>
      <c r="AY151" s="39">
        <f>+IFERROR((FT_RF_26[[#This Row],[Calibre &lt;10]]/FT_RF_26[[#This Row],[Muestra]]),"0")</f>
        <v>0</v>
      </c>
      <c r="AZ151" s="38">
        <v>0</v>
      </c>
      <c r="BA151" s="39">
        <f>+IFERROR((FT_RF_26[[#This Row],[Calibre &gt;13]]/FT_RF_26[[#This Row],[Muestra]]),"0")</f>
        <v>0</v>
      </c>
      <c r="BB151" s="41"/>
      <c r="BG151" s="42"/>
      <c r="BH151" s="43">
        <v>0</v>
      </c>
      <c r="BI151" s="29" t="s">
        <v>894</v>
      </c>
      <c r="BJ151" s="29" t="s">
        <v>894</v>
      </c>
      <c r="BK15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5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51" s="45">
        <f>1-FT_RF_26[[#This Row],[% Defectos]]</f>
        <v>1</v>
      </c>
      <c r="BO151" s="60"/>
      <c r="BP151" s="12">
        <f>SUM(FT_RF_26[[#This Row],[Hoja (Un.)]:[Larvas Caja]])</f>
        <v>0</v>
      </c>
      <c r="BQ151" s="12">
        <f>SUM(FT_RF_26[[#This Row],[Vidrios]:[Plástico]])</f>
        <v>0</v>
      </c>
      <c r="BR151" s="12" t="str">
        <f>IF(ISBLANK(FT_RF_26[[#This Row],[Descripción del producto]]),"",FT_RF_26[[#This Row],[Descripción del producto]])</f>
        <v/>
      </c>
      <c r="BS151" s="29" t="str">
        <f>IF(ISBLANK(FT_RF_26[[#This Row],[N° de Lote]]),"",FT_RF_26[[#This Row],[N° de Lote]])</f>
        <v/>
      </c>
      <c r="BT151" s="29" t="str">
        <f>IF(ISBLANK(FT_RF_26[[#This Row],[N° de Pallet]]),"",FT_RF_26[[#This Row],[N° de Pallet]])</f>
        <v/>
      </c>
    </row>
    <row r="152" spans="2:72">
      <c r="B152" s="29">
        <f>+_xlfn.ISOWEEKNUM(FT_RF_26[[#This Row],[Fecha]])</f>
        <v>52</v>
      </c>
      <c r="E152" s="31"/>
      <c r="F152" s="12" t="str">
        <f>IFERROR(""&amp;_xlfn.XLOOKUP(FT_RF_26[[#This Row],[Código]],BD_Cod[SKU],BD_Cod[Descripción]),"")</f>
        <v/>
      </c>
      <c r="G152" s="32" t="str">
        <f>IFERROR(""&amp;_xlfn.XLOOKUP(FT_RF_26[[#This Row],[Código]],BD_Cod[SKU],BD_Cod[Familia Calidad]),"")</f>
        <v/>
      </c>
      <c r="J152" s="33">
        <v>1000</v>
      </c>
      <c r="L152" s="30" t="s">
        <v>244</v>
      </c>
      <c r="O152" s="30" t="s">
        <v>894</v>
      </c>
      <c r="P152" s="29" t="s">
        <v>894</v>
      </c>
      <c r="Q152" s="37">
        <f>1-FT_RF_26[[#This Row],[% Defectos]]</f>
        <v>1</v>
      </c>
      <c r="R152" s="38">
        <v>0</v>
      </c>
      <c r="S152" s="39">
        <f>+IFERROR((FT_RF_26[[#This Row],[Inmadura]]/FT_RF_26[[#This Row],[Muestra]]),"0")</f>
        <v>0</v>
      </c>
      <c r="T152" s="38">
        <v>0</v>
      </c>
      <c r="U152" s="39">
        <f>+IFERROR((FT_RF_26[[#This Row],[Partidas]]/FT_RF_26[[#This Row],[Muestra]]),"0")</f>
        <v>0</v>
      </c>
      <c r="V152" s="38">
        <v>0</v>
      </c>
      <c r="W152" s="39">
        <f>+IFERROR((FT_RF_26[[#This Row],[Daño Insecto]]/FT_RF_26[[#This Row],[Muestra]]),"0")</f>
        <v>0</v>
      </c>
      <c r="X152" s="38">
        <v>0</v>
      </c>
      <c r="Y152" s="39">
        <f>+IFERROR((FT_RF_26[[#This Row],[Sobremadura]]/FT_RF_26[[#This Row],[Muestra]]),"0")</f>
        <v>0</v>
      </c>
      <c r="Z152" s="38">
        <v>0</v>
      </c>
      <c r="AA152" s="39">
        <f>+IFERROR((FT_RF_26[[#This Row],[Deforme]]/FT_RF_26[[#This Row],[Muestra]]),"0")</f>
        <v>0</v>
      </c>
      <c r="AB152" s="27"/>
      <c r="AC152" s="38">
        <v>0</v>
      </c>
      <c r="AD152" s="39">
        <f>+IFERROR((FT_RF_26[[#This Row],[Valor Extra 1]]/FT_RF_26[[#This Row],[Muestra]]),"0")</f>
        <v>0</v>
      </c>
      <c r="AF152" s="38">
        <v>0</v>
      </c>
      <c r="AG152" s="39">
        <f>+IFERROR((FT_RF_26[[#This Row],[Valor Extra 2]]/FT_RF_26[[#This Row],[Muestra]]),"0")</f>
        <v>0</v>
      </c>
      <c r="AH152" s="40">
        <v>0</v>
      </c>
      <c r="AI152" s="39">
        <f>+IFERROR((FT_RF_26[[#This Row],[Hongos]]/FT_RF_26[[#This Row],[Muestra]]),"0")</f>
        <v>0</v>
      </c>
      <c r="AJ152" s="38">
        <v>0</v>
      </c>
      <c r="AK152" s="39">
        <f>+IFERROR((FT_RF_26[[#This Row],[Block]]/FT_RF_26[[#This Row],[Muestra]]),"0")</f>
        <v>0</v>
      </c>
      <c r="AL152" s="41">
        <v>0</v>
      </c>
      <c r="AM152" s="42">
        <v>0</v>
      </c>
      <c r="AN152" s="38">
        <v>0</v>
      </c>
      <c r="AO152" s="39">
        <f>+IFERROR((FT_RF_26[[#This Row],[Fuera de calibre &lt;12mm]]/FT_RF_26[[#This Row],[Muestra]]),"0")</f>
        <v>0</v>
      </c>
      <c r="AP152" s="38">
        <v>0</v>
      </c>
      <c r="AQ152" s="39">
        <f>+IFERROR((FT_RF_26[[#This Row],[Calibre &lt;25]]/FT_RF_26[[#This Row],[Muestra]]),"0")</f>
        <v>0</v>
      </c>
      <c r="AR152" s="38">
        <v>0</v>
      </c>
      <c r="AS152" s="39">
        <f>+IFERROR((FT_RF_26[[#This Row],[Calibre &gt;12]]/FT_RF_26[[#This Row],[Muestra]]),"0")</f>
        <v>0</v>
      </c>
      <c r="AT152" s="38">
        <v>0</v>
      </c>
      <c r="AU152" s="39">
        <f>+IFERROR((FT_RF_26[[#This Row],[Calibre &lt;14]]/FT_RF_26[[#This Row],[Muestra]]),"0")</f>
        <v>0</v>
      </c>
      <c r="AV152" s="38">
        <v>0</v>
      </c>
      <c r="AW152" s="39">
        <f>+IFERROR((FT_RF_26[[#This Row],[Calibre &gt;14]]/FT_RF_26[[#This Row],[Muestra]]),"0")</f>
        <v>0</v>
      </c>
      <c r="AX152" s="38">
        <v>0</v>
      </c>
      <c r="AY152" s="39">
        <f>+IFERROR((FT_RF_26[[#This Row],[Calibre &lt;10]]/FT_RF_26[[#This Row],[Muestra]]),"0")</f>
        <v>0</v>
      </c>
      <c r="AZ152" s="38">
        <v>0</v>
      </c>
      <c r="BA152" s="39">
        <f>+IFERROR((FT_RF_26[[#This Row],[Calibre &gt;13]]/FT_RF_26[[#This Row],[Muestra]]),"0")</f>
        <v>0</v>
      </c>
      <c r="BB152" s="41"/>
      <c r="BG152" s="42"/>
      <c r="BH152" s="43">
        <v>0</v>
      </c>
      <c r="BI152" s="29" t="s">
        <v>894</v>
      </c>
      <c r="BJ152" s="29" t="s">
        <v>894</v>
      </c>
      <c r="BK15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5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52" s="45">
        <f>1-FT_RF_26[[#This Row],[% Defectos]]</f>
        <v>1</v>
      </c>
      <c r="BO152" s="60"/>
      <c r="BP152" s="12">
        <f>SUM(FT_RF_26[[#This Row],[Hoja (Un.)]:[Larvas Caja]])</f>
        <v>0</v>
      </c>
      <c r="BQ152" s="12">
        <f>SUM(FT_RF_26[[#This Row],[Vidrios]:[Plástico]])</f>
        <v>0</v>
      </c>
      <c r="BR152" s="12" t="str">
        <f>IF(ISBLANK(FT_RF_26[[#This Row],[Descripción del producto]]),"",FT_RF_26[[#This Row],[Descripción del producto]])</f>
        <v/>
      </c>
      <c r="BS152" s="29" t="str">
        <f>IF(ISBLANK(FT_RF_26[[#This Row],[N° de Lote]]),"",FT_RF_26[[#This Row],[N° de Lote]])</f>
        <v/>
      </c>
      <c r="BT152" s="29" t="str">
        <f>IF(ISBLANK(FT_RF_26[[#This Row],[N° de Pallet]]),"",FT_RF_26[[#This Row],[N° de Pallet]])</f>
        <v/>
      </c>
    </row>
    <row r="153" spans="2:72">
      <c r="B153" s="29">
        <f>+_xlfn.ISOWEEKNUM(FT_RF_26[[#This Row],[Fecha]])</f>
        <v>52</v>
      </c>
      <c r="E153" s="31"/>
      <c r="F153" s="12" t="str">
        <f>IFERROR(""&amp;_xlfn.XLOOKUP(FT_RF_26[[#This Row],[Código]],BD_Cod[SKU],BD_Cod[Descripción]),"")</f>
        <v/>
      </c>
      <c r="G153" s="32" t="str">
        <f>IFERROR(""&amp;_xlfn.XLOOKUP(FT_RF_26[[#This Row],[Código]],BD_Cod[SKU],BD_Cod[Familia Calidad]),"")</f>
        <v/>
      </c>
      <c r="J153" s="33">
        <v>1000</v>
      </c>
      <c r="L153" s="30" t="s">
        <v>244</v>
      </c>
      <c r="O153" s="30" t="s">
        <v>894</v>
      </c>
      <c r="P153" s="29" t="s">
        <v>894</v>
      </c>
      <c r="Q153" s="37">
        <f>1-FT_RF_26[[#This Row],[% Defectos]]</f>
        <v>1</v>
      </c>
      <c r="R153" s="38">
        <v>0</v>
      </c>
      <c r="S153" s="39">
        <f>+IFERROR((FT_RF_26[[#This Row],[Inmadura]]/FT_RF_26[[#This Row],[Muestra]]),"0")</f>
        <v>0</v>
      </c>
      <c r="T153" s="38">
        <v>0</v>
      </c>
      <c r="U153" s="39">
        <f>+IFERROR((FT_RF_26[[#This Row],[Partidas]]/FT_RF_26[[#This Row],[Muestra]]),"0")</f>
        <v>0</v>
      </c>
      <c r="V153" s="38">
        <v>0</v>
      </c>
      <c r="W153" s="39">
        <f>+IFERROR((FT_RF_26[[#This Row],[Daño Insecto]]/FT_RF_26[[#This Row],[Muestra]]),"0")</f>
        <v>0</v>
      </c>
      <c r="X153" s="38">
        <v>0</v>
      </c>
      <c r="Y153" s="39">
        <f>+IFERROR((FT_RF_26[[#This Row],[Sobremadura]]/FT_RF_26[[#This Row],[Muestra]]),"0")</f>
        <v>0</v>
      </c>
      <c r="Z153" s="38">
        <v>0</v>
      </c>
      <c r="AA153" s="39">
        <f>+IFERROR((FT_RF_26[[#This Row],[Deforme]]/FT_RF_26[[#This Row],[Muestra]]),"0")</f>
        <v>0</v>
      </c>
      <c r="AB153" s="27"/>
      <c r="AC153" s="38">
        <v>0</v>
      </c>
      <c r="AD153" s="39">
        <f>+IFERROR((FT_RF_26[[#This Row],[Valor Extra 1]]/FT_RF_26[[#This Row],[Muestra]]),"0")</f>
        <v>0</v>
      </c>
      <c r="AF153" s="38">
        <v>0</v>
      </c>
      <c r="AG153" s="39">
        <f>+IFERROR((FT_RF_26[[#This Row],[Valor Extra 2]]/FT_RF_26[[#This Row],[Muestra]]),"0")</f>
        <v>0</v>
      </c>
      <c r="AH153" s="40">
        <v>0</v>
      </c>
      <c r="AI153" s="39">
        <f>+IFERROR((FT_RF_26[[#This Row],[Hongos]]/FT_RF_26[[#This Row],[Muestra]]),"0")</f>
        <v>0</v>
      </c>
      <c r="AJ153" s="38">
        <v>0</v>
      </c>
      <c r="AK153" s="39">
        <f>+IFERROR((FT_RF_26[[#This Row],[Block]]/FT_RF_26[[#This Row],[Muestra]]),"0")</f>
        <v>0</v>
      </c>
      <c r="AL153" s="41">
        <v>0</v>
      </c>
      <c r="AM153" s="42">
        <v>0</v>
      </c>
      <c r="AN153" s="38">
        <v>0</v>
      </c>
      <c r="AO153" s="39">
        <f>+IFERROR((FT_RF_26[[#This Row],[Fuera de calibre &lt;12mm]]/FT_RF_26[[#This Row],[Muestra]]),"0")</f>
        <v>0</v>
      </c>
      <c r="AP153" s="38">
        <v>0</v>
      </c>
      <c r="AQ153" s="39">
        <f>+IFERROR((FT_RF_26[[#This Row],[Calibre &lt;25]]/FT_RF_26[[#This Row],[Muestra]]),"0")</f>
        <v>0</v>
      </c>
      <c r="AR153" s="38">
        <v>0</v>
      </c>
      <c r="AS153" s="39">
        <f>+IFERROR((FT_RF_26[[#This Row],[Calibre &gt;12]]/FT_RF_26[[#This Row],[Muestra]]),"0")</f>
        <v>0</v>
      </c>
      <c r="AT153" s="38">
        <v>0</v>
      </c>
      <c r="AU153" s="39">
        <f>+IFERROR((FT_RF_26[[#This Row],[Calibre &lt;14]]/FT_RF_26[[#This Row],[Muestra]]),"0")</f>
        <v>0</v>
      </c>
      <c r="AV153" s="38">
        <v>0</v>
      </c>
      <c r="AW153" s="39">
        <f>+IFERROR((FT_RF_26[[#This Row],[Calibre &gt;14]]/FT_RF_26[[#This Row],[Muestra]]),"0")</f>
        <v>0</v>
      </c>
      <c r="AX153" s="38">
        <v>0</v>
      </c>
      <c r="AY153" s="39">
        <f>+IFERROR((FT_RF_26[[#This Row],[Calibre &lt;10]]/FT_RF_26[[#This Row],[Muestra]]),"0")</f>
        <v>0</v>
      </c>
      <c r="AZ153" s="38">
        <v>0</v>
      </c>
      <c r="BA153" s="39">
        <f>+IFERROR((FT_RF_26[[#This Row],[Calibre &gt;13]]/FT_RF_26[[#This Row],[Muestra]]),"0")</f>
        <v>0</v>
      </c>
      <c r="BB153" s="41"/>
      <c r="BG153" s="42"/>
      <c r="BH153" s="43">
        <v>0</v>
      </c>
      <c r="BI153" s="29" t="s">
        <v>894</v>
      </c>
      <c r="BJ153" s="29" t="s">
        <v>894</v>
      </c>
      <c r="BK15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5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53" s="45">
        <f>1-FT_RF_26[[#This Row],[% Defectos]]</f>
        <v>1</v>
      </c>
      <c r="BO153" s="60"/>
      <c r="BP153" s="12">
        <f>SUM(FT_RF_26[[#This Row],[Hoja (Un.)]:[Larvas Caja]])</f>
        <v>0</v>
      </c>
      <c r="BQ153" s="12">
        <f>SUM(FT_RF_26[[#This Row],[Vidrios]:[Plástico]])</f>
        <v>0</v>
      </c>
      <c r="BR153" s="12" t="str">
        <f>IF(ISBLANK(FT_RF_26[[#This Row],[Descripción del producto]]),"",FT_RF_26[[#This Row],[Descripción del producto]])</f>
        <v/>
      </c>
      <c r="BS153" s="29" t="str">
        <f>IF(ISBLANK(FT_RF_26[[#This Row],[N° de Lote]]),"",FT_RF_26[[#This Row],[N° de Lote]])</f>
        <v/>
      </c>
      <c r="BT153" s="29" t="str">
        <f>IF(ISBLANK(FT_RF_26[[#This Row],[N° de Pallet]]),"",FT_RF_26[[#This Row],[N° de Pallet]])</f>
        <v/>
      </c>
    </row>
    <row r="154" spans="2:72">
      <c r="B154" s="29">
        <f>+_xlfn.ISOWEEKNUM(FT_RF_26[[#This Row],[Fecha]])</f>
        <v>52</v>
      </c>
      <c r="E154" s="31"/>
      <c r="F154" s="12" t="str">
        <f>IFERROR(""&amp;_xlfn.XLOOKUP(FT_RF_26[[#This Row],[Código]],BD_Cod[SKU],BD_Cod[Descripción]),"")</f>
        <v/>
      </c>
      <c r="G154" s="32" t="str">
        <f>IFERROR(""&amp;_xlfn.XLOOKUP(FT_RF_26[[#This Row],[Código]],BD_Cod[SKU],BD_Cod[Familia Calidad]),"")</f>
        <v/>
      </c>
      <c r="J154" s="33">
        <v>1000</v>
      </c>
      <c r="L154" s="30" t="s">
        <v>244</v>
      </c>
      <c r="O154" s="30" t="s">
        <v>894</v>
      </c>
      <c r="P154" s="29" t="s">
        <v>894</v>
      </c>
      <c r="Q154" s="37">
        <f>1-FT_RF_26[[#This Row],[% Defectos]]</f>
        <v>1</v>
      </c>
      <c r="R154" s="38">
        <v>0</v>
      </c>
      <c r="S154" s="39">
        <f>+IFERROR((FT_RF_26[[#This Row],[Inmadura]]/FT_RF_26[[#This Row],[Muestra]]),"0")</f>
        <v>0</v>
      </c>
      <c r="T154" s="38">
        <v>0</v>
      </c>
      <c r="U154" s="39">
        <f>+IFERROR((FT_RF_26[[#This Row],[Partidas]]/FT_RF_26[[#This Row],[Muestra]]),"0")</f>
        <v>0</v>
      </c>
      <c r="V154" s="38">
        <v>0</v>
      </c>
      <c r="W154" s="39">
        <f>+IFERROR((FT_RF_26[[#This Row],[Daño Insecto]]/FT_RF_26[[#This Row],[Muestra]]),"0")</f>
        <v>0</v>
      </c>
      <c r="X154" s="38">
        <v>0</v>
      </c>
      <c r="Y154" s="39">
        <f>+IFERROR((FT_RF_26[[#This Row],[Sobremadura]]/FT_RF_26[[#This Row],[Muestra]]),"0")</f>
        <v>0</v>
      </c>
      <c r="Z154" s="38">
        <v>0</v>
      </c>
      <c r="AA154" s="39">
        <f>+IFERROR((FT_RF_26[[#This Row],[Deforme]]/FT_RF_26[[#This Row],[Muestra]]),"0")</f>
        <v>0</v>
      </c>
      <c r="AB154" s="27"/>
      <c r="AC154" s="38">
        <v>0</v>
      </c>
      <c r="AD154" s="39">
        <f>+IFERROR((FT_RF_26[[#This Row],[Valor Extra 1]]/FT_RF_26[[#This Row],[Muestra]]),"0")</f>
        <v>0</v>
      </c>
      <c r="AF154" s="38">
        <v>0</v>
      </c>
      <c r="AG154" s="39">
        <f>+IFERROR((FT_RF_26[[#This Row],[Valor Extra 2]]/FT_RF_26[[#This Row],[Muestra]]),"0")</f>
        <v>0</v>
      </c>
      <c r="AH154" s="40">
        <v>0</v>
      </c>
      <c r="AI154" s="39">
        <f>+IFERROR((FT_RF_26[[#This Row],[Hongos]]/FT_RF_26[[#This Row],[Muestra]]),"0")</f>
        <v>0</v>
      </c>
      <c r="AJ154" s="38">
        <v>0</v>
      </c>
      <c r="AK154" s="39">
        <f>+IFERROR((FT_RF_26[[#This Row],[Block]]/FT_RF_26[[#This Row],[Muestra]]),"0")</f>
        <v>0</v>
      </c>
      <c r="AL154" s="41">
        <v>0</v>
      </c>
      <c r="AM154" s="42">
        <v>0</v>
      </c>
      <c r="AN154" s="38">
        <v>0</v>
      </c>
      <c r="AO154" s="39">
        <f>+IFERROR((FT_RF_26[[#This Row],[Fuera de calibre &lt;12mm]]/FT_RF_26[[#This Row],[Muestra]]),"0")</f>
        <v>0</v>
      </c>
      <c r="AP154" s="38">
        <v>0</v>
      </c>
      <c r="AQ154" s="39">
        <f>+IFERROR((FT_RF_26[[#This Row],[Calibre &lt;25]]/FT_RF_26[[#This Row],[Muestra]]),"0")</f>
        <v>0</v>
      </c>
      <c r="AR154" s="38">
        <v>0</v>
      </c>
      <c r="AS154" s="39">
        <f>+IFERROR((FT_RF_26[[#This Row],[Calibre &gt;12]]/FT_RF_26[[#This Row],[Muestra]]),"0")</f>
        <v>0</v>
      </c>
      <c r="AT154" s="38">
        <v>0</v>
      </c>
      <c r="AU154" s="39">
        <f>+IFERROR((FT_RF_26[[#This Row],[Calibre &lt;14]]/FT_RF_26[[#This Row],[Muestra]]),"0")</f>
        <v>0</v>
      </c>
      <c r="AV154" s="38">
        <v>0</v>
      </c>
      <c r="AW154" s="39">
        <f>+IFERROR((FT_RF_26[[#This Row],[Calibre &gt;14]]/FT_RF_26[[#This Row],[Muestra]]),"0")</f>
        <v>0</v>
      </c>
      <c r="AX154" s="38">
        <v>0</v>
      </c>
      <c r="AY154" s="39">
        <f>+IFERROR((FT_RF_26[[#This Row],[Calibre &lt;10]]/FT_RF_26[[#This Row],[Muestra]]),"0")</f>
        <v>0</v>
      </c>
      <c r="AZ154" s="38">
        <v>0</v>
      </c>
      <c r="BA154" s="39">
        <f>+IFERROR((FT_RF_26[[#This Row],[Calibre &gt;13]]/FT_RF_26[[#This Row],[Muestra]]),"0")</f>
        <v>0</v>
      </c>
      <c r="BB154" s="41"/>
      <c r="BG154" s="42"/>
      <c r="BH154" s="43">
        <v>0</v>
      </c>
      <c r="BI154" s="29" t="s">
        <v>894</v>
      </c>
      <c r="BJ154" s="29" t="s">
        <v>894</v>
      </c>
      <c r="BK15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5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54" s="45">
        <f>1-FT_RF_26[[#This Row],[% Defectos]]</f>
        <v>1</v>
      </c>
      <c r="BO154" s="60"/>
      <c r="BP154" s="12">
        <f>SUM(FT_RF_26[[#This Row],[Hoja (Un.)]:[Larvas Caja]])</f>
        <v>0</v>
      </c>
      <c r="BQ154" s="12">
        <f>SUM(FT_RF_26[[#This Row],[Vidrios]:[Plástico]])</f>
        <v>0</v>
      </c>
      <c r="BR154" s="12" t="str">
        <f>IF(ISBLANK(FT_RF_26[[#This Row],[Descripción del producto]]),"",FT_RF_26[[#This Row],[Descripción del producto]])</f>
        <v/>
      </c>
      <c r="BS154" s="29" t="str">
        <f>IF(ISBLANK(FT_RF_26[[#This Row],[N° de Lote]]),"",FT_RF_26[[#This Row],[N° de Lote]])</f>
        <v/>
      </c>
      <c r="BT154" s="29" t="str">
        <f>IF(ISBLANK(FT_RF_26[[#This Row],[N° de Pallet]]),"",FT_RF_26[[#This Row],[N° de Pallet]])</f>
        <v/>
      </c>
    </row>
    <row r="155" spans="2:72">
      <c r="B155" s="29">
        <f>+_xlfn.ISOWEEKNUM(FT_RF_26[[#This Row],[Fecha]])</f>
        <v>52</v>
      </c>
      <c r="E155" s="31"/>
      <c r="F155" s="12" t="str">
        <f>IFERROR(""&amp;_xlfn.XLOOKUP(FT_RF_26[[#This Row],[Código]],BD_Cod[SKU],BD_Cod[Descripción]),"")</f>
        <v/>
      </c>
      <c r="G155" s="32" t="str">
        <f>IFERROR(""&amp;_xlfn.XLOOKUP(FT_RF_26[[#This Row],[Código]],BD_Cod[SKU],BD_Cod[Familia Calidad]),"")</f>
        <v/>
      </c>
      <c r="J155" s="33">
        <v>1000</v>
      </c>
      <c r="L155" s="30" t="s">
        <v>244</v>
      </c>
      <c r="O155" s="30" t="s">
        <v>894</v>
      </c>
      <c r="P155" s="29" t="s">
        <v>894</v>
      </c>
      <c r="Q155" s="37">
        <f>1-FT_RF_26[[#This Row],[% Defectos]]</f>
        <v>1</v>
      </c>
      <c r="R155" s="38">
        <v>0</v>
      </c>
      <c r="S155" s="39">
        <f>+IFERROR((FT_RF_26[[#This Row],[Inmadura]]/FT_RF_26[[#This Row],[Muestra]]),"0")</f>
        <v>0</v>
      </c>
      <c r="T155" s="38">
        <v>0</v>
      </c>
      <c r="U155" s="39">
        <f>+IFERROR((FT_RF_26[[#This Row],[Partidas]]/FT_RF_26[[#This Row],[Muestra]]),"0")</f>
        <v>0</v>
      </c>
      <c r="V155" s="38">
        <v>0</v>
      </c>
      <c r="W155" s="39">
        <f>+IFERROR((FT_RF_26[[#This Row],[Daño Insecto]]/FT_RF_26[[#This Row],[Muestra]]),"0")</f>
        <v>0</v>
      </c>
      <c r="X155" s="38">
        <v>0</v>
      </c>
      <c r="Y155" s="39">
        <f>+IFERROR((FT_RF_26[[#This Row],[Sobremadura]]/FT_RF_26[[#This Row],[Muestra]]),"0")</f>
        <v>0</v>
      </c>
      <c r="Z155" s="38">
        <v>0</v>
      </c>
      <c r="AA155" s="39">
        <f>+IFERROR((FT_RF_26[[#This Row],[Deforme]]/FT_RF_26[[#This Row],[Muestra]]),"0")</f>
        <v>0</v>
      </c>
      <c r="AB155" s="27"/>
      <c r="AC155" s="38">
        <v>0</v>
      </c>
      <c r="AD155" s="39">
        <f>+IFERROR((FT_RF_26[[#This Row],[Valor Extra 1]]/FT_RF_26[[#This Row],[Muestra]]),"0")</f>
        <v>0</v>
      </c>
      <c r="AF155" s="38">
        <v>0</v>
      </c>
      <c r="AG155" s="39">
        <f>+IFERROR((FT_RF_26[[#This Row],[Valor Extra 2]]/FT_RF_26[[#This Row],[Muestra]]),"0")</f>
        <v>0</v>
      </c>
      <c r="AH155" s="40">
        <v>0</v>
      </c>
      <c r="AI155" s="39">
        <f>+IFERROR((FT_RF_26[[#This Row],[Hongos]]/FT_RF_26[[#This Row],[Muestra]]),"0")</f>
        <v>0</v>
      </c>
      <c r="AJ155" s="38">
        <v>0</v>
      </c>
      <c r="AK155" s="39">
        <f>+IFERROR((FT_RF_26[[#This Row],[Block]]/FT_RF_26[[#This Row],[Muestra]]),"0")</f>
        <v>0</v>
      </c>
      <c r="AL155" s="41">
        <v>0</v>
      </c>
      <c r="AM155" s="42">
        <v>0</v>
      </c>
      <c r="AN155" s="38">
        <v>0</v>
      </c>
      <c r="AO155" s="39">
        <f>+IFERROR((FT_RF_26[[#This Row],[Fuera de calibre &lt;12mm]]/FT_RF_26[[#This Row],[Muestra]]),"0")</f>
        <v>0</v>
      </c>
      <c r="AP155" s="38">
        <v>0</v>
      </c>
      <c r="AQ155" s="39">
        <f>+IFERROR((FT_RF_26[[#This Row],[Calibre &lt;25]]/FT_RF_26[[#This Row],[Muestra]]),"0")</f>
        <v>0</v>
      </c>
      <c r="AR155" s="38">
        <v>0</v>
      </c>
      <c r="AS155" s="39">
        <f>+IFERROR((FT_RF_26[[#This Row],[Calibre &gt;12]]/FT_RF_26[[#This Row],[Muestra]]),"0")</f>
        <v>0</v>
      </c>
      <c r="AT155" s="38">
        <v>0</v>
      </c>
      <c r="AU155" s="39">
        <f>+IFERROR((FT_RF_26[[#This Row],[Calibre &lt;14]]/FT_RF_26[[#This Row],[Muestra]]),"0")</f>
        <v>0</v>
      </c>
      <c r="AV155" s="38">
        <v>0</v>
      </c>
      <c r="AW155" s="39">
        <f>+IFERROR((FT_RF_26[[#This Row],[Calibre &gt;14]]/FT_RF_26[[#This Row],[Muestra]]),"0")</f>
        <v>0</v>
      </c>
      <c r="AX155" s="38">
        <v>0</v>
      </c>
      <c r="AY155" s="39">
        <f>+IFERROR((FT_RF_26[[#This Row],[Calibre &lt;10]]/FT_RF_26[[#This Row],[Muestra]]),"0")</f>
        <v>0</v>
      </c>
      <c r="AZ155" s="38">
        <v>0</v>
      </c>
      <c r="BA155" s="39">
        <f>+IFERROR((FT_RF_26[[#This Row],[Calibre &gt;13]]/FT_RF_26[[#This Row],[Muestra]]),"0")</f>
        <v>0</v>
      </c>
      <c r="BB155" s="41"/>
      <c r="BG155" s="42"/>
      <c r="BH155" s="43">
        <v>0</v>
      </c>
      <c r="BI155" s="29" t="s">
        <v>894</v>
      </c>
      <c r="BJ155" s="29" t="s">
        <v>894</v>
      </c>
      <c r="BK15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5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55" s="45">
        <f>1-FT_RF_26[[#This Row],[% Defectos]]</f>
        <v>1</v>
      </c>
      <c r="BO155" s="60"/>
      <c r="BP155" s="12">
        <f>SUM(FT_RF_26[[#This Row],[Hoja (Un.)]:[Larvas Caja]])</f>
        <v>0</v>
      </c>
      <c r="BQ155" s="12">
        <f>SUM(FT_RF_26[[#This Row],[Vidrios]:[Plástico]])</f>
        <v>0</v>
      </c>
      <c r="BR155" s="12" t="str">
        <f>IF(ISBLANK(FT_RF_26[[#This Row],[Descripción del producto]]),"",FT_RF_26[[#This Row],[Descripción del producto]])</f>
        <v/>
      </c>
      <c r="BS155" s="29" t="str">
        <f>IF(ISBLANK(FT_RF_26[[#This Row],[N° de Lote]]),"",FT_RF_26[[#This Row],[N° de Lote]])</f>
        <v/>
      </c>
      <c r="BT155" s="29" t="str">
        <f>IF(ISBLANK(FT_RF_26[[#This Row],[N° de Pallet]]),"",FT_RF_26[[#This Row],[N° de Pallet]])</f>
        <v/>
      </c>
    </row>
    <row r="156" spans="2:72">
      <c r="B156" s="29">
        <f>+_xlfn.ISOWEEKNUM(FT_RF_26[[#This Row],[Fecha]])</f>
        <v>52</v>
      </c>
      <c r="E156" s="31"/>
      <c r="F156" s="12" t="str">
        <f>IFERROR(""&amp;_xlfn.XLOOKUP(FT_RF_26[[#This Row],[Código]],BD_Cod[SKU],BD_Cod[Descripción]),"")</f>
        <v/>
      </c>
      <c r="G156" s="32" t="str">
        <f>IFERROR(""&amp;_xlfn.XLOOKUP(FT_RF_26[[#This Row],[Código]],BD_Cod[SKU],BD_Cod[Familia Calidad]),"")</f>
        <v/>
      </c>
      <c r="J156" s="33">
        <v>1000</v>
      </c>
      <c r="L156" s="30" t="s">
        <v>244</v>
      </c>
      <c r="O156" s="30" t="s">
        <v>894</v>
      </c>
      <c r="P156" s="29" t="s">
        <v>894</v>
      </c>
      <c r="Q156" s="37">
        <f>1-FT_RF_26[[#This Row],[% Defectos]]</f>
        <v>1</v>
      </c>
      <c r="R156" s="38">
        <v>0</v>
      </c>
      <c r="S156" s="39">
        <f>+IFERROR((FT_RF_26[[#This Row],[Inmadura]]/FT_RF_26[[#This Row],[Muestra]]),"0")</f>
        <v>0</v>
      </c>
      <c r="T156" s="38">
        <v>0</v>
      </c>
      <c r="U156" s="39">
        <f>+IFERROR((FT_RF_26[[#This Row],[Partidas]]/FT_RF_26[[#This Row],[Muestra]]),"0")</f>
        <v>0</v>
      </c>
      <c r="V156" s="38">
        <v>0</v>
      </c>
      <c r="W156" s="39">
        <f>+IFERROR((FT_RF_26[[#This Row],[Daño Insecto]]/FT_RF_26[[#This Row],[Muestra]]),"0")</f>
        <v>0</v>
      </c>
      <c r="X156" s="38">
        <v>0</v>
      </c>
      <c r="Y156" s="39">
        <f>+IFERROR((FT_RF_26[[#This Row],[Sobremadura]]/FT_RF_26[[#This Row],[Muestra]]),"0")</f>
        <v>0</v>
      </c>
      <c r="Z156" s="38">
        <v>0</v>
      </c>
      <c r="AA156" s="39">
        <f>+IFERROR((FT_RF_26[[#This Row],[Deforme]]/FT_RF_26[[#This Row],[Muestra]]),"0")</f>
        <v>0</v>
      </c>
      <c r="AB156" s="27"/>
      <c r="AC156" s="38">
        <v>0</v>
      </c>
      <c r="AD156" s="39">
        <f>+IFERROR((FT_RF_26[[#This Row],[Valor Extra 1]]/FT_RF_26[[#This Row],[Muestra]]),"0")</f>
        <v>0</v>
      </c>
      <c r="AF156" s="38">
        <v>0</v>
      </c>
      <c r="AG156" s="39">
        <f>+IFERROR((FT_RF_26[[#This Row],[Valor Extra 2]]/FT_RF_26[[#This Row],[Muestra]]),"0")</f>
        <v>0</v>
      </c>
      <c r="AH156" s="40">
        <v>0</v>
      </c>
      <c r="AI156" s="39">
        <f>+IFERROR((FT_RF_26[[#This Row],[Hongos]]/FT_RF_26[[#This Row],[Muestra]]),"0")</f>
        <v>0</v>
      </c>
      <c r="AJ156" s="38">
        <v>0</v>
      </c>
      <c r="AK156" s="39">
        <f>+IFERROR((FT_RF_26[[#This Row],[Block]]/FT_RF_26[[#This Row],[Muestra]]),"0")</f>
        <v>0</v>
      </c>
      <c r="AL156" s="41">
        <v>0</v>
      </c>
      <c r="AM156" s="42">
        <v>0</v>
      </c>
      <c r="AN156" s="38">
        <v>0</v>
      </c>
      <c r="AO156" s="39">
        <f>+IFERROR((FT_RF_26[[#This Row],[Fuera de calibre &lt;12mm]]/FT_RF_26[[#This Row],[Muestra]]),"0")</f>
        <v>0</v>
      </c>
      <c r="AP156" s="38">
        <v>0</v>
      </c>
      <c r="AQ156" s="39">
        <f>+IFERROR((FT_RF_26[[#This Row],[Calibre &lt;25]]/FT_RF_26[[#This Row],[Muestra]]),"0")</f>
        <v>0</v>
      </c>
      <c r="AR156" s="38">
        <v>0</v>
      </c>
      <c r="AS156" s="39">
        <f>+IFERROR((FT_RF_26[[#This Row],[Calibre &gt;12]]/FT_RF_26[[#This Row],[Muestra]]),"0")</f>
        <v>0</v>
      </c>
      <c r="AT156" s="38">
        <v>0</v>
      </c>
      <c r="AU156" s="39">
        <f>+IFERROR((FT_RF_26[[#This Row],[Calibre &lt;14]]/FT_RF_26[[#This Row],[Muestra]]),"0")</f>
        <v>0</v>
      </c>
      <c r="AV156" s="38">
        <v>0</v>
      </c>
      <c r="AW156" s="39">
        <f>+IFERROR((FT_RF_26[[#This Row],[Calibre &gt;14]]/FT_RF_26[[#This Row],[Muestra]]),"0")</f>
        <v>0</v>
      </c>
      <c r="AX156" s="38">
        <v>0</v>
      </c>
      <c r="AY156" s="39">
        <f>+IFERROR((FT_RF_26[[#This Row],[Calibre &lt;10]]/FT_RF_26[[#This Row],[Muestra]]),"0")</f>
        <v>0</v>
      </c>
      <c r="AZ156" s="38">
        <v>0</v>
      </c>
      <c r="BA156" s="39">
        <f>+IFERROR((FT_RF_26[[#This Row],[Calibre &gt;13]]/FT_RF_26[[#This Row],[Muestra]]),"0")</f>
        <v>0</v>
      </c>
      <c r="BB156" s="41"/>
      <c r="BG156" s="42"/>
      <c r="BH156" s="43">
        <v>0</v>
      </c>
      <c r="BI156" s="29" t="s">
        <v>894</v>
      </c>
      <c r="BJ156" s="29" t="s">
        <v>894</v>
      </c>
      <c r="BK15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5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56" s="45">
        <f>1-FT_RF_26[[#This Row],[% Defectos]]</f>
        <v>1</v>
      </c>
      <c r="BO156" s="60"/>
      <c r="BP156" s="12">
        <f>SUM(FT_RF_26[[#This Row],[Hoja (Un.)]:[Larvas Caja]])</f>
        <v>0</v>
      </c>
      <c r="BQ156" s="12">
        <f>SUM(FT_RF_26[[#This Row],[Vidrios]:[Plástico]])</f>
        <v>0</v>
      </c>
      <c r="BR156" s="12" t="str">
        <f>IF(ISBLANK(FT_RF_26[[#This Row],[Descripción del producto]]),"",FT_RF_26[[#This Row],[Descripción del producto]])</f>
        <v/>
      </c>
      <c r="BS156" s="29" t="str">
        <f>IF(ISBLANK(FT_RF_26[[#This Row],[N° de Lote]]),"",FT_RF_26[[#This Row],[N° de Lote]])</f>
        <v/>
      </c>
      <c r="BT156" s="29" t="str">
        <f>IF(ISBLANK(FT_RF_26[[#This Row],[N° de Pallet]]),"",FT_RF_26[[#This Row],[N° de Pallet]])</f>
        <v/>
      </c>
    </row>
    <row r="157" spans="2:72">
      <c r="B157" s="29">
        <f>+_xlfn.ISOWEEKNUM(FT_RF_26[[#This Row],[Fecha]])</f>
        <v>52</v>
      </c>
      <c r="E157" s="31"/>
      <c r="F157" s="12" t="str">
        <f>IFERROR(""&amp;_xlfn.XLOOKUP(FT_RF_26[[#This Row],[Código]],BD_Cod[SKU],BD_Cod[Descripción]),"")</f>
        <v/>
      </c>
      <c r="G157" s="32" t="str">
        <f>IFERROR(""&amp;_xlfn.XLOOKUP(FT_RF_26[[#This Row],[Código]],BD_Cod[SKU],BD_Cod[Familia Calidad]),"")</f>
        <v/>
      </c>
      <c r="J157" s="33">
        <v>1000</v>
      </c>
      <c r="L157" s="30" t="s">
        <v>244</v>
      </c>
      <c r="O157" s="30" t="s">
        <v>894</v>
      </c>
      <c r="P157" s="29" t="s">
        <v>894</v>
      </c>
      <c r="Q157" s="37">
        <f>1-FT_RF_26[[#This Row],[% Defectos]]</f>
        <v>1</v>
      </c>
      <c r="R157" s="38">
        <v>0</v>
      </c>
      <c r="S157" s="39">
        <f>+IFERROR((FT_RF_26[[#This Row],[Inmadura]]/FT_RF_26[[#This Row],[Muestra]]),"0")</f>
        <v>0</v>
      </c>
      <c r="T157" s="38">
        <v>0</v>
      </c>
      <c r="U157" s="39">
        <f>+IFERROR((FT_RF_26[[#This Row],[Partidas]]/FT_RF_26[[#This Row],[Muestra]]),"0")</f>
        <v>0</v>
      </c>
      <c r="V157" s="38">
        <v>0</v>
      </c>
      <c r="W157" s="39">
        <f>+IFERROR((FT_RF_26[[#This Row],[Daño Insecto]]/FT_RF_26[[#This Row],[Muestra]]),"0")</f>
        <v>0</v>
      </c>
      <c r="X157" s="38">
        <v>0</v>
      </c>
      <c r="Y157" s="39">
        <f>+IFERROR((FT_RF_26[[#This Row],[Sobremadura]]/FT_RF_26[[#This Row],[Muestra]]),"0")</f>
        <v>0</v>
      </c>
      <c r="Z157" s="38">
        <v>0</v>
      </c>
      <c r="AA157" s="39">
        <f>+IFERROR((FT_RF_26[[#This Row],[Deforme]]/FT_RF_26[[#This Row],[Muestra]]),"0")</f>
        <v>0</v>
      </c>
      <c r="AB157" s="27"/>
      <c r="AC157" s="38">
        <v>0</v>
      </c>
      <c r="AD157" s="39">
        <f>+IFERROR((FT_RF_26[[#This Row],[Valor Extra 1]]/FT_RF_26[[#This Row],[Muestra]]),"0")</f>
        <v>0</v>
      </c>
      <c r="AF157" s="38">
        <v>0</v>
      </c>
      <c r="AG157" s="39">
        <f>+IFERROR((FT_RF_26[[#This Row],[Valor Extra 2]]/FT_RF_26[[#This Row],[Muestra]]),"0")</f>
        <v>0</v>
      </c>
      <c r="AH157" s="40">
        <v>0</v>
      </c>
      <c r="AI157" s="39">
        <f>+IFERROR((FT_RF_26[[#This Row],[Hongos]]/FT_RF_26[[#This Row],[Muestra]]),"0")</f>
        <v>0</v>
      </c>
      <c r="AJ157" s="38">
        <v>0</v>
      </c>
      <c r="AK157" s="39">
        <f>+IFERROR((FT_RF_26[[#This Row],[Block]]/FT_RF_26[[#This Row],[Muestra]]),"0")</f>
        <v>0</v>
      </c>
      <c r="AL157" s="41">
        <v>0</v>
      </c>
      <c r="AM157" s="42">
        <v>0</v>
      </c>
      <c r="AN157" s="38">
        <v>0</v>
      </c>
      <c r="AO157" s="39">
        <f>+IFERROR((FT_RF_26[[#This Row],[Fuera de calibre &lt;12mm]]/FT_RF_26[[#This Row],[Muestra]]),"0")</f>
        <v>0</v>
      </c>
      <c r="AP157" s="38">
        <v>0</v>
      </c>
      <c r="AQ157" s="39">
        <f>+IFERROR((FT_RF_26[[#This Row],[Calibre &lt;25]]/FT_RF_26[[#This Row],[Muestra]]),"0")</f>
        <v>0</v>
      </c>
      <c r="AR157" s="38">
        <v>0</v>
      </c>
      <c r="AS157" s="39">
        <f>+IFERROR((FT_RF_26[[#This Row],[Calibre &gt;12]]/FT_RF_26[[#This Row],[Muestra]]),"0")</f>
        <v>0</v>
      </c>
      <c r="AT157" s="38">
        <v>0</v>
      </c>
      <c r="AU157" s="39">
        <f>+IFERROR((FT_RF_26[[#This Row],[Calibre &lt;14]]/FT_RF_26[[#This Row],[Muestra]]),"0")</f>
        <v>0</v>
      </c>
      <c r="AV157" s="38">
        <v>0</v>
      </c>
      <c r="AW157" s="39">
        <f>+IFERROR((FT_RF_26[[#This Row],[Calibre &gt;14]]/FT_RF_26[[#This Row],[Muestra]]),"0")</f>
        <v>0</v>
      </c>
      <c r="AX157" s="38">
        <v>0</v>
      </c>
      <c r="AY157" s="39">
        <f>+IFERROR((FT_RF_26[[#This Row],[Calibre &lt;10]]/FT_RF_26[[#This Row],[Muestra]]),"0")</f>
        <v>0</v>
      </c>
      <c r="AZ157" s="38">
        <v>0</v>
      </c>
      <c r="BA157" s="39">
        <f>+IFERROR((FT_RF_26[[#This Row],[Calibre &gt;13]]/FT_RF_26[[#This Row],[Muestra]]),"0")</f>
        <v>0</v>
      </c>
      <c r="BB157" s="41"/>
      <c r="BG157" s="42"/>
      <c r="BH157" s="43">
        <v>0</v>
      </c>
      <c r="BI157" s="29" t="s">
        <v>894</v>
      </c>
      <c r="BJ157" s="29" t="s">
        <v>894</v>
      </c>
      <c r="BK15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5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57" s="45">
        <f>1-FT_RF_26[[#This Row],[% Defectos]]</f>
        <v>1</v>
      </c>
      <c r="BO157" s="60"/>
      <c r="BP157" s="12">
        <f>SUM(FT_RF_26[[#This Row],[Hoja (Un.)]:[Larvas Caja]])</f>
        <v>0</v>
      </c>
      <c r="BQ157" s="12">
        <f>SUM(FT_RF_26[[#This Row],[Vidrios]:[Plástico]])</f>
        <v>0</v>
      </c>
      <c r="BR157" s="12" t="str">
        <f>IF(ISBLANK(FT_RF_26[[#This Row],[Descripción del producto]]),"",FT_RF_26[[#This Row],[Descripción del producto]])</f>
        <v/>
      </c>
      <c r="BS157" s="29" t="str">
        <f>IF(ISBLANK(FT_RF_26[[#This Row],[N° de Lote]]),"",FT_RF_26[[#This Row],[N° de Lote]])</f>
        <v/>
      </c>
      <c r="BT157" s="29" t="str">
        <f>IF(ISBLANK(FT_RF_26[[#This Row],[N° de Pallet]]),"",FT_RF_26[[#This Row],[N° de Pallet]])</f>
        <v/>
      </c>
    </row>
    <row r="158" spans="2:72">
      <c r="B158" s="29">
        <f>+_xlfn.ISOWEEKNUM(FT_RF_26[[#This Row],[Fecha]])</f>
        <v>52</v>
      </c>
      <c r="E158" s="31"/>
      <c r="F158" s="12" t="str">
        <f>IFERROR(""&amp;_xlfn.XLOOKUP(FT_RF_26[[#This Row],[Código]],BD_Cod[SKU],BD_Cod[Descripción]),"")</f>
        <v/>
      </c>
      <c r="G158" s="32" t="str">
        <f>IFERROR(""&amp;_xlfn.XLOOKUP(FT_RF_26[[#This Row],[Código]],BD_Cod[SKU],BD_Cod[Familia Calidad]),"")</f>
        <v/>
      </c>
      <c r="J158" s="33">
        <v>1000</v>
      </c>
      <c r="L158" s="30" t="s">
        <v>244</v>
      </c>
      <c r="O158" s="30" t="s">
        <v>894</v>
      </c>
      <c r="P158" s="29" t="s">
        <v>894</v>
      </c>
      <c r="Q158" s="37">
        <f>1-FT_RF_26[[#This Row],[% Defectos]]</f>
        <v>1</v>
      </c>
      <c r="R158" s="38">
        <v>0</v>
      </c>
      <c r="S158" s="39">
        <f>+IFERROR((FT_RF_26[[#This Row],[Inmadura]]/FT_RF_26[[#This Row],[Muestra]]),"0")</f>
        <v>0</v>
      </c>
      <c r="T158" s="38">
        <v>0</v>
      </c>
      <c r="U158" s="39">
        <f>+IFERROR((FT_RF_26[[#This Row],[Partidas]]/FT_RF_26[[#This Row],[Muestra]]),"0")</f>
        <v>0</v>
      </c>
      <c r="V158" s="38">
        <v>0</v>
      </c>
      <c r="W158" s="39">
        <f>+IFERROR((FT_RF_26[[#This Row],[Daño Insecto]]/FT_RF_26[[#This Row],[Muestra]]),"0")</f>
        <v>0</v>
      </c>
      <c r="X158" s="38">
        <v>0</v>
      </c>
      <c r="Y158" s="39">
        <f>+IFERROR((FT_RF_26[[#This Row],[Sobremadura]]/FT_RF_26[[#This Row],[Muestra]]),"0")</f>
        <v>0</v>
      </c>
      <c r="Z158" s="38">
        <v>0</v>
      </c>
      <c r="AA158" s="39">
        <f>+IFERROR((FT_RF_26[[#This Row],[Deforme]]/FT_RF_26[[#This Row],[Muestra]]),"0")</f>
        <v>0</v>
      </c>
      <c r="AB158" s="27"/>
      <c r="AC158" s="38">
        <v>0</v>
      </c>
      <c r="AD158" s="39">
        <f>+IFERROR((FT_RF_26[[#This Row],[Valor Extra 1]]/FT_RF_26[[#This Row],[Muestra]]),"0")</f>
        <v>0</v>
      </c>
      <c r="AF158" s="38">
        <v>0</v>
      </c>
      <c r="AG158" s="39">
        <f>+IFERROR((FT_RF_26[[#This Row],[Valor Extra 2]]/FT_RF_26[[#This Row],[Muestra]]),"0")</f>
        <v>0</v>
      </c>
      <c r="AH158" s="40">
        <v>0</v>
      </c>
      <c r="AI158" s="39">
        <f>+IFERROR((FT_RF_26[[#This Row],[Hongos]]/FT_RF_26[[#This Row],[Muestra]]),"0")</f>
        <v>0</v>
      </c>
      <c r="AJ158" s="38">
        <v>0</v>
      </c>
      <c r="AK158" s="39">
        <f>+IFERROR((FT_RF_26[[#This Row],[Block]]/FT_RF_26[[#This Row],[Muestra]]),"0")</f>
        <v>0</v>
      </c>
      <c r="AL158" s="41">
        <v>0</v>
      </c>
      <c r="AM158" s="42">
        <v>0</v>
      </c>
      <c r="AN158" s="38">
        <v>0</v>
      </c>
      <c r="AO158" s="39">
        <f>+IFERROR((FT_RF_26[[#This Row],[Fuera de calibre &lt;12mm]]/FT_RF_26[[#This Row],[Muestra]]),"0")</f>
        <v>0</v>
      </c>
      <c r="AP158" s="38">
        <v>0</v>
      </c>
      <c r="AQ158" s="39">
        <f>+IFERROR((FT_RF_26[[#This Row],[Calibre &lt;25]]/FT_RF_26[[#This Row],[Muestra]]),"0")</f>
        <v>0</v>
      </c>
      <c r="AR158" s="38">
        <v>0</v>
      </c>
      <c r="AS158" s="39">
        <f>+IFERROR((FT_RF_26[[#This Row],[Calibre &gt;12]]/FT_RF_26[[#This Row],[Muestra]]),"0")</f>
        <v>0</v>
      </c>
      <c r="AT158" s="38">
        <v>0</v>
      </c>
      <c r="AU158" s="39">
        <f>+IFERROR((FT_RF_26[[#This Row],[Calibre &lt;14]]/FT_RF_26[[#This Row],[Muestra]]),"0")</f>
        <v>0</v>
      </c>
      <c r="AV158" s="38">
        <v>0</v>
      </c>
      <c r="AW158" s="39">
        <f>+IFERROR((FT_RF_26[[#This Row],[Calibre &gt;14]]/FT_RF_26[[#This Row],[Muestra]]),"0")</f>
        <v>0</v>
      </c>
      <c r="AX158" s="38">
        <v>0</v>
      </c>
      <c r="AY158" s="39">
        <f>+IFERROR((FT_RF_26[[#This Row],[Calibre &lt;10]]/FT_RF_26[[#This Row],[Muestra]]),"0")</f>
        <v>0</v>
      </c>
      <c r="AZ158" s="38">
        <v>0</v>
      </c>
      <c r="BA158" s="39">
        <f>+IFERROR((FT_RF_26[[#This Row],[Calibre &gt;13]]/FT_RF_26[[#This Row],[Muestra]]),"0")</f>
        <v>0</v>
      </c>
      <c r="BB158" s="41"/>
      <c r="BG158" s="42"/>
      <c r="BH158" s="43">
        <v>0</v>
      </c>
      <c r="BI158" s="29" t="s">
        <v>894</v>
      </c>
      <c r="BJ158" s="29" t="s">
        <v>894</v>
      </c>
      <c r="BK15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5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58" s="45">
        <f>1-FT_RF_26[[#This Row],[% Defectos]]</f>
        <v>1</v>
      </c>
      <c r="BO158" s="60"/>
      <c r="BP158" s="12">
        <f>SUM(FT_RF_26[[#This Row],[Hoja (Un.)]:[Larvas Caja]])</f>
        <v>0</v>
      </c>
      <c r="BQ158" s="12">
        <f>SUM(FT_RF_26[[#This Row],[Vidrios]:[Plástico]])</f>
        <v>0</v>
      </c>
      <c r="BR158" s="12" t="str">
        <f>IF(ISBLANK(FT_RF_26[[#This Row],[Descripción del producto]]),"",FT_RF_26[[#This Row],[Descripción del producto]])</f>
        <v/>
      </c>
      <c r="BS158" s="29" t="str">
        <f>IF(ISBLANK(FT_RF_26[[#This Row],[N° de Lote]]),"",FT_RF_26[[#This Row],[N° de Lote]])</f>
        <v/>
      </c>
      <c r="BT158" s="29" t="str">
        <f>IF(ISBLANK(FT_RF_26[[#This Row],[N° de Pallet]]),"",FT_RF_26[[#This Row],[N° de Pallet]])</f>
        <v/>
      </c>
    </row>
    <row r="159" spans="2:72">
      <c r="B159" s="29">
        <f>+_xlfn.ISOWEEKNUM(FT_RF_26[[#This Row],[Fecha]])</f>
        <v>52</v>
      </c>
      <c r="E159" s="31"/>
      <c r="F159" s="12" t="str">
        <f>IFERROR(""&amp;_xlfn.XLOOKUP(FT_RF_26[[#This Row],[Código]],BD_Cod[SKU],BD_Cod[Descripción]),"")</f>
        <v/>
      </c>
      <c r="G159" s="32" t="str">
        <f>IFERROR(""&amp;_xlfn.XLOOKUP(FT_RF_26[[#This Row],[Código]],BD_Cod[SKU],BD_Cod[Familia Calidad]),"")</f>
        <v/>
      </c>
      <c r="J159" s="33">
        <v>1000</v>
      </c>
      <c r="L159" s="30" t="s">
        <v>244</v>
      </c>
      <c r="O159" s="30" t="s">
        <v>894</v>
      </c>
      <c r="P159" s="29" t="s">
        <v>894</v>
      </c>
      <c r="Q159" s="37">
        <f>1-FT_RF_26[[#This Row],[% Defectos]]</f>
        <v>1</v>
      </c>
      <c r="R159" s="38">
        <v>0</v>
      </c>
      <c r="S159" s="39">
        <f>+IFERROR((FT_RF_26[[#This Row],[Inmadura]]/FT_RF_26[[#This Row],[Muestra]]),"0")</f>
        <v>0</v>
      </c>
      <c r="T159" s="38">
        <v>0</v>
      </c>
      <c r="U159" s="39">
        <f>+IFERROR((FT_RF_26[[#This Row],[Partidas]]/FT_RF_26[[#This Row],[Muestra]]),"0")</f>
        <v>0</v>
      </c>
      <c r="V159" s="38">
        <v>0</v>
      </c>
      <c r="W159" s="39">
        <f>+IFERROR((FT_RF_26[[#This Row],[Daño Insecto]]/FT_RF_26[[#This Row],[Muestra]]),"0")</f>
        <v>0</v>
      </c>
      <c r="X159" s="38">
        <v>0</v>
      </c>
      <c r="Y159" s="39">
        <f>+IFERROR((FT_RF_26[[#This Row],[Sobremadura]]/FT_RF_26[[#This Row],[Muestra]]),"0")</f>
        <v>0</v>
      </c>
      <c r="Z159" s="38">
        <v>0</v>
      </c>
      <c r="AA159" s="39">
        <f>+IFERROR((FT_RF_26[[#This Row],[Deforme]]/FT_RF_26[[#This Row],[Muestra]]),"0")</f>
        <v>0</v>
      </c>
      <c r="AB159" s="27"/>
      <c r="AC159" s="38">
        <v>0</v>
      </c>
      <c r="AD159" s="39">
        <f>+IFERROR((FT_RF_26[[#This Row],[Valor Extra 1]]/FT_RF_26[[#This Row],[Muestra]]),"0")</f>
        <v>0</v>
      </c>
      <c r="AF159" s="38">
        <v>0</v>
      </c>
      <c r="AG159" s="39">
        <f>+IFERROR((FT_RF_26[[#This Row],[Valor Extra 2]]/FT_RF_26[[#This Row],[Muestra]]),"0")</f>
        <v>0</v>
      </c>
      <c r="AH159" s="40">
        <v>0</v>
      </c>
      <c r="AI159" s="39">
        <f>+IFERROR((FT_RF_26[[#This Row],[Hongos]]/FT_RF_26[[#This Row],[Muestra]]),"0")</f>
        <v>0</v>
      </c>
      <c r="AJ159" s="38">
        <v>0</v>
      </c>
      <c r="AK159" s="39">
        <f>+IFERROR((FT_RF_26[[#This Row],[Block]]/FT_RF_26[[#This Row],[Muestra]]),"0")</f>
        <v>0</v>
      </c>
      <c r="AL159" s="41">
        <v>0</v>
      </c>
      <c r="AM159" s="42">
        <v>0</v>
      </c>
      <c r="AN159" s="38">
        <v>0</v>
      </c>
      <c r="AO159" s="39">
        <f>+IFERROR((FT_RF_26[[#This Row],[Fuera de calibre &lt;12mm]]/FT_RF_26[[#This Row],[Muestra]]),"0")</f>
        <v>0</v>
      </c>
      <c r="AP159" s="38">
        <v>0</v>
      </c>
      <c r="AQ159" s="39">
        <f>+IFERROR((FT_RF_26[[#This Row],[Calibre &lt;25]]/FT_RF_26[[#This Row],[Muestra]]),"0")</f>
        <v>0</v>
      </c>
      <c r="AR159" s="38">
        <v>0</v>
      </c>
      <c r="AS159" s="39">
        <f>+IFERROR((FT_RF_26[[#This Row],[Calibre &gt;12]]/FT_RF_26[[#This Row],[Muestra]]),"0")</f>
        <v>0</v>
      </c>
      <c r="AT159" s="38">
        <v>0</v>
      </c>
      <c r="AU159" s="39">
        <f>+IFERROR((FT_RF_26[[#This Row],[Calibre &lt;14]]/FT_RF_26[[#This Row],[Muestra]]),"0")</f>
        <v>0</v>
      </c>
      <c r="AV159" s="38">
        <v>0</v>
      </c>
      <c r="AW159" s="39">
        <f>+IFERROR((FT_RF_26[[#This Row],[Calibre &gt;14]]/FT_RF_26[[#This Row],[Muestra]]),"0")</f>
        <v>0</v>
      </c>
      <c r="AX159" s="38">
        <v>0</v>
      </c>
      <c r="AY159" s="39">
        <f>+IFERROR((FT_RF_26[[#This Row],[Calibre &lt;10]]/FT_RF_26[[#This Row],[Muestra]]),"0")</f>
        <v>0</v>
      </c>
      <c r="AZ159" s="38">
        <v>0</v>
      </c>
      <c r="BA159" s="39">
        <f>+IFERROR((FT_RF_26[[#This Row],[Calibre &gt;13]]/FT_RF_26[[#This Row],[Muestra]]),"0")</f>
        <v>0</v>
      </c>
      <c r="BB159" s="41"/>
      <c r="BG159" s="42"/>
      <c r="BH159" s="43">
        <v>0</v>
      </c>
      <c r="BI159" s="29" t="s">
        <v>894</v>
      </c>
      <c r="BJ159" s="29" t="s">
        <v>894</v>
      </c>
      <c r="BK15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5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59" s="45">
        <f>1-FT_RF_26[[#This Row],[% Defectos]]</f>
        <v>1</v>
      </c>
      <c r="BO159" s="60"/>
      <c r="BP159" s="12">
        <f>SUM(FT_RF_26[[#This Row],[Hoja (Un.)]:[Larvas Caja]])</f>
        <v>0</v>
      </c>
      <c r="BQ159" s="12">
        <f>SUM(FT_RF_26[[#This Row],[Vidrios]:[Plástico]])</f>
        <v>0</v>
      </c>
      <c r="BR159" s="12" t="str">
        <f>IF(ISBLANK(FT_RF_26[[#This Row],[Descripción del producto]]),"",FT_RF_26[[#This Row],[Descripción del producto]])</f>
        <v/>
      </c>
      <c r="BS159" s="29" t="str">
        <f>IF(ISBLANK(FT_RF_26[[#This Row],[N° de Lote]]),"",FT_RF_26[[#This Row],[N° de Lote]])</f>
        <v/>
      </c>
      <c r="BT159" s="29" t="str">
        <f>IF(ISBLANK(FT_RF_26[[#This Row],[N° de Pallet]]),"",FT_RF_26[[#This Row],[N° de Pallet]])</f>
        <v/>
      </c>
    </row>
    <row r="160" spans="2:72">
      <c r="B160" s="29">
        <f>+_xlfn.ISOWEEKNUM(FT_RF_26[[#This Row],[Fecha]])</f>
        <v>52</v>
      </c>
      <c r="E160" s="31"/>
      <c r="F160" s="12" t="str">
        <f>IFERROR(""&amp;_xlfn.XLOOKUP(FT_RF_26[[#This Row],[Código]],BD_Cod[SKU],BD_Cod[Descripción]),"")</f>
        <v/>
      </c>
      <c r="G160" s="32" t="str">
        <f>IFERROR(""&amp;_xlfn.XLOOKUP(FT_RF_26[[#This Row],[Código]],BD_Cod[SKU],BD_Cod[Familia Calidad]),"")</f>
        <v/>
      </c>
      <c r="J160" s="33">
        <v>1000</v>
      </c>
      <c r="L160" s="30" t="s">
        <v>244</v>
      </c>
      <c r="O160" s="30" t="s">
        <v>894</v>
      </c>
      <c r="P160" s="29" t="s">
        <v>894</v>
      </c>
      <c r="Q160" s="37">
        <f>1-FT_RF_26[[#This Row],[% Defectos]]</f>
        <v>1</v>
      </c>
      <c r="R160" s="38">
        <v>0</v>
      </c>
      <c r="S160" s="39">
        <f>+IFERROR((FT_RF_26[[#This Row],[Inmadura]]/FT_RF_26[[#This Row],[Muestra]]),"0")</f>
        <v>0</v>
      </c>
      <c r="T160" s="38">
        <v>0</v>
      </c>
      <c r="U160" s="39">
        <f>+IFERROR((FT_RF_26[[#This Row],[Partidas]]/FT_RF_26[[#This Row],[Muestra]]),"0")</f>
        <v>0</v>
      </c>
      <c r="V160" s="38">
        <v>0</v>
      </c>
      <c r="W160" s="39">
        <f>+IFERROR((FT_RF_26[[#This Row],[Daño Insecto]]/FT_RF_26[[#This Row],[Muestra]]),"0")</f>
        <v>0</v>
      </c>
      <c r="X160" s="38">
        <v>0</v>
      </c>
      <c r="Y160" s="39">
        <f>+IFERROR((FT_RF_26[[#This Row],[Sobremadura]]/FT_RF_26[[#This Row],[Muestra]]),"0")</f>
        <v>0</v>
      </c>
      <c r="Z160" s="38">
        <v>0</v>
      </c>
      <c r="AA160" s="39">
        <f>+IFERROR((FT_RF_26[[#This Row],[Deforme]]/FT_RF_26[[#This Row],[Muestra]]),"0")</f>
        <v>0</v>
      </c>
      <c r="AB160" s="27"/>
      <c r="AC160" s="38">
        <v>0</v>
      </c>
      <c r="AD160" s="39">
        <f>+IFERROR((FT_RF_26[[#This Row],[Valor Extra 1]]/FT_RF_26[[#This Row],[Muestra]]),"0")</f>
        <v>0</v>
      </c>
      <c r="AF160" s="38">
        <v>0</v>
      </c>
      <c r="AG160" s="39">
        <f>+IFERROR((FT_RF_26[[#This Row],[Valor Extra 2]]/FT_RF_26[[#This Row],[Muestra]]),"0")</f>
        <v>0</v>
      </c>
      <c r="AH160" s="40">
        <v>0</v>
      </c>
      <c r="AI160" s="39">
        <f>+IFERROR((FT_RF_26[[#This Row],[Hongos]]/FT_RF_26[[#This Row],[Muestra]]),"0")</f>
        <v>0</v>
      </c>
      <c r="AJ160" s="38">
        <v>0</v>
      </c>
      <c r="AK160" s="39">
        <f>+IFERROR((FT_RF_26[[#This Row],[Block]]/FT_RF_26[[#This Row],[Muestra]]),"0")</f>
        <v>0</v>
      </c>
      <c r="AL160" s="41">
        <v>0</v>
      </c>
      <c r="AM160" s="42">
        <v>0</v>
      </c>
      <c r="AN160" s="38">
        <v>0</v>
      </c>
      <c r="AO160" s="39">
        <f>+IFERROR((FT_RF_26[[#This Row],[Fuera de calibre &lt;12mm]]/FT_RF_26[[#This Row],[Muestra]]),"0")</f>
        <v>0</v>
      </c>
      <c r="AP160" s="38">
        <v>0</v>
      </c>
      <c r="AQ160" s="39">
        <f>+IFERROR((FT_RF_26[[#This Row],[Calibre &lt;25]]/FT_RF_26[[#This Row],[Muestra]]),"0")</f>
        <v>0</v>
      </c>
      <c r="AR160" s="38">
        <v>0</v>
      </c>
      <c r="AS160" s="39">
        <f>+IFERROR((FT_RF_26[[#This Row],[Calibre &gt;12]]/FT_RF_26[[#This Row],[Muestra]]),"0")</f>
        <v>0</v>
      </c>
      <c r="AT160" s="38">
        <v>0</v>
      </c>
      <c r="AU160" s="39">
        <f>+IFERROR((FT_RF_26[[#This Row],[Calibre &lt;14]]/FT_RF_26[[#This Row],[Muestra]]),"0")</f>
        <v>0</v>
      </c>
      <c r="AV160" s="38">
        <v>0</v>
      </c>
      <c r="AW160" s="39">
        <f>+IFERROR((FT_RF_26[[#This Row],[Calibre &gt;14]]/FT_RF_26[[#This Row],[Muestra]]),"0")</f>
        <v>0</v>
      </c>
      <c r="AX160" s="38">
        <v>0</v>
      </c>
      <c r="AY160" s="39">
        <f>+IFERROR((FT_RF_26[[#This Row],[Calibre &lt;10]]/FT_RF_26[[#This Row],[Muestra]]),"0")</f>
        <v>0</v>
      </c>
      <c r="AZ160" s="38">
        <v>0</v>
      </c>
      <c r="BA160" s="39">
        <f>+IFERROR((FT_RF_26[[#This Row],[Calibre &gt;13]]/FT_RF_26[[#This Row],[Muestra]]),"0")</f>
        <v>0</v>
      </c>
      <c r="BB160" s="41"/>
      <c r="BG160" s="42"/>
      <c r="BH160" s="43">
        <v>0</v>
      </c>
      <c r="BI160" s="29" t="s">
        <v>894</v>
      </c>
      <c r="BJ160" s="29" t="s">
        <v>894</v>
      </c>
      <c r="BK16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6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60" s="45">
        <f>1-FT_RF_26[[#This Row],[% Defectos]]</f>
        <v>1</v>
      </c>
      <c r="BO160" s="60"/>
      <c r="BP160" s="12">
        <f>SUM(FT_RF_26[[#This Row],[Hoja (Un.)]:[Larvas Caja]])</f>
        <v>0</v>
      </c>
      <c r="BQ160" s="12">
        <f>SUM(FT_RF_26[[#This Row],[Vidrios]:[Plástico]])</f>
        <v>0</v>
      </c>
      <c r="BR160" s="12" t="str">
        <f>IF(ISBLANK(FT_RF_26[[#This Row],[Descripción del producto]]),"",FT_RF_26[[#This Row],[Descripción del producto]])</f>
        <v/>
      </c>
      <c r="BS160" s="29" t="str">
        <f>IF(ISBLANK(FT_RF_26[[#This Row],[N° de Lote]]),"",FT_RF_26[[#This Row],[N° de Lote]])</f>
        <v/>
      </c>
      <c r="BT160" s="29" t="str">
        <f>IF(ISBLANK(FT_RF_26[[#This Row],[N° de Pallet]]),"",FT_RF_26[[#This Row],[N° de Pallet]])</f>
        <v/>
      </c>
    </row>
    <row r="161" spans="2:72">
      <c r="B161" s="29">
        <f>+_xlfn.ISOWEEKNUM(FT_RF_26[[#This Row],[Fecha]])</f>
        <v>52</v>
      </c>
      <c r="E161" s="31"/>
      <c r="F161" s="12" t="str">
        <f>IFERROR(""&amp;_xlfn.XLOOKUP(FT_RF_26[[#This Row],[Código]],BD_Cod[SKU],BD_Cod[Descripción]),"")</f>
        <v/>
      </c>
      <c r="G161" s="32" t="str">
        <f>IFERROR(""&amp;_xlfn.XLOOKUP(FT_RF_26[[#This Row],[Código]],BD_Cod[SKU],BD_Cod[Familia Calidad]),"")</f>
        <v/>
      </c>
      <c r="J161" s="33">
        <v>1000</v>
      </c>
      <c r="L161" s="30" t="s">
        <v>244</v>
      </c>
      <c r="O161" s="30" t="s">
        <v>894</v>
      </c>
      <c r="P161" s="29" t="s">
        <v>894</v>
      </c>
      <c r="Q161" s="37">
        <f>1-FT_RF_26[[#This Row],[% Defectos]]</f>
        <v>1</v>
      </c>
      <c r="R161" s="38">
        <v>0</v>
      </c>
      <c r="S161" s="39">
        <f>+IFERROR((FT_RF_26[[#This Row],[Inmadura]]/FT_RF_26[[#This Row],[Muestra]]),"0")</f>
        <v>0</v>
      </c>
      <c r="T161" s="38">
        <v>0</v>
      </c>
      <c r="U161" s="39">
        <f>+IFERROR((FT_RF_26[[#This Row],[Partidas]]/FT_RF_26[[#This Row],[Muestra]]),"0")</f>
        <v>0</v>
      </c>
      <c r="V161" s="38">
        <v>0</v>
      </c>
      <c r="W161" s="39">
        <f>+IFERROR((FT_RF_26[[#This Row],[Daño Insecto]]/FT_RF_26[[#This Row],[Muestra]]),"0")</f>
        <v>0</v>
      </c>
      <c r="X161" s="38">
        <v>0</v>
      </c>
      <c r="Y161" s="39">
        <f>+IFERROR((FT_RF_26[[#This Row],[Sobremadura]]/FT_RF_26[[#This Row],[Muestra]]),"0")</f>
        <v>0</v>
      </c>
      <c r="Z161" s="38">
        <v>0</v>
      </c>
      <c r="AA161" s="39">
        <f>+IFERROR((FT_RF_26[[#This Row],[Deforme]]/FT_RF_26[[#This Row],[Muestra]]),"0")</f>
        <v>0</v>
      </c>
      <c r="AB161" s="27"/>
      <c r="AC161" s="38">
        <v>0</v>
      </c>
      <c r="AD161" s="39">
        <f>+IFERROR((FT_RF_26[[#This Row],[Valor Extra 1]]/FT_RF_26[[#This Row],[Muestra]]),"0")</f>
        <v>0</v>
      </c>
      <c r="AF161" s="38">
        <v>0</v>
      </c>
      <c r="AG161" s="39">
        <f>+IFERROR((FT_RF_26[[#This Row],[Valor Extra 2]]/FT_RF_26[[#This Row],[Muestra]]),"0")</f>
        <v>0</v>
      </c>
      <c r="AH161" s="40">
        <v>0</v>
      </c>
      <c r="AI161" s="39">
        <f>+IFERROR((FT_RF_26[[#This Row],[Hongos]]/FT_RF_26[[#This Row],[Muestra]]),"0")</f>
        <v>0</v>
      </c>
      <c r="AJ161" s="38">
        <v>0</v>
      </c>
      <c r="AK161" s="39">
        <f>+IFERROR((FT_RF_26[[#This Row],[Block]]/FT_RF_26[[#This Row],[Muestra]]),"0")</f>
        <v>0</v>
      </c>
      <c r="AL161" s="41">
        <v>0</v>
      </c>
      <c r="AM161" s="42">
        <v>0</v>
      </c>
      <c r="AN161" s="38">
        <v>0</v>
      </c>
      <c r="AO161" s="39">
        <f>+IFERROR((FT_RF_26[[#This Row],[Fuera de calibre &lt;12mm]]/FT_RF_26[[#This Row],[Muestra]]),"0")</f>
        <v>0</v>
      </c>
      <c r="AP161" s="38">
        <v>0</v>
      </c>
      <c r="AQ161" s="39">
        <f>+IFERROR((FT_RF_26[[#This Row],[Calibre &lt;25]]/FT_RF_26[[#This Row],[Muestra]]),"0")</f>
        <v>0</v>
      </c>
      <c r="AR161" s="38">
        <v>0</v>
      </c>
      <c r="AS161" s="39">
        <f>+IFERROR((FT_RF_26[[#This Row],[Calibre &gt;12]]/FT_RF_26[[#This Row],[Muestra]]),"0")</f>
        <v>0</v>
      </c>
      <c r="AT161" s="38">
        <v>0</v>
      </c>
      <c r="AU161" s="39">
        <f>+IFERROR((FT_RF_26[[#This Row],[Calibre &lt;14]]/FT_RF_26[[#This Row],[Muestra]]),"0")</f>
        <v>0</v>
      </c>
      <c r="AV161" s="38">
        <v>0</v>
      </c>
      <c r="AW161" s="39">
        <f>+IFERROR((FT_RF_26[[#This Row],[Calibre &gt;14]]/FT_RF_26[[#This Row],[Muestra]]),"0")</f>
        <v>0</v>
      </c>
      <c r="AX161" s="38">
        <v>0</v>
      </c>
      <c r="AY161" s="39">
        <f>+IFERROR((FT_RF_26[[#This Row],[Calibre &lt;10]]/FT_RF_26[[#This Row],[Muestra]]),"0")</f>
        <v>0</v>
      </c>
      <c r="AZ161" s="38">
        <v>0</v>
      </c>
      <c r="BA161" s="39">
        <f>+IFERROR((FT_RF_26[[#This Row],[Calibre &gt;13]]/FT_RF_26[[#This Row],[Muestra]]),"0")</f>
        <v>0</v>
      </c>
      <c r="BB161" s="41"/>
      <c r="BG161" s="42"/>
      <c r="BH161" s="43">
        <v>0</v>
      </c>
      <c r="BI161" s="29" t="s">
        <v>894</v>
      </c>
      <c r="BJ161" s="29" t="s">
        <v>894</v>
      </c>
      <c r="BK16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6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61" s="45">
        <f>1-FT_RF_26[[#This Row],[% Defectos]]</f>
        <v>1</v>
      </c>
      <c r="BO161" s="60"/>
      <c r="BP161" s="12">
        <f>SUM(FT_RF_26[[#This Row],[Hoja (Un.)]:[Larvas Caja]])</f>
        <v>0</v>
      </c>
      <c r="BQ161" s="12">
        <f>SUM(FT_RF_26[[#This Row],[Vidrios]:[Plástico]])</f>
        <v>0</v>
      </c>
      <c r="BR161" s="12" t="str">
        <f>IF(ISBLANK(FT_RF_26[[#This Row],[Descripción del producto]]),"",FT_RF_26[[#This Row],[Descripción del producto]])</f>
        <v/>
      </c>
      <c r="BS161" s="29" t="str">
        <f>IF(ISBLANK(FT_RF_26[[#This Row],[N° de Lote]]),"",FT_RF_26[[#This Row],[N° de Lote]])</f>
        <v/>
      </c>
      <c r="BT161" s="29" t="str">
        <f>IF(ISBLANK(FT_RF_26[[#This Row],[N° de Pallet]]),"",FT_RF_26[[#This Row],[N° de Pallet]])</f>
        <v/>
      </c>
    </row>
    <row r="162" spans="2:72">
      <c r="B162" s="29">
        <f>+_xlfn.ISOWEEKNUM(FT_RF_26[[#This Row],[Fecha]])</f>
        <v>52</v>
      </c>
      <c r="E162" s="31"/>
      <c r="F162" s="12" t="str">
        <f>IFERROR(""&amp;_xlfn.XLOOKUP(FT_RF_26[[#This Row],[Código]],BD_Cod[SKU],BD_Cod[Descripción]),"")</f>
        <v/>
      </c>
      <c r="G162" s="32" t="str">
        <f>IFERROR(""&amp;_xlfn.XLOOKUP(FT_RF_26[[#This Row],[Código]],BD_Cod[SKU],BD_Cod[Familia Calidad]),"")</f>
        <v/>
      </c>
      <c r="J162" s="33">
        <v>1000</v>
      </c>
      <c r="L162" s="30" t="s">
        <v>244</v>
      </c>
      <c r="O162" s="30" t="s">
        <v>894</v>
      </c>
      <c r="P162" s="29" t="s">
        <v>894</v>
      </c>
      <c r="Q162" s="37">
        <f>1-FT_RF_26[[#This Row],[% Defectos]]</f>
        <v>1</v>
      </c>
      <c r="R162" s="38">
        <v>0</v>
      </c>
      <c r="S162" s="39">
        <f>+IFERROR((FT_RF_26[[#This Row],[Inmadura]]/FT_RF_26[[#This Row],[Muestra]]),"0")</f>
        <v>0</v>
      </c>
      <c r="T162" s="38">
        <v>0</v>
      </c>
      <c r="U162" s="39">
        <f>+IFERROR((FT_RF_26[[#This Row],[Partidas]]/FT_RF_26[[#This Row],[Muestra]]),"0")</f>
        <v>0</v>
      </c>
      <c r="V162" s="38">
        <v>0</v>
      </c>
      <c r="W162" s="39">
        <f>+IFERROR((FT_RF_26[[#This Row],[Daño Insecto]]/FT_RF_26[[#This Row],[Muestra]]),"0")</f>
        <v>0</v>
      </c>
      <c r="X162" s="38">
        <v>0</v>
      </c>
      <c r="Y162" s="39">
        <f>+IFERROR((FT_RF_26[[#This Row],[Sobremadura]]/FT_RF_26[[#This Row],[Muestra]]),"0")</f>
        <v>0</v>
      </c>
      <c r="Z162" s="38">
        <v>0</v>
      </c>
      <c r="AA162" s="39">
        <f>+IFERROR((FT_RF_26[[#This Row],[Deforme]]/FT_RF_26[[#This Row],[Muestra]]),"0")</f>
        <v>0</v>
      </c>
      <c r="AB162" s="27"/>
      <c r="AC162" s="38">
        <v>0</v>
      </c>
      <c r="AD162" s="39">
        <f>+IFERROR((FT_RF_26[[#This Row],[Valor Extra 1]]/FT_RF_26[[#This Row],[Muestra]]),"0")</f>
        <v>0</v>
      </c>
      <c r="AF162" s="38">
        <v>0</v>
      </c>
      <c r="AG162" s="39">
        <f>+IFERROR((FT_RF_26[[#This Row],[Valor Extra 2]]/FT_RF_26[[#This Row],[Muestra]]),"0")</f>
        <v>0</v>
      </c>
      <c r="AH162" s="40">
        <v>0</v>
      </c>
      <c r="AI162" s="39">
        <f>+IFERROR((FT_RF_26[[#This Row],[Hongos]]/FT_RF_26[[#This Row],[Muestra]]),"0")</f>
        <v>0</v>
      </c>
      <c r="AJ162" s="38">
        <v>0</v>
      </c>
      <c r="AK162" s="39">
        <f>+IFERROR((FT_RF_26[[#This Row],[Block]]/FT_RF_26[[#This Row],[Muestra]]),"0")</f>
        <v>0</v>
      </c>
      <c r="AL162" s="41">
        <v>0</v>
      </c>
      <c r="AM162" s="42">
        <v>0</v>
      </c>
      <c r="AN162" s="38">
        <v>0</v>
      </c>
      <c r="AO162" s="39">
        <f>+IFERROR((FT_RF_26[[#This Row],[Fuera de calibre &lt;12mm]]/FT_RF_26[[#This Row],[Muestra]]),"0")</f>
        <v>0</v>
      </c>
      <c r="AP162" s="38">
        <v>0</v>
      </c>
      <c r="AQ162" s="39">
        <f>+IFERROR((FT_RF_26[[#This Row],[Calibre &lt;25]]/FT_RF_26[[#This Row],[Muestra]]),"0")</f>
        <v>0</v>
      </c>
      <c r="AR162" s="38">
        <v>0</v>
      </c>
      <c r="AS162" s="39">
        <f>+IFERROR((FT_RF_26[[#This Row],[Calibre &gt;12]]/FT_RF_26[[#This Row],[Muestra]]),"0")</f>
        <v>0</v>
      </c>
      <c r="AT162" s="38">
        <v>0</v>
      </c>
      <c r="AU162" s="39">
        <f>+IFERROR((FT_RF_26[[#This Row],[Calibre &lt;14]]/FT_RF_26[[#This Row],[Muestra]]),"0")</f>
        <v>0</v>
      </c>
      <c r="AV162" s="38">
        <v>0</v>
      </c>
      <c r="AW162" s="39">
        <f>+IFERROR((FT_RF_26[[#This Row],[Calibre &gt;14]]/FT_RF_26[[#This Row],[Muestra]]),"0")</f>
        <v>0</v>
      </c>
      <c r="AX162" s="38">
        <v>0</v>
      </c>
      <c r="AY162" s="39">
        <f>+IFERROR((FT_RF_26[[#This Row],[Calibre &lt;10]]/FT_RF_26[[#This Row],[Muestra]]),"0")</f>
        <v>0</v>
      </c>
      <c r="AZ162" s="38">
        <v>0</v>
      </c>
      <c r="BA162" s="39">
        <f>+IFERROR((FT_RF_26[[#This Row],[Calibre &gt;13]]/FT_RF_26[[#This Row],[Muestra]]),"0")</f>
        <v>0</v>
      </c>
      <c r="BB162" s="41"/>
      <c r="BG162" s="42"/>
      <c r="BH162" s="43">
        <v>0</v>
      </c>
      <c r="BI162" s="29" t="s">
        <v>894</v>
      </c>
      <c r="BJ162" s="29" t="s">
        <v>894</v>
      </c>
      <c r="BK16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6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62" s="45">
        <f>1-FT_RF_26[[#This Row],[% Defectos]]</f>
        <v>1</v>
      </c>
      <c r="BO162" s="60"/>
      <c r="BP162" s="12">
        <f>SUM(FT_RF_26[[#This Row],[Hoja (Un.)]:[Larvas Caja]])</f>
        <v>0</v>
      </c>
      <c r="BQ162" s="12">
        <f>SUM(FT_RF_26[[#This Row],[Vidrios]:[Plástico]])</f>
        <v>0</v>
      </c>
      <c r="BR162" s="12" t="str">
        <f>IF(ISBLANK(FT_RF_26[[#This Row],[Descripción del producto]]),"",FT_RF_26[[#This Row],[Descripción del producto]])</f>
        <v/>
      </c>
      <c r="BS162" s="29" t="str">
        <f>IF(ISBLANK(FT_RF_26[[#This Row],[N° de Lote]]),"",FT_RF_26[[#This Row],[N° de Lote]])</f>
        <v/>
      </c>
      <c r="BT162" s="29" t="str">
        <f>IF(ISBLANK(FT_RF_26[[#This Row],[N° de Pallet]]),"",FT_RF_26[[#This Row],[N° de Pallet]])</f>
        <v/>
      </c>
    </row>
    <row r="163" spans="2:72">
      <c r="B163" s="29">
        <f>+_xlfn.ISOWEEKNUM(FT_RF_26[[#This Row],[Fecha]])</f>
        <v>52</v>
      </c>
      <c r="E163" s="31"/>
      <c r="F163" s="12" t="str">
        <f>IFERROR(""&amp;_xlfn.XLOOKUP(FT_RF_26[[#This Row],[Código]],BD_Cod[SKU],BD_Cod[Descripción]),"")</f>
        <v/>
      </c>
      <c r="G163" s="32" t="str">
        <f>IFERROR(""&amp;_xlfn.XLOOKUP(FT_RF_26[[#This Row],[Código]],BD_Cod[SKU],BD_Cod[Familia Calidad]),"")</f>
        <v/>
      </c>
      <c r="J163" s="33">
        <v>1000</v>
      </c>
      <c r="L163" s="30" t="s">
        <v>244</v>
      </c>
      <c r="O163" s="30" t="s">
        <v>894</v>
      </c>
      <c r="P163" s="29" t="s">
        <v>894</v>
      </c>
      <c r="Q163" s="37">
        <f>1-FT_RF_26[[#This Row],[% Defectos]]</f>
        <v>1</v>
      </c>
      <c r="R163" s="38">
        <v>0</v>
      </c>
      <c r="S163" s="39">
        <f>+IFERROR((FT_RF_26[[#This Row],[Inmadura]]/FT_RF_26[[#This Row],[Muestra]]),"0")</f>
        <v>0</v>
      </c>
      <c r="T163" s="38">
        <v>0</v>
      </c>
      <c r="U163" s="39">
        <f>+IFERROR((FT_RF_26[[#This Row],[Partidas]]/FT_RF_26[[#This Row],[Muestra]]),"0")</f>
        <v>0</v>
      </c>
      <c r="V163" s="38">
        <v>0</v>
      </c>
      <c r="W163" s="39">
        <f>+IFERROR((FT_RF_26[[#This Row],[Daño Insecto]]/FT_RF_26[[#This Row],[Muestra]]),"0")</f>
        <v>0</v>
      </c>
      <c r="X163" s="38">
        <v>0</v>
      </c>
      <c r="Y163" s="39">
        <f>+IFERROR((FT_RF_26[[#This Row],[Sobremadura]]/FT_RF_26[[#This Row],[Muestra]]),"0")</f>
        <v>0</v>
      </c>
      <c r="Z163" s="38">
        <v>0</v>
      </c>
      <c r="AA163" s="39">
        <f>+IFERROR((FT_RF_26[[#This Row],[Deforme]]/FT_RF_26[[#This Row],[Muestra]]),"0")</f>
        <v>0</v>
      </c>
      <c r="AB163" s="27"/>
      <c r="AC163" s="38">
        <v>0</v>
      </c>
      <c r="AD163" s="39">
        <f>+IFERROR((FT_RF_26[[#This Row],[Valor Extra 1]]/FT_RF_26[[#This Row],[Muestra]]),"0")</f>
        <v>0</v>
      </c>
      <c r="AF163" s="38">
        <v>0</v>
      </c>
      <c r="AG163" s="39">
        <f>+IFERROR((FT_RF_26[[#This Row],[Valor Extra 2]]/FT_RF_26[[#This Row],[Muestra]]),"0")</f>
        <v>0</v>
      </c>
      <c r="AH163" s="40">
        <v>0</v>
      </c>
      <c r="AI163" s="39">
        <f>+IFERROR((FT_RF_26[[#This Row],[Hongos]]/FT_RF_26[[#This Row],[Muestra]]),"0")</f>
        <v>0</v>
      </c>
      <c r="AJ163" s="38">
        <v>0</v>
      </c>
      <c r="AK163" s="39">
        <f>+IFERROR((FT_RF_26[[#This Row],[Block]]/FT_RF_26[[#This Row],[Muestra]]),"0")</f>
        <v>0</v>
      </c>
      <c r="AL163" s="41">
        <v>0</v>
      </c>
      <c r="AM163" s="42">
        <v>0</v>
      </c>
      <c r="AN163" s="38">
        <v>0</v>
      </c>
      <c r="AO163" s="39">
        <f>+IFERROR((FT_RF_26[[#This Row],[Fuera de calibre &lt;12mm]]/FT_RF_26[[#This Row],[Muestra]]),"0")</f>
        <v>0</v>
      </c>
      <c r="AP163" s="38">
        <v>0</v>
      </c>
      <c r="AQ163" s="39">
        <f>+IFERROR((FT_RF_26[[#This Row],[Calibre &lt;25]]/FT_RF_26[[#This Row],[Muestra]]),"0")</f>
        <v>0</v>
      </c>
      <c r="AR163" s="38">
        <v>0</v>
      </c>
      <c r="AS163" s="39">
        <f>+IFERROR((FT_RF_26[[#This Row],[Calibre &gt;12]]/FT_RF_26[[#This Row],[Muestra]]),"0")</f>
        <v>0</v>
      </c>
      <c r="AT163" s="38">
        <v>0</v>
      </c>
      <c r="AU163" s="39">
        <f>+IFERROR((FT_RF_26[[#This Row],[Calibre &lt;14]]/FT_RF_26[[#This Row],[Muestra]]),"0")</f>
        <v>0</v>
      </c>
      <c r="AV163" s="38">
        <v>0</v>
      </c>
      <c r="AW163" s="39">
        <f>+IFERROR((FT_RF_26[[#This Row],[Calibre &gt;14]]/FT_RF_26[[#This Row],[Muestra]]),"0")</f>
        <v>0</v>
      </c>
      <c r="AX163" s="38">
        <v>0</v>
      </c>
      <c r="AY163" s="39">
        <f>+IFERROR((FT_RF_26[[#This Row],[Calibre &lt;10]]/FT_RF_26[[#This Row],[Muestra]]),"0")</f>
        <v>0</v>
      </c>
      <c r="AZ163" s="38">
        <v>0</v>
      </c>
      <c r="BA163" s="39">
        <f>+IFERROR((FT_RF_26[[#This Row],[Calibre &gt;13]]/FT_RF_26[[#This Row],[Muestra]]),"0")</f>
        <v>0</v>
      </c>
      <c r="BB163" s="41"/>
      <c r="BG163" s="42"/>
      <c r="BH163" s="43">
        <v>0</v>
      </c>
      <c r="BI163" s="29" t="s">
        <v>894</v>
      </c>
      <c r="BJ163" s="29" t="s">
        <v>894</v>
      </c>
      <c r="BK16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6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63" s="45">
        <f>1-FT_RF_26[[#This Row],[% Defectos]]</f>
        <v>1</v>
      </c>
      <c r="BO163" s="60"/>
      <c r="BP163" s="12">
        <f>SUM(FT_RF_26[[#This Row],[Hoja (Un.)]:[Larvas Caja]])</f>
        <v>0</v>
      </c>
      <c r="BQ163" s="12">
        <f>SUM(FT_RF_26[[#This Row],[Vidrios]:[Plástico]])</f>
        <v>0</v>
      </c>
      <c r="BR163" s="12" t="str">
        <f>IF(ISBLANK(FT_RF_26[[#This Row],[Descripción del producto]]),"",FT_RF_26[[#This Row],[Descripción del producto]])</f>
        <v/>
      </c>
      <c r="BS163" s="29" t="str">
        <f>IF(ISBLANK(FT_RF_26[[#This Row],[N° de Lote]]),"",FT_RF_26[[#This Row],[N° de Lote]])</f>
        <v/>
      </c>
      <c r="BT163" s="29" t="str">
        <f>IF(ISBLANK(FT_RF_26[[#This Row],[N° de Pallet]]),"",FT_RF_26[[#This Row],[N° de Pallet]])</f>
        <v/>
      </c>
    </row>
    <row r="164" spans="2:72">
      <c r="B164" s="29">
        <f>+_xlfn.ISOWEEKNUM(FT_RF_26[[#This Row],[Fecha]])</f>
        <v>52</v>
      </c>
      <c r="E164" s="31"/>
      <c r="F164" s="12" t="str">
        <f>IFERROR(""&amp;_xlfn.XLOOKUP(FT_RF_26[[#This Row],[Código]],BD_Cod[SKU],BD_Cod[Descripción]),"")</f>
        <v/>
      </c>
      <c r="G164" s="32" t="str">
        <f>IFERROR(""&amp;_xlfn.XLOOKUP(FT_RF_26[[#This Row],[Código]],BD_Cod[SKU],BD_Cod[Familia Calidad]),"")</f>
        <v/>
      </c>
      <c r="J164" s="33">
        <v>1000</v>
      </c>
      <c r="L164" s="30" t="s">
        <v>244</v>
      </c>
      <c r="O164" s="30" t="s">
        <v>894</v>
      </c>
      <c r="P164" s="29" t="s">
        <v>894</v>
      </c>
      <c r="Q164" s="37">
        <f>1-FT_RF_26[[#This Row],[% Defectos]]</f>
        <v>1</v>
      </c>
      <c r="R164" s="38">
        <v>0</v>
      </c>
      <c r="S164" s="39">
        <f>+IFERROR((FT_RF_26[[#This Row],[Inmadura]]/FT_RF_26[[#This Row],[Muestra]]),"0")</f>
        <v>0</v>
      </c>
      <c r="T164" s="38">
        <v>0</v>
      </c>
      <c r="U164" s="39">
        <f>+IFERROR((FT_RF_26[[#This Row],[Partidas]]/FT_RF_26[[#This Row],[Muestra]]),"0")</f>
        <v>0</v>
      </c>
      <c r="V164" s="38">
        <v>0</v>
      </c>
      <c r="W164" s="39">
        <f>+IFERROR((FT_RF_26[[#This Row],[Daño Insecto]]/FT_RF_26[[#This Row],[Muestra]]),"0")</f>
        <v>0</v>
      </c>
      <c r="X164" s="38">
        <v>0</v>
      </c>
      <c r="Y164" s="39">
        <f>+IFERROR((FT_RF_26[[#This Row],[Sobremadura]]/FT_RF_26[[#This Row],[Muestra]]),"0")</f>
        <v>0</v>
      </c>
      <c r="Z164" s="38">
        <v>0</v>
      </c>
      <c r="AA164" s="39">
        <f>+IFERROR((FT_RF_26[[#This Row],[Deforme]]/FT_RF_26[[#This Row],[Muestra]]),"0")</f>
        <v>0</v>
      </c>
      <c r="AB164" s="27"/>
      <c r="AC164" s="38">
        <v>0</v>
      </c>
      <c r="AD164" s="39">
        <f>+IFERROR((FT_RF_26[[#This Row],[Valor Extra 1]]/FT_RF_26[[#This Row],[Muestra]]),"0")</f>
        <v>0</v>
      </c>
      <c r="AF164" s="38">
        <v>0</v>
      </c>
      <c r="AG164" s="39">
        <f>+IFERROR((FT_RF_26[[#This Row],[Valor Extra 2]]/FT_RF_26[[#This Row],[Muestra]]),"0")</f>
        <v>0</v>
      </c>
      <c r="AH164" s="40">
        <v>0</v>
      </c>
      <c r="AI164" s="39">
        <f>+IFERROR((FT_RF_26[[#This Row],[Hongos]]/FT_RF_26[[#This Row],[Muestra]]),"0")</f>
        <v>0</v>
      </c>
      <c r="AJ164" s="38">
        <v>0</v>
      </c>
      <c r="AK164" s="39">
        <f>+IFERROR((FT_RF_26[[#This Row],[Block]]/FT_RF_26[[#This Row],[Muestra]]),"0")</f>
        <v>0</v>
      </c>
      <c r="AL164" s="41">
        <v>0</v>
      </c>
      <c r="AM164" s="42">
        <v>0</v>
      </c>
      <c r="AN164" s="38">
        <v>0</v>
      </c>
      <c r="AO164" s="39">
        <f>+IFERROR((FT_RF_26[[#This Row],[Fuera de calibre &lt;12mm]]/FT_RF_26[[#This Row],[Muestra]]),"0")</f>
        <v>0</v>
      </c>
      <c r="AP164" s="38">
        <v>0</v>
      </c>
      <c r="AQ164" s="39">
        <f>+IFERROR((FT_RF_26[[#This Row],[Calibre &lt;25]]/FT_RF_26[[#This Row],[Muestra]]),"0")</f>
        <v>0</v>
      </c>
      <c r="AR164" s="38">
        <v>0</v>
      </c>
      <c r="AS164" s="39">
        <f>+IFERROR((FT_RF_26[[#This Row],[Calibre &gt;12]]/FT_RF_26[[#This Row],[Muestra]]),"0")</f>
        <v>0</v>
      </c>
      <c r="AT164" s="38">
        <v>0</v>
      </c>
      <c r="AU164" s="39">
        <f>+IFERROR((FT_RF_26[[#This Row],[Calibre &lt;14]]/FT_RF_26[[#This Row],[Muestra]]),"0")</f>
        <v>0</v>
      </c>
      <c r="AV164" s="38">
        <v>0</v>
      </c>
      <c r="AW164" s="39">
        <f>+IFERROR((FT_RF_26[[#This Row],[Calibre &gt;14]]/FT_RF_26[[#This Row],[Muestra]]),"0")</f>
        <v>0</v>
      </c>
      <c r="AX164" s="38">
        <v>0</v>
      </c>
      <c r="AY164" s="39">
        <f>+IFERROR((FT_RF_26[[#This Row],[Calibre &lt;10]]/FT_RF_26[[#This Row],[Muestra]]),"0")</f>
        <v>0</v>
      </c>
      <c r="AZ164" s="38">
        <v>0</v>
      </c>
      <c r="BA164" s="39">
        <f>+IFERROR((FT_RF_26[[#This Row],[Calibre &gt;13]]/FT_RF_26[[#This Row],[Muestra]]),"0")</f>
        <v>0</v>
      </c>
      <c r="BB164" s="41"/>
      <c r="BG164" s="42"/>
      <c r="BH164" s="43">
        <v>0</v>
      </c>
      <c r="BI164" s="29" t="s">
        <v>894</v>
      </c>
      <c r="BJ164" s="29" t="s">
        <v>894</v>
      </c>
      <c r="BK16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6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64" s="45">
        <f>1-FT_RF_26[[#This Row],[% Defectos]]</f>
        <v>1</v>
      </c>
      <c r="BO164" s="60"/>
      <c r="BP164" s="12">
        <f>SUM(FT_RF_26[[#This Row],[Hoja (Un.)]:[Larvas Caja]])</f>
        <v>0</v>
      </c>
      <c r="BQ164" s="12">
        <f>SUM(FT_RF_26[[#This Row],[Vidrios]:[Plástico]])</f>
        <v>0</v>
      </c>
      <c r="BR164" s="12" t="str">
        <f>IF(ISBLANK(FT_RF_26[[#This Row],[Descripción del producto]]),"",FT_RF_26[[#This Row],[Descripción del producto]])</f>
        <v/>
      </c>
      <c r="BS164" s="29" t="str">
        <f>IF(ISBLANK(FT_RF_26[[#This Row],[N° de Lote]]),"",FT_RF_26[[#This Row],[N° de Lote]])</f>
        <v/>
      </c>
      <c r="BT164" s="29" t="str">
        <f>IF(ISBLANK(FT_RF_26[[#This Row],[N° de Pallet]]),"",FT_RF_26[[#This Row],[N° de Pallet]])</f>
        <v/>
      </c>
    </row>
    <row r="165" spans="2:72">
      <c r="B165" s="29">
        <f>+_xlfn.ISOWEEKNUM(FT_RF_26[[#This Row],[Fecha]])</f>
        <v>52</v>
      </c>
      <c r="E165" s="31"/>
      <c r="F165" s="12" t="str">
        <f>IFERROR(""&amp;_xlfn.XLOOKUP(FT_RF_26[[#This Row],[Código]],BD_Cod[SKU],BD_Cod[Descripción]),"")</f>
        <v/>
      </c>
      <c r="G165" s="32" t="str">
        <f>IFERROR(""&amp;_xlfn.XLOOKUP(FT_RF_26[[#This Row],[Código]],BD_Cod[SKU],BD_Cod[Familia Calidad]),"")</f>
        <v/>
      </c>
      <c r="J165" s="33">
        <v>1000</v>
      </c>
      <c r="L165" s="30" t="s">
        <v>244</v>
      </c>
      <c r="O165" s="30" t="s">
        <v>894</v>
      </c>
      <c r="P165" s="29" t="s">
        <v>894</v>
      </c>
      <c r="Q165" s="37">
        <f>1-FT_RF_26[[#This Row],[% Defectos]]</f>
        <v>1</v>
      </c>
      <c r="R165" s="38">
        <v>0</v>
      </c>
      <c r="S165" s="39">
        <f>+IFERROR((FT_RF_26[[#This Row],[Inmadura]]/FT_RF_26[[#This Row],[Muestra]]),"0")</f>
        <v>0</v>
      </c>
      <c r="T165" s="38">
        <v>0</v>
      </c>
      <c r="U165" s="39">
        <f>+IFERROR((FT_RF_26[[#This Row],[Partidas]]/FT_RF_26[[#This Row],[Muestra]]),"0")</f>
        <v>0</v>
      </c>
      <c r="V165" s="38">
        <v>0</v>
      </c>
      <c r="W165" s="39">
        <f>+IFERROR((FT_RF_26[[#This Row],[Daño Insecto]]/FT_RF_26[[#This Row],[Muestra]]),"0")</f>
        <v>0</v>
      </c>
      <c r="X165" s="38">
        <v>0</v>
      </c>
      <c r="Y165" s="39">
        <f>+IFERROR((FT_RF_26[[#This Row],[Sobremadura]]/FT_RF_26[[#This Row],[Muestra]]),"0")</f>
        <v>0</v>
      </c>
      <c r="Z165" s="38">
        <v>0</v>
      </c>
      <c r="AA165" s="39">
        <f>+IFERROR((FT_RF_26[[#This Row],[Deforme]]/FT_RF_26[[#This Row],[Muestra]]),"0")</f>
        <v>0</v>
      </c>
      <c r="AB165" s="27"/>
      <c r="AC165" s="38">
        <v>0</v>
      </c>
      <c r="AD165" s="39">
        <f>+IFERROR((FT_RF_26[[#This Row],[Valor Extra 1]]/FT_RF_26[[#This Row],[Muestra]]),"0")</f>
        <v>0</v>
      </c>
      <c r="AF165" s="38">
        <v>0</v>
      </c>
      <c r="AG165" s="39">
        <f>+IFERROR((FT_RF_26[[#This Row],[Valor Extra 2]]/FT_RF_26[[#This Row],[Muestra]]),"0")</f>
        <v>0</v>
      </c>
      <c r="AH165" s="40">
        <v>0</v>
      </c>
      <c r="AI165" s="39">
        <f>+IFERROR((FT_RF_26[[#This Row],[Hongos]]/FT_RF_26[[#This Row],[Muestra]]),"0")</f>
        <v>0</v>
      </c>
      <c r="AJ165" s="38">
        <v>0</v>
      </c>
      <c r="AK165" s="39">
        <f>+IFERROR((FT_RF_26[[#This Row],[Block]]/FT_RF_26[[#This Row],[Muestra]]),"0")</f>
        <v>0</v>
      </c>
      <c r="AL165" s="41">
        <v>0</v>
      </c>
      <c r="AM165" s="42">
        <v>0</v>
      </c>
      <c r="AN165" s="38">
        <v>0</v>
      </c>
      <c r="AO165" s="39">
        <f>+IFERROR((FT_RF_26[[#This Row],[Fuera de calibre &lt;12mm]]/FT_RF_26[[#This Row],[Muestra]]),"0")</f>
        <v>0</v>
      </c>
      <c r="AP165" s="38">
        <v>0</v>
      </c>
      <c r="AQ165" s="39">
        <f>+IFERROR((FT_RF_26[[#This Row],[Calibre &lt;25]]/FT_RF_26[[#This Row],[Muestra]]),"0")</f>
        <v>0</v>
      </c>
      <c r="AR165" s="38">
        <v>0</v>
      </c>
      <c r="AS165" s="39">
        <f>+IFERROR((FT_RF_26[[#This Row],[Calibre &gt;12]]/FT_RF_26[[#This Row],[Muestra]]),"0")</f>
        <v>0</v>
      </c>
      <c r="AT165" s="38">
        <v>0</v>
      </c>
      <c r="AU165" s="39">
        <f>+IFERROR((FT_RF_26[[#This Row],[Calibre &lt;14]]/FT_RF_26[[#This Row],[Muestra]]),"0")</f>
        <v>0</v>
      </c>
      <c r="AV165" s="38">
        <v>0</v>
      </c>
      <c r="AW165" s="39">
        <f>+IFERROR((FT_RF_26[[#This Row],[Calibre &gt;14]]/FT_RF_26[[#This Row],[Muestra]]),"0")</f>
        <v>0</v>
      </c>
      <c r="AX165" s="38">
        <v>0</v>
      </c>
      <c r="AY165" s="39">
        <f>+IFERROR((FT_RF_26[[#This Row],[Calibre &lt;10]]/FT_RF_26[[#This Row],[Muestra]]),"0")</f>
        <v>0</v>
      </c>
      <c r="AZ165" s="38">
        <v>0</v>
      </c>
      <c r="BA165" s="39">
        <f>+IFERROR((FT_RF_26[[#This Row],[Calibre &gt;13]]/FT_RF_26[[#This Row],[Muestra]]),"0")</f>
        <v>0</v>
      </c>
      <c r="BB165" s="41"/>
      <c r="BG165" s="42"/>
      <c r="BH165" s="43">
        <v>0</v>
      </c>
      <c r="BI165" s="29" t="s">
        <v>894</v>
      </c>
      <c r="BJ165" s="29" t="s">
        <v>894</v>
      </c>
      <c r="BK16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6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65" s="45">
        <f>1-FT_RF_26[[#This Row],[% Defectos]]</f>
        <v>1</v>
      </c>
      <c r="BO165" s="60"/>
      <c r="BP165" s="12">
        <f>SUM(FT_RF_26[[#This Row],[Hoja (Un.)]:[Larvas Caja]])</f>
        <v>0</v>
      </c>
      <c r="BQ165" s="12">
        <f>SUM(FT_RF_26[[#This Row],[Vidrios]:[Plástico]])</f>
        <v>0</v>
      </c>
      <c r="BR165" s="12" t="str">
        <f>IF(ISBLANK(FT_RF_26[[#This Row],[Descripción del producto]]),"",FT_RF_26[[#This Row],[Descripción del producto]])</f>
        <v/>
      </c>
      <c r="BS165" s="29" t="str">
        <f>IF(ISBLANK(FT_RF_26[[#This Row],[N° de Lote]]),"",FT_RF_26[[#This Row],[N° de Lote]])</f>
        <v/>
      </c>
      <c r="BT165" s="29" t="str">
        <f>IF(ISBLANK(FT_RF_26[[#This Row],[N° de Pallet]]),"",FT_RF_26[[#This Row],[N° de Pallet]])</f>
        <v/>
      </c>
    </row>
    <row r="166" spans="2:72">
      <c r="B166" s="29">
        <f>+_xlfn.ISOWEEKNUM(FT_RF_26[[#This Row],[Fecha]])</f>
        <v>52</v>
      </c>
      <c r="E166" s="31"/>
      <c r="F166" s="12" t="str">
        <f>IFERROR(""&amp;_xlfn.XLOOKUP(FT_RF_26[[#This Row],[Código]],BD_Cod[SKU],BD_Cod[Descripción]),"")</f>
        <v/>
      </c>
      <c r="G166" s="32" t="str">
        <f>IFERROR(""&amp;_xlfn.XLOOKUP(FT_RF_26[[#This Row],[Código]],BD_Cod[SKU],BD_Cod[Familia Calidad]),"")</f>
        <v/>
      </c>
      <c r="J166" s="33">
        <v>1000</v>
      </c>
      <c r="L166" s="30" t="s">
        <v>244</v>
      </c>
      <c r="O166" s="30" t="s">
        <v>894</v>
      </c>
      <c r="P166" s="29" t="s">
        <v>894</v>
      </c>
      <c r="Q166" s="37">
        <f>1-FT_RF_26[[#This Row],[% Defectos]]</f>
        <v>1</v>
      </c>
      <c r="R166" s="38">
        <v>0</v>
      </c>
      <c r="S166" s="39">
        <f>+IFERROR((FT_RF_26[[#This Row],[Inmadura]]/FT_RF_26[[#This Row],[Muestra]]),"0")</f>
        <v>0</v>
      </c>
      <c r="T166" s="38">
        <v>0</v>
      </c>
      <c r="U166" s="39">
        <f>+IFERROR((FT_RF_26[[#This Row],[Partidas]]/FT_RF_26[[#This Row],[Muestra]]),"0")</f>
        <v>0</v>
      </c>
      <c r="V166" s="38">
        <v>0</v>
      </c>
      <c r="W166" s="39">
        <f>+IFERROR((FT_RF_26[[#This Row],[Daño Insecto]]/FT_RF_26[[#This Row],[Muestra]]),"0")</f>
        <v>0</v>
      </c>
      <c r="X166" s="38">
        <v>0</v>
      </c>
      <c r="Y166" s="39">
        <f>+IFERROR((FT_RF_26[[#This Row],[Sobremadura]]/FT_RF_26[[#This Row],[Muestra]]),"0")</f>
        <v>0</v>
      </c>
      <c r="Z166" s="38">
        <v>0</v>
      </c>
      <c r="AA166" s="39">
        <f>+IFERROR((FT_RF_26[[#This Row],[Deforme]]/FT_RF_26[[#This Row],[Muestra]]),"0")</f>
        <v>0</v>
      </c>
      <c r="AB166" s="27"/>
      <c r="AC166" s="38">
        <v>0</v>
      </c>
      <c r="AD166" s="39">
        <f>+IFERROR((FT_RF_26[[#This Row],[Valor Extra 1]]/FT_RF_26[[#This Row],[Muestra]]),"0")</f>
        <v>0</v>
      </c>
      <c r="AF166" s="38">
        <v>0</v>
      </c>
      <c r="AG166" s="39">
        <f>+IFERROR((FT_RF_26[[#This Row],[Valor Extra 2]]/FT_RF_26[[#This Row],[Muestra]]),"0")</f>
        <v>0</v>
      </c>
      <c r="AH166" s="40">
        <v>0</v>
      </c>
      <c r="AI166" s="39">
        <f>+IFERROR((FT_RF_26[[#This Row],[Hongos]]/FT_RF_26[[#This Row],[Muestra]]),"0")</f>
        <v>0</v>
      </c>
      <c r="AJ166" s="38">
        <v>0</v>
      </c>
      <c r="AK166" s="39">
        <f>+IFERROR((FT_RF_26[[#This Row],[Block]]/FT_RF_26[[#This Row],[Muestra]]),"0")</f>
        <v>0</v>
      </c>
      <c r="AL166" s="41">
        <v>0</v>
      </c>
      <c r="AM166" s="42">
        <v>0</v>
      </c>
      <c r="AN166" s="38">
        <v>0</v>
      </c>
      <c r="AO166" s="39">
        <f>+IFERROR((FT_RF_26[[#This Row],[Fuera de calibre &lt;12mm]]/FT_RF_26[[#This Row],[Muestra]]),"0")</f>
        <v>0</v>
      </c>
      <c r="AP166" s="38">
        <v>0</v>
      </c>
      <c r="AQ166" s="39">
        <f>+IFERROR((FT_RF_26[[#This Row],[Calibre &lt;25]]/FT_RF_26[[#This Row],[Muestra]]),"0")</f>
        <v>0</v>
      </c>
      <c r="AR166" s="38">
        <v>0</v>
      </c>
      <c r="AS166" s="39">
        <f>+IFERROR((FT_RF_26[[#This Row],[Calibre &gt;12]]/FT_RF_26[[#This Row],[Muestra]]),"0")</f>
        <v>0</v>
      </c>
      <c r="AT166" s="38">
        <v>0</v>
      </c>
      <c r="AU166" s="39">
        <f>+IFERROR((FT_RF_26[[#This Row],[Calibre &lt;14]]/FT_RF_26[[#This Row],[Muestra]]),"0")</f>
        <v>0</v>
      </c>
      <c r="AV166" s="38">
        <v>0</v>
      </c>
      <c r="AW166" s="39">
        <f>+IFERROR((FT_RF_26[[#This Row],[Calibre &gt;14]]/FT_RF_26[[#This Row],[Muestra]]),"0")</f>
        <v>0</v>
      </c>
      <c r="AX166" s="38">
        <v>0</v>
      </c>
      <c r="AY166" s="39">
        <f>+IFERROR((FT_RF_26[[#This Row],[Calibre &lt;10]]/FT_RF_26[[#This Row],[Muestra]]),"0")</f>
        <v>0</v>
      </c>
      <c r="AZ166" s="38">
        <v>0</v>
      </c>
      <c r="BA166" s="39">
        <f>+IFERROR((FT_RF_26[[#This Row],[Calibre &gt;13]]/FT_RF_26[[#This Row],[Muestra]]),"0")</f>
        <v>0</v>
      </c>
      <c r="BB166" s="41"/>
      <c r="BG166" s="42"/>
      <c r="BH166" s="43">
        <v>0</v>
      </c>
      <c r="BI166" s="29" t="s">
        <v>894</v>
      </c>
      <c r="BJ166" s="29" t="s">
        <v>894</v>
      </c>
      <c r="BK16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6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66" s="45">
        <f>1-FT_RF_26[[#This Row],[% Defectos]]</f>
        <v>1</v>
      </c>
      <c r="BO166" s="60"/>
      <c r="BP166" s="12">
        <f>SUM(FT_RF_26[[#This Row],[Hoja (Un.)]:[Larvas Caja]])</f>
        <v>0</v>
      </c>
      <c r="BQ166" s="12">
        <f>SUM(FT_RF_26[[#This Row],[Vidrios]:[Plástico]])</f>
        <v>0</v>
      </c>
      <c r="BR166" s="12" t="str">
        <f>IF(ISBLANK(FT_RF_26[[#This Row],[Descripción del producto]]),"",FT_RF_26[[#This Row],[Descripción del producto]])</f>
        <v/>
      </c>
      <c r="BS166" s="29" t="str">
        <f>IF(ISBLANK(FT_RF_26[[#This Row],[N° de Lote]]),"",FT_RF_26[[#This Row],[N° de Lote]])</f>
        <v/>
      </c>
      <c r="BT166" s="29" t="str">
        <f>IF(ISBLANK(FT_RF_26[[#This Row],[N° de Pallet]]),"",FT_RF_26[[#This Row],[N° de Pallet]])</f>
        <v/>
      </c>
    </row>
    <row r="167" spans="2:72">
      <c r="B167" s="29">
        <f>+_xlfn.ISOWEEKNUM(FT_RF_26[[#This Row],[Fecha]])</f>
        <v>52</v>
      </c>
      <c r="E167" s="31"/>
      <c r="F167" s="12" t="str">
        <f>IFERROR(""&amp;_xlfn.XLOOKUP(FT_RF_26[[#This Row],[Código]],BD_Cod[SKU],BD_Cod[Descripción]),"")</f>
        <v/>
      </c>
      <c r="G167" s="32" t="str">
        <f>IFERROR(""&amp;_xlfn.XLOOKUP(FT_RF_26[[#This Row],[Código]],BD_Cod[SKU],BD_Cod[Familia Calidad]),"")</f>
        <v/>
      </c>
      <c r="J167" s="33">
        <v>1000</v>
      </c>
      <c r="L167" s="30" t="s">
        <v>244</v>
      </c>
      <c r="O167" s="30" t="s">
        <v>894</v>
      </c>
      <c r="P167" s="29" t="s">
        <v>894</v>
      </c>
      <c r="Q167" s="37">
        <f>1-FT_RF_26[[#This Row],[% Defectos]]</f>
        <v>1</v>
      </c>
      <c r="R167" s="38">
        <v>0</v>
      </c>
      <c r="S167" s="39">
        <f>+IFERROR((FT_RF_26[[#This Row],[Inmadura]]/FT_RF_26[[#This Row],[Muestra]]),"0")</f>
        <v>0</v>
      </c>
      <c r="T167" s="38">
        <v>0</v>
      </c>
      <c r="U167" s="39">
        <f>+IFERROR((FT_RF_26[[#This Row],[Partidas]]/FT_RF_26[[#This Row],[Muestra]]),"0")</f>
        <v>0</v>
      </c>
      <c r="V167" s="38">
        <v>0</v>
      </c>
      <c r="W167" s="39">
        <f>+IFERROR((FT_RF_26[[#This Row],[Daño Insecto]]/FT_RF_26[[#This Row],[Muestra]]),"0")</f>
        <v>0</v>
      </c>
      <c r="X167" s="38">
        <v>0</v>
      </c>
      <c r="Y167" s="39">
        <f>+IFERROR((FT_RF_26[[#This Row],[Sobremadura]]/FT_RF_26[[#This Row],[Muestra]]),"0")</f>
        <v>0</v>
      </c>
      <c r="Z167" s="38">
        <v>0</v>
      </c>
      <c r="AA167" s="39">
        <f>+IFERROR((FT_RF_26[[#This Row],[Deforme]]/FT_RF_26[[#This Row],[Muestra]]),"0")</f>
        <v>0</v>
      </c>
      <c r="AB167" s="27"/>
      <c r="AC167" s="38">
        <v>0</v>
      </c>
      <c r="AD167" s="39">
        <f>+IFERROR((FT_RF_26[[#This Row],[Valor Extra 1]]/FT_RF_26[[#This Row],[Muestra]]),"0")</f>
        <v>0</v>
      </c>
      <c r="AF167" s="38">
        <v>0</v>
      </c>
      <c r="AG167" s="39">
        <f>+IFERROR((FT_RF_26[[#This Row],[Valor Extra 2]]/FT_RF_26[[#This Row],[Muestra]]),"0")</f>
        <v>0</v>
      </c>
      <c r="AH167" s="40">
        <v>0</v>
      </c>
      <c r="AI167" s="39">
        <f>+IFERROR((FT_RF_26[[#This Row],[Hongos]]/FT_RF_26[[#This Row],[Muestra]]),"0")</f>
        <v>0</v>
      </c>
      <c r="AJ167" s="38">
        <v>0</v>
      </c>
      <c r="AK167" s="39">
        <f>+IFERROR((FT_RF_26[[#This Row],[Block]]/FT_RF_26[[#This Row],[Muestra]]),"0")</f>
        <v>0</v>
      </c>
      <c r="AL167" s="41">
        <v>0</v>
      </c>
      <c r="AM167" s="42">
        <v>0</v>
      </c>
      <c r="AN167" s="38">
        <v>0</v>
      </c>
      <c r="AO167" s="39">
        <f>+IFERROR((FT_RF_26[[#This Row],[Fuera de calibre &lt;12mm]]/FT_RF_26[[#This Row],[Muestra]]),"0")</f>
        <v>0</v>
      </c>
      <c r="AP167" s="38">
        <v>0</v>
      </c>
      <c r="AQ167" s="39">
        <f>+IFERROR((FT_RF_26[[#This Row],[Calibre &lt;25]]/FT_RF_26[[#This Row],[Muestra]]),"0")</f>
        <v>0</v>
      </c>
      <c r="AR167" s="38">
        <v>0</v>
      </c>
      <c r="AS167" s="39">
        <f>+IFERROR((FT_RF_26[[#This Row],[Calibre &gt;12]]/FT_RF_26[[#This Row],[Muestra]]),"0")</f>
        <v>0</v>
      </c>
      <c r="AT167" s="38">
        <v>0</v>
      </c>
      <c r="AU167" s="39">
        <f>+IFERROR((FT_RF_26[[#This Row],[Calibre &lt;14]]/FT_RF_26[[#This Row],[Muestra]]),"0")</f>
        <v>0</v>
      </c>
      <c r="AV167" s="38">
        <v>0</v>
      </c>
      <c r="AW167" s="39">
        <f>+IFERROR((FT_RF_26[[#This Row],[Calibre &gt;14]]/FT_RF_26[[#This Row],[Muestra]]),"0")</f>
        <v>0</v>
      </c>
      <c r="AX167" s="38">
        <v>0</v>
      </c>
      <c r="AY167" s="39">
        <f>+IFERROR((FT_RF_26[[#This Row],[Calibre &lt;10]]/FT_RF_26[[#This Row],[Muestra]]),"0")</f>
        <v>0</v>
      </c>
      <c r="AZ167" s="38">
        <v>0</v>
      </c>
      <c r="BA167" s="39">
        <f>+IFERROR((FT_RF_26[[#This Row],[Calibre &gt;13]]/FT_RF_26[[#This Row],[Muestra]]),"0")</f>
        <v>0</v>
      </c>
      <c r="BB167" s="41"/>
      <c r="BG167" s="42"/>
      <c r="BH167" s="43">
        <v>0</v>
      </c>
      <c r="BI167" s="29" t="s">
        <v>894</v>
      </c>
      <c r="BJ167" s="29" t="s">
        <v>894</v>
      </c>
      <c r="BK16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6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67" s="45">
        <f>1-FT_RF_26[[#This Row],[% Defectos]]</f>
        <v>1</v>
      </c>
      <c r="BO167" s="60"/>
      <c r="BP167" s="12">
        <f>SUM(FT_RF_26[[#This Row],[Hoja (Un.)]:[Larvas Caja]])</f>
        <v>0</v>
      </c>
      <c r="BQ167" s="12">
        <f>SUM(FT_RF_26[[#This Row],[Vidrios]:[Plástico]])</f>
        <v>0</v>
      </c>
      <c r="BR167" s="12" t="str">
        <f>IF(ISBLANK(FT_RF_26[[#This Row],[Descripción del producto]]),"",FT_RF_26[[#This Row],[Descripción del producto]])</f>
        <v/>
      </c>
      <c r="BS167" s="29" t="str">
        <f>IF(ISBLANK(FT_RF_26[[#This Row],[N° de Lote]]),"",FT_RF_26[[#This Row],[N° de Lote]])</f>
        <v/>
      </c>
      <c r="BT167" s="29" t="str">
        <f>IF(ISBLANK(FT_RF_26[[#This Row],[N° de Pallet]]),"",FT_RF_26[[#This Row],[N° de Pallet]])</f>
        <v/>
      </c>
    </row>
    <row r="168" spans="2:72">
      <c r="B168" s="29">
        <f>+_xlfn.ISOWEEKNUM(FT_RF_26[[#This Row],[Fecha]])</f>
        <v>52</v>
      </c>
      <c r="E168" s="31"/>
      <c r="F168" s="12" t="str">
        <f>IFERROR(""&amp;_xlfn.XLOOKUP(FT_RF_26[[#This Row],[Código]],BD_Cod[SKU],BD_Cod[Descripción]),"")</f>
        <v/>
      </c>
      <c r="G168" s="32" t="str">
        <f>IFERROR(""&amp;_xlfn.XLOOKUP(FT_RF_26[[#This Row],[Código]],BD_Cod[SKU],BD_Cod[Familia Calidad]),"")</f>
        <v/>
      </c>
      <c r="J168" s="33">
        <v>1000</v>
      </c>
      <c r="L168" s="30" t="s">
        <v>244</v>
      </c>
      <c r="O168" s="30" t="s">
        <v>894</v>
      </c>
      <c r="P168" s="29" t="s">
        <v>894</v>
      </c>
      <c r="Q168" s="37">
        <f>1-FT_RF_26[[#This Row],[% Defectos]]</f>
        <v>1</v>
      </c>
      <c r="R168" s="38">
        <v>0</v>
      </c>
      <c r="S168" s="39">
        <f>+IFERROR((FT_RF_26[[#This Row],[Inmadura]]/FT_RF_26[[#This Row],[Muestra]]),"0")</f>
        <v>0</v>
      </c>
      <c r="T168" s="38">
        <v>0</v>
      </c>
      <c r="U168" s="39">
        <f>+IFERROR((FT_RF_26[[#This Row],[Partidas]]/FT_RF_26[[#This Row],[Muestra]]),"0")</f>
        <v>0</v>
      </c>
      <c r="V168" s="38">
        <v>0</v>
      </c>
      <c r="W168" s="39">
        <f>+IFERROR((FT_RF_26[[#This Row],[Daño Insecto]]/FT_RF_26[[#This Row],[Muestra]]),"0")</f>
        <v>0</v>
      </c>
      <c r="X168" s="38">
        <v>0</v>
      </c>
      <c r="Y168" s="39">
        <f>+IFERROR((FT_RF_26[[#This Row],[Sobremadura]]/FT_RF_26[[#This Row],[Muestra]]),"0")</f>
        <v>0</v>
      </c>
      <c r="Z168" s="38">
        <v>0</v>
      </c>
      <c r="AA168" s="39">
        <f>+IFERROR((FT_RF_26[[#This Row],[Deforme]]/FT_RF_26[[#This Row],[Muestra]]),"0")</f>
        <v>0</v>
      </c>
      <c r="AB168" s="27"/>
      <c r="AC168" s="38">
        <v>0</v>
      </c>
      <c r="AD168" s="39">
        <f>+IFERROR((FT_RF_26[[#This Row],[Valor Extra 1]]/FT_RF_26[[#This Row],[Muestra]]),"0")</f>
        <v>0</v>
      </c>
      <c r="AF168" s="38">
        <v>0</v>
      </c>
      <c r="AG168" s="39">
        <f>+IFERROR((FT_RF_26[[#This Row],[Valor Extra 2]]/FT_RF_26[[#This Row],[Muestra]]),"0")</f>
        <v>0</v>
      </c>
      <c r="AH168" s="40">
        <v>0</v>
      </c>
      <c r="AI168" s="39">
        <f>+IFERROR((FT_RF_26[[#This Row],[Hongos]]/FT_RF_26[[#This Row],[Muestra]]),"0")</f>
        <v>0</v>
      </c>
      <c r="AJ168" s="38">
        <v>0</v>
      </c>
      <c r="AK168" s="39">
        <f>+IFERROR((FT_RF_26[[#This Row],[Block]]/FT_RF_26[[#This Row],[Muestra]]),"0")</f>
        <v>0</v>
      </c>
      <c r="AL168" s="41">
        <v>0</v>
      </c>
      <c r="AM168" s="42">
        <v>0</v>
      </c>
      <c r="AN168" s="38">
        <v>0</v>
      </c>
      <c r="AO168" s="39">
        <f>+IFERROR((FT_RF_26[[#This Row],[Fuera de calibre &lt;12mm]]/FT_RF_26[[#This Row],[Muestra]]),"0")</f>
        <v>0</v>
      </c>
      <c r="AP168" s="38">
        <v>0</v>
      </c>
      <c r="AQ168" s="39">
        <f>+IFERROR((FT_RF_26[[#This Row],[Calibre &lt;25]]/FT_RF_26[[#This Row],[Muestra]]),"0")</f>
        <v>0</v>
      </c>
      <c r="AR168" s="38">
        <v>0</v>
      </c>
      <c r="AS168" s="39">
        <f>+IFERROR((FT_RF_26[[#This Row],[Calibre &gt;12]]/FT_RF_26[[#This Row],[Muestra]]),"0")</f>
        <v>0</v>
      </c>
      <c r="AT168" s="38">
        <v>0</v>
      </c>
      <c r="AU168" s="39">
        <f>+IFERROR((FT_RF_26[[#This Row],[Calibre &lt;14]]/FT_RF_26[[#This Row],[Muestra]]),"0")</f>
        <v>0</v>
      </c>
      <c r="AV168" s="38">
        <v>0</v>
      </c>
      <c r="AW168" s="39">
        <f>+IFERROR((FT_RF_26[[#This Row],[Calibre &gt;14]]/FT_RF_26[[#This Row],[Muestra]]),"0")</f>
        <v>0</v>
      </c>
      <c r="AX168" s="38">
        <v>0</v>
      </c>
      <c r="AY168" s="39">
        <f>+IFERROR((FT_RF_26[[#This Row],[Calibre &lt;10]]/FT_RF_26[[#This Row],[Muestra]]),"0")</f>
        <v>0</v>
      </c>
      <c r="AZ168" s="38">
        <v>0</v>
      </c>
      <c r="BA168" s="39">
        <f>+IFERROR((FT_RF_26[[#This Row],[Calibre &gt;13]]/FT_RF_26[[#This Row],[Muestra]]),"0")</f>
        <v>0</v>
      </c>
      <c r="BB168" s="41"/>
      <c r="BG168" s="42"/>
      <c r="BH168" s="43">
        <v>0</v>
      </c>
      <c r="BI168" s="29" t="s">
        <v>894</v>
      </c>
      <c r="BJ168" s="29" t="s">
        <v>894</v>
      </c>
      <c r="BK16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6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68" s="45">
        <f>1-FT_RF_26[[#This Row],[% Defectos]]</f>
        <v>1</v>
      </c>
      <c r="BO168" s="60"/>
      <c r="BP168" s="12">
        <f>SUM(FT_RF_26[[#This Row],[Hoja (Un.)]:[Larvas Caja]])</f>
        <v>0</v>
      </c>
      <c r="BQ168" s="12">
        <f>SUM(FT_RF_26[[#This Row],[Vidrios]:[Plástico]])</f>
        <v>0</v>
      </c>
      <c r="BR168" s="12" t="str">
        <f>IF(ISBLANK(FT_RF_26[[#This Row],[Descripción del producto]]),"",FT_RF_26[[#This Row],[Descripción del producto]])</f>
        <v/>
      </c>
      <c r="BS168" s="29" t="str">
        <f>IF(ISBLANK(FT_RF_26[[#This Row],[N° de Lote]]),"",FT_RF_26[[#This Row],[N° de Lote]])</f>
        <v/>
      </c>
      <c r="BT168" s="29" t="str">
        <f>IF(ISBLANK(FT_RF_26[[#This Row],[N° de Pallet]]),"",FT_RF_26[[#This Row],[N° de Pallet]])</f>
        <v/>
      </c>
    </row>
    <row r="169" spans="2:72">
      <c r="B169" s="29">
        <f>+_xlfn.ISOWEEKNUM(FT_RF_26[[#This Row],[Fecha]])</f>
        <v>52</v>
      </c>
      <c r="E169" s="31"/>
      <c r="F169" s="12" t="str">
        <f>IFERROR(""&amp;_xlfn.XLOOKUP(FT_RF_26[[#This Row],[Código]],BD_Cod[SKU],BD_Cod[Descripción]),"")</f>
        <v/>
      </c>
      <c r="G169" s="32" t="str">
        <f>IFERROR(""&amp;_xlfn.XLOOKUP(FT_RF_26[[#This Row],[Código]],BD_Cod[SKU],BD_Cod[Familia Calidad]),"")</f>
        <v/>
      </c>
      <c r="J169" s="33">
        <v>1000</v>
      </c>
      <c r="L169" s="30" t="s">
        <v>244</v>
      </c>
      <c r="O169" s="30" t="s">
        <v>894</v>
      </c>
      <c r="P169" s="29" t="s">
        <v>894</v>
      </c>
      <c r="Q169" s="37">
        <f>1-FT_RF_26[[#This Row],[% Defectos]]</f>
        <v>1</v>
      </c>
      <c r="R169" s="38">
        <v>0</v>
      </c>
      <c r="S169" s="39">
        <f>+IFERROR((FT_RF_26[[#This Row],[Inmadura]]/FT_RF_26[[#This Row],[Muestra]]),"0")</f>
        <v>0</v>
      </c>
      <c r="T169" s="38">
        <v>0</v>
      </c>
      <c r="U169" s="39">
        <f>+IFERROR((FT_RF_26[[#This Row],[Partidas]]/FT_RF_26[[#This Row],[Muestra]]),"0")</f>
        <v>0</v>
      </c>
      <c r="V169" s="38">
        <v>0</v>
      </c>
      <c r="W169" s="39">
        <f>+IFERROR((FT_RF_26[[#This Row],[Daño Insecto]]/FT_RF_26[[#This Row],[Muestra]]),"0")</f>
        <v>0</v>
      </c>
      <c r="X169" s="38">
        <v>0</v>
      </c>
      <c r="Y169" s="39">
        <f>+IFERROR((FT_RF_26[[#This Row],[Sobremadura]]/FT_RF_26[[#This Row],[Muestra]]),"0")</f>
        <v>0</v>
      </c>
      <c r="Z169" s="38">
        <v>0</v>
      </c>
      <c r="AA169" s="39">
        <f>+IFERROR((FT_RF_26[[#This Row],[Deforme]]/FT_RF_26[[#This Row],[Muestra]]),"0")</f>
        <v>0</v>
      </c>
      <c r="AB169" s="27"/>
      <c r="AC169" s="38">
        <v>0</v>
      </c>
      <c r="AD169" s="39">
        <f>+IFERROR((FT_RF_26[[#This Row],[Valor Extra 1]]/FT_RF_26[[#This Row],[Muestra]]),"0")</f>
        <v>0</v>
      </c>
      <c r="AF169" s="38">
        <v>0</v>
      </c>
      <c r="AG169" s="39">
        <f>+IFERROR((FT_RF_26[[#This Row],[Valor Extra 2]]/FT_RF_26[[#This Row],[Muestra]]),"0")</f>
        <v>0</v>
      </c>
      <c r="AH169" s="40">
        <v>0</v>
      </c>
      <c r="AI169" s="39">
        <f>+IFERROR((FT_RF_26[[#This Row],[Hongos]]/FT_RF_26[[#This Row],[Muestra]]),"0")</f>
        <v>0</v>
      </c>
      <c r="AJ169" s="38">
        <v>0</v>
      </c>
      <c r="AK169" s="39">
        <f>+IFERROR((FT_RF_26[[#This Row],[Block]]/FT_RF_26[[#This Row],[Muestra]]),"0")</f>
        <v>0</v>
      </c>
      <c r="AL169" s="41">
        <v>0</v>
      </c>
      <c r="AM169" s="42">
        <v>0</v>
      </c>
      <c r="AN169" s="38">
        <v>0</v>
      </c>
      <c r="AO169" s="39">
        <f>+IFERROR((FT_RF_26[[#This Row],[Fuera de calibre &lt;12mm]]/FT_RF_26[[#This Row],[Muestra]]),"0")</f>
        <v>0</v>
      </c>
      <c r="AP169" s="38">
        <v>0</v>
      </c>
      <c r="AQ169" s="39">
        <f>+IFERROR((FT_RF_26[[#This Row],[Calibre &lt;25]]/FT_RF_26[[#This Row],[Muestra]]),"0")</f>
        <v>0</v>
      </c>
      <c r="AR169" s="38">
        <v>0</v>
      </c>
      <c r="AS169" s="39">
        <f>+IFERROR((FT_RF_26[[#This Row],[Calibre &gt;12]]/FT_RF_26[[#This Row],[Muestra]]),"0")</f>
        <v>0</v>
      </c>
      <c r="AT169" s="38">
        <v>0</v>
      </c>
      <c r="AU169" s="39">
        <f>+IFERROR((FT_RF_26[[#This Row],[Calibre &lt;14]]/FT_RF_26[[#This Row],[Muestra]]),"0")</f>
        <v>0</v>
      </c>
      <c r="AV169" s="38">
        <v>0</v>
      </c>
      <c r="AW169" s="39">
        <f>+IFERROR((FT_RF_26[[#This Row],[Calibre &gt;14]]/FT_RF_26[[#This Row],[Muestra]]),"0")</f>
        <v>0</v>
      </c>
      <c r="AX169" s="38">
        <v>0</v>
      </c>
      <c r="AY169" s="39">
        <f>+IFERROR((FT_RF_26[[#This Row],[Calibre &lt;10]]/FT_RF_26[[#This Row],[Muestra]]),"0")</f>
        <v>0</v>
      </c>
      <c r="AZ169" s="38">
        <v>0</v>
      </c>
      <c r="BA169" s="39">
        <f>+IFERROR((FT_RF_26[[#This Row],[Calibre &gt;13]]/FT_RF_26[[#This Row],[Muestra]]),"0")</f>
        <v>0</v>
      </c>
      <c r="BB169" s="41"/>
      <c r="BG169" s="42"/>
      <c r="BH169" s="43">
        <v>0</v>
      </c>
      <c r="BI169" s="29" t="s">
        <v>894</v>
      </c>
      <c r="BJ169" s="29" t="s">
        <v>894</v>
      </c>
      <c r="BK16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6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69" s="45">
        <f>1-FT_RF_26[[#This Row],[% Defectos]]</f>
        <v>1</v>
      </c>
      <c r="BO169" s="60"/>
      <c r="BP169" s="12">
        <f>SUM(FT_RF_26[[#This Row],[Hoja (Un.)]:[Larvas Caja]])</f>
        <v>0</v>
      </c>
      <c r="BQ169" s="12">
        <f>SUM(FT_RF_26[[#This Row],[Vidrios]:[Plástico]])</f>
        <v>0</v>
      </c>
      <c r="BR169" s="12" t="str">
        <f>IF(ISBLANK(FT_RF_26[[#This Row],[Descripción del producto]]),"",FT_RF_26[[#This Row],[Descripción del producto]])</f>
        <v/>
      </c>
      <c r="BS169" s="29" t="str">
        <f>IF(ISBLANK(FT_RF_26[[#This Row],[N° de Lote]]),"",FT_RF_26[[#This Row],[N° de Lote]])</f>
        <v/>
      </c>
      <c r="BT169" s="29" t="str">
        <f>IF(ISBLANK(FT_RF_26[[#This Row],[N° de Pallet]]),"",FT_RF_26[[#This Row],[N° de Pallet]])</f>
        <v/>
      </c>
    </row>
    <row r="170" spans="2:72">
      <c r="B170" s="29">
        <f>+_xlfn.ISOWEEKNUM(FT_RF_26[[#This Row],[Fecha]])</f>
        <v>52</v>
      </c>
      <c r="E170" s="31"/>
      <c r="F170" s="12" t="str">
        <f>IFERROR(""&amp;_xlfn.XLOOKUP(FT_RF_26[[#This Row],[Código]],BD_Cod[SKU],BD_Cod[Descripción]),"")</f>
        <v/>
      </c>
      <c r="G170" s="32" t="str">
        <f>IFERROR(""&amp;_xlfn.XLOOKUP(FT_RF_26[[#This Row],[Código]],BD_Cod[SKU],BD_Cod[Familia Calidad]),"")</f>
        <v/>
      </c>
      <c r="J170" s="33">
        <v>1000</v>
      </c>
      <c r="L170" s="30" t="s">
        <v>244</v>
      </c>
      <c r="O170" s="30" t="s">
        <v>894</v>
      </c>
      <c r="P170" s="29" t="s">
        <v>894</v>
      </c>
      <c r="Q170" s="37">
        <f>1-FT_RF_26[[#This Row],[% Defectos]]</f>
        <v>1</v>
      </c>
      <c r="R170" s="38">
        <v>0</v>
      </c>
      <c r="S170" s="39">
        <f>+IFERROR((FT_RF_26[[#This Row],[Inmadura]]/FT_RF_26[[#This Row],[Muestra]]),"0")</f>
        <v>0</v>
      </c>
      <c r="T170" s="38">
        <v>0</v>
      </c>
      <c r="U170" s="39">
        <f>+IFERROR((FT_RF_26[[#This Row],[Partidas]]/FT_RF_26[[#This Row],[Muestra]]),"0")</f>
        <v>0</v>
      </c>
      <c r="V170" s="38">
        <v>0</v>
      </c>
      <c r="W170" s="39">
        <f>+IFERROR((FT_RF_26[[#This Row],[Daño Insecto]]/FT_RF_26[[#This Row],[Muestra]]),"0")</f>
        <v>0</v>
      </c>
      <c r="X170" s="38">
        <v>0</v>
      </c>
      <c r="Y170" s="39">
        <f>+IFERROR((FT_RF_26[[#This Row],[Sobremadura]]/FT_RF_26[[#This Row],[Muestra]]),"0")</f>
        <v>0</v>
      </c>
      <c r="Z170" s="38">
        <v>0</v>
      </c>
      <c r="AA170" s="39">
        <f>+IFERROR((FT_RF_26[[#This Row],[Deforme]]/FT_RF_26[[#This Row],[Muestra]]),"0")</f>
        <v>0</v>
      </c>
      <c r="AB170" s="27"/>
      <c r="AC170" s="38">
        <v>0</v>
      </c>
      <c r="AD170" s="39">
        <f>+IFERROR((FT_RF_26[[#This Row],[Valor Extra 1]]/FT_RF_26[[#This Row],[Muestra]]),"0")</f>
        <v>0</v>
      </c>
      <c r="AF170" s="38">
        <v>0</v>
      </c>
      <c r="AG170" s="39">
        <f>+IFERROR((FT_RF_26[[#This Row],[Valor Extra 2]]/FT_RF_26[[#This Row],[Muestra]]),"0")</f>
        <v>0</v>
      </c>
      <c r="AH170" s="40">
        <v>0</v>
      </c>
      <c r="AI170" s="39">
        <f>+IFERROR((FT_RF_26[[#This Row],[Hongos]]/FT_RF_26[[#This Row],[Muestra]]),"0")</f>
        <v>0</v>
      </c>
      <c r="AJ170" s="38">
        <v>0</v>
      </c>
      <c r="AK170" s="39">
        <f>+IFERROR((FT_RF_26[[#This Row],[Block]]/FT_RF_26[[#This Row],[Muestra]]),"0")</f>
        <v>0</v>
      </c>
      <c r="AL170" s="41">
        <v>0</v>
      </c>
      <c r="AM170" s="42">
        <v>0</v>
      </c>
      <c r="AN170" s="38">
        <v>0</v>
      </c>
      <c r="AO170" s="39">
        <f>+IFERROR((FT_RF_26[[#This Row],[Fuera de calibre &lt;12mm]]/FT_RF_26[[#This Row],[Muestra]]),"0")</f>
        <v>0</v>
      </c>
      <c r="AP170" s="38">
        <v>0</v>
      </c>
      <c r="AQ170" s="39">
        <f>+IFERROR((FT_RF_26[[#This Row],[Calibre &lt;25]]/FT_RF_26[[#This Row],[Muestra]]),"0")</f>
        <v>0</v>
      </c>
      <c r="AR170" s="38">
        <v>0</v>
      </c>
      <c r="AS170" s="39">
        <f>+IFERROR((FT_RF_26[[#This Row],[Calibre &gt;12]]/FT_RF_26[[#This Row],[Muestra]]),"0")</f>
        <v>0</v>
      </c>
      <c r="AT170" s="38">
        <v>0</v>
      </c>
      <c r="AU170" s="39">
        <f>+IFERROR((FT_RF_26[[#This Row],[Calibre &lt;14]]/FT_RF_26[[#This Row],[Muestra]]),"0")</f>
        <v>0</v>
      </c>
      <c r="AV170" s="38">
        <v>0</v>
      </c>
      <c r="AW170" s="39">
        <f>+IFERROR((FT_RF_26[[#This Row],[Calibre &gt;14]]/FT_RF_26[[#This Row],[Muestra]]),"0")</f>
        <v>0</v>
      </c>
      <c r="AX170" s="38">
        <v>0</v>
      </c>
      <c r="AY170" s="39">
        <f>+IFERROR((FT_RF_26[[#This Row],[Calibre &lt;10]]/FT_RF_26[[#This Row],[Muestra]]),"0")</f>
        <v>0</v>
      </c>
      <c r="AZ170" s="38">
        <v>0</v>
      </c>
      <c r="BA170" s="39">
        <f>+IFERROR((FT_RF_26[[#This Row],[Calibre &gt;13]]/FT_RF_26[[#This Row],[Muestra]]),"0")</f>
        <v>0</v>
      </c>
      <c r="BB170" s="41"/>
      <c r="BG170" s="42"/>
      <c r="BH170" s="43">
        <v>0</v>
      </c>
      <c r="BI170" s="29" t="s">
        <v>894</v>
      </c>
      <c r="BJ170" s="29" t="s">
        <v>894</v>
      </c>
      <c r="BK17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7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70" s="45">
        <f>1-FT_RF_26[[#This Row],[% Defectos]]</f>
        <v>1</v>
      </c>
      <c r="BO170" s="60"/>
      <c r="BP170" s="12">
        <f>SUM(FT_RF_26[[#This Row],[Hoja (Un.)]:[Larvas Caja]])</f>
        <v>0</v>
      </c>
      <c r="BQ170" s="12">
        <f>SUM(FT_RF_26[[#This Row],[Vidrios]:[Plástico]])</f>
        <v>0</v>
      </c>
      <c r="BR170" s="12" t="str">
        <f>IF(ISBLANK(FT_RF_26[[#This Row],[Descripción del producto]]),"",FT_RF_26[[#This Row],[Descripción del producto]])</f>
        <v/>
      </c>
      <c r="BS170" s="29" t="str">
        <f>IF(ISBLANK(FT_RF_26[[#This Row],[N° de Lote]]),"",FT_RF_26[[#This Row],[N° de Lote]])</f>
        <v/>
      </c>
      <c r="BT170" s="29" t="str">
        <f>IF(ISBLANK(FT_RF_26[[#This Row],[N° de Pallet]]),"",FT_RF_26[[#This Row],[N° de Pallet]])</f>
        <v/>
      </c>
    </row>
    <row r="171" spans="2:72">
      <c r="B171" s="29">
        <f>+_xlfn.ISOWEEKNUM(FT_RF_26[[#This Row],[Fecha]])</f>
        <v>52</v>
      </c>
      <c r="E171" s="31"/>
      <c r="F171" s="12" t="str">
        <f>IFERROR(""&amp;_xlfn.XLOOKUP(FT_RF_26[[#This Row],[Código]],BD_Cod[SKU],BD_Cod[Descripción]),"")</f>
        <v/>
      </c>
      <c r="G171" s="32" t="str">
        <f>IFERROR(""&amp;_xlfn.XLOOKUP(FT_RF_26[[#This Row],[Código]],BD_Cod[SKU],BD_Cod[Familia Calidad]),"")</f>
        <v/>
      </c>
      <c r="J171" s="33">
        <v>1000</v>
      </c>
      <c r="L171" s="30" t="s">
        <v>244</v>
      </c>
      <c r="O171" s="30" t="s">
        <v>894</v>
      </c>
      <c r="P171" s="29" t="s">
        <v>894</v>
      </c>
      <c r="Q171" s="37">
        <f>1-FT_RF_26[[#This Row],[% Defectos]]</f>
        <v>1</v>
      </c>
      <c r="R171" s="38">
        <v>0</v>
      </c>
      <c r="S171" s="39">
        <f>+IFERROR((FT_RF_26[[#This Row],[Inmadura]]/FT_RF_26[[#This Row],[Muestra]]),"0")</f>
        <v>0</v>
      </c>
      <c r="T171" s="38">
        <v>0</v>
      </c>
      <c r="U171" s="39">
        <f>+IFERROR((FT_RF_26[[#This Row],[Partidas]]/FT_RF_26[[#This Row],[Muestra]]),"0")</f>
        <v>0</v>
      </c>
      <c r="V171" s="38">
        <v>0</v>
      </c>
      <c r="W171" s="39">
        <f>+IFERROR((FT_RF_26[[#This Row],[Daño Insecto]]/FT_RF_26[[#This Row],[Muestra]]),"0")</f>
        <v>0</v>
      </c>
      <c r="X171" s="38">
        <v>0</v>
      </c>
      <c r="Y171" s="39">
        <f>+IFERROR((FT_RF_26[[#This Row],[Sobremadura]]/FT_RF_26[[#This Row],[Muestra]]),"0")</f>
        <v>0</v>
      </c>
      <c r="Z171" s="38">
        <v>0</v>
      </c>
      <c r="AA171" s="39">
        <f>+IFERROR((FT_RF_26[[#This Row],[Deforme]]/FT_RF_26[[#This Row],[Muestra]]),"0")</f>
        <v>0</v>
      </c>
      <c r="AB171" s="27"/>
      <c r="AC171" s="38">
        <v>0</v>
      </c>
      <c r="AD171" s="39">
        <f>+IFERROR((FT_RF_26[[#This Row],[Valor Extra 1]]/FT_RF_26[[#This Row],[Muestra]]),"0")</f>
        <v>0</v>
      </c>
      <c r="AF171" s="38">
        <v>0</v>
      </c>
      <c r="AG171" s="39">
        <f>+IFERROR((FT_RF_26[[#This Row],[Valor Extra 2]]/FT_RF_26[[#This Row],[Muestra]]),"0")</f>
        <v>0</v>
      </c>
      <c r="AH171" s="40">
        <v>0</v>
      </c>
      <c r="AI171" s="39">
        <f>+IFERROR((FT_RF_26[[#This Row],[Hongos]]/FT_RF_26[[#This Row],[Muestra]]),"0")</f>
        <v>0</v>
      </c>
      <c r="AJ171" s="38">
        <v>0</v>
      </c>
      <c r="AK171" s="39">
        <f>+IFERROR((FT_RF_26[[#This Row],[Block]]/FT_RF_26[[#This Row],[Muestra]]),"0")</f>
        <v>0</v>
      </c>
      <c r="AL171" s="41">
        <v>0</v>
      </c>
      <c r="AM171" s="42">
        <v>0</v>
      </c>
      <c r="AN171" s="38">
        <v>0</v>
      </c>
      <c r="AO171" s="39">
        <f>+IFERROR((FT_RF_26[[#This Row],[Fuera de calibre &lt;12mm]]/FT_RF_26[[#This Row],[Muestra]]),"0")</f>
        <v>0</v>
      </c>
      <c r="AP171" s="38">
        <v>0</v>
      </c>
      <c r="AQ171" s="39">
        <f>+IFERROR((FT_RF_26[[#This Row],[Calibre &lt;25]]/FT_RF_26[[#This Row],[Muestra]]),"0")</f>
        <v>0</v>
      </c>
      <c r="AR171" s="38">
        <v>0</v>
      </c>
      <c r="AS171" s="39">
        <f>+IFERROR((FT_RF_26[[#This Row],[Calibre &gt;12]]/FT_RF_26[[#This Row],[Muestra]]),"0")</f>
        <v>0</v>
      </c>
      <c r="AT171" s="38">
        <v>0</v>
      </c>
      <c r="AU171" s="39">
        <f>+IFERROR((FT_RF_26[[#This Row],[Calibre &lt;14]]/FT_RF_26[[#This Row],[Muestra]]),"0")</f>
        <v>0</v>
      </c>
      <c r="AV171" s="38">
        <v>0</v>
      </c>
      <c r="AW171" s="39">
        <f>+IFERROR((FT_RF_26[[#This Row],[Calibre &gt;14]]/FT_RF_26[[#This Row],[Muestra]]),"0")</f>
        <v>0</v>
      </c>
      <c r="AX171" s="38">
        <v>0</v>
      </c>
      <c r="AY171" s="39">
        <f>+IFERROR((FT_RF_26[[#This Row],[Calibre &lt;10]]/FT_RF_26[[#This Row],[Muestra]]),"0")</f>
        <v>0</v>
      </c>
      <c r="AZ171" s="38">
        <v>0</v>
      </c>
      <c r="BA171" s="39">
        <f>+IFERROR((FT_RF_26[[#This Row],[Calibre &gt;13]]/FT_RF_26[[#This Row],[Muestra]]),"0")</f>
        <v>0</v>
      </c>
      <c r="BB171" s="41"/>
      <c r="BG171" s="42"/>
      <c r="BH171" s="43">
        <v>0</v>
      </c>
      <c r="BI171" s="29" t="s">
        <v>894</v>
      </c>
      <c r="BJ171" s="29" t="s">
        <v>894</v>
      </c>
      <c r="BK17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7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71" s="45">
        <f>1-FT_RF_26[[#This Row],[% Defectos]]</f>
        <v>1</v>
      </c>
      <c r="BO171" s="60"/>
      <c r="BP171" s="12">
        <f>SUM(FT_RF_26[[#This Row],[Hoja (Un.)]:[Larvas Caja]])</f>
        <v>0</v>
      </c>
      <c r="BQ171" s="12">
        <f>SUM(FT_RF_26[[#This Row],[Vidrios]:[Plástico]])</f>
        <v>0</v>
      </c>
      <c r="BR171" s="12" t="str">
        <f>IF(ISBLANK(FT_RF_26[[#This Row],[Descripción del producto]]),"",FT_RF_26[[#This Row],[Descripción del producto]])</f>
        <v/>
      </c>
      <c r="BS171" s="29" t="str">
        <f>IF(ISBLANK(FT_RF_26[[#This Row],[N° de Lote]]),"",FT_RF_26[[#This Row],[N° de Lote]])</f>
        <v/>
      </c>
      <c r="BT171" s="29" t="str">
        <f>IF(ISBLANK(FT_RF_26[[#This Row],[N° de Pallet]]),"",FT_RF_26[[#This Row],[N° de Pallet]])</f>
        <v/>
      </c>
    </row>
    <row r="172" spans="2:72">
      <c r="B172" s="29">
        <f>+_xlfn.ISOWEEKNUM(FT_RF_26[[#This Row],[Fecha]])</f>
        <v>52</v>
      </c>
      <c r="E172" s="31"/>
      <c r="F172" s="12" t="str">
        <f>IFERROR(""&amp;_xlfn.XLOOKUP(FT_RF_26[[#This Row],[Código]],BD_Cod[SKU],BD_Cod[Descripción]),"")</f>
        <v/>
      </c>
      <c r="G172" s="32" t="str">
        <f>IFERROR(""&amp;_xlfn.XLOOKUP(FT_RF_26[[#This Row],[Código]],BD_Cod[SKU],BD_Cod[Familia Calidad]),"")</f>
        <v/>
      </c>
      <c r="J172" s="33">
        <v>1000</v>
      </c>
      <c r="L172" s="30" t="s">
        <v>244</v>
      </c>
      <c r="O172" s="30" t="s">
        <v>894</v>
      </c>
      <c r="P172" s="29" t="s">
        <v>894</v>
      </c>
      <c r="Q172" s="37">
        <f>1-FT_RF_26[[#This Row],[% Defectos]]</f>
        <v>1</v>
      </c>
      <c r="R172" s="38">
        <v>0</v>
      </c>
      <c r="S172" s="39">
        <f>+IFERROR((FT_RF_26[[#This Row],[Inmadura]]/FT_RF_26[[#This Row],[Muestra]]),"0")</f>
        <v>0</v>
      </c>
      <c r="T172" s="38">
        <v>0</v>
      </c>
      <c r="U172" s="39">
        <f>+IFERROR((FT_RF_26[[#This Row],[Partidas]]/FT_RF_26[[#This Row],[Muestra]]),"0")</f>
        <v>0</v>
      </c>
      <c r="V172" s="38">
        <v>0</v>
      </c>
      <c r="W172" s="39">
        <f>+IFERROR((FT_RF_26[[#This Row],[Daño Insecto]]/FT_RF_26[[#This Row],[Muestra]]),"0")</f>
        <v>0</v>
      </c>
      <c r="X172" s="38">
        <v>0</v>
      </c>
      <c r="Y172" s="39">
        <f>+IFERROR((FT_RF_26[[#This Row],[Sobremadura]]/FT_RF_26[[#This Row],[Muestra]]),"0")</f>
        <v>0</v>
      </c>
      <c r="Z172" s="38">
        <v>0</v>
      </c>
      <c r="AA172" s="39">
        <f>+IFERROR((FT_RF_26[[#This Row],[Deforme]]/FT_RF_26[[#This Row],[Muestra]]),"0")</f>
        <v>0</v>
      </c>
      <c r="AB172" s="27"/>
      <c r="AC172" s="38">
        <v>0</v>
      </c>
      <c r="AD172" s="39">
        <f>+IFERROR((FT_RF_26[[#This Row],[Valor Extra 1]]/FT_RF_26[[#This Row],[Muestra]]),"0")</f>
        <v>0</v>
      </c>
      <c r="AF172" s="38">
        <v>0</v>
      </c>
      <c r="AG172" s="39">
        <f>+IFERROR((FT_RF_26[[#This Row],[Valor Extra 2]]/FT_RF_26[[#This Row],[Muestra]]),"0")</f>
        <v>0</v>
      </c>
      <c r="AH172" s="40">
        <v>0</v>
      </c>
      <c r="AI172" s="39">
        <f>+IFERROR((FT_RF_26[[#This Row],[Hongos]]/FT_RF_26[[#This Row],[Muestra]]),"0")</f>
        <v>0</v>
      </c>
      <c r="AJ172" s="38">
        <v>0</v>
      </c>
      <c r="AK172" s="39">
        <f>+IFERROR((FT_RF_26[[#This Row],[Block]]/FT_RF_26[[#This Row],[Muestra]]),"0")</f>
        <v>0</v>
      </c>
      <c r="AL172" s="41">
        <v>0</v>
      </c>
      <c r="AM172" s="42">
        <v>0</v>
      </c>
      <c r="AN172" s="38">
        <v>0</v>
      </c>
      <c r="AO172" s="39">
        <f>+IFERROR((FT_RF_26[[#This Row],[Fuera de calibre &lt;12mm]]/FT_RF_26[[#This Row],[Muestra]]),"0")</f>
        <v>0</v>
      </c>
      <c r="AP172" s="38">
        <v>0</v>
      </c>
      <c r="AQ172" s="39">
        <f>+IFERROR((FT_RF_26[[#This Row],[Calibre &lt;25]]/FT_RF_26[[#This Row],[Muestra]]),"0")</f>
        <v>0</v>
      </c>
      <c r="AR172" s="38">
        <v>0</v>
      </c>
      <c r="AS172" s="39">
        <f>+IFERROR((FT_RF_26[[#This Row],[Calibre &gt;12]]/FT_RF_26[[#This Row],[Muestra]]),"0")</f>
        <v>0</v>
      </c>
      <c r="AT172" s="38">
        <v>0</v>
      </c>
      <c r="AU172" s="39">
        <f>+IFERROR((FT_RF_26[[#This Row],[Calibre &lt;14]]/FT_RF_26[[#This Row],[Muestra]]),"0")</f>
        <v>0</v>
      </c>
      <c r="AV172" s="38">
        <v>0</v>
      </c>
      <c r="AW172" s="39">
        <f>+IFERROR((FT_RF_26[[#This Row],[Calibre &gt;14]]/FT_RF_26[[#This Row],[Muestra]]),"0")</f>
        <v>0</v>
      </c>
      <c r="AX172" s="38">
        <v>0</v>
      </c>
      <c r="AY172" s="39">
        <f>+IFERROR((FT_RF_26[[#This Row],[Calibre &lt;10]]/FT_RF_26[[#This Row],[Muestra]]),"0")</f>
        <v>0</v>
      </c>
      <c r="AZ172" s="38">
        <v>0</v>
      </c>
      <c r="BA172" s="39">
        <f>+IFERROR((FT_RF_26[[#This Row],[Calibre &gt;13]]/FT_RF_26[[#This Row],[Muestra]]),"0")</f>
        <v>0</v>
      </c>
      <c r="BB172" s="41"/>
      <c r="BG172" s="42"/>
      <c r="BH172" s="43">
        <v>0</v>
      </c>
      <c r="BI172" s="29" t="s">
        <v>894</v>
      </c>
      <c r="BJ172" s="29" t="s">
        <v>894</v>
      </c>
      <c r="BK17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7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72" s="45">
        <f>1-FT_RF_26[[#This Row],[% Defectos]]</f>
        <v>1</v>
      </c>
      <c r="BO172" s="60"/>
      <c r="BP172" s="12">
        <f>SUM(FT_RF_26[[#This Row],[Hoja (Un.)]:[Larvas Caja]])</f>
        <v>0</v>
      </c>
      <c r="BQ172" s="12">
        <f>SUM(FT_RF_26[[#This Row],[Vidrios]:[Plástico]])</f>
        <v>0</v>
      </c>
      <c r="BR172" s="12" t="str">
        <f>IF(ISBLANK(FT_RF_26[[#This Row],[Descripción del producto]]),"",FT_RF_26[[#This Row],[Descripción del producto]])</f>
        <v/>
      </c>
      <c r="BS172" s="29" t="str">
        <f>IF(ISBLANK(FT_RF_26[[#This Row],[N° de Lote]]),"",FT_RF_26[[#This Row],[N° de Lote]])</f>
        <v/>
      </c>
      <c r="BT172" s="29" t="str">
        <f>IF(ISBLANK(FT_RF_26[[#This Row],[N° de Pallet]]),"",FT_RF_26[[#This Row],[N° de Pallet]])</f>
        <v/>
      </c>
    </row>
    <row r="173" spans="2:72">
      <c r="B173" s="29">
        <f>+_xlfn.ISOWEEKNUM(FT_RF_26[[#This Row],[Fecha]])</f>
        <v>52</v>
      </c>
      <c r="E173" s="31"/>
      <c r="F173" s="12" t="str">
        <f>IFERROR(""&amp;_xlfn.XLOOKUP(FT_RF_26[[#This Row],[Código]],BD_Cod[SKU],BD_Cod[Descripción]),"")</f>
        <v/>
      </c>
      <c r="G173" s="32" t="str">
        <f>IFERROR(""&amp;_xlfn.XLOOKUP(FT_RF_26[[#This Row],[Código]],BD_Cod[SKU],BD_Cod[Familia Calidad]),"")</f>
        <v/>
      </c>
      <c r="J173" s="33">
        <v>1000</v>
      </c>
      <c r="L173" s="30" t="s">
        <v>244</v>
      </c>
      <c r="O173" s="30" t="s">
        <v>894</v>
      </c>
      <c r="P173" s="29" t="s">
        <v>894</v>
      </c>
      <c r="Q173" s="37">
        <f>1-FT_RF_26[[#This Row],[% Defectos]]</f>
        <v>1</v>
      </c>
      <c r="R173" s="38">
        <v>0</v>
      </c>
      <c r="S173" s="39">
        <f>+IFERROR((FT_RF_26[[#This Row],[Inmadura]]/FT_RF_26[[#This Row],[Muestra]]),"0")</f>
        <v>0</v>
      </c>
      <c r="T173" s="38">
        <v>0</v>
      </c>
      <c r="U173" s="39">
        <f>+IFERROR((FT_RF_26[[#This Row],[Partidas]]/FT_RF_26[[#This Row],[Muestra]]),"0")</f>
        <v>0</v>
      </c>
      <c r="V173" s="38">
        <v>0</v>
      </c>
      <c r="W173" s="39">
        <f>+IFERROR((FT_RF_26[[#This Row],[Daño Insecto]]/FT_RF_26[[#This Row],[Muestra]]),"0")</f>
        <v>0</v>
      </c>
      <c r="X173" s="38">
        <v>0</v>
      </c>
      <c r="Y173" s="39">
        <f>+IFERROR((FT_RF_26[[#This Row],[Sobremadura]]/FT_RF_26[[#This Row],[Muestra]]),"0")</f>
        <v>0</v>
      </c>
      <c r="Z173" s="38">
        <v>0</v>
      </c>
      <c r="AA173" s="39">
        <f>+IFERROR((FT_RF_26[[#This Row],[Deforme]]/FT_RF_26[[#This Row],[Muestra]]),"0")</f>
        <v>0</v>
      </c>
      <c r="AB173" s="27"/>
      <c r="AC173" s="38">
        <v>0</v>
      </c>
      <c r="AD173" s="39">
        <f>+IFERROR((FT_RF_26[[#This Row],[Valor Extra 1]]/FT_RF_26[[#This Row],[Muestra]]),"0")</f>
        <v>0</v>
      </c>
      <c r="AF173" s="38">
        <v>0</v>
      </c>
      <c r="AG173" s="39">
        <f>+IFERROR((FT_RF_26[[#This Row],[Valor Extra 2]]/FT_RF_26[[#This Row],[Muestra]]),"0")</f>
        <v>0</v>
      </c>
      <c r="AH173" s="40">
        <v>0</v>
      </c>
      <c r="AI173" s="39">
        <f>+IFERROR((FT_RF_26[[#This Row],[Hongos]]/FT_RF_26[[#This Row],[Muestra]]),"0")</f>
        <v>0</v>
      </c>
      <c r="AJ173" s="38">
        <v>0</v>
      </c>
      <c r="AK173" s="39">
        <f>+IFERROR((FT_RF_26[[#This Row],[Block]]/FT_RF_26[[#This Row],[Muestra]]),"0")</f>
        <v>0</v>
      </c>
      <c r="AL173" s="41">
        <v>0</v>
      </c>
      <c r="AM173" s="42">
        <v>0</v>
      </c>
      <c r="AN173" s="38">
        <v>0</v>
      </c>
      <c r="AO173" s="39">
        <f>+IFERROR((FT_RF_26[[#This Row],[Fuera de calibre &lt;12mm]]/FT_RF_26[[#This Row],[Muestra]]),"0")</f>
        <v>0</v>
      </c>
      <c r="AP173" s="38">
        <v>0</v>
      </c>
      <c r="AQ173" s="39">
        <f>+IFERROR((FT_RF_26[[#This Row],[Calibre &lt;25]]/FT_RF_26[[#This Row],[Muestra]]),"0")</f>
        <v>0</v>
      </c>
      <c r="AR173" s="38">
        <v>0</v>
      </c>
      <c r="AS173" s="39">
        <f>+IFERROR((FT_RF_26[[#This Row],[Calibre &gt;12]]/FT_RF_26[[#This Row],[Muestra]]),"0")</f>
        <v>0</v>
      </c>
      <c r="AT173" s="38">
        <v>0</v>
      </c>
      <c r="AU173" s="39">
        <f>+IFERROR((FT_RF_26[[#This Row],[Calibre &lt;14]]/FT_RF_26[[#This Row],[Muestra]]),"0")</f>
        <v>0</v>
      </c>
      <c r="AV173" s="38">
        <v>0</v>
      </c>
      <c r="AW173" s="39">
        <f>+IFERROR((FT_RF_26[[#This Row],[Calibre &gt;14]]/FT_RF_26[[#This Row],[Muestra]]),"0")</f>
        <v>0</v>
      </c>
      <c r="AX173" s="38">
        <v>0</v>
      </c>
      <c r="AY173" s="39">
        <f>+IFERROR((FT_RF_26[[#This Row],[Calibre &lt;10]]/FT_RF_26[[#This Row],[Muestra]]),"0")</f>
        <v>0</v>
      </c>
      <c r="AZ173" s="38">
        <v>0</v>
      </c>
      <c r="BA173" s="39">
        <f>+IFERROR((FT_RF_26[[#This Row],[Calibre &gt;13]]/FT_RF_26[[#This Row],[Muestra]]),"0")</f>
        <v>0</v>
      </c>
      <c r="BB173" s="41"/>
      <c r="BG173" s="42"/>
      <c r="BH173" s="43">
        <v>0</v>
      </c>
      <c r="BI173" s="29" t="s">
        <v>894</v>
      </c>
      <c r="BJ173" s="29" t="s">
        <v>894</v>
      </c>
      <c r="BK17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7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73" s="45">
        <f>1-FT_RF_26[[#This Row],[% Defectos]]</f>
        <v>1</v>
      </c>
      <c r="BO173" s="60"/>
      <c r="BP173" s="12">
        <f>SUM(FT_RF_26[[#This Row],[Hoja (Un.)]:[Larvas Caja]])</f>
        <v>0</v>
      </c>
      <c r="BQ173" s="12">
        <f>SUM(FT_RF_26[[#This Row],[Vidrios]:[Plástico]])</f>
        <v>0</v>
      </c>
      <c r="BR173" s="12" t="str">
        <f>IF(ISBLANK(FT_RF_26[[#This Row],[Descripción del producto]]),"",FT_RF_26[[#This Row],[Descripción del producto]])</f>
        <v/>
      </c>
      <c r="BS173" s="29" t="str">
        <f>IF(ISBLANK(FT_RF_26[[#This Row],[N° de Lote]]),"",FT_RF_26[[#This Row],[N° de Lote]])</f>
        <v/>
      </c>
      <c r="BT173" s="29" t="str">
        <f>IF(ISBLANK(FT_RF_26[[#This Row],[N° de Pallet]]),"",FT_RF_26[[#This Row],[N° de Pallet]])</f>
        <v/>
      </c>
    </row>
    <row r="174" spans="2:72">
      <c r="B174" s="29">
        <f>+_xlfn.ISOWEEKNUM(FT_RF_26[[#This Row],[Fecha]])</f>
        <v>52</v>
      </c>
      <c r="E174" s="31"/>
      <c r="F174" s="12" t="str">
        <f>IFERROR(""&amp;_xlfn.XLOOKUP(FT_RF_26[[#This Row],[Código]],BD_Cod[SKU],BD_Cod[Descripción]),"")</f>
        <v/>
      </c>
      <c r="G174" s="32" t="str">
        <f>IFERROR(""&amp;_xlfn.XLOOKUP(FT_RF_26[[#This Row],[Código]],BD_Cod[SKU],BD_Cod[Familia Calidad]),"")</f>
        <v/>
      </c>
      <c r="J174" s="33">
        <v>1000</v>
      </c>
      <c r="L174" s="30" t="s">
        <v>244</v>
      </c>
      <c r="O174" s="30" t="s">
        <v>894</v>
      </c>
      <c r="P174" s="29" t="s">
        <v>894</v>
      </c>
      <c r="Q174" s="37">
        <f>1-FT_RF_26[[#This Row],[% Defectos]]</f>
        <v>1</v>
      </c>
      <c r="R174" s="38">
        <v>0</v>
      </c>
      <c r="S174" s="39">
        <f>+IFERROR((FT_RF_26[[#This Row],[Inmadura]]/FT_RF_26[[#This Row],[Muestra]]),"0")</f>
        <v>0</v>
      </c>
      <c r="T174" s="38">
        <v>0</v>
      </c>
      <c r="U174" s="39">
        <f>+IFERROR((FT_RF_26[[#This Row],[Partidas]]/FT_RF_26[[#This Row],[Muestra]]),"0")</f>
        <v>0</v>
      </c>
      <c r="V174" s="38">
        <v>0</v>
      </c>
      <c r="W174" s="39">
        <f>+IFERROR((FT_RF_26[[#This Row],[Daño Insecto]]/FT_RF_26[[#This Row],[Muestra]]),"0")</f>
        <v>0</v>
      </c>
      <c r="X174" s="38">
        <v>0</v>
      </c>
      <c r="Y174" s="39">
        <f>+IFERROR((FT_RF_26[[#This Row],[Sobremadura]]/FT_RF_26[[#This Row],[Muestra]]),"0")</f>
        <v>0</v>
      </c>
      <c r="Z174" s="38">
        <v>0</v>
      </c>
      <c r="AA174" s="39">
        <f>+IFERROR((FT_RF_26[[#This Row],[Deforme]]/FT_RF_26[[#This Row],[Muestra]]),"0")</f>
        <v>0</v>
      </c>
      <c r="AB174" s="27"/>
      <c r="AC174" s="38">
        <v>0</v>
      </c>
      <c r="AD174" s="39">
        <f>+IFERROR((FT_RF_26[[#This Row],[Valor Extra 1]]/FT_RF_26[[#This Row],[Muestra]]),"0")</f>
        <v>0</v>
      </c>
      <c r="AF174" s="38">
        <v>0</v>
      </c>
      <c r="AG174" s="39">
        <f>+IFERROR((FT_RF_26[[#This Row],[Valor Extra 2]]/FT_RF_26[[#This Row],[Muestra]]),"0")</f>
        <v>0</v>
      </c>
      <c r="AH174" s="40">
        <v>0</v>
      </c>
      <c r="AI174" s="39">
        <f>+IFERROR((FT_RF_26[[#This Row],[Hongos]]/FT_RF_26[[#This Row],[Muestra]]),"0")</f>
        <v>0</v>
      </c>
      <c r="AJ174" s="38">
        <v>0</v>
      </c>
      <c r="AK174" s="39">
        <f>+IFERROR((FT_RF_26[[#This Row],[Block]]/FT_RF_26[[#This Row],[Muestra]]),"0")</f>
        <v>0</v>
      </c>
      <c r="AL174" s="41">
        <v>0</v>
      </c>
      <c r="AM174" s="42">
        <v>0</v>
      </c>
      <c r="AN174" s="38">
        <v>0</v>
      </c>
      <c r="AO174" s="39">
        <f>+IFERROR((FT_RF_26[[#This Row],[Fuera de calibre &lt;12mm]]/FT_RF_26[[#This Row],[Muestra]]),"0")</f>
        <v>0</v>
      </c>
      <c r="AP174" s="38">
        <v>0</v>
      </c>
      <c r="AQ174" s="39">
        <f>+IFERROR((FT_RF_26[[#This Row],[Calibre &lt;25]]/FT_RF_26[[#This Row],[Muestra]]),"0")</f>
        <v>0</v>
      </c>
      <c r="AR174" s="38">
        <v>0</v>
      </c>
      <c r="AS174" s="39">
        <f>+IFERROR((FT_RF_26[[#This Row],[Calibre &gt;12]]/FT_RF_26[[#This Row],[Muestra]]),"0")</f>
        <v>0</v>
      </c>
      <c r="AT174" s="38">
        <v>0</v>
      </c>
      <c r="AU174" s="39">
        <f>+IFERROR((FT_RF_26[[#This Row],[Calibre &lt;14]]/FT_RF_26[[#This Row],[Muestra]]),"0")</f>
        <v>0</v>
      </c>
      <c r="AV174" s="38">
        <v>0</v>
      </c>
      <c r="AW174" s="39">
        <f>+IFERROR((FT_RF_26[[#This Row],[Calibre &gt;14]]/FT_RF_26[[#This Row],[Muestra]]),"0")</f>
        <v>0</v>
      </c>
      <c r="AX174" s="38">
        <v>0</v>
      </c>
      <c r="AY174" s="39">
        <f>+IFERROR((FT_RF_26[[#This Row],[Calibre &lt;10]]/FT_RF_26[[#This Row],[Muestra]]),"0")</f>
        <v>0</v>
      </c>
      <c r="AZ174" s="38">
        <v>0</v>
      </c>
      <c r="BA174" s="39">
        <f>+IFERROR((FT_RF_26[[#This Row],[Calibre &gt;13]]/FT_RF_26[[#This Row],[Muestra]]),"0")</f>
        <v>0</v>
      </c>
      <c r="BB174" s="41"/>
      <c r="BG174" s="42"/>
      <c r="BH174" s="43">
        <v>0</v>
      </c>
      <c r="BI174" s="29" t="s">
        <v>894</v>
      </c>
      <c r="BJ174" s="29" t="s">
        <v>894</v>
      </c>
      <c r="BK17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7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74" s="45">
        <f>1-FT_RF_26[[#This Row],[% Defectos]]</f>
        <v>1</v>
      </c>
      <c r="BO174" s="60"/>
      <c r="BP174" s="12">
        <f>SUM(FT_RF_26[[#This Row],[Hoja (Un.)]:[Larvas Caja]])</f>
        <v>0</v>
      </c>
      <c r="BQ174" s="12">
        <f>SUM(FT_RF_26[[#This Row],[Vidrios]:[Plástico]])</f>
        <v>0</v>
      </c>
      <c r="BR174" s="12" t="str">
        <f>IF(ISBLANK(FT_RF_26[[#This Row],[Descripción del producto]]),"",FT_RF_26[[#This Row],[Descripción del producto]])</f>
        <v/>
      </c>
      <c r="BS174" s="29" t="str">
        <f>IF(ISBLANK(FT_RF_26[[#This Row],[N° de Lote]]),"",FT_RF_26[[#This Row],[N° de Lote]])</f>
        <v/>
      </c>
      <c r="BT174" s="29" t="str">
        <f>IF(ISBLANK(FT_RF_26[[#This Row],[N° de Pallet]]),"",FT_RF_26[[#This Row],[N° de Pallet]])</f>
        <v/>
      </c>
    </row>
    <row r="175" spans="2:72">
      <c r="B175" s="29">
        <f>+_xlfn.ISOWEEKNUM(FT_RF_26[[#This Row],[Fecha]])</f>
        <v>52</v>
      </c>
      <c r="E175" s="31"/>
      <c r="F175" s="12" t="str">
        <f>IFERROR(""&amp;_xlfn.XLOOKUP(FT_RF_26[[#This Row],[Código]],BD_Cod[SKU],BD_Cod[Descripción]),"")</f>
        <v/>
      </c>
      <c r="G175" s="32" t="str">
        <f>IFERROR(""&amp;_xlfn.XLOOKUP(FT_RF_26[[#This Row],[Código]],BD_Cod[SKU],BD_Cod[Familia Calidad]),"")</f>
        <v/>
      </c>
      <c r="J175" s="33">
        <v>1000</v>
      </c>
      <c r="L175" s="30" t="s">
        <v>244</v>
      </c>
      <c r="O175" s="30" t="s">
        <v>894</v>
      </c>
      <c r="P175" s="29" t="s">
        <v>894</v>
      </c>
      <c r="Q175" s="37">
        <f>1-FT_RF_26[[#This Row],[% Defectos]]</f>
        <v>1</v>
      </c>
      <c r="R175" s="38">
        <v>0</v>
      </c>
      <c r="S175" s="39">
        <f>+IFERROR((FT_RF_26[[#This Row],[Inmadura]]/FT_RF_26[[#This Row],[Muestra]]),"0")</f>
        <v>0</v>
      </c>
      <c r="T175" s="38">
        <v>0</v>
      </c>
      <c r="U175" s="39">
        <f>+IFERROR((FT_RF_26[[#This Row],[Partidas]]/FT_RF_26[[#This Row],[Muestra]]),"0")</f>
        <v>0</v>
      </c>
      <c r="V175" s="38">
        <v>0</v>
      </c>
      <c r="W175" s="39">
        <f>+IFERROR((FT_RF_26[[#This Row],[Daño Insecto]]/FT_RF_26[[#This Row],[Muestra]]),"0")</f>
        <v>0</v>
      </c>
      <c r="X175" s="38">
        <v>0</v>
      </c>
      <c r="Y175" s="39">
        <f>+IFERROR((FT_RF_26[[#This Row],[Sobremadura]]/FT_RF_26[[#This Row],[Muestra]]),"0")</f>
        <v>0</v>
      </c>
      <c r="Z175" s="38">
        <v>0</v>
      </c>
      <c r="AA175" s="39">
        <f>+IFERROR((FT_RF_26[[#This Row],[Deforme]]/FT_RF_26[[#This Row],[Muestra]]),"0")</f>
        <v>0</v>
      </c>
      <c r="AB175" s="27"/>
      <c r="AC175" s="38">
        <v>0</v>
      </c>
      <c r="AD175" s="39">
        <f>+IFERROR((FT_RF_26[[#This Row],[Valor Extra 1]]/FT_RF_26[[#This Row],[Muestra]]),"0")</f>
        <v>0</v>
      </c>
      <c r="AF175" s="38">
        <v>0</v>
      </c>
      <c r="AG175" s="39">
        <f>+IFERROR((FT_RF_26[[#This Row],[Valor Extra 2]]/FT_RF_26[[#This Row],[Muestra]]),"0")</f>
        <v>0</v>
      </c>
      <c r="AH175" s="40">
        <v>0</v>
      </c>
      <c r="AI175" s="39">
        <f>+IFERROR((FT_RF_26[[#This Row],[Hongos]]/FT_RF_26[[#This Row],[Muestra]]),"0")</f>
        <v>0</v>
      </c>
      <c r="AJ175" s="38">
        <v>0</v>
      </c>
      <c r="AK175" s="39">
        <f>+IFERROR((FT_RF_26[[#This Row],[Block]]/FT_RF_26[[#This Row],[Muestra]]),"0")</f>
        <v>0</v>
      </c>
      <c r="AL175" s="41">
        <v>0</v>
      </c>
      <c r="AM175" s="42">
        <v>0</v>
      </c>
      <c r="AN175" s="38">
        <v>0</v>
      </c>
      <c r="AO175" s="39">
        <f>+IFERROR((FT_RF_26[[#This Row],[Fuera de calibre &lt;12mm]]/FT_RF_26[[#This Row],[Muestra]]),"0")</f>
        <v>0</v>
      </c>
      <c r="AP175" s="38">
        <v>0</v>
      </c>
      <c r="AQ175" s="39">
        <f>+IFERROR((FT_RF_26[[#This Row],[Calibre &lt;25]]/FT_RF_26[[#This Row],[Muestra]]),"0")</f>
        <v>0</v>
      </c>
      <c r="AR175" s="38">
        <v>0</v>
      </c>
      <c r="AS175" s="39">
        <f>+IFERROR((FT_RF_26[[#This Row],[Calibre &gt;12]]/FT_RF_26[[#This Row],[Muestra]]),"0")</f>
        <v>0</v>
      </c>
      <c r="AT175" s="38">
        <v>0</v>
      </c>
      <c r="AU175" s="39">
        <f>+IFERROR((FT_RF_26[[#This Row],[Calibre &lt;14]]/FT_RF_26[[#This Row],[Muestra]]),"0")</f>
        <v>0</v>
      </c>
      <c r="AV175" s="38">
        <v>0</v>
      </c>
      <c r="AW175" s="39">
        <f>+IFERROR((FT_RF_26[[#This Row],[Calibre &gt;14]]/FT_RF_26[[#This Row],[Muestra]]),"0")</f>
        <v>0</v>
      </c>
      <c r="AX175" s="38">
        <v>0</v>
      </c>
      <c r="AY175" s="39">
        <f>+IFERROR((FT_RF_26[[#This Row],[Calibre &lt;10]]/FT_RF_26[[#This Row],[Muestra]]),"0")</f>
        <v>0</v>
      </c>
      <c r="AZ175" s="38">
        <v>0</v>
      </c>
      <c r="BA175" s="39">
        <f>+IFERROR((FT_RF_26[[#This Row],[Calibre &gt;13]]/FT_RF_26[[#This Row],[Muestra]]),"0")</f>
        <v>0</v>
      </c>
      <c r="BB175" s="41"/>
      <c r="BG175" s="42"/>
      <c r="BH175" s="43">
        <v>0</v>
      </c>
      <c r="BI175" s="29" t="s">
        <v>894</v>
      </c>
      <c r="BJ175" s="29" t="s">
        <v>894</v>
      </c>
      <c r="BK17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7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75" s="45">
        <f>1-FT_RF_26[[#This Row],[% Defectos]]</f>
        <v>1</v>
      </c>
      <c r="BO175" s="60"/>
      <c r="BP175" s="12">
        <f>SUM(FT_RF_26[[#This Row],[Hoja (Un.)]:[Larvas Caja]])</f>
        <v>0</v>
      </c>
      <c r="BQ175" s="12">
        <f>SUM(FT_RF_26[[#This Row],[Vidrios]:[Plástico]])</f>
        <v>0</v>
      </c>
      <c r="BR175" s="12" t="str">
        <f>IF(ISBLANK(FT_RF_26[[#This Row],[Descripción del producto]]),"",FT_RF_26[[#This Row],[Descripción del producto]])</f>
        <v/>
      </c>
      <c r="BS175" s="29" t="str">
        <f>IF(ISBLANK(FT_RF_26[[#This Row],[N° de Lote]]),"",FT_RF_26[[#This Row],[N° de Lote]])</f>
        <v/>
      </c>
      <c r="BT175" s="29" t="str">
        <f>IF(ISBLANK(FT_RF_26[[#This Row],[N° de Pallet]]),"",FT_RF_26[[#This Row],[N° de Pallet]])</f>
        <v/>
      </c>
    </row>
    <row r="176" spans="2:72">
      <c r="B176" s="29">
        <f>+_xlfn.ISOWEEKNUM(FT_RF_26[[#This Row],[Fecha]])</f>
        <v>52</v>
      </c>
      <c r="E176" s="31"/>
      <c r="F176" s="12" t="str">
        <f>IFERROR(""&amp;_xlfn.XLOOKUP(FT_RF_26[[#This Row],[Código]],BD_Cod[SKU],BD_Cod[Descripción]),"")</f>
        <v/>
      </c>
      <c r="G176" s="32" t="str">
        <f>IFERROR(""&amp;_xlfn.XLOOKUP(FT_RF_26[[#This Row],[Código]],BD_Cod[SKU],BD_Cod[Familia Calidad]),"")</f>
        <v/>
      </c>
      <c r="J176" s="33">
        <v>1000</v>
      </c>
      <c r="L176" s="30" t="s">
        <v>244</v>
      </c>
      <c r="O176" s="30" t="s">
        <v>894</v>
      </c>
      <c r="P176" s="29" t="s">
        <v>894</v>
      </c>
      <c r="Q176" s="37">
        <f>1-FT_RF_26[[#This Row],[% Defectos]]</f>
        <v>1</v>
      </c>
      <c r="R176" s="38">
        <v>0</v>
      </c>
      <c r="S176" s="39">
        <f>+IFERROR((FT_RF_26[[#This Row],[Inmadura]]/FT_RF_26[[#This Row],[Muestra]]),"0")</f>
        <v>0</v>
      </c>
      <c r="T176" s="38">
        <v>0</v>
      </c>
      <c r="U176" s="39">
        <f>+IFERROR((FT_RF_26[[#This Row],[Partidas]]/FT_RF_26[[#This Row],[Muestra]]),"0")</f>
        <v>0</v>
      </c>
      <c r="V176" s="38">
        <v>0</v>
      </c>
      <c r="W176" s="39">
        <f>+IFERROR((FT_RF_26[[#This Row],[Daño Insecto]]/FT_RF_26[[#This Row],[Muestra]]),"0")</f>
        <v>0</v>
      </c>
      <c r="X176" s="38">
        <v>0</v>
      </c>
      <c r="Y176" s="39">
        <f>+IFERROR((FT_RF_26[[#This Row],[Sobremadura]]/FT_RF_26[[#This Row],[Muestra]]),"0")</f>
        <v>0</v>
      </c>
      <c r="Z176" s="38">
        <v>0</v>
      </c>
      <c r="AA176" s="39">
        <f>+IFERROR((FT_RF_26[[#This Row],[Deforme]]/FT_RF_26[[#This Row],[Muestra]]),"0")</f>
        <v>0</v>
      </c>
      <c r="AB176" s="27"/>
      <c r="AC176" s="38">
        <v>0</v>
      </c>
      <c r="AD176" s="39">
        <f>+IFERROR((FT_RF_26[[#This Row],[Valor Extra 1]]/FT_RF_26[[#This Row],[Muestra]]),"0")</f>
        <v>0</v>
      </c>
      <c r="AF176" s="38">
        <v>0</v>
      </c>
      <c r="AG176" s="39">
        <f>+IFERROR((FT_RF_26[[#This Row],[Valor Extra 2]]/FT_RF_26[[#This Row],[Muestra]]),"0")</f>
        <v>0</v>
      </c>
      <c r="AH176" s="40">
        <v>0</v>
      </c>
      <c r="AI176" s="39">
        <f>+IFERROR((FT_RF_26[[#This Row],[Hongos]]/FT_RF_26[[#This Row],[Muestra]]),"0")</f>
        <v>0</v>
      </c>
      <c r="AJ176" s="38">
        <v>0</v>
      </c>
      <c r="AK176" s="39">
        <f>+IFERROR((FT_RF_26[[#This Row],[Block]]/FT_RF_26[[#This Row],[Muestra]]),"0")</f>
        <v>0</v>
      </c>
      <c r="AL176" s="41">
        <v>0</v>
      </c>
      <c r="AM176" s="42">
        <v>0</v>
      </c>
      <c r="AN176" s="38">
        <v>0</v>
      </c>
      <c r="AO176" s="39">
        <f>+IFERROR((FT_RF_26[[#This Row],[Fuera de calibre &lt;12mm]]/FT_RF_26[[#This Row],[Muestra]]),"0")</f>
        <v>0</v>
      </c>
      <c r="AP176" s="38">
        <v>0</v>
      </c>
      <c r="AQ176" s="39">
        <f>+IFERROR((FT_RF_26[[#This Row],[Calibre &lt;25]]/FT_RF_26[[#This Row],[Muestra]]),"0")</f>
        <v>0</v>
      </c>
      <c r="AR176" s="38">
        <v>0</v>
      </c>
      <c r="AS176" s="39">
        <f>+IFERROR((FT_RF_26[[#This Row],[Calibre &gt;12]]/FT_RF_26[[#This Row],[Muestra]]),"0")</f>
        <v>0</v>
      </c>
      <c r="AT176" s="38">
        <v>0</v>
      </c>
      <c r="AU176" s="39">
        <f>+IFERROR((FT_RF_26[[#This Row],[Calibre &lt;14]]/FT_RF_26[[#This Row],[Muestra]]),"0")</f>
        <v>0</v>
      </c>
      <c r="AV176" s="38">
        <v>0</v>
      </c>
      <c r="AW176" s="39">
        <f>+IFERROR((FT_RF_26[[#This Row],[Calibre &gt;14]]/FT_RF_26[[#This Row],[Muestra]]),"0")</f>
        <v>0</v>
      </c>
      <c r="AX176" s="38">
        <v>0</v>
      </c>
      <c r="AY176" s="39">
        <f>+IFERROR((FT_RF_26[[#This Row],[Calibre &lt;10]]/FT_RF_26[[#This Row],[Muestra]]),"0")</f>
        <v>0</v>
      </c>
      <c r="AZ176" s="38">
        <v>0</v>
      </c>
      <c r="BA176" s="39">
        <f>+IFERROR((FT_RF_26[[#This Row],[Calibre &gt;13]]/FT_RF_26[[#This Row],[Muestra]]),"0")</f>
        <v>0</v>
      </c>
      <c r="BB176" s="41"/>
      <c r="BG176" s="42"/>
      <c r="BH176" s="43">
        <v>0</v>
      </c>
      <c r="BI176" s="29" t="s">
        <v>894</v>
      </c>
      <c r="BJ176" s="29" t="s">
        <v>894</v>
      </c>
      <c r="BK17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7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76" s="45">
        <f>1-FT_RF_26[[#This Row],[% Defectos]]</f>
        <v>1</v>
      </c>
      <c r="BO176" s="60"/>
      <c r="BP176" s="12">
        <f>SUM(FT_RF_26[[#This Row],[Hoja (Un.)]:[Larvas Caja]])</f>
        <v>0</v>
      </c>
      <c r="BQ176" s="12">
        <f>SUM(FT_RF_26[[#This Row],[Vidrios]:[Plástico]])</f>
        <v>0</v>
      </c>
      <c r="BR176" s="12" t="str">
        <f>IF(ISBLANK(FT_RF_26[[#This Row],[Descripción del producto]]),"",FT_RF_26[[#This Row],[Descripción del producto]])</f>
        <v/>
      </c>
      <c r="BS176" s="29" t="str">
        <f>IF(ISBLANK(FT_RF_26[[#This Row],[N° de Lote]]),"",FT_RF_26[[#This Row],[N° de Lote]])</f>
        <v/>
      </c>
      <c r="BT176" s="29" t="str">
        <f>IF(ISBLANK(FT_RF_26[[#This Row],[N° de Pallet]]),"",FT_RF_26[[#This Row],[N° de Pallet]])</f>
        <v/>
      </c>
    </row>
    <row r="177" spans="2:72">
      <c r="B177" s="29">
        <f>+_xlfn.ISOWEEKNUM(FT_RF_26[[#This Row],[Fecha]])</f>
        <v>52</v>
      </c>
      <c r="E177" s="31"/>
      <c r="F177" s="12" t="str">
        <f>IFERROR(""&amp;_xlfn.XLOOKUP(FT_RF_26[[#This Row],[Código]],BD_Cod[SKU],BD_Cod[Descripción]),"")</f>
        <v/>
      </c>
      <c r="G177" s="32" t="str">
        <f>IFERROR(""&amp;_xlfn.XLOOKUP(FT_RF_26[[#This Row],[Código]],BD_Cod[SKU],BD_Cod[Familia Calidad]),"")</f>
        <v/>
      </c>
      <c r="J177" s="33">
        <v>1000</v>
      </c>
      <c r="L177" s="30" t="s">
        <v>244</v>
      </c>
      <c r="O177" s="30" t="s">
        <v>894</v>
      </c>
      <c r="P177" s="29" t="s">
        <v>894</v>
      </c>
      <c r="Q177" s="37">
        <f>1-FT_RF_26[[#This Row],[% Defectos]]</f>
        <v>1</v>
      </c>
      <c r="R177" s="38">
        <v>0</v>
      </c>
      <c r="S177" s="39">
        <f>+IFERROR((FT_RF_26[[#This Row],[Inmadura]]/FT_RF_26[[#This Row],[Muestra]]),"0")</f>
        <v>0</v>
      </c>
      <c r="T177" s="38">
        <v>0</v>
      </c>
      <c r="U177" s="39">
        <f>+IFERROR((FT_RF_26[[#This Row],[Partidas]]/FT_RF_26[[#This Row],[Muestra]]),"0")</f>
        <v>0</v>
      </c>
      <c r="V177" s="38">
        <v>0</v>
      </c>
      <c r="W177" s="39">
        <f>+IFERROR((FT_RF_26[[#This Row],[Daño Insecto]]/FT_RF_26[[#This Row],[Muestra]]),"0")</f>
        <v>0</v>
      </c>
      <c r="X177" s="38">
        <v>0</v>
      </c>
      <c r="Y177" s="39">
        <f>+IFERROR((FT_RF_26[[#This Row],[Sobremadura]]/FT_RF_26[[#This Row],[Muestra]]),"0")</f>
        <v>0</v>
      </c>
      <c r="Z177" s="38">
        <v>0</v>
      </c>
      <c r="AA177" s="39">
        <f>+IFERROR((FT_RF_26[[#This Row],[Deforme]]/FT_RF_26[[#This Row],[Muestra]]),"0")</f>
        <v>0</v>
      </c>
      <c r="AB177" s="27"/>
      <c r="AC177" s="38">
        <v>0</v>
      </c>
      <c r="AD177" s="39">
        <f>+IFERROR((FT_RF_26[[#This Row],[Valor Extra 1]]/FT_RF_26[[#This Row],[Muestra]]),"0")</f>
        <v>0</v>
      </c>
      <c r="AF177" s="38">
        <v>0</v>
      </c>
      <c r="AG177" s="39">
        <f>+IFERROR((FT_RF_26[[#This Row],[Valor Extra 2]]/FT_RF_26[[#This Row],[Muestra]]),"0")</f>
        <v>0</v>
      </c>
      <c r="AH177" s="40">
        <v>0</v>
      </c>
      <c r="AI177" s="39">
        <f>+IFERROR((FT_RF_26[[#This Row],[Hongos]]/FT_RF_26[[#This Row],[Muestra]]),"0")</f>
        <v>0</v>
      </c>
      <c r="AJ177" s="38">
        <v>0</v>
      </c>
      <c r="AK177" s="39">
        <f>+IFERROR((FT_RF_26[[#This Row],[Block]]/FT_RF_26[[#This Row],[Muestra]]),"0")</f>
        <v>0</v>
      </c>
      <c r="AL177" s="41">
        <v>0</v>
      </c>
      <c r="AM177" s="42">
        <v>0</v>
      </c>
      <c r="AN177" s="38">
        <v>0</v>
      </c>
      <c r="AO177" s="39">
        <f>+IFERROR((FT_RF_26[[#This Row],[Fuera de calibre &lt;12mm]]/FT_RF_26[[#This Row],[Muestra]]),"0")</f>
        <v>0</v>
      </c>
      <c r="AP177" s="38">
        <v>0</v>
      </c>
      <c r="AQ177" s="39">
        <f>+IFERROR((FT_RF_26[[#This Row],[Calibre &lt;25]]/FT_RF_26[[#This Row],[Muestra]]),"0")</f>
        <v>0</v>
      </c>
      <c r="AR177" s="38">
        <v>0</v>
      </c>
      <c r="AS177" s="39">
        <f>+IFERROR((FT_RF_26[[#This Row],[Calibre &gt;12]]/FT_RF_26[[#This Row],[Muestra]]),"0")</f>
        <v>0</v>
      </c>
      <c r="AT177" s="38">
        <v>0</v>
      </c>
      <c r="AU177" s="39">
        <f>+IFERROR((FT_RF_26[[#This Row],[Calibre &lt;14]]/FT_RF_26[[#This Row],[Muestra]]),"0")</f>
        <v>0</v>
      </c>
      <c r="AV177" s="38">
        <v>0</v>
      </c>
      <c r="AW177" s="39">
        <f>+IFERROR((FT_RF_26[[#This Row],[Calibre &gt;14]]/FT_RF_26[[#This Row],[Muestra]]),"0")</f>
        <v>0</v>
      </c>
      <c r="AX177" s="38">
        <v>0</v>
      </c>
      <c r="AY177" s="39">
        <f>+IFERROR((FT_RF_26[[#This Row],[Calibre &lt;10]]/FT_RF_26[[#This Row],[Muestra]]),"0")</f>
        <v>0</v>
      </c>
      <c r="AZ177" s="38">
        <v>0</v>
      </c>
      <c r="BA177" s="39">
        <f>+IFERROR((FT_RF_26[[#This Row],[Calibre &gt;13]]/FT_RF_26[[#This Row],[Muestra]]),"0")</f>
        <v>0</v>
      </c>
      <c r="BB177" s="41"/>
      <c r="BG177" s="42"/>
      <c r="BH177" s="43">
        <v>0</v>
      </c>
      <c r="BI177" s="29" t="s">
        <v>894</v>
      </c>
      <c r="BJ177" s="29" t="s">
        <v>894</v>
      </c>
      <c r="BK17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7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77" s="45">
        <f>1-FT_RF_26[[#This Row],[% Defectos]]</f>
        <v>1</v>
      </c>
      <c r="BO177" s="60"/>
      <c r="BP177" s="12">
        <f>SUM(FT_RF_26[[#This Row],[Hoja (Un.)]:[Larvas Caja]])</f>
        <v>0</v>
      </c>
      <c r="BQ177" s="12">
        <f>SUM(FT_RF_26[[#This Row],[Vidrios]:[Plástico]])</f>
        <v>0</v>
      </c>
      <c r="BR177" s="12" t="str">
        <f>IF(ISBLANK(FT_RF_26[[#This Row],[Descripción del producto]]),"",FT_RF_26[[#This Row],[Descripción del producto]])</f>
        <v/>
      </c>
      <c r="BS177" s="29" t="str">
        <f>IF(ISBLANK(FT_RF_26[[#This Row],[N° de Lote]]),"",FT_RF_26[[#This Row],[N° de Lote]])</f>
        <v/>
      </c>
      <c r="BT177" s="29" t="str">
        <f>IF(ISBLANK(FT_RF_26[[#This Row],[N° de Pallet]]),"",FT_RF_26[[#This Row],[N° de Pallet]])</f>
        <v/>
      </c>
    </row>
    <row r="178" spans="2:72">
      <c r="B178" s="29">
        <f>+_xlfn.ISOWEEKNUM(FT_RF_26[[#This Row],[Fecha]])</f>
        <v>52</v>
      </c>
      <c r="E178" s="31"/>
      <c r="F178" s="12" t="str">
        <f>IFERROR(""&amp;_xlfn.XLOOKUP(FT_RF_26[[#This Row],[Código]],BD_Cod[SKU],BD_Cod[Descripción]),"")</f>
        <v/>
      </c>
      <c r="G178" s="32" t="str">
        <f>IFERROR(""&amp;_xlfn.XLOOKUP(FT_RF_26[[#This Row],[Código]],BD_Cod[SKU],BD_Cod[Familia Calidad]),"")</f>
        <v/>
      </c>
      <c r="J178" s="33">
        <v>1000</v>
      </c>
      <c r="L178" s="30" t="s">
        <v>244</v>
      </c>
      <c r="O178" s="30" t="s">
        <v>894</v>
      </c>
      <c r="P178" s="29" t="s">
        <v>894</v>
      </c>
      <c r="Q178" s="37">
        <f>1-FT_RF_26[[#This Row],[% Defectos]]</f>
        <v>1</v>
      </c>
      <c r="R178" s="38">
        <v>0</v>
      </c>
      <c r="S178" s="39">
        <f>+IFERROR((FT_RF_26[[#This Row],[Inmadura]]/FT_RF_26[[#This Row],[Muestra]]),"0")</f>
        <v>0</v>
      </c>
      <c r="T178" s="38">
        <v>0</v>
      </c>
      <c r="U178" s="39">
        <f>+IFERROR((FT_RF_26[[#This Row],[Partidas]]/FT_RF_26[[#This Row],[Muestra]]),"0")</f>
        <v>0</v>
      </c>
      <c r="V178" s="38">
        <v>0</v>
      </c>
      <c r="W178" s="39">
        <f>+IFERROR((FT_RF_26[[#This Row],[Daño Insecto]]/FT_RF_26[[#This Row],[Muestra]]),"0")</f>
        <v>0</v>
      </c>
      <c r="X178" s="38">
        <v>0</v>
      </c>
      <c r="Y178" s="39">
        <f>+IFERROR((FT_RF_26[[#This Row],[Sobremadura]]/FT_RF_26[[#This Row],[Muestra]]),"0")</f>
        <v>0</v>
      </c>
      <c r="Z178" s="38">
        <v>0</v>
      </c>
      <c r="AA178" s="39">
        <f>+IFERROR((FT_RF_26[[#This Row],[Deforme]]/FT_RF_26[[#This Row],[Muestra]]),"0")</f>
        <v>0</v>
      </c>
      <c r="AB178" s="27"/>
      <c r="AC178" s="38">
        <v>0</v>
      </c>
      <c r="AD178" s="39">
        <f>+IFERROR((FT_RF_26[[#This Row],[Valor Extra 1]]/FT_RF_26[[#This Row],[Muestra]]),"0")</f>
        <v>0</v>
      </c>
      <c r="AF178" s="38">
        <v>0</v>
      </c>
      <c r="AG178" s="39">
        <f>+IFERROR((FT_RF_26[[#This Row],[Valor Extra 2]]/FT_RF_26[[#This Row],[Muestra]]),"0")</f>
        <v>0</v>
      </c>
      <c r="AH178" s="40">
        <v>0</v>
      </c>
      <c r="AI178" s="39">
        <f>+IFERROR((FT_RF_26[[#This Row],[Hongos]]/FT_RF_26[[#This Row],[Muestra]]),"0")</f>
        <v>0</v>
      </c>
      <c r="AJ178" s="38">
        <v>0</v>
      </c>
      <c r="AK178" s="39">
        <f>+IFERROR((FT_RF_26[[#This Row],[Block]]/FT_RF_26[[#This Row],[Muestra]]),"0")</f>
        <v>0</v>
      </c>
      <c r="AL178" s="41">
        <v>0</v>
      </c>
      <c r="AM178" s="42">
        <v>0</v>
      </c>
      <c r="AN178" s="38">
        <v>0</v>
      </c>
      <c r="AO178" s="39">
        <f>+IFERROR((FT_RF_26[[#This Row],[Fuera de calibre &lt;12mm]]/FT_RF_26[[#This Row],[Muestra]]),"0")</f>
        <v>0</v>
      </c>
      <c r="AP178" s="38">
        <v>0</v>
      </c>
      <c r="AQ178" s="39">
        <f>+IFERROR((FT_RF_26[[#This Row],[Calibre &lt;25]]/FT_RF_26[[#This Row],[Muestra]]),"0")</f>
        <v>0</v>
      </c>
      <c r="AR178" s="38">
        <v>0</v>
      </c>
      <c r="AS178" s="39">
        <f>+IFERROR((FT_RF_26[[#This Row],[Calibre &gt;12]]/FT_RF_26[[#This Row],[Muestra]]),"0")</f>
        <v>0</v>
      </c>
      <c r="AT178" s="38">
        <v>0</v>
      </c>
      <c r="AU178" s="39">
        <f>+IFERROR((FT_RF_26[[#This Row],[Calibre &lt;14]]/FT_RF_26[[#This Row],[Muestra]]),"0")</f>
        <v>0</v>
      </c>
      <c r="AV178" s="38">
        <v>0</v>
      </c>
      <c r="AW178" s="39">
        <f>+IFERROR((FT_RF_26[[#This Row],[Calibre &gt;14]]/FT_RF_26[[#This Row],[Muestra]]),"0")</f>
        <v>0</v>
      </c>
      <c r="AX178" s="38">
        <v>0</v>
      </c>
      <c r="AY178" s="39">
        <f>+IFERROR((FT_RF_26[[#This Row],[Calibre &lt;10]]/FT_RF_26[[#This Row],[Muestra]]),"0")</f>
        <v>0</v>
      </c>
      <c r="AZ178" s="38">
        <v>0</v>
      </c>
      <c r="BA178" s="39">
        <f>+IFERROR((FT_RF_26[[#This Row],[Calibre &gt;13]]/FT_RF_26[[#This Row],[Muestra]]),"0")</f>
        <v>0</v>
      </c>
      <c r="BB178" s="41"/>
      <c r="BG178" s="42"/>
      <c r="BH178" s="43">
        <v>0</v>
      </c>
      <c r="BI178" s="29" t="s">
        <v>894</v>
      </c>
      <c r="BJ178" s="29" t="s">
        <v>894</v>
      </c>
      <c r="BK17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7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78" s="45">
        <f>1-FT_RF_26[[#This Row],[% Defectos]]</f>
        <v>1</v>
      </c>
      <c r="BO178" s="60"/>
      <c r="BP178" s="12">
        <f>SUM(FT_RF_26[[#This Row],[Hoja (Un.)]:[Larvas Caja]])</f>
        <v>0</v>
      </c>
      <c r="BQ178" s="12">
        <f>SUM(FT_RF_26[[#This Row],[Vidrios]:[Plástico]])</f>
        <v>0</v>
      </c>
      <c r="BR178" s="12" t="str">
        <f>IF(ISBLANK(FT_RF_26[[#This Row],[Descripción del producto]]),"",FT_RF_26[[#This Row],[Descripción del producto]])</f>
        <v/>
      </c>
      <c r="BS178" s="29" t="str">
        <f>IF(ISBLANK(FT_RF_26[[#This Row],[N° de Lote]]),"",FT_RF_26[[#This Row],[N° de Lote]])</f>
        <v/>
      </c>
      <c r="BT178" s="29" t="str">
        <f>IF(ISBLANK(FT_RF_26[[#This Row],[N° de Pallet]]),"",FT_RF_26[[#This Row],[N° de Pallet]])</f>
        <v/>
      </c>
    </row>
    <row r="179" spans="2:72">
      <c r="B179" s="29">
        <f>+_xlfn.ISOWEEKNUM(FT_RF_26[[#This Row],[Fecha]])</f>
        <v>52</v>
      </c>
      <c r="E179" s="31"/>
      <c r="F179" s="12" t="str">
        <f>IFERROR(""&amp;_xlfn.XLOOKUP(FT_RF_26[[#This Row],[Código]],BD_Cod[SKU],BD_Cod[Descripción]),"")</f>
        <v/>
      </c>
      <c r="G179" s="32" t="str">
        <f>IFERROR(""&amp;_xlfn.XLOOKUP(FT_RF_26[[#This Row],[Código]],BD_Cod[SKU],BD_Cod[Familia Calidad]),"")</f>
        <v/>
      </c>
      <c r="J179" s="33">
        <v>1000</v>
      </c>
      <c r="L179" s="30" t="s">
        <v>244</v>
      </c>
      <c r="O179" s="30" t="s">
        <v>894</v>
      </c>
      <c r="P179" s="29" t="s">
        <v>894</v>
      </c>
      <c r="Q179" s="37">
        <f>1-FT_RF_26[[#This Row],[% Defectos]]</f>
        <v>1</v>
      </c>
      <c r="R179" s="38">
        <v>0</v>
      </c>
      <c r="S179" s="39">
        <f>+IFERROR((FT_RF_26[[#This Row],[Inmadura]]/FT_RF_26[[#This Row],[Muestra]]),"0")</f>
        <v>0</v>
      </c>
      <c r="T179" s="38">
        <v>0</v>
      </c>
      <c r="U179" s="39">
        <f>+IFERROR((FT_RF_26[[#This Row],[Partidas]]/FT_RF_26[[#This Row],[Muestra]]),"0")</f>
        <v>0</v>
      </c>
      <c r="V179" s="38">
        <v>0</v>
      </c>
      <c r="W179" s="39">
        <f>+IFERROR((FT_RF_26[[#This Row],[Daño Insecto]]/FT_RF_26[[#This Row],[Muestra]]),"0")</f>
        <v>0</v>
      </c>
      <c r="X179" s="38">
        <v>0</v>
      </c>
      <c r="Y179" s="39">
        <f>+IFERROR((FT_RF_26[[#This Row],[Sobremadura]]/FT_RF_26[[#This Row],[Muestra]]),"0")</f>
        <v>0</v>
      </c>
      <c r="Z179" s="38">
        <v>0</v>
      </c>
      <c r="AA179" s="39">
        <f>+IFERROR((FT_RF_26[[#This Row],[Deforme]]/FT_RF_26[[#This Row],[Muestra]]),"0")</f>
        <v>0</v>
      </c>
      <c r="AB179" s="27"/>
      <c r="AC179" s="38">
        <v>0</v>
      </c>
      <c r="AD179" s="39">
        <f>+IFERROR((FT_RF_26[[#This Row],[Valor Extra 1]]/FT_RF_26[[#This Row],[Muestra]]),"0")</f>
        <v>0</v>
      </c>
      <c r="AF179" s="38">
        <v>0</v>
      </c>
      <c r="AG179" s="39">
        <f>+IFERROR((FT_RF_26[[#This Row],[Valor Extra 2]]/FT_RF_26[[#This Row],[Muestra]]),"0")</f>
        <v>0</v>
      </c>
      <c r="AH179" s="40">
        <v>0</v>
      </c>
      <c r="AI179" s="39">
        <f>+IFERROR((FT_RF_26[[#This Row],[Hongos]]/FT_RF_26[[#This Row],[Muestra]]),"0")</f>
        <v>0</v>
      </c>
      <c r="AJ179" s="38">
        <v>0</v>
      </c>
      <c r="AK179" s="39">
        <f>+IFERROR((FT_RF_26[[#This Row],[Block]]/FT_RF_26[[#This Row],[Muestra]]),"0")</f>
        <v>0</v>
      </c>
      <c r="AL179" s="41">
        <v>0</v>
      </c>
      <c r="AM179" s="42">
        <v>0</v>
      </c>
      <c r="AN179" s="38">
        <v>0</v>
      </c>
      <c r="AO179" s="39">
        <f>+IFERROR((FT_RF_26[[#This Row],[Fuera de calibre &lt;12mm]]/FT_RF_26[[#This Row],[Muestra]]),"0")</f>
        <v>0</v>
      </c>
      <c r="AP179" s="38">
        <v>0</v>
      </c>
      <c r="AQ179" s="39">
        <f>+IFERROR((FT_RF_26[[#This Row],[Calibre &lt;25]]/FT_RF_26[[#This Row],[Muestra]]),"0")</f>
        <v>0</v>
      </c>
      <c r="AR179" s="38">
        <v>0</v>
      </c>
      <c r="AS179" s="39">
        <f>+IFERROR((FT_RF_26[[#This Row],[Calibre &gt;12]]/FT_RF_26[[#This Row],[Muestra]]),"0")</f>
        <v>0</v>
      </c>
      <c r="AT179" s="38">
        <v>0</v>
      </c>
      <c r="AU179" s="39">
        <f>+IFERROR((FT_RF_26[[#This Row],[Calibre &lt;14]]/FT_RF_26[[#This Row],[Muestra]]),"0")</f>
        <v>0</v>
      </c>
      <c r="AV179" s="38">
        <v>0</v>
      </c>
      <c r="AW179" s="39">
        <f>+IFERROR((FT_RF_26[[#This Row],[Calibre &gt;14]]/FT_RF_26[[#This Row],[Muestra]]),"0")</f>
        <v>0</v>
      </c>
      <c r="AX179" s="38">
        <v>0</v>
      </c>
      <c r="AY179" s="39">
        <f>+IFERROR((FT_RF_26[[#This Row],[Calibre &lt;10]]/FT_RF_26[[#This Row],[Muestra]]),"0")</f>
        <v>0</v>
      </c>
      <c r="AZ179" s="38">
        <v>0</v>
      </c>
      <c r="BA179" s="39">
        <f>+IFERROR((FT_RF_26[[#This Row],[Calibre &gt;13]]/FT_RF_26[[#This Row],[Muestra]]),"0")</f>
        <v>0</v>
      </c>
      <c r="BB179" s="41"/>
      <c r="BG179" s="42"/>
      <c r="BH179" s="43">
        <v>0</v>
      </c>
      <c r="BI179" s="29" t="s">
        <v>894</v>
      </c>
      <c r="BJ179" s="29" t="s">
        <v>894</v>
      </c>
      <c r="BK17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7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79" s="45">
        <f>1-FT_RF_26[[#This Row],[% Defectos]]</f>
        <v>1</v>
      </c>
      <c r="BO179" s="60"/>
      <c r="BP179" s="12">
        <f>SUM(FT_RF_26[[#This Row],[Hoja (Un.)]:[Larvas Caja]])</f>
        <v>0</v>
      </c>
      <c r="BQ179" s="12">
        <f>SUM(FT_RF_26[[#This Row],[Vidrios]:[Plástico]])</f>
        <v>0</v>
      </c>
      <c r="BR179" s="12" t="str">
        <f>IF(ISBLANK(FT_RF_26[[#This Row],[Descripción del producto]]),"",FT_RF_26[[#This Row],[Descripción del producto]])</f>
        <v/>
      </c>
      <c r="BS179" s="29" t="str">
        <f>IF(ISBLANK(FT_RF_26[[#This Row],[N° de Lote]]),"",FT_RF_26[[#This Row],[N° de Lote]])</f>
        <v/>
      </c>
      <c r="BT179" s="29" t="str">
        <f>IF(ISBLANK(FT_RF_26[[#This Row],[N° de Pallet]]),"",FT_RF_26[[#This Row],[N° de Pallet]])</f>
        <v/>
      </c>
    </row>
    <row r="180" spans="2:72">
      <c r="B180" s="29">
        <f>+_xlfn.ISOWEEKNUM(FT_RF_26[[#This Row],[Fecha]])</f>
        <v>52</v>
      </c>
      <c r="E180" s="31"/>
      <c r="F180" s="12" t="str">
        <f>IFERROR(""&amp;_xlfn.XLOOKUP(FT_RF_26[[#This Row],[Código]],BD_Cod[SKU],BD_Cod[Descripción]),"")</f>
        <v/>
      </c>
      <c r="G180" s="32" t="str">
        <f>IFERROR(""&amp;_xlfn.XLOOKUP(FT_RF_26[[#This Row],[Código]],BD_Cod[SKU],BD_Cod[Familia Calidad]),"")</f>
        <v/>
      </c>
      <c r="J180" s="33">
        <v>1000</v>
      </c>
      <c r="L180" s="30" t="s">
        <v>244</v>
      </c>
      <c r="O180" s="30" t="s">
        <v>894</v>
      </c>
      <c r="P180" s="29" t="s">
        <v>894</v>
      </c>
      <c r="Q180" s="37">
        <f>1-FT_RF_26[[#This Row],[% Defectos]]</f>
        <v>1</v>
      </c>
      <c r="R180" s="38">
        <v>0</v>
      </c>
      <c r="S180" s="39">
        <f>+IFERROR((FT_RF_26[[#This Row],[Inmadura]]/FT_RF_26[[#This Row],[Muestra]]),"0")</f>
        <v>0</v>
      </c>
      <c r="T180" s="38">
        <v>0</v>
      </c>
      <c r="U180" s="39">
        <f>+IFERROR((FT_RF_26[[#This Row],[Partidas]]/FT_RF_26[[#This Row],[Muestra]]),"0")</f>
        <v>0</v>
      </c>
      <c r="V180" s="38">
        <v>0</v>
      </c>
      <c r="W180" s="39">
        <f>+IFERROR((FT_RF_26[[#This Row],[Daño Insecto]]/FT_RF_26[[#This Row],[Muestra]]),"0")</f>
        <v>0</v>
      </c>
      <c r="X180" s="38">
        <v>0</v>
      </c>
      <c r="Y180" s="39">
        <f>+IFERROR((FT_RF_26[[#This Row],[Sobremadura]]/FT_RF_26[[#This Row],[Muestra]]),"0")</f>
        <v>0</v>
      </c>
      <c r="Z180" s="38">
        <v>0</v>
      </c>
      <c r="AA180" s="39">
        <f>+IFERROR((FT_RF_26[[#This Row],[Deforme]]/FT_RF_26[[#This Row],[Muestra]]),"0")</f>
        <v>0</v>
      </c>
      <c r="AB180" s="27"/>
      <c r="AC180" s="38">
        <v>0</v>
      </c>
      <c r="AD180" s="39">
        <f>+IFERROR((FT_RF_26[[#This Row],[Valor Extra 1]]/FT_RF_26[[#This Row],[Muestra]]),"0")</f>
        <v>0</v>
      </c>
      <c r="AF180" s="38">
        <v>0</v>
      </c>
      <c r="AG180" s="39">
        <f>+IFERROR((FT_RF_26[[#This Row],[Valor Extra 2]]/FT_RF_26[[#This Row],[Muestra]]),"0")</f>
        <v>0</v>
      </c>
      <c r="AH180" s="40">
        <v>0</v>
      </c>
      <c r="AI180" s="39">
        <f>+IFERROR((FT_RF_26[[#This Row],[Hongos]]/FT_RF_26[[#This Row],[Muestra]]),"0")</f>
        <v>0</v>
      </c>
      <c r="AJ180" s="38">
        <v>0</v>
      </c>
      <c r="AK180" s="39">
        <f>+IFERROR((FT_RF_26[[#This Row],[Block]]/FT_RF_26[[#This Row],[Muestra]]),"0")</f>
        <v>0</v>
      </c>
      <c r="AL180" s="41">
        <v>0</v>
      </c>
      <c r="AM180" s="42">
        <v>0</v>
      </c>
      <c r="AN180" s="38">
        <v>0</v>
      </c>
      <c r="AO180" s="39">
        <f>+IFERROR((FT_RF_26[[#This Row],[Fuera de calibre &lt;12mm]]/FT_RF_26[[#This Row],[Muestra]]),"0")</f>
        <v>0</v>
      </c>
      <c r="AP180" s="38">
        <v>0</v>
      </c>
      <c r="AQ180" s="39">
        <f>+IFERROR((FT_RF_26[[#This Row],[Calibre &lt;25]]/FT_RF_26[[#This Row],[Muestra]]),"0")</f>
        <v>0</v>
      </c>
      <c r="AR180" s="38">
        <v>0</v>
      </c>
      <c r="AS180" s="39">
        <f>+IFERROR((FT_RF_26[[#This Row],[Calibre &gt;12]]/FT_RF_26[[#This Row],[Muestra]]),"0")</f>
        <v>0</v>
      </c>
      <c r="AT180" s="38">
        <v>0</v>
      </c>
      <c r="AU180" s="39">
        <f>+IFERROR((FT_RF_26[[#This Row],[Calibre &lt;14]]/FT_RF_26[[#This Row],[Muestra]]),"0")</f>
        <v>0</v>
      </c>
      <c r="AV180" s="38">
        <v>0</v>
      </c>
      <c r="AW180" s="39">
        <f>+IFERROR((FT_RF_26[[#This Row],[Calibre &gt;14]]/FT_RF_26[[#This Row],[Muestra]]),"0")</f>
        <v>0</v>
      </c>
      <c r="AX180" s="38">
        <v>0</v>
      </c>
      <c r="AY180" s="39">
        <f>+IFERROR((FT_RF_26[[#This Row],[Calibre &lt;10]]/FT_RF_26[[#This Row],[Muestra]]),"0")</f>
        <v>0</v>
      </c>
      <c r="AZ180" s="38">
        <v>0</v>
      </c>
      <c r="BA180" s="39">
        <f>+IFERROR((FT_RF_26[[#This Row],[Calibre &gt;13]]/FT_RF_26[[#This Row],[Muestra]]),"0")</f>
        <v>0</v>
      </c>
      <c r="BB180" s="41"/>
      <c r="BG180" s="42"/>
      <c r="BH180" s="43">
        <v>0</v>
      </c>
      <c r="BI180" s="29" t="s">
        <v>894</v>
      </c>
      <c r="BJ180" s="29" t="s">
        <v>894</v>
      </c>
      <c r="BK18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8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80" s="45">
        <f>1-FT_RF_26[[#This Row],[% Defectos]]</f>
        <v>1</v>
      </c>
      <c r="BO180" s="60"/>
      <c r="BP180" s="12">
        <f>SUM(FT_RF_26[[#This Row],[Hoja (Un.)]:[Larvas Caja]])</f>
        <v>0</v>
      </c>
      <c r="BQ180" s="12">
        <f>SUM(FT_RF_26[[#This Row],[Vidrios]:[Plástico]])</f>
        <v>0</v>
      </c>
      <c r="BR180" s="12" t="str">
        <f>IF(ISBLANK(FT_RF_26[[#This Row],[Descripción del producto]]),"",FT_RF_26[[#This Row],[Descripción del producto]])</f>
        <v/>
      </c>
      <c r="BS180" s="29" t="str">
        <f>IF(ISBLANK(FT_RF_26[[#This Row],[N° de Lote]]),"",FT_RF_26[[#This Row],[N° de Lote]])</f>
        <v/>
      </c>
      <c r="BT180" s="29" t="str">
        <f>IF(ISBLANK(FT_RF_26[[#This Row],[N° de Pallet]]),"",FT_RF_26[[#This Row],[N° de Pallet]])</f>
        <v/>
      </c>
    </row>
    <row r="181" spans="2:72">
      <c r="B181" s="29">
        <f>+_xlfn.ISOWEEKNUM(FT_RF_26[[#This Row],[Fecha]])</f>
        <v>52</v>
      </c>
      <c r="E181" s="31"/>
      <c r="F181" s="12" t="str">
        <f>IFERROR(""&amp;_xlfn.XLOOKUP(FT_RF_26[[#This Row],[Código]],BD_Cod[SKU],BD_Cod[Descripción]),"")</f>
        <v/>
      </c>
      <c r="G181" s="32" t="str">
        <f>IFERROR(""&amp;_xlfn.XLOOKUP(FT_RF_26[[#This Row],[Código]],BD_Cod[SKU],BD_Cod[Familia Calidad]),"")</f>
        <v/>
      </c>
      <c r="J181" s="33">
        <v>1000</v>
      </c>
      <c r="L181" s="30" t="s">
        <v>244</v>
      </c>
      <c r="O181" s="30" t="s">
        <v>894</v>
      </c>
      <c r="P181" s="29" t="s">
        <v>894</v>
      </c>
      <c r="Q181" s="37">
        <f>1-FT_RF_26[[#This Row],[% Defectos]]</f>
        <v>1</v>
      </c>
      <c r="R181" s="38">
        <v>0</v>
      </c>
      <c r="S181" s="39">
        <f>+IFERROR((FT_RF_26[[#This Row],[Inmadura]]/FT_RF_26[[#This Row],[Muestra]]),"0")</f>
        <v>0</v>
      </c>
      <c r="T181" s="38">
        <v>0</v>
      </c>
      <c r="U181" s="39">
        <f>+IFERROR((FT_RF_26[[#This Row],[Partidas]]/FT_RF_26[[#This Row],[Muestra]]),"0")</f>
        <v>0</v>
      </c>
      <c r="V181" s="38">
        <v>0</v>
      </c>
      <c r="W181" s="39">
        <f>+IFERROR((FT_RF_26[[#This Row],[Daño Insecto]]/FT_RF_26[[#This Row],[Muestra]]),"0")</f>
        <v>0</v>
      </c>
      <c r="X181" s="38">
        <v>0</v>
      </c>
      <c r="Y181" s="39">
        <f>+IFERROR((FT_RF_26[[#This Row],[Sobremadura]]/FT_RF_26[[#This Row],[Muestra]]),"0")</f>
        <v>0</v>
      </c>
      <c r="Z181" s="38">
        <v>0</v>
      </c>
      <c r="AA181" s="39">
        <f>+IFERROR((FT_RF_26[[#This Row],[Deforme]]/FT_RF_26[[#This Row],[Muestra]]),"0")</f>
        <v>0</v>
      </c>
      <c r="AB181" s="27"/>
      <c r="AC181" s="38">
        <v>0</v>
      </c>
      <c r="AD181" s="39">
        <f>+IFERROR((FT_RF_26[[#This Row],[Valor Extra 1]]/FT_RF_26[[#This Row],[Muestra]]),"0")</f>
        <v>0</v>
      </c>
      <c r="AF181" s="38">
        <v>0</v>
      </c>
      <c r="AG181" s="39">
        <f>+IFERROR((FT_RF_26[[#This Row],[Valor Extra 2]]/FT_RF_26[[#This Row],[Muestra]]),"0")</f>
        <v>0</v>
      </c>
      <c r="AH181" s="40">
        <v>0</v>
      </c>
      <c r="AI181" s="39">
        <f>+IFERROR((FT_RF_26[[#This Row],[Hongos]]/FT_RF_26[[#This Row],[Muestra]]),"0")</f>
        <v>0</v>
      </c>
      <c r="AJ181" s="38">
        <v>0</v>
      </c>
      <c r="AK181" s="39">
        <f>+IFERROR((FT_RF_26[[#This Row],[Block]]/FT_RF_26[[#This Row],[Muestra]]),"0")</f>
        <v>0</v>
      </c>
      <c r="AL181" s="41">
        <v>0</v>
      </c>
      <c r="AM181" s="42">
        <v>0</v>
      </c>
      <c r="AN181" s="38">
        <v>0</v>
      </c>
      <c r="AO181" s="39">
        <f>+IFERROR((FT_RF_26[[#This Row],[Fuera de calibre &lt;12mm]]/FT_RF_26[[#This Row],[Muestra]]),"0")</f>
        <v>0</v>
      </c>
      <c r="AP181" s="38">
        <v>0</v>
      </c>
      <c r="AQ181" s="39">
        <f>+IFERROR((FT_RF_26[[#This Row],[Calibre &lt;25]]/FT_RF_26[[#This Row],[Muestra]]),"0")</f>
        <v>0</v>
      </c>
      <c r="AR181" s="38">
        <v>0</v>
      </c>
      <c r="AS181" s="39">
        <f>+IFERROR((FT_RF_26[[#This Row],[Calibre &gt;12]]/FT_RF_26[[#This Row],[Muestra]]),"0")</f>
        <v>0</v>
      </c>
      <c r="AT181" s="38">
        <v>0</v>
      </c>
      <c r="AU181" s="39">
        <f>+IFERROR((FT_RF_26[[#This Row],[Calibre &lt;14]]/FT_RF_26[[#This Row],[Muestra]]),"0")</f>
        <v>0</v>
      </c>
      <c r="AV181" s="38">
        <v>0</v>
      </c>
      <c r="AW181" s="39">
        <f>+IFERROR((FT_RF_26[[#This Row],[Calibre &gt;14]]/FT_RF_26[[#This Row],[Muestra]]),"0")</f>
        <v>0</v>
      </c>
      <c r="AX181" s="38">
        <v>0</v>
      </c>
      <c r="AY181" s="39">
        <f>+IFERROR((FT_RF_26[[#This Row],[Calibre &lt;10]]/FT_RF_26[[#This Row],[Muestra]]),"0")</f>
        <v>0</v>
      </c>
      <c r="AZ181" s="38">
        <v>0</v>
      </c>
      <c r="BA181" s="39">
        <f>+IFERROR((FT_RF_26[[#This Row],[Calibre &gt;13]]/FT_RF_26[[#This Row],[Muestra]]),"0")</f>
        <v>0</v>
      </c>
      <c r="BB181" s="41"/>
      <c r="BG181" s="42"/>
      <c r="BH181" s="43">
        <v>0</v>
      </c>
      <c r="BI181" s="29" t="s">
        <v>894</v>
      </c>
      <c r="BJ181" s="29" t="s">
        <v>894</v>
      </c>
      <c r="BK18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8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81" s="45">
        <f>1-FT_RF_26[[#This Row],[% Defectos]]</f>
        <v>1</v>
      </c>
      <c r="BO181" s="60"/>
      <c r="BP181" s="12">
        <f>SUM(FT_RF_26[[#This Row],[Hoja (Un.)]:[Larvas Caja]])</f>
        <v>0</v>
      </c>
      <c r="BQ181" s="12">
        <f>SUM(FT_RF_26[[#This Row],[Vidrios]:[Plástico]])</f>
        <v>0</v>
      </c>
      <c r="BR181" s="12" t="str">
        <f>IF(ISBLANK(FT_RF_26[[#This Row],[Descripción del producto]]),"",FT_RF_26[[#This Row],[Descripción del producto]])</f>
        <v/>
      </c>
      <c r="BS181" s="29" t="str">
        <f>IF(ISBLANK(FT_RF_26[[#This Row],[N° de Lote]]),"",FT_RF_26[[#This Row],[N° de Lote]])</f>
        <v/>
      </c>
      <c r="BT181" s="29" t="str">
        <f>IF(ISBLANK(FT_RF_26[[#This Row],[N° de Pallet]]),"",FT_RF_26[[#This Row],[N° de Pallet]])</f>
        <v/>
      </c>
    </row>
    <row r="182" spans="2:72">
      <c r="B182" s="29">
        <f>+_xlfn.ISOWEEKNUM(FT_RF_26[[#This Row],[Fecha]])</f>
        <v>52</v>
      </c>
      <c r="E182" s="31"/>
      <c r="F182" s="12" t="str">
        <f>IFERROR(""&amp;_xlfn.XLOOKUP(FT_RF_26[[#This Row],[Código]],BD_Cod[SKU],BD_Cod[Descripción]),"")</f>
        <v/>
      </c>
      <c r="G182" s="32" t="str">
        <f>IFERROR(""&amp;_xlfn.XLOOKUP(FT_RF_26[[#This Row],[Código]],BD_Cod[SKU],BD_Cod[Familia Calidad]),"")</f>
        <v/>
      </c>
      <c r="J182" s="33">
        <v>1000</v>
      </c>
      <c r="L182" s="30" t="s">
        <v>244</v>
      </c>
      <c r="O182" s="30" t="s">
        <v>894</v>
      </c>
      <c r="P182" s="29" t="s">
        <v>894</v>
      </c>
      <c r="Q182" s="37">
        <f>1-FT_RF_26[[#This Row],[% Defectos]]</f>
        <v>1</v>
      </c>
      <c r="R182" s="38">
        <v>0</v>
      </c>
      <c r="S182" s="39">
        <f>+IFERROR((FT_RF_26[[#This Row],[Inmadura]]/FT_RF_26[[#This Row],[Muestra]]),"0")</f>
        <v>0</v>
      </c>
      <c r="T182" s="38">
        <v>0</v>
      </c>
      <c r="U182" s="39">
        <f>+IFERROR((FT_RF_26[[#This Row],[Partidas]]/FT_RF_26[[#This Row],[Muestra]]),"0")</f>
        <v>0</v>
      </c>
      <c r="V182" s="38">
        <v>0</v>
      </c>
      <c r="W182" s="39">
        <f>+IFERROR((FT_RF_26[[#This Row],[Daño Insecto]]/FT_RF_26[[#This Row],[Muestra]]),"0")</f>
        <v>0</v>
      </c>
      <c r="X182" s="38">
        <v>0</v>
      </c>
      <c r="Y182" s="39">
        <f>+IFERROR((FT_RF_26[[#This Row],[Sobremadura]]/FT_RF_26[[#This Row],[Muestra]]),"0")</f>
        <v>0</v>
      </c>
      <c r="Z182" s="38">
        <v>0</v>
      </c>
      <c r="AA182" s="39">
        <f>+IFERROR((FT_RF_26[[#This Row],[Deforme]]/FT_RF_26[[#This Row],[Muestra]]),"0")</f>
        <v>0</v>
      </c>
      <c r="AB182" s="27"/>
      <c r="AC182" s="38">
        <v>0</v>
      </c>
      <c r="AD182" s="39">
        <f>+IFERROR((FT_RF_26[[#This Row],[Valor Extra 1]]/FT_RF_26[[#This Row],[Muestra]]),"0")</f>
        <v>0</v>
      </c>
      <c r="AF182" s="38">
        <v>0</v>
      </c>
      <c r="AG182" s="39">
        <f>+IFERROR((FT_RF_26[[#This Row],[Valor Extra 2]]/FT_RF_26[[#This Row],[Muestra]]),"0")</f>
        <v>0</v>
      </c>
      <c r="AH182" s="40">
        <v>0</v>
      </c>
      <c r="AI182" s="39">
        <f>+IFERROR((FT_RF_26[[#This Row],[Hongos]]/FT_RF_26[[#This Row],[Muestra]]),"0")</f>
        <v>0</v>
      </c>
      <c r="AJ182" s="38">
        <v>0</v>
      </c>
      <c r="AK182" s="39">
        <f>+IFERROR((FT_RF_26[[#This Row],[Block]]/FT_RF_26[[#This Row],[Muestra]]),"0")</f>
        <v>0</v>
      </c>
      <c r="AL182" s="41">
        <v>0</v>
      </c>
      <c r="AM182" s="42">
        <v>0</v>
      </c>
      <c r="AN182" s="38">
        <v>0</v>
      </c>
      <c r="AO182" s="39">
        <f>+IFERROR((FT_RF_26[[#This Row],[Fuera de calibre &lt;12mm]]/FT_RF_26[[#This Row],[Muestra]]),"0")</f>
        <v>0</v>
      </c>
      <c r="AP182" s="38">
        <v>0</v>
      </c>
      <c r="AQ182" s="39">
        <f>+IFERROR((FT_RF_26[[#This Row],[Calibre &lt;25]]/FT_RF_26[[#This Row],[Muestra]]),"0")</f>
        <v>0</v>
      </c>
      <c r="AR182" s="38">
        <v>0</v>
      </c>
      <c r="AS182" s="39">
        <f>+IFERROR((FT_RF_26[[#This Row],[Calibre &gt;12]]/FT_RF_26[[#This Row],[Muestra]]),"0")</f>
        <v>0</v>
      </c>
      <c r="AT182" s="38">
        <v>0</v>
      </c>
      <c r="AU182" s="39">
        <f>+IFERROR((FT_RF_26[[#This Row],[Calibre &lt;14]]/FT_RF_26[[#This Row],[Muestra]]),"0")</f>
        <v>0</v>
      </c>
      <c r="AV182" s="38">
        <v>0</v>
      </c>
      <c r="AW182" s="39">
        <f>+IFERROR((FT_RF_26[[#This Row],[Calibre &gt;14]]/FT_RF_26[[#This Row],[Muestra]]),"0")</f>
        <v>0</v>
      </c>
      <c r="AX182" s="38">
        <v>0</v>
      </c>
      <c r="AY182" s="39">
        <f>+IFERROR((FT_RF_26[[#This Row],[Calibre &lt;10]]/FT_RF_26[[#This Row],[Muestra]]),"0")</f>
        <v>0</v>
      </c>
      <c r="AZ182" s="38">
        <v>0</v>
      </c>
      <c r="BA182" s="39">
        <f>+IFERROR((FT_RF_26[[#This Row],[Calibre &gt;13]]/FT_RF_26[[#This Row],[Muestra]]),"0")</f>
        <v>0</v>
      </c>
      <c r="BB182" s="41"/>
      <c r="BG182" s="42"/>
      <c r="BH182" s="43">
        <v>0</v>
      </c>
      <c r="BI182" s="29" t="s">
        <v>894</v>
      </c>
      <c r="BJ182" s="29" t="s">
        <v>894</v>
      </c>
      <c r="BK18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8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82" s="45">
        <f>1-FT_RF_26[[#This Row],[% Defectos]]</f>
        <v>1</v>
      </c>
      <c r="BO182" s="60"/>
      <c r="BP182" s="12">
        <f>SUM(FT_RF_26[[#This Row],[Hoja (Un.)]:[Larvas Caja]])</f>
        <v>0</v>
      </c>
      <c r="BQ182" s="12">
        <f>SUM(FT_RF_26[[#This Row],[Vidrios]:[Plástico]])</f>
        <v>0</v>
      </c>
      <c r="BR182" s="12" t="str">
        <f>IF(ISBLANK(FT_RF_26[[#This Row],[Descripción del producto]]),"",FT_RF_26[[#This Row],[Descripción del producto]])</f>
        <v/>
      </c>
      <c r="BS182" s="29" t="str">
        <f>IF(ISBLANK(FT_RF_26[[#This Row],[N° de Lote]]),"",FT_RF_26[[#This Row],[N° de Lote]])</f>
        <v/>
      </c>
      <c r="BT182" s="29" t="str">
        <f>IF(ISBLANK(FT_RF_26[[#This Row],[N° de Pallet]]),"",FT_RF_26[[#This Row],[N° de Pallet]])</f>
        <v/>
      </c>
    </row>
    <row r="183" spans="2:72">
      <c r="B183" s="29">
        <f>+_xlfn.ISOWEEKNUM(FT_RF_26[[#This Row],[Fecha]])</f>
        <v>52</v>
      </c>
      <c r="E183" s="31"/>
      <c r="F183" s="12" t="str">
        <f>IFERROR(""&amp;_xlfn.XLOOKUP(FT_RF_26[[#This Row],[Código]],BD_Cod[SKU],BD_Cod[Descripción]),"")</f>
        <v/>
      </c>
      <c r="G183" s="32" t="str">
        <f>IFERROR(""&amp;_xlfn.XLOOKUP(FT_RF_26[[#This Row],[Código]],BD_Cod[SKU],BD_Cod[Familia Calidad]),"")</f>
        <v/>
      </c>
      <c r="J183" s="33">
        <v>1000</v>
      </c>
      <c r="L183" s="30" t="s">
        <v>244</v>
      </c>
      <c r="O183" s="30" t="s">
        <v>894</v>
      </c>
      <c r="P183" s="29" t="s">
        <v>894</v>
      </c>
      <c r="Q183" s="37">
        <f>1-FT_RF_26[[#This Row],[% Defectos]]</f>
        <v>1</v>
      </c>
      <c r="R183" s="38">
        <v>0</v>
      </c>
      <c r="S183" s="39">
        <f>+IFERROR((FT_RF_26[[#This Row],[Inmadura]]/FT_RF_26[[#This Row],[Muestra]]),"0")</f>
        <v>0</v>
      </c>
      <c r="T183" s="38">
        <v>0</v>
      </c>
      <c r="U183" s="39">
        <f>+IFERROR((FT_RF_26[[#This Row],[Partidas]]/FT_RF_26[[#This Row],[Muestra]]),"0")</f>
        <v>0</v>
      </c>
      <c r="V183" s="38">
        <v>0</v>
      </c>
      <c r="W183" s="39">
        <f>+IFERROR((FT_RF_26[[#This Row],[Daño Insecto]]/FT_RF_26[[#This Row],[Muestra]]),"0")</f>
        <v>0</v>
      </c>
      <c r="X183" s="38">
        <v>0</v>
      </c>
      <c r="Y183" s="39">
        <f>+IFERROR((FT_RF_26[[#This Row],[Sobremadura]]/FT_RF_26[[#This Row],[Muestra]]),"0")</f>
        <v>0</v>
      </c>
      <c r="Z183" s="38">
        <v>0</v>
      </c>
      <c r="AA183" s="39">
        <f>+IFERROR((FT_RF_26[[#This Row],[Deforme]]/FT_RF_26[[#This Row],[Muestra]]),"0")</f>
        <v>0</v>
      </c>
      <c r="AB183" s="27"/>
      <c r="AC183" s="38">
        <v>0</v>
      </c>
      <c r="AD183" s="39">
        <f>+IFERROR((FT_RF_26[[#This Row],[Valor Extra 1]]/FT_RF_26[[#This Row],[Muestra]]),"0")</f>
        <v>0</v>
      </c>
      <c r="AF183" s="38">
        <v>0</v>
      </c>
      <c r="AG183" s="39">
        <f>+IFERROR((FT_RF_26[[#This Row],[Valor Extra 2]]/FT_RF_26[[#This Row],[Muestra]]),"0")</f>
        <v>0</v>
      </c>
      <c r="AH183" s="40">
        <v>0</v>
      </c>
      <c r="AI183" s="39">
        <f>+IFERROR((FT_RF_26[[#This Row],[Hongos]]/FT_RF_26[[#This Row],[Muestra]]),"0")</f>
        <v>0</v>
      </c>
      <c r="AJ183" s="38">
        <v>0</v>
      </c>
      <c r="AK183" s="39">
        <f>+IFERROR((FT_RF_26[[#This Row],[Block]]/FT_RF_26[[#This Row],[Muestra]]),"0")</f>
        <v>0</v>
      </c>
      <c r="AL183" s="41">
        <v>0</v>
      </c>
      <c r="AM183" s="42">
        <v>0</v>
      </c>
      <c r="AN183" s="38">
        <v>0</v>
      </c>
      <c r="AO183" s="39">
        <f>+IFERROR((FT_RF_26[[#This Row],[Fuera de calibre &lt;12mm]]/FT_RF_26[[#This Row],[Muestra]]),"0")</f>
        <v>0</v>
      </c>
      <c r="AP183" s="38">
        <v>0</v>
      </c>
      <c r="AQ183" s="39">
        <f>+IFERROR((FT_RF_26[[#This Row],[Calibre &lt;25]]/FT_RF_26[[#This Row],[Muestra]]),"0")</f>
        <v>0</v>
      </c>
      <c r="AR183" s="38">
        <v>0</v>
      </c>
      <c r="AS183" s="39">
        <f>+IFERROR((FT_RF_26[[#This Row],[Calibre &gt;12]]/FT_RF_26[[#This Row],[Muestra]]),"0")</f>
        <v>0</v>
      </c>
      <c r="AT183" s="38">
        <v>0</v>
      </c>
      <c r="AU183" s="39">
        <f>+IFERROR((FT_RF_26[[#This Row],[Calibre &lt;14]]/FT_RF_26[[#This Row],[Muestra]]),"0")</f>
        <v>0</v>
      </c>
      <c r="AV183" s="38">
        <v>0</v>
      </c>
      <c r="AW183" s="39">
        <f>+IFERROR((FT_RF_26[[#This Row],[Calibre &gt;14]]/FT_RF_26[[#This Row],[Muestra]]),"0")</f>
        <v>0</v>
      </c>
      <c r="AX183" s="38">
        <v>0</v>
      </c>
      <c r="AY183" s="39">
        <f>+IFERROR((FT_RF_26[[#This Row],[Calibre &lt;10]]/FT_RF_26[[#This Row],[Muestra]]),"0")</f>
        <v>0</v>
      </c>
      <c r="AZ183" s="38">
        <v>0</v>
      </c>
      <c r="BA183" s="39">
        <f>+IFERROR((FT_RF_26[[#This Row],[Calibre &gt;13]]/FT_RF_26[[#This Row],[Muestra]]),"0")</f>
        <v>0</v>
      </c>
      <c r="BB183" s="41"/>
      <c r="BG183" s="42"/>
      <c r="BH183" s="43">
        <v>0</v>
      </c>
      <c r="BI183" s="29" t="s">
        <v>894</v>
      </c>
      <c r="BJ183" s="29" t="s">
        <v>894</v>
      </c>
      <c r="BK18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8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83" s="45">
        <f>1-FT_RF_26[[#This Row],[% Defectos]]</f>
        <v>1</v>
      </c>
      <c r="BO183" s="60"/>
      <c r="BP183" s="12">
        <f>SUM(FT_RF_26[[#This Row],[Hoja (Un.)]:[Larvas Caja]])</f>
        <v>0</v>
      </c>
      <c r="BQ183" s="12">
        <f>SUM(FT_RF_26[[#This Row],[Vidrios]:[Plástico]])</f>
        <v>0</v>
      </c>
      <c r="BR183" s="12" t="str">
        <f>IF(ISBLANK(FT_RF_26[[#This Row],[Descripción del producto]]),"",FT_RF_26[[#This Row],[Descripción del producto]])</f>
        <v/>
      </c>
      <c r="BS183" s="29" t="str">
        <f>IF(ISBLANK(FT_RF_26[[#This Row],[N° de Lote]]),"",FT_RF_26[[#This Row],[N° de Lote]])</f>
        <v/>
      </c>
      <c r="BT183" s="29" t="str">
        <f>IF(ISBLANK(FT_RF_26[[#This Row],[N° de Pallet]]),"",FT_RF_26[[#This Row],[N° de Pallet]])</f>
        <v/>
      </c>
    </row>
    <row r="184" spans="2:72">
      <c r="B184" s="29">
        <f>+_xlfn.ISOWEEKNUM(FT_RF_26[[#This Row],[Fecha]])</f>
        <v>52</v>
      </c>
      <c r="E184" s="31"/>
      <c r="F184" s="12" t="str">
        <f>IFERROR(""&amp;_xlfn.XLOOKUP(FT_RF_26[[#This Row],[Código]],BD_Cod[SKU],BD_Cod[Descripción]),"")</f>
        <v/>
      </c>
      <c r="G184" s="32" t="str">
        <f>IFERROR(""&amp;_xlfn.XLOOKUP(FT_RF_26[[#This Row],[Código]],BD_Cod[SKU],BD_Cod[Familia Calidad]),"")</f>
        <v/>
      </c>
      <c r="J184" s="33">
        <v>1000</v>
      </c>
      <c r="L184" s="30" t="s">
        <v>244</v>
      </c>
      <c r="O184" s="30" t="s">
        <v>894</v>
      </c>
      <c r="P184" s="29" t="s">
        <v>894</v>
      </c>
      <c r="Q184" s="37">
        <f>1-FT_RF_26[[#This Row],[% Defectos]]</f>
        <v>1</v>
      </c>
      <c r="R184" s="38">
        <v>0</v>
      </c>
      <c r="S184" s="39">
        <f>+IFERROR((FT_RF_26[[#This Row],[Inmadura]]/FT_RF_26[[#This Row],[Muestra]]),"0")</f>
        <v>0</v>
      </c>
      <c r="T184" s="38">
        <v>0</v>
      </c>
      <c r="U184" s="39">
        <f>+IFERROR((FT_RF_26[[#This Row],[Partidas]]/FT_RF_26[[#This Row],[Muestra]]),"0")</f>
        <v>0</v>
      </c>
      <c r="V184" s="38">
        <v>0</v>
      </c>
      <c r="W184" s="39">
        <f>+IFERROR((FT_RF_26[[#This Row],[Daño Insecto]]/FT_RF_26[[#This Row],[Muestra]]),"0")</f>
        <v>0</v>
      </c>
      <c r="X184" s="38">
        <v>0</v>
      </c>
      <c r="Y184" s="39">
        <f>+IFERROR((FT_RF_26[[#This Row],[Sobremadura]]/FT_RF_26[[#This Row],[Muestra]]),"0")</f>
        <v>0</v>
      </c>
      <c r="Z184" s="38">
        <v>0</v>
      </c>
      <c r="AA184" s="39">
        <f>+IFERROR((FT_RF_26[[#This Row],[Deforme]]/FT_RF_26[[#This Row],[Muestra]]),"0")</f>
        <v>0</v>
      </c>
      <c r="AB184" s="27"/>
      <c r="AC184" s="38">
        <v>0</v>
      </c>
      <c r="AD184" s="39">
        <f>+IFERROR((FT_RF_26[[#This Row],[Valor Extra 1]]/FT_RF_26[[#This Row],[Muestra]]),"0")</f>
        <v>0</v>
      </c>
      <c r="AF184" s="38">
        <v>0</v>
      </c>
      <c r="AG184" s="39">
        <f>+IFERROR((FT_RF_26[[#This Row],[Valor Extra 2]]/FT_RF_26[[#This Row],[Muestra]]),"0")</f>
        <v>0</v>
      </c>
      <c r="AH184" s="40">
        <v>0</v>
      </c>
      <c r="AI184" s="39">
        <f>+IFERROR((FT_RF_26[[#This Row],[Hongos]]/FT_RF_26[[#This Row],[Muestra]]),"0")</f>
        <v>0</v>
      </c>
      <c r="AJ184" s="38">
        <v>0</v>
      </c>
      <c r="AK184" s="39">
        <f>+IFERROR((FT_RF_26[[#This Row],[Block]]/FT_RF_26[[#This Row],[Muestra]]),"0")</f>
        <v>0</v>
      </c>
      <c r="AL184" s="41">
        <v>0</v>
      </c>
      <c r="AM184" s="42">
        <v>0</v>
      </c>
      <c r="AN184" s="38">
        <v>0</v>
      </c>
      <c r="AO184" s="39">
        <f>+IFERROR((FT_RF_26[[#This Row],[Fuera de calibre &lt;12mm]]/FT_RF_26[[#This Row],[Muestra]]),"0")</f>
        <v>0</v>
      </c>
      <c r="AP184" s="38">
        <v>0</v>
      </c>
      <c r="AQ184" s="39">
        <f>+IFERROR((FT_RF_26[[#This Row],[Calibre &lt;25]]/FT_RF_26[[#This Row],[Muestra]]),"0")</f>
        <v>0</v>
      </c>
      <c r="AR184" s="38">
        <v>0</v>
      </c>
      <c r="AS184" s="39">
        <f>+IFERROR((FT_RF_26[[#This Row],[Calibre &gt;12]]/FT_RF_26[[#This Row],[Muestra]]),"0")</f>
        <v>0</v>
      </c>
      <c r="AT184" s="38">
        <v>0</v>
      </c>
      <c r="AU184" s="39">
        <f>+IFERROR((FT_RF_26[[#This Row],[Calibre &lt;14]]/FT_RF_26[[#This Row],[Muestra]]),"0")</f>
        <v>0</v>
      </c>
      <c r="AV184" s="38">
        <v>0</v>
      </c>
      <c r="AW184" s="39">
        <f>+IFERROR((FT_RF_26[[#This Row],[Calibre &gt;14]]/FT_RF_26[[#This Row],[Muestra]]),"0")</f>
        <v>0</v>
      </c>
      <c r="AX184" s="38">
        <v>0</v>
      </c>
      <c r="AY184" s="39">
        <f>+IFERROR((FT_RF_26[[#This Row],[Calibre &lt;10]]/FT_RF_26[[#This Row],[Muestra]]),"0")</f>
        <v>0</v>
      </c>
      <c r="AZ184" s="38">
        <v>0</v>
      </c>
      <c r="BA184" s="39">
        <f>+IFERROR((FT_RF_26[[#This Row],[Calibre &gt;13]]/FT_RF_26[[#This Row],[Muestra]]),"0")</f>
        <v>0</v>
      </c>
      <c r="BB184" s="41"/>
      <c r="BG184" s="42"/>
      <c r="BH184" s="43">
        <v>0</v>
      </c>
      <c r="BI184" s="29" t="s">
        <v>894</v>
      </c>
      <c r="BJ184" s="29" t="s">
        <v>894</v>
      </c>
      <c r="BK18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8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84" s="45">
        <f>1-FT_RF_26[[#This Row],[% Defectos]]</f>
        <v>1</v>
      </c>
      <c r="BO184" s="60"/>
      <c r="BP184" s="12">
        <f>SUM(FT_RF_26[[#This Row],[Hoja (Un.)]:[Larvas Caja]])</f>
        <v>0</v>
      </c>
      <c r="BQ184" s="12">
        <f>SUM(FT_RF_26[[#This Row],[Vidrios]:[Plástico]])</f>
        <v>0</v>
      </c>
      <c r="BR184" s="12" t="str">
        <f>IF(ISBLANK(FT_RF_26[[#This Row],[Descripción del producto]]),"",FT_RF_26[[#This Row],[Descripción del producto]])</f>
        <v/>
      </c>
      <c r="BS184" s="29" t="str">
        <f>IF(ISBLANK(FT_RF_26[[#This Row],[N° de Lote]]),"",FT_RF_26[[#This Row],[N° de Lote]])</f>
        <v/>
      </c>
      <c r="BT184" s="29" t="str">
        <f>IF(ISBLANK(FT_RF_26[[#This Row],[N° de Pallet]]),"",FT_RF_26[[#This Row],[N° de Pallet]])</f>
        <v/>
      </c>
    </row>
    <row r="185" spans="2:72">
      <c r="B185" s="29">
        <f>+_xlfn.ISOWEEKNUM(FT_RF_26[[#This Row],[Fecha]])</f>
        <v>52</v>
      </c>
      <c r="E185" s="31"/>
      <c r="F185" s="12" t="str">
        <f>IFERROR(""&amp;_xlfn.XLOOKUP(FT_RF_26[[#This Row],[Código]],BD_Cod[SKU],BD_Cod[Descripción]),"")</f>
        <v/>
      </c>
      <c r="G185" s="32" t="str">
        <f>IFERROR(""&amp;_xlfn.XLOOKUP(FT_RF_26[[#This Row],[Código]],BD_Cod[SKU],BD_Cod[Familia Calidad]),"")</f>
        <v/>
      </c>
      <c r="J185" s="33">
        <v>1000</v>
      </c>
      <c r="L185" s="30" t="s">
        <v>244</v>
      </c>
      <c r="O185" s="30" t="s">
        <v>894</v>
      </c>
      <c r="P185" s="29" t="s">
        <v>894</v>
      </c>
      <c r="Q185" s="37">
        <f>1-FT_RF_26[[#This Row],[% Defectos]]</f>
        <v>1</v>
      </c>
      <c r="R185" s="38">
        <v>0</v>
      </c>
      <c r="S185" s="39">
        <f>+IFERROR((FT_RF_26[[#This Row],[Inmadura]]/FT_RF_26[[#This Row],[Muestra]]),"0")</f>
        <v>0</v>
      </c>
      <c r="T185" s="38">
        <v>0</v>
      </c>
      <c r="U185" s="39">
        <f>+IFERROR((FT_RF_26[[#This Row],[Partidas]]/FT_RF_26[[#This Row],[Muestra]]),"0")</f>
        <v>0</v>
      </c>
      <c r="V185" s="38">
        <v>0</v>
      </c>
      <c r="W185" s="39">
        <f>+IFERROR((FT_RF_26[[#This Row],[Daño Insecto]]/FT_RF_26[[#This Row],[Muestra]]),"0")</f>
        <v>0</v>
      </c>
      <c r="X185" s="38">
        <v>0</v>
      </c>
      <c r="Y185" s="39">
        <f>+IFERROR((FT_RF_26[[#This Row],[Sobremadura]]/FT_RF_26[[#This Row],[Muestra]]),"0")</f>
        <v>0</v>
      </c>
      <c r="Z185" s="38">
        <v>0</v>
      </c>
      <c r="AA185" s="39">
        <f>+IFERROR((FT_RF_26[[#This Row],[Deforme]]/FT_RF_26[[#This Row],[Muestra]]),"0")</f>
        <v>0</v>
      </c>
      <c r="AB185" s="27"/>
      <c r="AC185" s="38">
        <v>0</v>
      </c>
      <c r="AD185" s="39">
        <f>+IFERROR((FT_RF_26[[#This Row],[Valor Extra 1]]/FT_RF_26[[#This Row],[Muestra]]),"0")</f>
        <v>0</v>
      </c>
      <c r="AF185" s="38">
        <v>0</v>
      </c>
      <c r="AG185" s="39">
        <f>+IFERROR((FT_RF_26[[#This Row],[Valor Extra 2]]/FT_RF_26[[#This Row],[Muestra]]),"0")</f>
        <v>0</v>
      </c>
      <c r="AH185" s="40">
        <v>0</v>
      </c>
      <c r="AI185" s="39">
        <f>+IFERROR((FT_RF_26[[#This Row],[Hongos]]/FT_RF_26[[#This Row],[Muestra]]),"0")</f>
        <v>0</v>
      </c>
      <c r="AJ185" s="38">
        <v>0</v>
      </c>
      <c r="AK185" s="39">
        <f>+IFERROR((FT_RF_26[[#This Row],[Block]]/FT_RF_26[[#This Row],[Muestra]]),"0")</f>
        <v>0</v>
      </c>
      <c r="AL185" s="41">
        <v>0</v>
      </c>
      <c r="AM185" s="42">
        <v>0</v>
      </c>
      <c r="AN185" s="38">
        <v>0</v>
      </c>
      <c r="AO185" s="39">
        <f>+IFERROR((FT_RF_26[[#This Row],[Fuera de calibre &lt;12mm]]/FT_RF_26[[#This Row],[Muestra]]),"0")</f>
        <v>0</v>
      </c>
      <c r="AP185" s="38">
        <v>0</v>
      </c>
      <c r="AQ185" s="39">
        <f>+IFERROR((FT_RF_26[[#This Row],[Calibre &lt;25]]/FT_RF_26[[#This Row],[Muestra]]),"0")</f>
        <v>0</v>
      </c>
      <c r="AR185" s="38">
        <v>0</v>
      </c>
      <c r="AS185" s="39">
        <f>+IFERROR((FT_RF_26[[#This Row],[Calibre &gt;12]]/FT_RF_26[[#This Row],[Muestra]]),"0")</f>
        <v>0</v>
      </c>
      <c r="AT185" s="38">
        <v>0</v>
      </c>
      <c r="AU185" s="39">
        <f>+IFERROR((FT_RF_26[[#This Row],[Calibre &lt;14]]/FT_RF_26[[#This Row],[Muestra]]),"0")</f>
        <v>0</v>
      </c>
      <c r="AV185" s="38">
        <v>0</v>
      </c>
      <c r="AW185" s="39">
        <f>+IFERROR((FT_RF_26[[#This Row],[Calibre &gt;14]]/FT_RF_26[[#This Row],[Muestra]]),"0")</f>
        <v>0</v>
      </c>
      <c r="AX185" s="38">
        <v>0</v>
      </c>
      <c r="AY185" s="39">
        <f>+IFERROR((FT_RF_26[[#This Row],[Calibre &lt;10]]/FT_RF_26[[#This Row],[Muestra]]),"0")</f>
        <v>0</v>
      </c>
      <c r="AZ185" s="38">
        <v>0</v>
      </c>
      <c r="BA185" s="39">
        <f>+IFERROR((FT_RF_26[[#This Row],[Calibre &gt;13]]/FT_RF_26[[#This Row],[Muestra]]),"0")</f>
        <v>0</v>
      </c>
      <c r="BB185" s="41"/>
      <c r="BG185" s="42"/>
      <c r="BH185" s="43">
        <v>0</v>
      </c>
      <c r="BI185" s="29" t="s">
        <v>894</v>
      </c>
      <c r="BJ185" s="29" t="s">
        <v>894</v>
      </c>
      <c r="BK18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8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85" s="45">
        <f>1-FT_RF_26[[#This Row],[% Defectos]]</f>
        <v>1</v>
      </c>
      <c r="BO185" s="60"/>
      <c r="BP185" s="12">
        <f>SUM(FT_RF_26[[#This Row],[Hoja (Un.)]:[Larvas Caja]])</f>
        <v>0</v>
      </c>
      <c r="BQ185" s="12">
        <f>SUM(FT_RF_26[[#This Row],[Vidrios]:[Plástico]])</f>
        <v>0</v>
      </c>
      <c r="BR185" s="12" t="str">
        <f>IF(ISBLANK(FT_RF_26[[#This Row],[Descripción del producto]]),"",FT_RF_26[[#This Row],[Descripción del producto]])</f>
        <v/>
      </c>
      <c r="BS185" s="29" t="str">
        <f>IF(ISBLANK(FT_RF_26[[#This Row],[N° de Lote]]),"",FT_RF_26[[#This Row],[N° de Lote]])</f>
        <v/>
      </c>
      <c r="BT185" s="29" t="str">
        <f>IF(ISBLANK(FT_RF_26[[#This Row],[N° de Pallet]]),"",FT_RF_26[[#This Row],[N° de Pallet]])</f>
        <v/>
      </c>
    </row>
    <row r="186" spans="2:72">
      <c r="B186" s="29">
        <f>+_xlfn.ISOWEEKNUM(FT_RF_26[[#This Row],[Fecha]])</f>
        <v>52</v>
      </c>
      <c r="E186" s="31"/>
      <c r="F186" s="12" t="str">
        <f>IFERROR(""&amp;_xlfn.XLOOKUP(FT_RF_26[[#This Row],[Código]],BD_Cod[SKU],BD_Cod[Descripción]),"")</f>
        <v/>
      </c>
      <c r="G186" s="32" t="str">
        <f>IFERROR(""&amp;_xlfn.XLOOKUP(FT_RF_26[[#This Row],[Código]],BD_Cod[SKU],BD_Cod[Familia Calidad]),"")</f>
        <v/>
      </c>
      <c r="J186" s="33">
        <v>1000</v>
      </c>
      <c r="L186" s="30" t="s">
        <v>244</v>
      </c>
      <c r="O186" s="30" t="s">
        <v>894</v>
      </c>
      <c r="P186" s="29" t="s">
        <v>894</v>
      </c>
      <c r="Q186" s="37">
        <f>1-FT_RF_26[[#This Row],[% Defectos]]</f>
        <v>1</v>
      </c>
      <c r="R186" s="38">
        <v>0</v>
      </c>
      <c r="S186" s="39">
        <f>+IFERROR((FT_RF_26[[#This Row],[Inmadura]]/FT_RF_26[[#This Row],[Muestra]]),"0")</f>
        <v>0</v>
      </c>
      <c r="T186" s="38">
        <v>0</v>
      </c>
      <c r="U186" s="39">
        <f>+IFERROR((FT_RF_26[[#This Row],[Partidas]]/FT_RF_26[[#This Row],[Muestra]]),"0")</f>
        <v>0</v>
      </c>
      <c r="V186" s="38">
        <v>0</v>
      </c>
      <c r="W186" s="39">
        <f>+IFERROR((FT_RF_26[[#This Row],[Daño Insecto]]/FT_RF_26[[#This Row],[Muestra]]),"0")</f>
        <v>0</v>
      </c>
      <c r="X186" s="38">
        <v>0</v>
      </c>
      <c r="Y186" s="39">
        <f>+IFERROR((FT_RF_26[[#This Row],[Sobremadura]]/FT_RF_26[[#This Row],[Muestra]]),"0")</f>
        <v>0</v>
      </c>
      <c r="Z186" s="38">
        <v>0</v>
      </c>
      <c r="AA186" s="39">
        <f>+IFERROR((FT_RF_26[[#This Row],[Deforme]]/FT_RF_26[[#This Row],[Muestra]]),"0")</f>
        <v>0</v>
      </c>
      <c r="AB186" s="27"/>
      <c r="AC186" s="38">
        <v>0</v>
      </c>
      <c r="AD186" s="39">
        <f>+IFERROR((FT_RF_26[[#This Row],[Valor Extra 1]]/FT_RF_26[[#This Row],[Muestra]]),"0")</f>
        <v>0</v>
      </c>
      <c r="AF186" s="38">
        <v>0</v>
      </c>
      <c r="AG186" s="39">
        <f>+IFERROR((FT_RF_26[[#This Row],[Valor Extra 2]]/FT_RF_26[[#This Row],[Muestra]]),"0")</f>
        <v>0</v>
      </c>
      <c r="AH186" s="40">
        <v>0</v>
      </c>
      <c r="AI186" s="39">
        <f>+IFERROR((FT_RF_26[[#This Row],[Hongos]]/FT_RF_26[[#This Row],[Muestra]]),"0")</f>
        <v>0</v>
      </c>
      <c r="AJ186" s="38">
        <v>0</v>
      </c>
      <c r="AK186" s="39">
        <f>+IFERROR((FT_RF_26[[#This Row],[Block]]/FT_RF_26[[#This Row],[Muestra]]),"0")</f>
        <v>0</v>
      </c>
      <c r="AL186" s="41">
        <v>0</v>
      </c>
      <c r="AM186" s="42">
        <v>0</v>
      </c>
      <c r="AN186" s="38">
        <v>0</v>
      </c>
      <c r="AO186" s="39">
        <f>+IFERROR((FT_RF_26[[#This Row],[Fuera de calibre &lt;12mm]]/FT_RF_26[[#This Row],[Muestra]]),"0")</f>
        <v>0</v>
      </c>
      <c r="AP186" s="38">
        <v>0</v>
      </c>
      <c r="AQ186" s="39">
        <f>+IFERROR((FT_RF_26[[#This Row],[Calibre &lt;25]]/FT_RF_26[[#This Row],[Muestra]]),"0")</f>
        <v>0</v>
      </c>
      <c r="AR186" s="38">
        <v>0</v>
      </c>
      <c r="AS186" s="39">
        <f>+IFERROR((FT_RF_26[[#This Row],[Calibre &gt;12]]/FT_RF_26[[#This Row],[Muestra]]),"0")</f>
        <v>0</v>
      </c>
      <c r="AT186" s="38">
        <v>0</v>
      </c>
      <c r="AU186" s="39">
        <f>+IFERROR((FT_RF_26[[#This Row],[Calibre &lt;14]]/FT_RF_26[[#This Row],[Muestra]]),"0")</f>
        <v>0</v>
      </c>
      <c r="AV186" s="38">
        <v>0</v>
      </c>
      <c r="AW186" s="39">
        <f>+IFERROR((FT_RF_26[[#This Row],[Calibre &gt;14]]/FT_RF_26[[#This Row],[Muestra]]),"0")</f>
        <v>0</v>
      </c>
      <c r="AX186" s="38">
        <v>0</v>
      </c>
      <c r="AY186" s="39">
        <f>+IFERROR((FT_RF_26[[#This Row],[Calibre &lt;10]]/FT_RF_26[[#This Row],[Muestra]]),"0")</f>
        <v>0</v>
      </c>
      <c r="AZ186" s="38">
        <v>0</v>
      </c>
      <c r="BA186" s="39">
        <f>+IFERROR((FT_RF_26[[#This Row],[Calibre &gt;13]]/FT_RF_26[[#This Row],[Muestra]]),"0")</f>
        <v>0</v>
      </c>
      <c r="BB186" s="41"/>
      <c r="BG186" s="42"/>
      <c r="BH186" s="43">
        <v>0</v>
      </c>
      <c r="BI186" s="29" t="s">
        <v>894</v>
      </c>
      <c r="BJ186" s="29" t="s">
        <v>894</v>
      </c>
      <c r="BK18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8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86" s="45">
        <f>1-FT_RF_26[[#This Row],[% Defectos]]</f>
        <v>1</v>
      </c>
      <c r="BO186" s="60"/>
      <c r="BP186" s="12">
        <f>SUM(FT_RF_26[[#This Row],[Hoja (Un.)]:[Larvas Caja]])</f>
        <v>0</v>
      </c>
      <c r="BQ186" s="12">
        <f>SUM(FT_RF_26[[#This Row],[Vidrios]:[Plástico]])</f>
        <v>0</v>
      </c>
      <c r="BR186" s="12" t="str">
        <f>IF(ISBLANK(FT_RF_26[[#This Row],[Descripción del producto]]),"",FT_RF_26[[#This Row],[Descripción del producto]])</f>
        <v/>
      </c>
      <c r="BS186" s="29" t="str">
        <f>IF(ISBLANK(FT_RF_26[[#This Row],[N° de Lote]]),"",FT_RF_26[[#This Row],[N° de Lote]])</f>
        <v/>
      </c>
      <c r="BT186" s="29" t="str">
        <f>IF(ISBLANK(FT_RF_26[[#This Row],[N° de Pallet]]),"",FT_RF_26[[#This Row],[N° de Pallet]])</f>
        <v/>
      </c>
    </row>
    <row r="187" spans="2:72">
      <c r="B187" s="29">
        <f>+_xlfn.ISOWEEKNUM(FT_RF_26[[#This Row],[Fecha]])</f>
        <v>52</v>
      </c>
      <c r="E187" s="31"/>
      <c r="F187" s="12" t="str">
        <f>IFERROR(""&amp;_xlfn.XLOOKUP(FT_RF_26[[#This Row],[Código]],BD_Cod[SKU],BD_Cod[Descripción]),"")</f>
        <v/>
      </c>
      <c r="G187" s="32" t="str">
        <f>IFERROR(""&amp;_xlfn.XLOOKUP(FT_RF_26[[#This Row],[Código]],BD_Cod[SKU],BD_Cod[Familia Calidad]),"")</f>
        <v/>
      </c>
      <c r="J187" s="33">
        <v>1000</v>
      </c>
      <c r="L187" s="30" t="s">
        <v>244</v>
      </c>
      <c r="O187" s="30" t="s">
        <v>894</v>
      </c>
      <c r="P187" s="29" t="s">
        <v>894</v>
      </c>
      <c r="Q187" s="37">
        <f>1-FT_RF_26[[#This Row],[% Defectos]]</f>
        <v>1</v>
      </c>
      <c r="R187" s="38">
        <v>0</v>
      </c>
      <c r="S187" s="39">
        <f>+IFERROR((FT_RF_26[[#This Row],[Inmadura]]/FT_RF_26[[#This Row],[Muestra]]),"0")</f>
        <v>0</v>
      </c>
      <c r="T187" s="38">
        <v>0</v>
      </c>
      <c r="U187" s="39">
        <f>+IFERROR((FT_RF_26[[#This Row],[Partidas]]/FT_RF_26[[#This Row],[Muestra]]),"0")</f>
        <v>0</v>
      </c>
      <c r="V187" s="38">
        <v>0</v>
      </c>
      <c r="W187" s="39">
        <f>+IFERROR((FT_RF_26[[#This Row],[Daño Insecto]]/FT_RF_26[[#This Row],[Muestra]]),"0")</f>
        <v>0</v>
      </c>
      <c r="X187" s="38">
        <v>0</v>
      </c>
      <c r="Y187" s="39">
        <f>+IFERROR((FT_RF_26[[#This Row],[Sobremadura]]/FT_RF_26[[#This Row],[Muestra]]),"0")</f>
        <v>0</v>
      </c>
      <c r="Z187" s="38">
        <v>0</v>
      </c>
      <c r="AA187" s="39">
        <f>+IFERROR((FT_RF_26[[#This Row],[Deforme]]/FT_RF_26[[#This Row],[Muestra]]),"0")</f>
        <v>0</v>
      </c>
      <c r="AB187" s="27"/>
      <c r="AC187" s="38">
        <v>0</v>
      </c>
      <c r="AD187" s="39">
        <f>+IFERROR((FT_RF_26[[#This Row],[Valor Extra 1]]/FT_RF_26[[#This Row],[Muestra]]),"0")</f>
        <v>0</v>
      </c>
      <c r="AF187" s="38">
        <v>0</v>
      </c>
      <c r="AG187" s="39">
        <f>+IFERROR((FT_RF_26[[#This Row],[Valor Extra 2]]/FT_RF_26[[#This Row],[Muestra]]),"0")</f>
        <v>0</v>
      </c>
      <c r="AH187" s="40">
        <v>0</v>
      </c>
      <c r="AI187" s="39">
        <f>+IFERROR((FT_RF_26[[#This Row],[Hongos]]/FT_RF_26[[#This Row],[Muestra]]),"0")</f>
        <v>0</v>
      </c>
      <c r="AJ187" s="38">
        <v>0</v>
      </c>
      <c r="AK187" s="39">
        <f>+IFERROR((FT_RF_26[[#This Row],[Block]]/FT_RF_26[[#This Row],[Muestra]]),"0")</f>
        <v>0</v>
      </c>
      <c r="AL187" s="41">
        <v>0</v>
      </c>
      <c r="AM187" s="42">
        <v>0</v>
      </c>
      <c r="AN187" s="38">
        <v>0</v>
      </c>
      <c r="AO187" s="39">
        <f>+IFERROR((FT_RF_26[[#This Row],[Fuera de calibre &lt;12mm]]/FT_RF_26[[#This Row],[Muestra]]),"0")</f>
        <v>0</v>
      </c>
      <c r="AP187" s="38">
        <v>0</v>
      </c>
      <c r="AQ187" s="39">
        <f>+IFERROR((FT_RF_26[[#This Row],[Calibre &lt;25]]/FT_RF_26[[#This Row],[Muestra]]),"0")</f>
        <v>0</v>
      </c>
      <c r="AR187" s="38">
        <v>0</v>
      </c>
      <c r="AS187" s="39">
        <f>+IFERROR((FT_RF_26[[#This Row],[Calibre &gt;12]]/FT_RF_26[[#This Row],[Muestra]]),"0")</f>
        <v>0</v>
      </c>
      <c r="AT187" s="38">
        <v>0</v>
      </c>
      <c r="AU187" s="39">
        <f>+IFERROR((FT_RF_26[[#This Row],[Calibre &lt;14]]/FT_RF_26[[#This Row],[Muestra]]),"0")</f>
        <v>0</v>
      </c>
      <c r="AV187" s="38">
        <v>0</v>
      </c>
      <c r="AW187" s="39">
        <f>+IFERROR((FT_RF_26[[#This Row],[Calibre &gt;14]]/FT_RF_26[[#This Row],[Muestra]]),"0")</f>
        <v>0</v>
      </c>
      <c r="AX187" s="38">
        <v>0</v>
      </c>
      <c r="AY187" s="39">
        <f>+IFERROR((FT_RF_26[[#This Row],[Calibre &lt;10]]/FT_RF_26[[#This Row],[Muestra]]),"0")</f>
        <v>0</v>
      </c>
      <c r="AZ187" s="38">
        <v>0</v>
      </c>
      <c r="BA187" s="39">
        <f>+IFERROR((FT_RF_26[[#This Row],[Calibre &gt;13]]/FT_RF_26[[#This Row],[Muestra]]),"0")</f>
        <v>0</v>
      </c>
      <c r="BB187" s="41"/>
      <c r="BG187" s="42"/>
      <c r="BH187" s="43">
        <v>0</v>
      </c>
      <c r="BI187" s="29" t="s">
        <v>894</v>
      </c>
      <c r="BJ187" s="29" t="s">
        <v>894</v>
      </c>
      <c r="BK18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8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87" s="45">
        <f>1-FT_RF_26[[#This Row],[% Defectos]]</f>
        <v>1</v>
      </c>
      <c r="BO187" s="60"/>
      <c r="BP187" s="12">
        <f>SUM(FT_RF_26[[#This Row],[Hoja (Un.)]:[Larvas Caja]])</f>
        <v>0</v>
      </c>
      <c r="BQ187" s="12">
        <f>SUM(FT_RF_26[[#This Row],[Vidrios]:[Plástico]])</f>
        <v>0</v>
      </c>
      <c r="BR187" s="12" t="str">
        <f>IF(ISBLANK(FT_RF_26[[#This Row],[Descripción del producto]]),"",FT_RF_26[[#This Row],[Descripción del producto]])</f>
        <v/>
      </c>
      <c r="BS187" s="29" t="str">
        <f>IF(ISBLANK(FT_RF_26[[#This Row],[N° de Lote]]),"",FT_RF_26[[#This Row],[N° de Lote]])</f>
        <v/>
      </c>
      <c r="BT187" s="29" t="str">
        <f>IF(ISBLANK(FT_RF_26[[#This Row],[N° de Pallet]]),"",FT_RF_26[[#This Row],[N° de Pallet]])</f>
        <v/>
      </c>
    </row>
    <row r="188" spans="2:72">
      <c r="B188" s="29">
        <f>+_xlfn.ISOWEEKNUM(FT_RF_26[[#This Row],[Fecha]])</f>
        <v>52</v>
      </c>
      <c r="E188" s="31"/>
      <c r="F188" s="12" t="str">
        <f>IFERROR(""&amp;_xlfn.XLOOKUP(FT_RF_26[[#This Row],[Código]],BD_Cod[SKU],BD_Cod[Descripción]),"")</f>
        <v/>
      </c>
      <c r="G188" s="32" t="str">
        <f>IFERROR(""&amp;_xlfn.XLOOKUP(FT_RF_26[[#This Row],[Código]],BD_Cod[SKU],BD_Cod[Familia Calidad]),"")</f>
        <v/>
      </c>
      <c r="J188" s="33">
        <v>1000</v>
      </c>
      <c r="L188" s="30" t="s">
        <v>244</v>
      </c>
      <c r="O188" s="30" t="s">
        <v>894</v>
      </c>
      <c r="P188" s="29" t="s">
        <v>894</v>
      </c>
      <c r="Q188" s="37">
        <f>1-FT_RF_26[[#This Row],[% Defectos]]</f>
        <v>1</v>
      </c>
      <c r="R188" s="38">
        <v>0</v>
      </c>
      <c r="S188" s="39">
        <f>+IFERROR((FT_RF_26[[#This Row],[Inmadura]]/FT_RF_26[[#This Row],[Muestra]]),"0")</f>
        <v>0</v>
      </c>
      <c r="T188" s="38">
        <v>0</v>
      </c>
      <c r="U188" s="39">
        <f>+IFERROR((FT_RF_26[[#This Row],[Partidas]]/FT_RF_26[[#This Row],[Muestra]]),"0")</f>
        <v>0</v>
      </c>
      <c r="V188" s="38">
        <v>0</v>
      </c>
      <c r="W188" s="39">
        <f>+IFERROR((FT_RF_26[[#This Row],[Daño Insecto]]/FT_RF_26[[#This Row],[Muestra]]),"0")</f>
        <v>0</v>
      </c>
      <c r="X188" s="38">
        <v>0</v>
      </c>
      <c r="Y188" s="39">
        <f>+IFERROR((FT_RF_26[[#This Row],[Sobremadura]]/FT_RF_26[[#This Row],[Muestra]]),"0")</f>
        <v>0</v>
      </c>
      <c r="Z188" s="38">
        <v>0</v>
      </c>
      <c r="AA188" s="39">
        <f>+IFERROR((FT_RF_26[[#This Row],[Deforme]]/FT_RF_26[[#This Row],[Muestra]]),"0")</f>
        <v>0</v>
      </c>
      <c r="AB188" s="27"/>
      <c r="AC188" s="38">
        <v>0</v>
      </c>
      <c r="AD188" s="39">
        <f>+IFERROR((FT_RF_26[[#This Row],[Valor Extra 1]]/FT_RF_26[[#This Row],[Muestra]]),"0")</f>
        <v>0</v>
      </c>
      <c r="AF188" s="38">
        <v>0</v>
      </c>
      <c r="AG188" s="39">
        <f>+IFERROR((FT_RF_26[[#This Row],[Valor Extra 2]]/FT_RF_26[[#This Row],[Muestra]]),"0")</f>
        <v>0</v>
      </c>
      <c r="AH188" s="40">
        <v>0</v>
      </c>
      <c r="AI188" s="39">
        <f>+IFERROR((FT_RF_26[[#This Row],[Hongos]]/FT_RF_26[[#This Row],[Muestra]]),"0")</f>
        <v>0</v>
      </c>
      <c r="AJ188" s="38">
        <v>0</v>
      </c>
      <c r="AK188" s="39">
        <f>+IFERROR((FT_RF_26[[#This Row],[Block]]/FT_RF_26[[#This Row],[Muestra]]),"0")</f>
        <v>0</v>
      </c>
      <c r="AL188" s="41">
        <v>0</v>
      </c>
      <c r="AM188" s="42">
        <v>0</v>
      </c>
      <c r="AN188" s="38">
        <v>0</v>
      </c>
      <c r="AO188" s="39">
        <f>+IFERROR((FT_RF_26[[#This Row],[Fuera de calibre &lt;12mm]]/FT_RF_26[[#This Row],[Muestra]]),"0")</f>
        <v>0</v>
      </c>
      <c r="AP188" s="38">
        <v>0</v>
      </c>
      <c r="AQ188" s="39">
        <f>+IFERROR((FT_RF_26[[#This Row],[Calibre &lt;25]]/FT_RF_26[[#This Row],[Muestra]]),"0")</f>
        <v>0</v>
      </c>
      <c r="AR188" s="38">
        <v>0</v>
      </c>
      <c r="AS188" s="39">
        <f>+IFERROR((FT_RF_26[[#This Row],[Calibre &gt;12]]/FT_RF_26[[#This Row],[Muestra]]),"0")</f>
        <v>0</v>
      </c>
      <c r="AT188" s="38">
        <v>0</v>
      </c>
      <c r="AU188" s="39">
        <f>+IFERROR((FT_RF_26[[#This Row],[Calibre &lt;14]]/FT_RF_26[[#This Row],[Muestra]]),"0")</f>
        <v>0</v>
      </c>
      <c r="AV188" s="38">
        <v>0</v>
      </c>
      <c r="AW188" s="39">
        <f>+IFERROR((FT_RF_26[[#This Row],[Calibre &gt;14]]/FT_RF_26[[#This Row],[Muestra]]),"0")</f>
        <v>0</v>
      </c>
      <c r="AX188" s="38">
        <v>0</v>
      </c>
      <c r="AY188" s="39">
        <f>+IFERROR((FT_RF_26[[#This Row],[Calibre &lt;10]]/FT_RF_26[[#This Row],[Muestra]]),"0")</f>
        <v>0</v>
      </c>
      <c r="AZ188" s="38">
        <v>0</v>
      </c>
      <c r="BA188" s="39">
        <f>+IFERROR((FT_RF_26[[#This Row],[Calibre &gt;13]]/FT_RF_26[[#This Row],[Muestra]]),"0")</f>
        <v>0</v>
      </c>
      <c r="BB188" s="41"/>
      <c r="BG188" s="42"/>
      <c r="BH188" s="43">
        <v>0</v>
      </c>
      <c r="BI188" s="29" t="s">
        <v>894</v>
      </c>
      <c r="BJ188" s="29" t="s">
        <v>894</v>
      </c>
      <c r="BK18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8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88" s="45">
        <f>1-FT_RF_26[[#This Row],[% Defectos]]</f>
        <v>1</v>
      </c>
      <c r="BO188" s="60"/>
      <c r="BP188" s="12">
        <f>SUM(FT_RF_26[[#This Row],[Hoja (Un.)]:[Larvas Caja]])</f>
        <v>0</v>
      </c>
      <c r="BQ188" s="12">
        <f>SUM(FT_RF_26[[#This Row],[Vidrios]:[Plástico]])</f>
        <v>0</v>
      </c>
      <c r="BR188" s="12" t="str">
        <f>IF(ISBLANK(FT_RF_26[[#This Row],[Descripción del producto]]),"",FT_RF_26[[#This Row],[Descripción del producto]])</f>
        <v/>
      </c>
      <c r="BS188" s="29" t="str">
        <f>IF(ISBLANK(FT_RF_26[[#This Row],[N° de Lote]]),"",FT_RF_26[[#This Row],[N° de Lote]])</f>
        <v/>
      </c>
      <c r="BT188" s="29" t="str">
        <f>IF(ISBLANK(FT_RF_26[[#This Row],[N° de Pallet]]),"",FT_RF_26[[#This Row],[N° de Pallet]])</f>
        <v/>
      </c>
    </row>
    <row r="189" spans="2:72">
      <c r="B189" s="29">
        <f>+_xlfn.ISOWEEKNUM(FT_RF_26[[#This Row],[Fecha]])</f>
        <v>52</v>
      </c>
      <c r="E189" s="31"/>
      <c r="F189" s="12" t="str">
        <f>IFERROR(""&amp;_xlfn.XLOOKUP(FT_RF_26[[#This Row],[Código]],BD_Cod[SKU],BD_Cod[Descripción]),"")</f>
        <v/>
      </c>
      <c r="G189" s="32" t="str">
        <f>IFERROR(""&amp;_xlfn.XLOOKUP(FT_RF_26[[#This Row],[Código]],BD_Cod[SKU],BD_Cod[Familia Calidad]),"")</f>
        <v/>
      </c>
      <c r="J189" s="33">
        <v>1000</v>
      </c>
      <c r="L189" s="30" t="s">
        <v>244</v>
      </c>
      <c r="O189" s="30" t="s">
        <v>894</v>
      </c>
      <c r="P189" s="29" t="s">
        <v>894</v>
      </c>
      <c r="Q189" s="37">
        <f>1-FT_RF_26[[#This Row],[% Defectos]]</f>
        <v>1</v>
      </c>
      <c r="R189" s="38">
        <v>0</v>
      </c>
      <c r="S189" s="39">
        <f>+IFERROR((FT_RF_26[[#This Row],[Inmadura]]/FT_RF_26[[#This Row],[Muestra]]),"0")</f>
        <v>0</v>
      </c>
      <c r="T189" s="38">
        <v>0</v>
      </c>
      <c r="U189" s="39">
        <f>+IFERROR((FT_RF_26[[#This Row],[Partidas]]/FT_RF_26[[#This Row],[Muestra]]),"0")</f>
        <v>0</v>
      </c>
      <c r="V189" s="38">
        <v>0</v>
      </c>
      <c r="W189" s="39">
        <f>+IFERROR((FT_RF_26[[#This Row],[Daño Insecto]]/FT_RF_26[[#This Row],[Muestra]]),"0")</f>
        <v>0</v>
      </c>
      <c r="X189" s="38">
        <v>0</v>
      </c>
      <c r="Y189" s="39">
        <f>+IFERROR((FT_RF_26[[#This Row],[Sobremadura]]/FT_RF_26[[#This Row],[Muestra]]),"0")</f>
        <v>0</v>
      </c>
      <c r="Z189" s="38">
        <v>0</v>
      </c>
      <c r="AA189" s="39">
        <f>+IFERROR((FT_RF_26[[#This Row],[Deforme]]/FT_RF_26[[#This Row],[Muestra]]),"0")</f>
        <v>0</v>
      </c>
      <c r="AB189" s="27"/>
      <c r="AC189" s="38">
        <v>0</v>
      </c>
      <c r="AD189" s="39">
        <f>+IFERROR((FT_RF_26[[#This Row],[Valor Extra 1]]/FT_RF_26[[#This Row],[Muestra]]),"0")</f>
        <v>0</v>
      </c>
      <c r="AF189" s="38">
        <v>0</v>
      </c>
      <c r="AG189" s="39">
        <f>+IFERROR((FT_RF_26[[#This Row],[Valor Extra 2]]/FT_RF_26[[#This Row],[Muestra]]),"0")</f>
        <v>0</v>
      </c>
      <c r="AH189" s="40">
        <v>0</v>
      </c>
      <c r="AI189" s="39">
        <f>+IFERROR((FT_RF_26[[#This Row],[Hongos]]/FT_RF_26[[#This Row],[Muestra]]),"0")</f>
        <v>0</v>
      </c>
      <c r="AJ189" s="38">
        <v>0</v>
      </c>
      <c r="AK189" s="39">
        <f>+IFERROR((FT_RF_26[[#This Row],[Block]]/FT_RF_26[[#This Row],[Muestra]]),"0")</f>
        <v>0</v>
      </c>
      <c r="AL189" s="41">
        <v>0</v>
      </c>
      <c r="AM189" s="42">
        <v>0</v>
      </c>
      <c r="AN189" s="38">
        <v>0</v>
      </c>
      <c r="AO189" s="39">
        <f>+IFERROR((FT_RF_26[[#This Row],[Fuera de calibre &lt;12mm]]/FT_RF_26[[#This Row],[Muestra]]),"0")</f>
        <v>0</v>
      </c>
      <c r="AP189" s="38">
        <v>0</v>
      </c>
      <c r="AQ189" s="39">
        <f>+IFERROR((FT_RF_26[[#This Row],[Calibre &lt;25]]/FT_RF_26[[#This Row],[Muestra]]),"0")</f>
        <v>0</v>
      </c>
      <c r="AR189" s="38">
        <v>0</v>
      </c>
      <c r="AS189" s="39">
        <f>+IFERROR((FT_RF_26[[#This Row],[Calibre &gt;12]]/FT_RF_26[[#This Row],[Muestra]]),"0")</f>
        <v>0</v>
      </c>
      <c r="AT189" s="38">
        <v>0</v>
      </c>
      <c r="AU189" s="39">
        <f>+IFERROR((FT_RF_26[[#This Row],[Calibre &lt;14]]/FT_RF_26[[#This Row],[Muestra]]),"0")</f>
        <v>0</v>
      </c>
      <c r="AV189" s="38">
        <v>0</v>
      </c>
      <c r="AW189" s="39">
        <f>+IFERROR((FT_RF_26[[#This Row],[Calibre &gt;14]]/FT_RF_26[[#This Row],[Muestra]]),"0")</f>
        <v>0</v>
      </c>
      <c r="AX189" s="38">
        <v>0</v>
      </c>
      <c r="AY189" s="39">
        <f>+IFERROR((FT_RF_26[[#This Row],[Calibre &lt;10]]/FT_RF_26[[#This Row],[Muestra]]),"0")</f>
        <v>0</v>
      </c>
      <c r="AZ189" s="38">
        <v>0</v>
      </c>
      <c r="BA189" s="39">
        <f>+IFERROR((FT_RF_26[[#This Row],[Calibre &gt;13]]/FT_RF_26[[#This Row],[Muestra]]),"0")</f>
        <v>0</v>
      </c>
      <c r="BB189" s="41"/>
      <c r="BG189" s="42"/>
      <c r="BH189" s="43">
        <v>0</v>
      </c>
      <c r="BI189" s="29" t="s">
        <v>894</v>
      </c>
      <c r="BJ189" s="29" t="s">
        <v>894</v>
      </c>
      <c r="BK18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8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89" s="45">
        <f>1-FT_RF_26[[#This Row],[% Defectos]]</f>
        <v>1</v>
      </c>
      <c r="BO189" s="60"/>
      <c r="BP189" s="12">
        <f>SUM(FT_RF_26[[#This Row],[Hoja (Un.)]:[Larvas Caja]])</f>
        <v>0</v>
      </c>
      <c r="BQ189" s="12">
        <f>SUM(FT_RF_26[[#This Row],[Vidrios]:[Plástico]])</f>
        <v>0</v>
      </c>
      <c r="BR189" s="12" t="str">
        <f>IF(ISBLANK(FT_RF_26[[#This Row],[Descripción del producto]]),"",FT_RF_26[[#This Row],[Descripción del producto]])</f>
        <v/>
      </c>
      <c r="BS189" s="29" t="str">
        <f>IF(ISBLANK(FT_RF_26[[#This Row],[N° de Lote]]),"",FT_RF_26[[#This Row],[N° de Lote]])</f>
        <v/>
      </c>
      <c r="BT189" s="29" t="str">
        <f>IF(ISBLANK(FT_RF_26[[#This Row],[N° de Pallet]]),"",FT_RF_26[[#This Row],[N° de Pallet]])</f>
        <v/>
      </c>
    </row>
    <row r="190" spans="2:72">
      <c r="B190" s="29">
        <f>+_xlfn.ISOWEEKNUM(FT_RF_26[[#This Row],[Fecha]])</f>
        <v>52</v>
      </c>
      <c r="E190" s="31"/>
      <c r="F190" s="12" t="str">
        <f>IFERROR(""&amp;_xlfn.XLOOKUP(FT_RF_26[[#This Row],[Código]],BD_Cod[SKU],BD_Cod[Descripción]),"")</f>
        <v/>
      </c>
      <c r="G190" s="32" t="str">
        <f>IFERROR(""&amp;_xlfn.XLOOKUP(FT_RF_26[[#This Row],[Código]],BD_Cod[SKU],BD_Cod[Familia Calidad]),"")</f>
        <v/>
      </c>
      <c r="J190" s="33">
        <v>1000</v>
      </c>
      <c r="L190" s="30" t="s">
        <v>244</v>
      </c>
      <c r="O190" s="30" t="s">
        <v>894</v>
      </c>
      <c r="P190" s="29" t="s">
        <v>894</v>
      </c>
      <c r="Q190" s="37">
        <f>1-FT_RF_26[[#This Row],[% Defectos]]</f>
        <v>1</v>
      </c>
      <c r="R190" s="38">
        <v>0</v>
      </c>
      <c r="S190" s="39">
        <f>+IFERROR((FT_RF_26[[#This Row],[Inmadura]]/FT_RF_26[[#This Row],[Muestra]]),"0")</f>
        <v>0</v>
      </c>
      <c r="T190" s="38">
        <v>0</v>
      </c>
      <c r="U190" s="39">
        <f>+IFERROR((FT_RF_26[[#This Row],[Partidas]]/FT_RF_26[[#This Row],[Muestra]]),"0")</f>
        <v>0</v>
      </c>
      <c r="V190" s="38">
        <v>0</v>
      </c>
      <c r="W190" s="39">
        <f>+IFERROR((FT_RF_26[[#This Row],[Daño Insecto]]/FT_RF_26[[#This Row],[Muestra]]),"0")</f>
        <v>0</v>
      </c>
      <c r="X190" s="38">
        <v>0</v>
      </c>
      <c r="Y190" s="39">
        <f>+IFERROR((FT_RF_26[[#This Row],[Sobremadura]]/FT_RF_26[[#This Row],[Muestra]]),"0")</f>
        <v>0</v>
      </c>
      <c r="Z190" s="38">
        <v>0</v>
      </c>
      <c r="AA190" s="39">
        <f>+IFERROR((FT_RF_26[[#This Row],[Deforme]]/FT_RF_26[[#This Row],[Muestra]]),"0")</f>
        <v>0</v>
      </c>
      <c r="AB190" s="27"/>
      <c r="AC190" s="38">
        <v>0</v>
      </c>
      <c r="AD190" s="39">
        <f>+IFERROR((FT_RF_26[[#This Row],[Valor Extra 1]]/FT_RF_26[[#This Row],[Muestra]]),"0")</f>
        <v>0</v>
      </c>
      <c r="AF190" s="38">
        <v>0</v>
      </c>
      <c r="AG190" s="39">
        <f>+IFERROR((FT_RF_26[[#This Row],[Valor Extra 2]]/FT_RF_26[[#This Row],[Muestra]]),"0")</f>
        <v>0</v>
      </c>
      <c r="AH190" s="40">
        <v>0</v>
      </c>
      <c r="AI190" s="39">
        <f>+IFERROR((FT_RF_26[[#This Row],[Hongos]]/FT_RF_26[[#This Row],[Muestra]]),"0")</f>
        <v>0</v>
      </c>
      <c r="AJ190" s="38">
        <v>0</v>
      </c>
      <c r="AK190" s="39">
        <f>+IFERROR((FT_RF_26[[#This Row],[Block]]/FT_RF_26[[#This Row],[Muestra]]),"0")</f>
        <v>0</v>
      </c>
      <c r="AL190" s="41">
        <v>0</v>
      </c>
      <c r="AM190" s="42">
        <v>0</v>
      </c>
      <c r="AN190" s="38">
        <v>0</v>
      </c>
      <c r="AO190" s="39">
        <f>+IFERROR((FT_RF_26[[#This Row],[Fuera de calibre &lt;12mm]]/FT_RF_26[[#This Row],[Muestra]]),"0")</f>
        <v>0</v>
      </c>
      <c r="AP190" s="38">
        <v>0</v>
      </c>
      <c r="AQ190" s="39">
        <f>+IFERROR((FT_RF_26[[#This Row],[Calibre &lt;25]]/FT_RF_26[[#This Row],[Muestra]]),"0")</f>
        <v>0</v>
      </c>
      <c r="AR190" s="38">
        <v>0</v>
      </c>
      <c r="AS190" s="39">
        <f>+IFERROR((FT_RF_26[[#This Row],[Calibre &gt;12]]/FT_RF_26[[#This Row],[Muestra]]),"0")</f>
        <v>0</v>
      </c>
      <c r="AT190" s="38">
        <v>0</v>
      </c>
      <c r="AU190" s="39">
        <f>+IFERROR((FT_RF_26[[#This Row],[Calibre &lt;14]]/FT_RF_26[[#This Row],[Muestra]]),"0")</f>
        <v>0</v>
      </c>
      <c r="AV190" s="38">
        <v>0</v>
      </c>
      <c r="AW190" s="39">
        <f>+IFERROR((FT_RF_26[[#This Row],[Calibre &gt;14]]/FT_RF_26[[#This Row],[Muestra]]),"0")</f>
        <v>0</v>
      </c>
      <c r="AX190" s="38">
        <v>0</v>
      </c>
      <c r="AY190" s="39">
        <f>+IFERROR((FT_RF_26[[#This Row],[Calibre &lt;10]]/FT_RF_26[[#This Row],[Muestra]]),"0")</f>
        <v>0</v>
      </c>
      <c r="AZ190" s="38">
        <v>0</v>
      </c>
      <c r="BA190" s="39">
        <f>+IFERROR((FT_RF_26[[#This Row],[Calibre &gt;13]]/FT_RF_26[[#This Row],[Muestra]]),"0")</f>
        <v>0</v>
      </c>
      <c r="BB190" s="41"/>
      <c r="BG190" s="42"/>
      <c r="BH190" s="43">
        <v>0</v>
      </c>
      <c r="BI190" s="29" t="s">
        <v>894</v>
      </c>
      <c r="BJ190" s="29" t="s">
        <v>894</v>
      </c>
      <c r="BK19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9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90" s="45">
        <f>1-FT_RF_26[[#This Row],[% Defectos]]</f>
        <v>1</v>
      </c>
      <c r="BO190" s="60"/>
      <c r="BP190" s="12">
        <f>SUM(FT_RF_26[[#This Row],[Hoja (Un.)]:[Larvas Caja]])</f>
        <v>0</v>
      </c>
      <c r="BQ190" s="12">
        <f>SUM(FT_RF_26[[#This Row],[Vidrios]:[Plástico]])</f>
        <v>0</v>
      </c>
      <c r="BR190" s="12" t="str">
        <f>IF(ISBLANK(FT_RF_26[[#This Row],[Descripción del producto]]),"",FT_RF_26[[#This Row],[Descripción del producto]])</f>
        <v/>
      </c>
      <c r="BS190" s="29" t="str">
        <f>IF(ISBLANK(FT_RF_26[[#This Row],[N° de Lote]]),"",FT_RF_26[[#This Row],[N° de Lote]])</f>
        <v/>
      </c>
      <c r="BT190" s="29" t="str">
        <f>IF(ISBLANK(FT_RF_26[[#This Row],[N° de Pallet]]),"",FT_RF_26[[#This Row],[N° de Pallet]])</f>
        <v/>
      </c>
    </row>
    <row r="191" spans="2:72">
      <c r="B191" s="29">
        <f>+_xlfn.ISOWEEKNUM(FT_RF_26[[#This Row],[Fecha]])</f>
        <v>52</v>
      </c>
      <c r="E191" s="31"/>
      <c r="F191" s="12" t="str">
        <f>IFERROR(""&amp;_xlfn.XLOOKUP(FT_RF_26[[#This Row],[Código]],BD_Cod[SKU],BD_Cod[Descripción]),"")</f>
        <v/>
      </c>
      <c r="G191" s="32" t="str">
        <f>IFERROR(""&amp;_xlfn.XLOOKUP(FT_RF_26[[#This Row],[Código]],BD_Cod[SKU],BD_Cod[Familia Calidad]),"")</f>
        <v/>
      </c>
      <c r="J191" s="33">
        <v>1000</v>
      </c>
      <c r="L191" s="30" t="s">
        <v>244</v>
      </c>
      <c r="O191" s="30" t="s">
        <v>894</v>
      </c>
      <c r="P191" s="29" t="s">
        <v>894</v>
      </c>
      <c r="Q191" s="37">
        <f>1-FT_RF_26[[#This Row],[% Defectos]]</f>
        <v>1</v>
      </c>
      <c r="R191" s="38">
        <v>0</v>
      </c>
      <c r="S191" s="39">
        <f>+IFERROR((FT_RF_26[[#This Row],[Inmadura]]/FT_RF_26[[#This Row],[Muestra]]),"0")</f>
        <v>0</v>
      </c>
      <c r="T191" s="38">
        <v>0</v>
      </c>
      <c r="U191" s="39">
        <f>+IFERROR((FT_RF_26[[#This Row],[Partidas]]/FT_RF_26[[#This Row],[Muestra]]),"0")</f>
        <v>0</v>
      </c>
      <c r="V191" s="38">
        <v>0</v>
      </c>
      <c r="W191" s="39">
        <f>+IFERROR((FT_RF_26[[#This Row],[Daño Insecto]]/FT_RF_26[[#This Row],[Muestra]]),"0")</f>
        <v>0</v>
      </c>
      <c r="X191" s="38">
        <v>0</v>
      </c>
      <c r="Y191" s="39">
        <f>+IFERROR((FT_RF_26[[#This Row],[Sobremadura]]/FT_RF_26[[#This Row],[Muestra]]),"0")</f>
        <v>0</v>
      </c>
      <c r="Z191" s="38">
        <v>0</v>
      </c>
      <c r="AA191" s="39">
        <f>+IFERROR((FT_RF_26[[#This Row],[Deforme]]/FT_RF_26[[#This Row],[Muestra]]),"0")</f>
        <v>0</v>
      </c>
      <c r="AB191" s="27"/>
      <c r="AC191" s="38">
        <v>0</v>
      </c>
      <c r="AD191" s="39">
        <f>+IFERROR((FT_RF_26[[#This Row],[Valor Extra 1]]/FT_RF_26[[#This Row],[Muestra]]),"0")</f>
        <v>0</v>
      </c>
      <c r="AF191" s="38">
        <v>0</v>
      </c>
      <c r="AG191" s="39">
        <f>+IFERROR((FT_RF_26[[#This Row],[Valor Extra 2]]/FT_RF_26[[#This Row],[Muestra]]),"0")</f>
        <v>0</v>
      </c>
      <c r="AH191" s="40">
        <v>0</v>
      </c>
      <c r="AI191" s="39">
        <f>+IFERROR((FT_RF_26[[#This Row],[Hongos]]/FT_RF_26[[#This Row],[Muestra]]),"0")</f>
        <v>0</v>
      </c>
      <c r="AJ191" s="38">
        <v>0</v>
      </c>
      <c r="AK191" s="39">
        <f>+IFERROR((FT_RF_26[[#This Row],[Block]]/FT_RF_26[[#This Row],[Muestra]]),"0")</f>
        <v>0</v>
      </c>
      <c r="AL191" s="41">
        <v>0</v>
      </c>
      <c r="AM191" s="42">
        <v>0</v>
      </c>
      <c r="AN191" s="38">
        <v>0</v>
      </c>
      <c r="AO191" s="39">
        <f>+IFERROR((FT_RF_26[[#This Row],[Fuera de calibre &lt;12mm]]/FT_RF_26[[#This Row],[Muestra]]),"0")</f>
        <v>0</v>
      </c>
      <c r="AP191" s="38">
        <v>0</v>
      </c>
      <c r="AQ191" s="39">
        <f>+IFERROR((FT_RF_26[[#This Row],[Calibre &lt;25]]/FT_RF_26[[#This Row],[Muestra]]),"0")</f>
        <v>0</v>
      </c>
      <c r="AR191" s="38">
        <v>0</v>
      </c>
      <c r="AS191" s="39">
        <f>+IFERROR((FT_RF_26[[#This Row],[Calibre &gt;12]]/FT_RF_26[[#This Row],[Muestra]]),"0")</f>
        <v>0</v>
      </c>
      <c r="AT191" s="38">
        <v>0</v>
      </c>
      <c r="AU191" s="39">
        <f>+IFERROR((FT_RF_26[[#This Row],[Calibre &lt;14]]/FT_RF_26[[#This Row],[Muestra]]),"0")</f>
        <v>0</v>
      </c>
      <c r="AV191" s="38">
        <v>0</v>
      </c>
      <c r="AW191" s="39">
        <f>+IFERROR((FT_RF_26[[#This Row],[Calibre &gt;14]]/FT_RF_26[[#This Row],[Muestra]]),"0")</f>
        <v>0</v>
      </c>
      <c r="AX191" s="38">
        <v>0</v>
      </c>
      <c r="AY191" s="39">
        <f>+IFERROR((FT_RF_26[[#This Row],[Calibre &lt;10]]/FT_RF_26[[#This Row],[Muestra]]),"0")</f>
        <v>0</v>
      </c>
      <c r="AZ191" s="38">
        <v>0</v>
      </c>
      <c r="BA191" s="39">
        <f>+IFERROR((FT_RF_26[[#This Row],[Calibre &gt;13]]/FT_RF_26[[#This Row],[Muestra]]),"0")</f>
        <v>0</v>
      </c>
      <c r="BB191" s="41"/>
      <c r="BG191" s="42"/>
      <c r="BH191" s="43">
        <v>0</v>
      </c>
      <c r="BI191" s="29" t="s">
        <v>894</v>
      </c>
      <c r="BJ191" s="29" t="s">
        <v>894</v>
      </c>
      <c r="BK19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9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91" s="45">
        <f>1-FT_RF_26[[#This Row],[% Defectos]]</f>
        <v>1</v>
      </c>
      <c r="BO191" s="60"/>
      <c r="BP191" s="12">
        <f>SUM(FT_RF_26[[#This Row],[Hoja (Un.)]:[Larvas Caja]])</f>
        <v>0</v>
      </c>
      <c r="BQ191" s="12">
        <f>SUM(FT_RF_26[[#This Row],[Vidrios]:[Plástico]])</f>
        <v>0</v>
      </c>
      <c r="BR191" s="12" t="str">
        <f>IF(ISBLANK(FT_RF_26[[#This Row],[Descripción del producto]]),"",FT_RF_26[[#This Row],[Descripción del producto]])</f>
        <v/>
      </c>
      <c r="BS191" s="29" t="str">
        <f>IF(ISBLANK(FT_RF_26[[#This Row],[N° de Lote]]),"",FT_RF_26[[#This Row],[N° de Lote]])</f>
        <v/>
      </c>
      <c r="BT191" s="29" t="str">
        <f>IF(ISBLANK(FT_RF_26[[#This Row],[N° de Pallet]]),"",FT_RF_26[[#This Row],[N° de Pallet]])</f>
        <v/>
      </c>
    </row>
    <row r="192" spans="2:72">
      <c r="B192" s="29">
        <f>+_xlfn.ISOWEEKNUM(FT_RF_26[[#This Row],[Fecha]])</f>
        <v>52</v>
      </c>
      <c r="E192" s="31"/>
      <c r="F192" s="12" t="str">
        <f>IFERROR(""&amp;_xlfn.XLOOKUP(FT_RF_26[[#This Row],[Código]],BD_Cod[SKU],BD_Cod[Descripción]),"")</f>
        <v/>
      </c>
      <c r="G192" s="32" t="str">
        <f>IFERROR(""&amp;_xlfn.XLOOKUP(FT_RF_26[[#This Row],[Código]],BD_Cod[SKU],BD_Cod[Familia Calidad]),"")</f>
        <v/>
      </c>
      <c r="J192" s="33">
        <v>1000</v>
      </c>
      <c r="L192" s="30" t="s">
        <v>244</v>
      </c>
      <c r="O192" s="30" t="s">
        <v>894</v>
      </c>
      <c r="P192" s="29" t="s">
        <v>894</v>
      </c>
      <c r="Q192" s="37">
        <f>1-FT_RF_26[[#This Row],[% Defectos]]</f>
        <v>1</v>
      </c>
      <c r="R192" s="38">
        <v>0</v>
      </c>
      <c r="S192" s="39">
        <f>+IFERROR((FT_RF_26[[#This Row],[Inmadura]]/FT_RF_26[[#This Row],[Muestra]]),"0")</f>
        <v>0</v>
      </c>
      <c r="T192" s="38">
        <v>0</v>
      </c>
      <c r="U192" s="39">
        <f>+IFERROR((FT_RF_26[[#This Row],[Partidas]]/FT_RF_26[[#This Row],[Muestra]]),"0")</f>
        <v>0</v>
      </c>
      <c r="V192" s="38">
        <v>0</v>
      </c>
      <c r="W192" s="39">
        <f>+IFERROR((FT_RF_26[[#This Row],[Daño Insecto]]/FT_RF_26[[#This Row],[Muestra]]),"0")</f>
        <v>0</v>
      </c>
      <c r="X192" s="38">
        <v>0</v>
      </c>
      <c r="Y192" s="39">
        <f>+IFERROR((FT_RF_26[[#This Row],[Sobremadura]]/FT_RF_26[[#This Row],[Muestra]]),"0")</f>
        <v>0</v>
      </c>
      <c r="Z192" s="38">
        <v>0</v>
      </c>
      <c r="AA192" s="39">
        <f>+IFERROR((FT_RF_26[[#This Row],[Deforme]]/FT_RF_26[[#This Row],[Muestra]]),"0")</f>
        <v>0</v>
      </c>
      <c r="AB192" s="27"/>
      <c r="AC192" s="38">
        <v>0</v>
      </c>
      <c r="AD192" s="39">
        <f>+IFERROR((FT_RF_26[[#This Row],[Valor Extra 1]]/FT_RF_26[[#This Row],[Muestra]]),"0")</f>
        <v>0</v>
      </c>
      <c r="AF192" s="38">
        <v>0</v>
      </c>
      <c r="AG192" s="39">
        <f>+IFERROR((FT_RF_26[[#This Row],[Valor Extra 2]]/FT_RF_26[[#This Row],[Muestra]]),"0")</f>
        <v>0</v>
      </c>
      <c r="AH192" s="40">
        <v>0</v>
      </c>
      <c r="AI192" s="39">
        <f>+IFERROR((FT_RF_26[[#This Row],[Hongos]]/FT_RF_26[[#This Row],[Muestra]]),"0")</f>
        <v>0</v>
      </c>
      <c r="AJ192" s="38">
        <v>0</v>
      </c>
      <c r="AK192" s="39">
        <f>+IFERROR((FT_RF_26[[#This Row],[Block]]/FT_RF_26[[#This Row],[Muestra]]),"0")</f>
        <v>0</v>
      </c>
      <c r="AL192" s="41">
        <v>0</v>
      </c>
      <c r="AM192" s="42">
        <v>0</v>
      </c>
      <c r="AN192" s="38">
        <v>0</v>
      </c>
      <c r="AO192" s="39">
        <f>+IFERROR((FT_RF_26[[#This Row],[Fuera de calibre &lt;12mm]]/FT_RF_26[[#This Row],[Muestra]]),"0")</f>
        <v>0</v>
      </c>
      <c r="AP192" s="38">
        <v>0</v>
      </c>
      <c r="AQ192" s="39">
        <f>+IFERROR((FT_RF_26[[#This Row],[Calibre &lt;25]]/FT_RF_26[[#This Row],[Muestra]]),"0")</f>
        <v>0</v>
      </c>
      <c r="AR192" s="38">
        <v>0</v>
      </c>
      <c r="AS192" s="39">
        <f>+IFERROR((FT_RF_26[[#This Row],[Calibre &gt;12]]/FT_RF_26[[#This Row],[Muestra]]),"0")</f>
        <v>0</v>
      </c>
      <c r="AT192" s="38">
        <v>0</v>
      </c>
      <c r="AU192" s="39">
        <f>+IFERROR((FT_RF_26[[#This Row],[Calibre &lt;14]]/FT_RF_26[[#This Row],[Muestra]]),"0")</f>
        <v>0</v>
      </c>
      <c r="AV192" s="38">
        <v>0</v>
      </c>
      <c r="AW192" s="39">
        <f>+IFERROR((FT_RF_26[[#This Row],[Calibre &gt;14]]/FT_RF_26[[#This Row],[Muestra]]),"0")</f>
        <v>0</v>
      </c>
      <c r="AX192" s="38">
        <v>0</v>
      </c>
      <c r="AY192" s="39">
        <f>+IFERROR((FT_RF_26[[#This Row],[Calibre &lt;10]]/FT_RF_26[[#This Row],[Muestra]]),"0")</f>
        <v>0</v>
      </c>
      <c r="AZ192" s="38">
        <v>0</v>
      </c>
      <c r="BA192" s="39">
        <f>+IFERROR((FT_RF_26[[#This Row],[Calibre &gt;13]]/FT_RF_26[[#This Row],[Muestra]]),"0")</f>
        <v>0</v>
      </c>
      <c r="BB192" s="41"/>
      <c r="BG192" s="42"/>
      <c r="BH192" s="43">
        <v>0</v>
      </c>
      <c r="BI192" s="29" t="s">
        <v>894</v>
      </c>
      <c r="BJ192" s="29" t="s">
        <v>894</v>
      </c>
      <c r="BK19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9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92" s="45">
        <f>1-FT_RF_26[[#This Row],[% Defectos]]</f>
        <v>1</v>
      </c>
      <c r="BO192" s="60"/>
      <c r="BP192" s="12">
        <f>SUM(FT_RF_26[[#This Row],[Hoja (Un.)]:[Larvas Caja]])</f>
        <v>0</v>
      </c>
      <c r="BQ192" s="12">
        <f>SUM(FT_RF_26[[#This Row],[Vidrios]:[Plástico]])</f>
        <v>0</v>
      </c>
      <c r="BR192" s="12" t="str">
        <f>IF(ISBLANK(FT_RF_26[[#This Row],[Descripción del producto]]),"",FT_RF_26[[#This Row],[Descripción del producto]])</f>
        <v/>
      </c>
      <c r="BS192" s="29" t="str">
        <f>IF(ISBLANK(FT_RF_26[[#This Row],[N° de Lote]]),"",FT_RF_26[[#This Row],[N° de Lote]])</f>
        <v/>
      </c>
      <c r="BT192" s="29" t="str">
        <f>IF(ISBLANK(FT_RF_26[[#This Row],[N° de Pallet]]),"",FT_RF_26[[#This Row],[N° de Pallet]])</f>
        <v/>
      </c>
    </row>
    <row r="193" spans="2:72">
      <c r="B193" s="29">
        <f>+_xlfn.ISOWEEKNUM(FT_RF_26[[#This Row],[Fecha]])</f>
        <v>52</v>
      </c>
      <c r="E193" s="31"/>
      <c r="F193" s="12" t="str">
        <f>IFERROR(""&amp;_xlfn.XLOOKUP(FT_RF_26[[#This Row],[Código]],BD_Cod[SKU],BD_Cod[Descripción]),"")</f>
        <v/>
      </c>
      <c r="G193" s="32" t="str">
        <f>IFERROR(""&amp;_xlfn.XLOOKUP(FT_RF_26[[#This Row],[Código]],BD_Cod[SKU],BD_Cod[Familia Calidad]),"")</f>
        <v/>
      </c>
      <c r="J193" s="33">
        <v>1000</v>
      </c>
      <c r="L193" s="30" t="s">
        <v>244</v>
      </c>
      <c r="O193" s="30" t="s">
        <v>894</v>
      </c>
      <c r="P193" s="29" t="s">
        <v>894</v>
      </c>
      <c r="Q193" s="37">
        <f>1-FT_RF_26[[#This Row],[% Defectos]]</f>
        <v>1</v>
      </c>
      <c r="R193" s="38">
        <v>0</v>
      </c>
      <c r="S193" s="39">
        <f>+IFERROR((FT_RF_26[[#This Row],[Inmadura]]/FT_RF_26[[#This Row],[Muestra]]),"0")</f>
        <v>0</v>
      </c>
      <c r="T193" s="38">
        <v>0</v>
      </c>
      <c r="U193" s="39">
        <f>+IFERROR((FT_RF_26[[#This Row],[Partidas]]/FT_RF_26[[#This Row],[Muestra]]),"0")</f>
        <v>0</v>
      </c>
      <c r="V193" s="38">
        <v>0</v>
      </c>
      <c r="W193" s="39">
        <f>+IFERROR((FT_RF_26[[#This Row],[Daño Insecto]]/FT_RF_26[[#This Row],[Muestra]]),"0")</f>
        <v>0</v>
      </c>
      <c r="X193" s="38">
        <v>0</v>
      </c>
      <c r="Y193" s="39">
        <f>+IFERROR((FT_RF_26[[#This Row],[Sobremadura]]/FT_RF_26[[#This Row],[Muestra]]),"0")</f>
        <v>0</v>
      </c>
      <c r="Z193" s="38">
        <v>0</v>
      </c>
      <c r="AA193" s="39">
        <f>+IFERROR((FT_RF_26[[#This Row],[Deforme]]/FT_RF_26[[#This Row],[Muestra]]),"0")</f>
        <v>0</v>
      </c>
      <c r="AB193" s="27"/>
      <c r="AC193" s="38">
        <v>0</v>
      </c>
      <c r="AD193" s="39">
        <f>+IFERROR((FT_RF_26[[#This Row],[Valor Extra 1]]/FT_RF_26[[#This Row],[Muestra]]),"0")</f>
        <v>0</v>
      </c>
      <c r="AF193" s="38">
        <v>0</v>
      </c>
      <c r="AG193" s="39">
        <f>+IFERROR((FT_RF_26[[#This Row],[Valor Extra 2]]/FT_RF_26[[#This Row],[Muestra]]),"0")</f>
        <v>0</v>
      </c>
      <c r="AH193" s="40">
        <v>0</v>
      </c>
      <c r="AI193" s="39">
        <f>+IFERROR((FT_RF_26[[#This Row],[Hongos]]/FT_RF_26[[#This Row],[Muestra]]),"0")</f>
        <v>0</v>
      </c>
      <c r="AJ193" s="38">
        <v>0</v>
      </c>
      <c r="AK193" s="39">
        <f>+IFERROR((FT_RF_26[[#This Row],[Block]]/FT_RF_26[[#This Row],[Muestra]]),"0")</f>
        <v>0</v>
      </c>
      <c r="AL193" s="41">
        <v>0</v>
      </c>
      <c r="AM193" s="42">
        <v>0</v>
      </c>
      <c r="AN193" s="38">
        <v>0</v>
      </c>
      <c r="AO193" s="39">
        <f>+IFERROR((FT_RF_26[[#This Row],[Fuera de calibre &lt;12mm]]/FT_RF_26[[#This Row],[Muestra]]),"0")</f>
        <v>0</v>
      </c>
      <c r="AP193" s="38">
        <v>0</v>
      </c>
      <c r="AQ193" s="39">
        <f>+IFERROR((FT_RF_26[[#This Row],[Calibre &lt;25]]/FT_RF_26[[#This Row],[Muestra]]),"0")</f>
        <v>0</v>
      </c>
      <c r="AR193" s="38">
        <v>0</v>
      </c>
      <c r="AS193" s="39">
        <f>+IFERROR((FT_RF_26[[#This Row],[Calibre &gt;12]]/FT_RF_26[[#This Row],[Muestra]]),"0")</f>
        <v>0</v>
      </c>
      <c r="AT193" s="38">
        <v>0</v>
      </c>
      <c r="AU193" s="39">
        <f>+IFERROR((FT_RF_26[[#This Row],[Calibre &lt;14]]/FT_RF_26[[#This Row],[Muestra]]),"0")</f>
        <v>0</v>
      </c>
      <c r="AV193" s="38">
        <v>0</v>
      </c>
      <c r="AW193" s="39">
        <f>+IFERROR((FT_RF_26[[#This Row],[Calibre &gt;14]]/FT_RF_26[[#This Row],[Muestra]]),"0")</f>
        <v>0</v>
      </c>
      <c r="AX193" s="38">
        <v>0</v>
      </c>
      <c r="AY193" s="39">
        <f>+IFERROR((FT_RF_26[[#This Row],[Calibre &lt;10]]/FT_RF_26[[#This Row],[Muestra]]),"0")</f>
        <v>0</v>
      </c>
      <c r="AZ193" s="38">
        <v>0</v>
      </c>
      <c r="BA193" s="39">
        <f>+IFERROR((FT_RF_26[[#This Row],[Calibre &gt;13]]/FT_RF_26[[#This Row],[Muestra]]),"0")</f>
        <v>0</v>
      </c>
      <c r="BB193" s="41"/>
      <c r="BG193" s="42"/>
      <c r="BH193" s="43">
        <v>0</v>
      </c>
      <c r="BI193" s="29" t="s">
        <v>894</v>
      </c>
      <c r="BJ193" s="29" t="s">
        <v>894</v>
      </c>
      <c r="BK19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9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93" s="45">
        <f>1-FT_RF_26[[#This Row],[% Defectos]]</f>
        <v>1</v>
      </c>
      <c r="BO193" s="60"/>
      <c r="BP193" s="12">
        <f>SUM(FT_RF_26[[#This Row],[Hoja (Un.)]:[Larvas Caja]])</f>
        <v>0</v>
      </c>
      <c r="BQ193" s="12">
        <f>SUM(FT_RF_26[[#This Row],[Vidrios]:[Plástico]])</f>
        <v>0</v>
      </c>
      <c r="BR193" s="12" t="str">
        <f>IF(ISBLANK(FT_RF_26[[#This Row],[Descripción del producto]]),"",FT_RF_26[[#This Row],[Descripción del producto]])</f>
        <v/>
      </c>
      <c r="BS193" s="29" t="str">
        <f>IF(ISBLANK(FT_RF_26[[#This Row],[N° de Lote]]),"",FT_RF_26[[#This Row],[N° de Lote]])</f>
        <v/>
      </c>
      <c r="BT193" s="29" t="str">
        <f>IF(ISBLANK(FT_RF_26[[#This Row],[N° de Pallet]]),"",FT_RF_26[[#This Row],[N° de Pallet]])</f>
        <v/>
      </c>
    </row>
    <row r="194" spans="2:72">
      <c r="B194" s="29">
        <f>+_xlfn.ISOWEEKNUM(FT_RF_26[[#This Row],[Fecha]])</f>
        <v>52</v>
      </c>
      <c r="E194" s="31"/>
      <c r="F194" s="12" t="str">
        <f>IFERROR(""&amp;_xlfn.XLOOKUP(FT_RF_26[[#This Row],[Código]],BD_Cod[SKU],BD_Cod[Descripción]),"")</f>
        <v/>
      </c>
      <c r="G194" s="32" t="str">
        <f>IFERROR(""&amp;_xlfn.XLOOKUP(FT_RF_26[[#This Row],[Código]],BD_Cod[SKU],BD_Cod[Familia Calidad]),"")</f>
        <v/>
      </c>
      <c r="J194" s="33">
        <v>1000</v>
      </c>
      <c r="L194" s="30" t="s">
        <v>244</v>
      </c>
      <c r="O194" s="30" t="s">
        <v>894</v>
      </c>
      <c r="P194" s="29" t="s">
        <v>894</v>
      </c>
      <c r="Q194" s="37">
        <f>1-FT_RF_26[[#This Row],[% Defectos]]</f>
        <v>1</v>
      </c>
      <c r="R194" s="38">
        <v>0</v>
      </c>
      <c r="S194" s="39">
        <f>+IFERROR((FT_RF_26[[#This Row],[Inmadura]]/FT_RF_26[[#This Row],[Muestra]]),"0")</f>
        <v>0</v>
      </c>
      <c r="T194" s="38">
        <v>0</v>
      </c>
      <c r="U194" s="39">
        <f>+IFERROR((FT_RF_26[[#This Row],[Partidas]]/FT_RF_26[[#This Row],[Muestra]]),"0")</f>
        <v>0</v>
      </c>
      <c r="V194" s="38">
        <v>0</v>
      </c>
      <c r="W194" s="39">
        <f>+IFERROR((FT_RF_26[[#This Row],[Daño Insecto]]/FT_RF_26[[#This Row],[Muestra]]),"0")</f>
        <v>0</v>
      </c>
      <c r="X194" s="38">
        <v>0</v>
      </c>
      <c r="Y194" s="39">
        <f>+IFERROR((FT_RF_26[[#This Row],[Sobremadura]]/FT_RF_26[[#This Row],[Muestra]]),"0")</f>
        <v>0</v>
      </c>
      <c r="Z194" s="38">
        <v>0</v>
      </c>
      <c r="AA194" s="39">
        <f>+IFERROR((FT_RF_26[[#This Row],[Deforme]]/FT_RF_26[[#This Row],[Muestra]]),"0")</f>
        <v>0</v>
      </c>
      <c r="AB194" s="27"/>
      <c r="AC194" s="38">
        <v>0</v>
      </c>
      <c r="AD194" s="39">
        <f>+IFERROR((FT_RF_26[[#This Row],[Valor Extra 1]]/FT_RF_26[[#This Row],[Muestra]]),"0")</f>
        <v>0</v>
      </c>
      <c r="AF194" s="38">
        <v>0</v>
      </c>
      <c r="AG194" s="39">
        <f>+IFERROR((FT_RF_26[[#This Row],[Valor Extra 2]]/FT_RF_26[[#This Row],[Muestra]]),"0")</f>
        <v>0</v>
      </c>
      <c r="AH194" s="40">
        <v>0</v>
      </c>
      <c r="AI194" s="39">
        <f>+IFERROR((FT_RF_26[[#This Row],[Hongos]]/FT_RF_26[[#This Row],[Muestra]]),"0")</f>
        <v>0</v>
      </c>
      <c r="AJ194" s="38">
        <v>0</v>
      </c>
      <c r="AK194" s="39">
        <f>+IFERROR((FT_RF_26[[#This Row],[Block]]/FT_RF_26[[#This Row],[Muestra]]),"0")</f>
        <v>0</v>
      </c>
      <c r="AL194" s="41">
        <v>0</v>
      </c>
      <c r="AM194" s="42">
        <v>0</v>
      </c>
      <c r="AN194" s="38">
        <v>0</v>
      </c>
      <c r="AO194" s="39">
        <f>+IFERROR((FT_RF_26[[#This Row],[Fuera de calibre &lt;12mm]]/FT_RF_26[[#This Row],[Muestra]]),"0")</f>
        <v>0</v>
      </c>
      <c r="AP194" s="38">
        <v>0</v>
      </c>
      <c r="AQ194" s="39">
        <f>+IFERROR((FT_RF_26[[#This Row],[Calibre &lt;25]]/FT_RF_26[[#This Row],[Muestra]]),"0")</f>
        <v>0</v>
      </c>
      <c r="AR194" s="38">
        <v>0</v>
      </c>
      <c r="AS194" s="39">
        <f>+IFERROR((FT_RF_26[[#This Row],[Calibre &gt;12]]/FT_RF_26[[#This Row],[Muestra]]),"0")</f>
        <v>0</v>
      </c>
      <c r="AT194" s="38">
        <v>0</v>
      </c>
      <c r="AU194" s="39">
        <f>+IFERROR((FT_RF_26[[#This Row],[Calibre &lt;14]]/FT_RF_26[[#This Row],[Muestra]]),"0")</f>
        <v>0</v>
      </c>
      <c r="AV194" s="38">
        <v>0</v>
      </c>
      <c r="AW194" s="39">
        <f>+IFERROR((FT_RF_26[[#This Row],[Calibre &gt;14]]/FT_RF_26[[#This Row],[Muestra]]),"0")</f>
        <v>0</v>
      </c>
      <c r="AX194" s="38">
        <v>0</v>
      </c>
      <c r="AY194" s="39">
        <f>+IFERROR((FT_RF_26[[#This Row],[Calibre &lt;10]]/FT_RF_26[[#This Row],[Muestra]]),"0")</f>
        <v>0</v>
      </c>
      <c r="AZ194" s="38">
        <v>0</v>
      </c>
      <c r="BA194" s="39">
        <f>+IFERROR((FT_RF_26[[#This Row],[Calibre &gt;13]]/FT_RF_26[[#This Row],[Muestra]]),"0")</f>
        <v>0</v>
      </c>
      <c r="BB194" s="41"/>
      <c r="BG194" s="42"/>
      <c r="BH194" s="43">
        <v>0</v>
      </c>
      <c r="BI194" s="29" t="s">
        <v>894</v>
      </c>
      <c r="BJ194" s="29" t="s">
        <v>894</v>
      </c>
      <c r="BK19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9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94" s="45">
        <f>1-FT_RF_26[[#This Row],[% Defectos]]</f>
        <v>1</v>
      </c>
      <c r="BO194" s="60"/>
      <c r="BP194" s="12">
        <f>SUM(FT_RF_26[[#This Row],[Hoja (Un.)]:[Larvas Caja]])</f>
        <v>0</v>
      </c>
      <c r="BQ194" s="12">
        <f>SUM(FT_RF_26[[#This Row],[Vidrios]:[Plástico]])</f>
        <v>0</v>
      </c>
      <c r="BR194" s="12" t="str">
        <f>IF(ISBLANK(FT_RF_26[[#This Row],[Descripción del producto]]),"",FT_RF_26[[#This Row],[Descripción del producto]])</f>
        <v/>
      </c>
      <c r="BS194" s="29" t="str">
        <f>IF(ISBLANK(FT_RF_26[[#This Row],[N° de Lote]]),"",FT_RF_26[[#This Row],[N° de Lote]])</f>
        <v/>
      </c>
      <c r="BT194" s="29" t="str">
        <f>IF(ISBLANK(FT_RF_26[[#This Row],[N° de Pallet]]),"",FT_RF_26[[#This Row],[N° de Pallet]])</f>
        <v/>
      </c>
    </row>
    <row r="195" spans="2:72">
      <c r="B195" s="29">
        <f>+_xlfn.ISOWEEKNUM(FT_RF_26[[#This Row],[Fecha]])</f>
        <v>52</v>
      </c>
      <c r="E195" s="31"/>
      <c r="F195" s="12" t="str">
        <f>IFERROR(""&amp;_xlfn.XLOOKUP(FT_RF_26[[#This Row],[Código]],BD_Cod[SKU],BD_Cod[Descripción]),"")</f>
        <v/>
      </c>
      <c r="G195" s="32" t="str">
        <f>IFERROR(""&amp;_xlfn.XLOOKUP(FT_RF_26[[#This Row],[Código]],BD_Cod[SKU],BD_Cod[Familia Calidad]),"")</f>
        <v/>
      </c>
      <c r="J195" s="33">
        <v>1000</v>
      </c>
      <c r="L195" s="30" t="s">
        <v>244</v>
      </c>
      <c r="O195" s="30" t="s">
        <v>894</v>
      </c>
      <c r="P195" s="29" t="s">
        <v>894</v>
      </c>
      <c r="Q195" s="37">
        <f>1-FT_RF_26[[#This Row],[% Defectos]]</f>
        <v>1</v>
      </c>
      <c r="R195" s="38">
        <v>0</v>
      </c>
      <c r="S195" s="39">
        <f>+IFERROR((FT_RF_26[[#This Row],[Inmadura]]/FT_RF_26[[#This Row],[Muestra]]),"0")</f>
        <v>0</v>
      </c>
      <c r="T195" s="38">
        <v>0</v>
      </c>
      <c r="U195" s="39">
        <f>+IFERROR((FT_RF_26[[#This Row],[Partidas]]/FT_RF_26[[#This Row],[Muestra]]),"0")</f>
        <v>0</v>
      </c>
      <c r="V195" s="38">
        <v>0</v>
      </c>
      <c r="W195" s="39">
        <f>+IFERROR((FT_RF_26[[#This Row],[Daño Insecto]]/FT_RF_26[[#This Row],[Muestra]]),"0")</f>
        <v>0</v>
      </c>
      <c r="X195" s="38">
        <v>0</v>
      </c>
      <c r="Y195" s="39">
        <f>+IFERROR((FT_RF_26[[#This Row],[Sobremadura]]/FT_RF_26[[#This Row],[Muestra]]),"0")</f>
        <v>0</v>
      </c>
      <c r="Z195" s="38">
        <v>0</v>
      </c>
      <c r="AA195" s="39">
        <f>+IFERROR((FT_RF_26[[#This Row],[Deforme]]/FT_RF_26[[#This Row],[Muestra]]),"0")</f>
        <v>0</v>
      </c>
      <c r="AB195" s="27"/>
      <c r="AC195" s="38">
        <v>0</v>
      </c>
      <c r="AD195" s="39">
        <f>+IFERROR((FT_RF_26[[#This Row],[Valor Extra 1]]/FT_RF_26[[#This Row],[Muestra]]),"0")</f>
        <v>0</v>
      </c>
      <c r="AF195" s="38">
        <v>0</v>
      </c>
      <c r="AG195" s="39">
        <f>+IFERROR((FT_RF_26[[#This Row],[Valor Extra 2]]/FT_RF_26[[#This Row],[Muestra]]),"0")</f>
        <v>0</v>
      </c>
      <c r="AH195" s="40">
        <v>0</v>
      </c>
      <c r="AI195" s="39">
        <f>+IFERROR((FT_RF_26[[#This Row],[Hongos]]/FT_RF_26[[#This Row],[Muestra]]),"0")</f>
        <v>0</v>
      </c>
      <c r="AJ195" s="38">
        <v>0</v>
      </c>
      <c r="AK195" s="39">
        <f>+IFERROR((FT_RF_26[[#This Row],[Block]]/FT_RF_26[[#This Row],[Muestra]]),"0")</f>
        <v>0</v>
      </c>
      <c r="AL195" s="41">
        <v>0</v>
      </c>
      <c r="AM195" s="42">
        <v>0</v>
      </c>
      <c r="AN195" s="38">
        <v>0</v>
      </c>
      <c r="AO195" s="39">
        <f>+IFERROR((FT_RF_26[[#This Row],[Fuera de calibre &lt;12mm]]/FT_RF_26[[#This Row],[Muestra]]),"0")</f>
        <v>0</v>
      </c>
      <c r="AP195" s="38">
        <v>0</v>
      </c>
      <c r="AQ195" s="39">
        <f>+IFERROR((FT_RF_26[[#This Row],[Calibre &lt;25]]/FT_RF_26[[#This Row],[Muestra]]),"0")</f>
        <v>0</v>
      </c>
      <c r="AR195" s="38">
        <v>0</v>
      </c>
      <c r="AS195" s="39">
        <f>+IFERROR((FT_RF_26[[#This Row],[Calibre &gt;12]]/FT_RF_26[[#This Row],[Muestra]]),"0")</f>
        <v>0</v>
      </c>
      <c r="AT195" s="38">
        <v>0</v>
      </c>
      <c r="AU195" s="39">
        <f>+IFERROR((FT_RF_26[[#This Row],[Calibre &lt;14]]/FT_RF_26[[#This Row],[Muestra]]),"0")</f>
        <v>0</v>
      </c>
      <c r="AV195" s="38">
        <v>0</v>
      </c>
      <c r="AW195" s="39">
        <f>+IFERROR((FT_RF_26[[#This Row],[Calibre &gt;14]]/FT_RF_26[[#This Row],[Muestra]]),"0")</f>
        <v>0</v>
      </c>
      <c r="AX195" s="38">
        <v>0</v>
      </c>
      <c r="AY195" s="39">
        <f>+IFERROR((FT_RF_26[[#This Row],[Calibre &lt;10]]/FT_RF_26[[#This Row],[Muestra]]),"0")</f>
        <v>0</v>
      </c>
      <c r="AZ195" s="38">
        <v>0</v>
      </c>
      <c r="BA195" s="39">
        <f>+IFERROR((FT_RF_26[[#This Row],[Calibre &gt;13]]/FT_RF_26[[#This Row],[Muestra]]),"0")</f>
        <v>0</v>
      </c>
      <c r="BB195" s="41"/>
      <c r="BG195" s="42"/>
      <c r="BH195" s="43">
        <v>0</v>
      </c>
      <c r="BI195" s="29" t="s">
        <v>894</v>
      </c>
      <c r="BJ195" s="29" t="s">
        <v>894</v>
      </c>
      <c r="BK19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9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95" s="45">
        <f>1-FT_RF_26[[#This Row],[% Defectos]]</f>
        <v>1</v>
      </c>
      <c r="BO195" s="60"/>
      <c r="BP195" s="12">
        <f>SUM(FT_RF_26[[#This Row],[Hoja (Un.)]:[Larvas Caja]])</f>
        <v>0</v>
      </c>
      <c r="BQ195" s="12">
        <f>SUM(FT_RF_26[[#This Row],[Vidrios]:[Plástico]])</f>
        <v>0</v>
      </c>
      <c r="BR195" s="12" t="str">
        <f>IF(ISBLANK(FT_RF_26[[#This Row],[Descripción del producto]]),"",FT_RF_26[[#This Row],[Descripción del producto]])</f>
        <v/>
      </c>
      <c r="BS195" s="29" t="str">
        <f>IF(ISBLANK(FT_RF_26[[#This Row],[N° de Lote]]),"",FT_RF_26[[#This Row],[N° de Lote]])</f>
        <v/>
      </c>
      <c r="BT195" s="29" t="str">
        <f>IF(ISBLANK(FT_RF_26[[#This Row],[N° de Pallet]]),"",FT_RF_26[[#This Row],[N° de Pallet]])</f>
        <v/>
      </c>
    </row>
    <row r="196" spans="2:72">
      <c r="B196" s="29">
        <f>+_xlfn.ISOWEEKNUM(FT_RF_26[[#This Row],[Fecha]])</f>
        <v>52</v>
      </c>
      <c r="E196" s="31"/>
      <c r="F196" s="12" t="str">
        <f>IFERROR(""&amp;_xlfn.XLOOKUP(FT_RF_26[[#This Row],[Código]],BD_Cod[SKU],BD_Cod[Descripción]),"")</f>
        <v/>
      </c>
      <c r="G196" s="32" t="str">
        <f>IFERROR(""&amp;_xlfn.XLOOKUP(FT_RF_26[[#This Row],[Código]],BD_Cod[SKU],BD_Cod[Familia Calidad]),"")</f>
        <v/>
      </c>
      <c r="J196" s="33">
        <v>1000</v>
      </c>
      <c r="L196" s="30" t="s">
        <v>244</v>
      </c>
      <c r="O196" s="30" t="s">
        <v>894</v>
      </c>
      <c r="P196" s="29" t="s">
        <v>894</v>
      </c>
      <c r="Q196" s="37">
        <f>1-FT_RF_26[[#This Row],[% Defectos]]</f>
        <v>1</v>
      </c>
      <c r="R196" s="38">
        <v>0</v>
      </c>
      <c r="S196" s="39">
        <f>+IFERROR((FT_RF_26[[#This Row],[Inmadura]]/FT_RF_26[[#This Row],[Muestra]]),"0")</f>
        <v>0</v>
      </c>
      <c r="T196" s="38">
        <v>0</v>
      </c>
      <c r="U196" s="39">
        <f>+IFERROR((FT_RF_26[[#This Row],[Partidas]]/FT_RF_26[[#This Row],[Muestra]]),"0")</f>
        <v>0</v>
      </c>
      <c r="V196" s="38">
        <v>0</v>
      </c>
      <c r="W196" s="39">
        <f>+IFERROR((FT_RF_26[[#This Row],[Daño Insecto]]/FT_RF_26[[#This Row],[Muestra]]),"0")</f>
        <v>0</v>
      </c>
      <c r="X196" s="38">
        <v>0</v>
      </c>
      <c r="Y196" s="39">
        <f>+IFERROR((FT_RF_26[[#This Row],[Sobremadura]]/FT_RF_26[[#This Row],[Muestra]]),"0")</f>
        <v>0</v>
      </c>
      <c r="Z196" s="38">
        <v>0</v>
      </c>
      <c r="AA196" s="39">
        <f>+IFERROR((FT_RF_26[[#This Row],[Deforme]]/FT_RF_26[[#This Row],[Muestra]]),"0")</f>
        <v>0</v>
      </c>
      <c r="AB196" s="27"/>
      <c r="AC196" s="38">
        <v>0</v>
      </c>
      <c r="AD196" s="39">
        <f>+IFERROR((FT_RF_26[[#This Row],[Valor Extra 1]]/FT_RF_26[[#This Row],[Muestra]]),"0")</f>
        <v>0</v>
      </c>
      <c r="AF196" s="38">
        <v>0</v>
      </c>
      <c r="AG196" s="39">
        <f>+IFERROR((FT_RF_26[[#This Row],[Valor Extra 2]]/FT_RF_26[[#This Row],[Muestra]]),"0")</f>
        <v>0</v>
      </c>
      <c r="AH196" s="40">
        <v>0</v>
      </c>
      <c r="AI196" s="39">
        <f>+IFERROR((FT_RF_26[[#This Row],[Hongos]]/FT_RF_26[[#This Row],[Muestra]]),"0")</f>
        <v>0</v>
      </c>
      <c r="AJ196" s="38">
        <v>0</v>
      </c>
      <c r="AK196" s="39">
        <f>+IFERROR((FT_RF_26[[#This Row],[Block]]/FT_RF_26[[#This Row],[Muestra]]),"0")</f>
        <v>0</v>
      </c>
      <c r="AL196" s="41">
        <v>0</v>
      </c>
      <c r="AM196" s="42">
        <v>0</v>
      </c>
      <c r="AN196" s="38">
        <v>0</v>
      </c>
      <c r="AO196" s="39">
        <f>+IFERROR((FT_RF_26[[#This Row],[Fuera de calibre &lt;12mm]]/FT_RF_26[[#This Row],[Muestra]]),"0")</f>
        <v>0</v>
      </c>
      <c r="AP196" s="38">
        <v>0</v>
      </c>
      <c r="AQ196" s="39">
        <f>+IFERROR((FT_RF_26[[#This Row],[Calibre &lt;25]]/FT_RF_26[[#This Row],[Muestra]]),"0")</f>
        <v>0</v>
      </c>
      <c r="AR196" s="38">
        <v>0</v>
      </c>
      <c r="AS196" s="39">
        <f>+IFERROR((FT_RF_26[[#This Row],[Calibre &gt;12]]/FT_RF_26[[#This Row],[Muestra]]),"0")</f>
        <v>0</v>
      </c>
      <c r="AT196" s="38">
        <v>0</v>
      </c>
      <c r="AU196" s="39">
        <f>+IFERROR((FT_RF_26[[#This Row],[Calibre &lt;14]]/FT_RF_26[[#This Row],[Muestra]]),"0")</f>
        <v>0</v>
      </c>
      <c r="AV196" s="38">
        <v>0</v>
      </c>
      <c r="AW196" s="39">
        <f>+IFERROR((FT_RF_26[[#This Row],[Calibre &gt;14]]/FT_RF_26[[#This Row],[Muestra]]),"0")</f>
        <v>0</v>
      </c>
      <c r="AX196" s="38">
        <v>0</v>
      </c>
      <c r="AY196" s="39">
        <f>+IFERROR((FT_RF_26[[#This Row],[Calibre &lt;10]]/FT_RF_26[[#This Row],[Muestra]]),"0")</f>
        <v>0</v>
      </c>
      <c r="AZ196" s="38">
        <v>0</v>
      </c>
      <c r="BA196" s="39">
        <f>+IFERROR((FT_RF_26[[#This Row],[Calibre &gt;13]]/FT_RF_26[[#This Row],[Muestra]]),"0")</f>
        <v>0</v>
      </c>
      <c r="BB196" s="41"/>
      <c r="BG196" s="42"/>
      <c r="BH196" s="43">
        <v>0</v>
      </c>
      <c r="BI196" s="29" t="s">
        <v>894</v>
      </c>
      <c r="BJ196" s="29" t="s">
        <v>894</v>
      </c>
      <c r="BK19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9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96" s="45">
        <f>1-FT_RF_26[[#This Row],[% Defectos]]</f>
        <v>1</v>
      </c>
      <c r="BO196" s="60"/>
      <c r="BP196" s="12">
        <f>SUM(FT_RF_26[[#This Row],[Hoja (Un.)]:[Larvas Caja]])</f>
        <v>0</v>
      </c>
      <c r="BQ196" s="12">
        <f>SUM(FT_RF_26[[#This Row],[Vidrios]:[Plástico]])</f>
        <v>0</v>
      </c>
      <c r="BR196" s="12" t="str">
        <f>IF(ISBLANK(FT_RF_26[[#This Row],[Descripción del producto]]),"",FT_RF_26[[#This Row],[Descripción del producto]])</f>
        <v/>
      </c>
      <c r="BS196" s="29" t="str">
        <f>IF(ISBLANK(FT_RF_26[[#This Row],[N° de Lote]]),"",FT_RF_26[[#This Row],[N° de Lote]])</f>
        <v/>
      </c>
      <c r="BT196" s="29" t="str">
        <f>IF(ISBLANK(FT_RF_26[[#This Row],[N° de Pallet]]),"",FT_RF_26[[#This Row],[N° de Pallet]])</f>
        <v/>
      </c>
    </row>
    <row r="197" spans="2:72">
      <c r="B197" s="29">
        <f>+_xlfn.ISOWEEKNUM(FT_RF_26[[#This Row],[Fecha]])</f>
        <v>52</v>
      </c>
      <c r="E197" s="31"/>
      <c r="F197" s="12" t="str">
        <f>IFERROR(""&amp;_xlfn.XLOOKUP(FT_RF_26[[#This Row],[Código]],BD_Cod[SKU],BD_Cod[Descripción]),"")</f>
        <v/>
      </c>
      <c r="G197" s="32" t="str">
        <f>IFERROR(""&amp;_xlfn.XLOOKUP(FT_RF_26[[#This Row],[Código]],BD_Cod[SKU],BD_Cod[Familia Calidad]),"")</f>
        <v/>
      </c>
      <c r="J197" s="33">
        <v>1000</v>
      </c>
      <c r="L197" s="30" t="s">
        <v>244</v>
      </c>
      <c r="O197" s="30" t="s">
        <v>894</v>
      </c>
      <c r="P197" s="29" t="s">
        <v>894</v>
      </c>
      <c r="Q197" s="37">
        <f>1-FT_RF_26[[#This Row],[% Defectos]]</f>
        <v>1</v>
      </c>
      <c r="R197" s="38">
        <v>0</v>
      </c>
      <c r="S197" s="39">
        <f>+IFERROR((FT_RF_26[[#This Row],[Inmadura]]/FT_RF_26[[#This Row],[Muestra]]),"0")</f>
        <v>0</v>
      </c>
      <c r="T197" s="38">
        <v>0</v>
      </c>
      <c r="U197" s="39">
        <f>+IFERROR((FT_RF_26[[#This Row],[Partidas]]/FT_RF_26[[#This Row],[Muestra]]),"0")</f>
        <v>0</v>
      </c>
      <c r="V197" s="38">
        <v>0</v>
      </c>
      <c r="W197" s="39">
        <f>+IFERROR((FT_RF_26[[#This Row],[Daño Insecto]]/FT_RF_26[[#This Row],[Muestra]]),"0")</f>
        <v>0</v>
      </c>
      <c r="X197" s="38">
        <v>0</v>
      </c>
      <c r="Y197" s="39">
        <f>+IFERROR((FT_RF_26[[#This Row],[Sobremadura]]/FT_RF_26[[#This Row],[Muestra]]),"0")</f>
        <v>0</v>
      </c>
      <c r="Z197" s="38">
        <v>0</v>
      </c>
      <c r="AA197" s="39">
        <f>+IFERROR((FT_RF_26[[#This Row],[Deforme]]/FT_RF_26[[#This Row],[Muestra]]),"0")</f>
        <v>0</v>
      </c>
      <c r="AB197" s="27"/>
      <c r="AC197" s="38">
        <v>0</v>
      </c>
      <c r="AD197" s="39">
        <f>+IFERROR((FT_RF_26[[#This Row],[Valor Extra 1]]/FT_RF_26[[#This Row],[Muestra]]),"0")</f>
        <v>0</v>
      </c>
      <c r="AF197" s="38">
        <v>0</v>
      </c>
      <c r="AG197" s="39">
        <f>+IFERROR((FT_RF_26[[#This Row],[Valor Extra 2]]/FT_RF_26[[#This Row],[Muestra]]),"0")</f>
        <v>0</v>
      </c>
      <c r="AH197" s="40">
        <v>0</v>
      </c>
      <c r="AI197" s="39">
        <f>+IFERROR((FT_RF_26[[#This Row],[Hongos]]/FT_RF_26[[#This Row],[Muestra]]),"0")</f>
        <v>0</v>
      </c>
      <c r="AJ197" s="38">
        <v>0</v>
      </c>
      <c r="AK197" s="39">
        <f>+IFERROR((FT_RF_26[[#This Row],[Block]]/FT_RF_26[[#This Row],[Muestra]]),"0")</f>
        <v>0</v>
      </c>
      <c r="AL197" s="41">
        <v>0</v>
      </c>
      <c r="AM197" s="42">
        <v>0</v>
      </c>
      <c r="AN197" s="38">
        <v>0</v>
      </c>
      <c r="AO197" s="39">
        <f>+IFERROR((FT_RF_26[[#This Row],[Fuera de calibre &lt;12mm]]/FT_RF_26[[#This Row],[Muestra]]),"0")</f>
        <v>0</v>
      </c>
      <c r="AP197" s="38">
        <v>0</v>
      </c>
      <c r="AQ197" s="39">
        <f>+IFERROR((FT_RF_26[[#This Row],[Calibre &lt;25]]/FT_RF_26[[#This Row],[Muestra]]),"0")</f>
        <v>0</v>
      </c>
      <c r="AR197" s="38">
        <v>0</v>
      </c>
      <c r="AS197" s="39">
        <f>+IFERROR((FT_RF_26[[#This Row],[Calibre &gt;12]]/FT_RF_26[[#This Row],[Muestra]]),"0")</f>
        <v>0</v>
      </c>
      <c r="AT197" s="38">
        <v>0</v>
      </c>
      <c r="AU197" s="39">
        <f>+IFERROR((FT_RF_26[[#This Row],[Calibre &lt;14]]/FT_RF_26[[#This Row],[Muestra]]),"0")</f>
        <v>0</v>
      </c>
      <c r="AV197" s="38">
        <v>0</v>
      </c>
      <c r="AW197" s="39">
        <f>+IFERROR((FT_RF_26[[#This Row],[Calibre &gt;14]]/FT_RF_26[[#This Row],[Muestra]]),"0")</f>
        <v>0</v>
      </c>
      <c r="AX197" s="38">
        <v>0</v>
      </c>
      <c r="AY197" s="39">
        <f>+IFERROR((FT_RF_26[[#This Row],[Calibre &lt;10]]/FT_RF_26[[#This Row],[Muestra]]),"0")</f>
        <v>0</v>
      </c>
      <c r="AZ197" s="38">
        <v>0</v>
      </c>
      <c r="BA197" s="39">
        <f>+IFERROR((FT_RF_26[[#This Row],[Calibre &gt;13]]/FT_RF_26[[#This Row],[Muestra]]),"0")</f>
        <v>0</v>
      </c>
      <c r="BB197" s="41"/>
      <c r="BG197" s="42"/>
      <c r="BH197" s="43">
        <v>0</v>
      </c>
      <c r="BI197" s="29" t="s">
        <v>894</v>
      </c>
      <c r="BJ197" s="29" t="s">
        <v>894</v>
      </c>
      <c r="BK19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9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97" s="45">
        <f>1-FT_RF_26[[#This Row],[% Defectos]]</f>
        <v>1</v>
      </c>
      <c r="BO197" s="60"/>
      <c r="BP197" s="12">
        <f>SUM(FT_RF_26[[#This Row],[Hoja (Un.)]:[Larvas Caja]])</f>
        <v>0</v>
      </c>
      <c r="BQ197" s="12">
        <f>SUM(FT_RF_26[[#This Row],[Vidrios]:[Plástico]])</f>
        <v>0</v>
      </c>
      <c r="BR197" s="12" t="str">
        <f>IF(ISBLANK(FT_RF_26[[#This Row],[Descripción del producto]]),"",FT_RF_26[[#This Row],[Descripción del producto]])</f>
        <v/>
      </c>
      <c r="BS197" s="29" t="str">
        <f>IF(ISBLANK(FT_RF_26[[#This Row],[N° de Lote]]),"",FT_RF_26[[#This Row],[N° de Lote]])</f>
        <v/>
      </c>
      <c r="BT197" s="29" t="str">
        <f>IF(ISBLANK(FT_RF_26[[#This Row],[N° de Pallet]]),"",FT_RF_26[[#This Row],[N° de Pallet]])</f>
        <v/>
      </c>
    </row>
    <row r="198" spans="2:72">
      <c r="B198" s="29">
        <f>+_xlfn.ISOWEEKNUM(FT_RF_26[[#This Row],[Fecha]])</f>
        <v>52</v>
      </c>
      <c r="E198" s="31"/>
      <c r="F198" s="12" t="str">
        <f>IFERROR(""&amp;_xlfn.XLOOKUP(FT_RF_26[[#This Row],[Código]],BD_Cod[SKU],BD_Cod[Descripción]),"")</f>
        <v/>
      </c>
      <c r="G198" s="32" t="str">
        <f>IFERROR(""&amp;_xlfn.XLOOKUP(FT_RF_26[[#This Row],[Código]],BD_Cod[SKU],BD_Cod[Familia Calidad]),"")</f>
        <v/>
      </c>
      <c r="J198" s="33">
        <v>1000</v>
      </c>
      <c r="L198" s="30" t="s">
        <v>244</v>
      </c>
      <c r="O198" s="30" t="s">
        <v>894</v>
      </c>
      <c r="P198" s="29" t="s">
        <v>894</v>
      </c>
      <c r="Q198" s="37">
        <f>1-FT_RF_26[[#This Row],[% Defectos]]</f>
        <v>1</v>
      </c>
      <c r="R198" s="38">
        <v>0</v>
      </c>
      <c r="S198" s="39">
        <f>+IFERROR((FT_RF_26[[#This Row],[Inmadura]]/FT_RF_26[[#This Row],[Muestra]]),"0")</f>
        <v>0</v>
      </c>
      <c r="T198" s="38">
        <v>0</v>
      </c>
      <c r="U198" s="39">
        <f>+IFERROR((FT_RF_26[[#This Row],[Partidas]]/FT_RF_26[[#This Row],[Muestra]]),"0")</f>
        <v>0</v>
      </c>
      <c r="V198" s="38">
        <v>0</v>
      </c>
      <c r="W198" s="39">
        <f>+IFERROR((FT_RF_26[[#This Row],[Daño Insecto]]/FT_RF_26[[#This Row],[Muestra]]),"0")</f>
        <v>0</v>
      </c>
      <c r="X198" s="38">
        <v>0</v>
      </c>
      <c r="Y198" s="39">
        <f>+IFERROR((FT_RF_26[[#This Row],[Sobremadura]]/FT_RF_26[[#This Row],[Muestra]]),"0")</f>
        <v>0</v>
      </c>
      <c r="Z198" s="38">
        <v>0</v>
      </c>
      <c r="AA198" s="39">
        <f>+IFERROR((FT_RF_26[[#This Row],[Deforme]]/FT_RF_26[[#This Row],[Muestra]]),"0")</f>
        <v>0</v>
      </c>
      <c r="AB198" s="27"/>
      <c r="AC198" s="38">
        <v>0</v>
      </c>
      <c r="AD198" s="39">
        <f>+IFERROR((FT_RF_26[[#This Row],[Valor Extra 1]]/FT_RF_26[[#This Row],[Muestra]]),"0")</f>
        <v>0</v>
      </c>
      <c r="AF198" s="38">
        <v>0</v>
      </c>
      <c r="AG198" s="39">
        <f>+IFERROR((FT_RF_26[[#This Row],[Valor Extra 2]]/FT_RF_26[[#This Row],[Muestra]]),"0")</f>
        <v>0</v>
      </c>
      <c r="AH198" s="40">
        <v>0</v>
      </c>
      <c r="AI198" s="39">
        <f>+IFERROR((FT_RF_26[[#This Row],[Hongos]]/FT_RF_26[[#This Row],[Muestra]]),"0")</f>
        <v>0</v>
      </c>
      <c r="AJ198" s="38">
        <v>0</v>
      </c>
      <c r="AK198" s="39">
        <f>+IFERROR((FT_RF_26[[#This Row],[Block]]/FT_RF_26[[#This Row],[Muestra]]),"0")</f>
        <v>0</v>
      </c>
      <c r="AL198" s="41">
        <v>0</v>
      </c>
      <c r="AM198" s="42">
        <v>0</v>
      </c>
      <c r="AN198" s="38">
        <v>0</v>
      </c>
      <c r="AO198" s="39">
        <f>+IFERROR((FT_RF_26[[#This Row],[Fuera de calibre &lt;12mm]]/FT_RF_26[[#This Row],[Muestra]]),"0")</f>
        <v>0</v>
      </c>
      <c r="AP198" s="38">
        <v>0</v>
      </c>
      <c r="AQ198" s="39">
        <f>+IFERROR((FT_RF_26[[#This Row],[Calibre &lt;25]]/FT_RF_26[[#This Row],[Muestra]]),"0")</f>
        <v>0</v>
      </c>
      <c r="AR198" s="38">
        <v>0</v>
      </c>
      <c r="AS198" s="39">
        <f>+IFERROR((FT_RF_26[[#This Row],[Calibre &gt;12]]/FT_RF_26[[#This Row],[Muestra]]),"0")</f>
        <v>0</v>
      </c>
      <c r="AT198" s="38">
        <v>0</v>
      </c>
      <c r="AU198" s="39">
        <f>+IFERROR((FT_RF_26[[#This Row],[Calibre &lt;14]]/FT_RF_26[[#This Row],[Muestra]]),"0")</f>
        <v>0</v>
      </c>
      <c r="AV198" s="38">
        <v>0</v>
      </c>
      <c r="AW198" s="39">
        <f>+IFERROR((FT_RF_26[[#This Row],[Calibre &gt;14]]/FT_RF_26[[#This Row],[Muestra]]),"0")</f>
        <v>0</v>
      </c>
      <c r="AX198" s="38">
        <v>0</v>
      </c>
      <c r="AY198" s="39">
        <f>+IFERROR((FT_RF_26[[#This Row],[Calibre &lt;10]]/FT_RF_26[[#This Row],[Muestra]]),"0")</f>
        <v>0</v>
      </c>
      <c r="AZ198" s="38">
        <v>0</v>
      </c>
      <c r="BA198" s="39">
        <f>+IFERROR((FT_RF_26[[#This Row],[Calibre &gt;13]]/FT_RF_26[[#This Row],[Muestra]]),"0")</f>
        <v>0</v>
      </c>
      <c r="BB198" s="41"/>
      <c r="BG198" s="42"/>
      <c r="BH198" s="43">
        <v>0</v>
      </c>
      <c r="BI198" s="29" t="s">
        <v>894</v>
      </c>
      <c r="BJ198" s="29" t="s">
        <v>894</v>
      </c>
      <c r="BK19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9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98" s="45">
        <f>1-FT_RF_26[[#This Row],[% Defectos]]</f>
        <v>1</v>
      </c>
      <c r="BO198" s="60"/>
      <c r="BP198" s="12">
        <f>SUM(FT_RF_26[[#This Row],[Hoja (Un.)]:[Larvas Caja]])</f>
        <v>0</v>
      </c>
      <c r="BQ198" s="12">
        <f>SUM(FT_RF_26[[#This Row],[Vidrios]:[Plástico]])</f>
        <v>0</v>
      </c>
      <c r="BR198" s="12" t="str">
        <f>IF(ISBLANK(FT_RF_26[[#This Row],[Descripción del producto]]),"",FT_RF_26[[#This Row],[Descripción del producto]])</f>
        <v/>
      </c>
      <c r="BS198" s="29" t="str">
        <f>IF(ISBLANK(FT_RF_26[[#This Row],[N° de Lote]]),"",FT_RF_26[[#This Row],[N° de Lote]])</f>
        <v/>
      </c>
      <c r="BT198" s="29" t="str">
        <f>IF(ISBLANK(FT_RF_26[[#This Row],[N° de Pallet]]),"",FT_RF_26[[#This Row],[N° de Pallet]])</f>
        <v/>
      </c>
    </row>
    <row r="199" spans="2:72">
      <c r="B199" s="29">
        <f>+_xlfn.ISOWEEKNUM(FT_RF_26[[#This Row],[Fecha]])</f>
        <v>52</v>
      </c>
      <c r="E199" s="31"/>
      <c r="F199" s="12" t="str">
        <f>IFERROR(""&amp;_xlfn.XLOOKUP(FT_RF_26[[#This Row],[Código]],BD_Cod[SKU],BD_Cod[Descripción]),"")</f>
        <v/>
      </c>
      <c r="G199" s="32" t="str">
        <f>IFERROR(""&amp;_xlfn.XLOOKUP(FT_RF_26[[#This Row],[Código]],BD_Cod[SKU],BD_Cod[Familia Calidad]),"")</f>
        <v/>
      </c>
      <c r="J199" s="33">
        <v>1000</v>
      </c>
      <c r="L199" s="30" t="s">
        <v>244</v>
      </c>
      <c r="O199" s="30" t="s">
        <v>894</v>
      </c>
      <c r="P199" s="29" t="s">
        <v>894</v>
      </c>
      <c r="Q199" s="37">
        <f>1-FT_RF_26[[#This Row],[% Defectos]]</f>
        <v>1</v>
      </c>
      <c r="R199" s="38">
        <v>0</v>
      </c>
      <c r="S199" s="39">
        <f>+IFERROR((FT_RF_26[[#This Row],[Inmadura]]/FT_RF_26[[#This Row],[Muestra]]),"0")</f>
        <v>0</v>
      </c>
      <c r="T199" s="38">
        <v>0</v>
      </c>
      <c r="U199" s="39">
        <f>+IFERROR((FT_RF_26[[#This Row],[Partidas]]/FT_RF_26[[#This Row],[Muestra]]),"0")</f>
        <v>0</v>
      </c>
      <c r="V199" s="38">
        <v>0</v>
      </c>
      <c r="W199" s="39">
        <f>+IFERROR((FT_RF_26[[#This Row],[Daño Insecto]]/FT_RF_26[[#This Row],[Muestra]]),"0")</f>
        <v>0</v>
      </c>
      <c r="X199" s="38">
        <v>0</v>
      </c>
      <c r="Y199" s="39">
        <f>+IFERROR((FT_RF_26[[#This Row],[Sobremadura]]/FT_RF_26[[#This Row],[Muestra]]),"0")</f>
        <v>0</v>
      </c>
      <c r="Z199" s="38">
        <v>0</v>
      </c>
      <c r="AA199" s="39">
        <f>+IFERROR((FT_RF_26[[#This Row],[Deforme]]/FT_RF_26[[#This Row],[Muestra]]),"0")</f>
        <v>0</v>
      </c>
      <c r="AB199" s="27"/>
      <c r="AC199" s="38">
        <v>0</v>
      </c>
      <c r="AD199" s="39">
        <f>+IFERROR((FT_RF_26[[#This Row],[Valor Extra 1]]/FT_RF_26[[#This Row],[Muestra]]),"0")</f>
        <v>0</v>
      </c>
      <c r="AF199" s="38">
        <v>0</v>
      </c>
      <c r="AG199" s="39">
        <f>+IFERROR((FT_RF_26[[#This Row],[Valor Extra 2]]/FT_RF_26[[#This Row],[Muestra]]),"0")</f>
        <v>0</v>
      </c>
      <c r="AH199" s="40">
        <v>0</v>
      </c>
      <c r="AI199" s="39">
        <f>+IFERROR((FT_RF_26[[#This Row],[Hongos]]/FT_RF_26[[#This Row],[Muestra]]),"0")</f>
        <v>0</v>
      </c>
      <c r="AJ199" s="38">
        <v>0</v>
      </c>
      <c r="AK199" s="39">
        <f>+IFERROR((FT_RF_26[[#This Row],[Block]]/FT_RF_26[[#This Row],[Muestra]]),"0")</f>
        <v>0</v>
      </c>
      <c r="AL199" s="41">
        <v>0</v>
      </c>
      <c r="AM199" s="42">
        <v>0</v>
      </c>
      <c r="AN199" s="38">
        <v>0</v>
      </c>
      <c r="AO199" s="39">
        <f>+IFERROR((FT_RF_26[[#This Row],[Fuera de calibre &lt;12mm]]/FT_RF_26[[#This Row],[Muestra]]),"0")</f>
        <v>0</v>
      </c>
      <c r="AP199" s="38">
        <v>0</v>
      </c>
      <c r="AQ199" s="39">
        <f>+IFERROR((FT_RF_26[[#This Row],[Calibre &lt;25]]/FT_RF_26[[#This Row],[Muestra]]),"0")</f>
        <v>0</v>
      </c>
      <c r="AR199" s="38">
        <v>0</v>
      </c>
      <c r="AS199" s="39">
        <f>+IFERROR((FT_RF_26[[#This Row],[Calibre &gt;12]]/FT_RF_26[[#This Row],[Muestra]]),"0")</f>
        <v>0</v>
      </c>
      <c r="AT199" s="38">
        <v>0</v>
      </c>
      <c r="AU199" s="39">
        <f>+IFERROR((FT_RF_26[[#This Row],[Calibre &lt;14]]/FT_RF_26[[#This Row],[Muestra]]),"0")</f>
        <v>0</v>
      </c>
      <c r="AV199" s="38">
        <v>0</v>
      </c>
      <c r="AW199" s="39">
        <f>+IFERROR((FT_RF_26[[#This Row],[Calibre &gt;14]]/FT_RF_26[[#This Row],[Muestra]]),"0")</f>
        <v>0</v>
      </c>
      <c r="AX199" s="38">
        <v>0</v>
      </c>
      <c r="AY199" s="39">
        <f>+IFERROR((FT_RF_26[[#This Row],[Calibre &lt;10]]/FT_RF_26[[#This Row],[Muestra]]),"0")</f>
        <v>0</v>
      </c>
      <c r="AZ199" s="38">
        <v>0</v>
      </c>
      <c r="BA199" s="39">
        <f>+IFERROR((FT_RF_26[[#This Row],[Calibre &gt;13]]/FT_RF_26[[#This Row],[Muestra]]),"0")</f>
        <v>0</v>
      </c>
      <c r="BB199" s="41"/>
      <c r="BG199" s="42"/>
      <c r="BH199" s="43">
        <v>0</v>
      </c>
      <c r="BI199" s="29" t="s">
        <v>894</v>
      </c>
      <c r="BJ199" s="29" t="s">
        <v>894</v>
      </c>
      <c r="BK19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19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199" s="45">
        <f>1-FT_RF_26[[#This Row],[% Defectos]]</f>
        <v>1</v>
      </c>
      <c r="BO199" s="60"/>
      <c r="BP199" s="12">
        <f>SUM(FT_RF_26[[#This Row],[Hoja (Un.)]:[Larvas Caja]])</f>
        <v>0</v>
      </c>
      <c r="BQ199" s="12">
        <f>SUM(FT_RF_26[[#This Row],[Vidrios]:[Plástico]])</f>
        <v>0</v>
      </c>
      <c r="BR199" s="12" t="str">
        <f>IF(ISBLANK(FT_RF_26[[#This Row],[Descripción del producto]]),"",FT_RF_26[[#This Row],[Descripción del producto]])</f>
        <v/>
      </c>
      <c r="BS199" s="29" t="str">
        <f>IF(ISBLANK(FT_RF_26[[#This Row],[N° de Lote]]),"",FT_RF_26[[#This Row],[N° de Lote]])</f>
        <v/>
      </c>
      <c r="BT199" s="29" t="str">
        <f>IF(ISBLANK(FT_RF_26[[#This Row],[N° de Pallet]]),"",FT_RF_26[[#This Row],[N° de Pallet]])</f>
        <v/>
      </c>
    </row>
    <row r="200" spans="2:72">
      <c r="B200" s="29">
        <f>+_xlfn.ISOWEEKNUM(FT_RF_26[[#This Row],[Fecha]])</f>
        <v>52</v>
      </c>
      <c r="E200" s="31"/>
      <c r="F200" s="12" t="str">
        <f>IFERROR(""&amp;_xlfn.XLOOKUP(FT_RF_26[[#This Row],[Código]],BD_Cod[SKU],BD_Cod[Descripción]),"")</f>
        <v/>
      </c>
      <c r="G200" s="32" t="str">
        <f>IFERROR(""&amp;_xlfn.XLOOKUP(FT_RF_26[[#This Row],[Código]],BD_Cod[SKU],BD_Cod[Familia Calidad]),"")</f>
        <v/>
      </c>
      <c r="J200" s="33">
        <v>1000</v>
      </c>
      <c r="L200" s="30" t="s">
        <v>244</v>
      </c>
      <c r="O200" s="30" t="s">
        <v>894</v>
      </c>
      <c r="P200" s="29" t="s">
        <v>894</v>
      </c>
      <c r="Q200" s="37">
        <f>1-FT_RF_26[[#This Row],[% Defectos]]</f>
        <v>1</v>
      </c>
      <c r="R200" s="38">
        <v>0</v>
      </c>
      <c r="S200" s="39">
        <f>+IFERROR((FT_RF_26[[#This Row],[Inmadura]]/FT_RF_26[[#This Row],[Muestra]]),"0")</f>
        <v>0</v>
      </c>
      <c r="T200" s="38">
        <v>0</v>
      </c>
      <c r="U200" s="39">
        <f>+IFERROR((FT_RF_26[[#This Row],[Partidas]]/FT_RF_26[[#This Row],[Muestra]]),"0")</f>
        <v>0</v>
      </c>
      <c r="V200" s="38">
        <v>0</v>
      </c>
      <c r="W200" s="39">
        <f>+IFERROR((FT_RF_26[[#This Row],[Daño Insecto]]/FT_RF_26[[#This Row],[Muestra]]),"0")</f>
        <v>0</v>
      </c>
      <c r="X200" s="38">
        <v>0</v>
      </c>
      <c r="Y200" s="39">
        <f>+IFERROR((FT_RF_26[[#This Row],[Sobremadura]]/FT_RF_26[[#This Row],[Muestra]]),"0")</f>
        <v>0</v>
      </c>
      <c r="Z200" s="38">
        <v>0</v>
      </c>
      <c r="AA200" s="39">
        <f>+IFERROR((FT_RF_26[[#This Row],[Deforme]]/FT_RF_26[[#This Row],[Muestra]]),"0")</f>
        <v>0</v>
      </c>
      <c r="AB200" s="27"/>
      <c r="AC200" s="38">
        <v>0</v>
      </c>
      <c r="AD200" s="39">
        <f>+IFERROR((FT_RF_26[[#This Row],[Valor Extra 1]]/FT_RF_26[[#This Row],[Muestra]]),"0")</f>
        <v>0</v>
      </c>
      <c r="AF200" s="38">
        <v>0</v>
      </c>
      <c r="AG200" s="39">
        <f>+IFERROR((FT_RF_26[[#This Row],[Valor Extra 2]]/FT_RF_26[[#This Row],[Muestra]]),"0")</f>
        <v>0</v>
      </c>
      <c r="AH200" s="40">
        <v>0</v>
      </c>
      <c r="AI200" s="39">
        <f>+IFERROR((FT_RF_26[[#This Row],[Hongos]]/FT_RF_26[[#This Row],[Muestra]]),"0")</f>
        <v>0</v>
      </c>
      <c r="AJ200" s="38">
        <v>0</v>
      </c>
      <c r="AK200" s="39">
        <f>+IFERROR((FT_RF_26[[#This Row],[Block]]/FT_RF_26[[#This Row],[Muestra]]),"0")</f>
        <v>0</v>
      </c>
      <c r="AL200" s="41">
        <v>0</v>
      </c>
      <c r="AM200" s="42">
        <v>0</v>
      </c>
      <c r="AN200" s="38">
        <v>0</v>
      </c>
      <c r="AO200" s="39">
        <f>+IFERROR((FT_RF_26[[#This Row],[Fuera de calibre &lt;12mm]]/FT_RF_26[[#This Row],[Muestra]]),"0")</f>
        <v>0</v>
      </c>
      <c r="AP200" s="38">
        <v>0</v>
      </c>
      <c r="AQ200" s="39">
        <f>+IFERROR((FT_RF_26[[#This Row],[Calibre &lt;25]]/FT_RF_26[[#This Row],[Muestra]]),"0")</f>
        <v>0</v>
      </c>
      <c r="AR200" s="38">
        <v>0</v>
      </c>
      <c r="AS200" s="39">
        <f>+IFERROR((FT_RF_26[[#This Row],[Calibre &gt;12]]/FT_RF_26[[#This Row],[Muestra]]),"0")</f>
        <v>0</v>
      </c>
      <c r="AT200" s="38">
        <v>0</v>
      </c>
      <c r="AU200" s="39">
        <f>+IFERROR((FT_RF_26[[#This Row],[Calibre &lt;14]]/FT_RF_26[[#This Row],[Muestra]]),"0")</f>
        <v>0</v>
      </c>
      <c r="AV200" s="38">
        <v>0</v>
      </c>
      <c r="AW200" s="39">
        <f>+IFERROR((FT_RF_26[[#This Row],[Calibre &gt;14]]/FT_RF_26[[#This Row],[Muestra]]),"0")</f>
        <v>0</v>
      </c>
      <c r="AX200" s="38">
        <v>0</v>
      </c>
      <c r="AY200" s="39">
        <f>+IFERROR((FT_RF_26[[#This Row],[Calibre &lt;10]]/FT_RF_26[[#This Row],[Muestra]]),"0")</f>
        <v>0</v>
      </c>
      <c r="AZ200" s="38">
        <v>0</v>
      </c>
      <c r="BA200" s="39">
        <f>+IFERROR((FT_RF_26[[#This Row],[Calibre &gt;13]]/FT_RF_26[[#This Row],[Muestra]]),"0")</f>
        <v>0</v>
      </c>
      <c r="BB200" s="41"/>
      <c r="BG200" s="42"/>
      <c r="BH200" s="43">
        <v>0</v>
      </c>
      <c r="BI200" s="29" t="s">
        <v>894</v>
      </c>
      <c r="BJ200" s="29" t="s">
        <v>894</v>
      </c>
      <c r="BK20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0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00" s="45">
        <f>1-FT_RF_26[[#This Row],[% Defectos]]</f>
        <v>1</v>
      </c>
      <c r="BO200" s="60"/>
      <c r="BP200" s="12">
        <f>SUM(FT_RF_26[[#This Row],[Hoja (Un.)]:[Larvas Caja]])</f>
        <v>0</v>
      </c>
      <c r="BQ200" s="12">
        <f>SUM(FT_RF_26[[#This Row],[Vidrios]:[Plástico]])</f>
        <v>0</v>
      </c>
      <c r="BR200" s="12" t="str">
        <f>IF(ISBLANK(FT_RF_26[[#This Row],[Descripción del producto]]),"",FT_RF_26[[#This Row],[Descripción del producto]])</f>
        <v/>
      </c>
      <c r="BS200" s="29" t="str">
        <f>IF(ISBLANK(FT_RF_26[[#This Row],[N° de Lote]]),"",FT_RF_26[[#This Row],[N° de Lote]])</f>
        <v/>
      </c>
      <c r="BT200" s="29" t="str">
        <f>IF(ISBLANK(FT_RF_26[[#This Row],[N° de Pallet]]),"",FT_RF_26[[#This Row],[N° de Pallet]])</f>
        <v/>
      </c>
    </row>
    <row r="201" spans="2:72">
      <c r="B201" s="29">
        <f>+_xlfn.ISOWEEKNUM(FT_RF_26[[#This Row],[Fecha]])</f>
        <v>52</v>
      </c>
      <c r="E201" s="31"/>
      <c r="F201" s="12" t="str">
        <f>IFERROR(""&amp;_xlfn.XLOOKUP(FT_RF_26[[#This Row],[Código]],BD_Cod[SKU],BD_Cod[Descripción]),"")</f>
        <v/>
      </c>
      <c r="G201" s="32" t="str">
        <f>IFERROR(""&amp;_xlfn.XLOOKUP(FT_RF_26[[#This Row],[Código]],BD_Cod[SKU],BD_Cod[Familia Calidad]),"")</f>
        <v/>
      </c>
      <c r="J201" s="33">
        <v>1000</v>
      </c>
      <c r="L201" s="30" t="s">
        <v>244</v>
      </c>
      <c r="O201" s="30" t="s">
        <v>894</v>
      </c>
      <c r="P201" s="29" t="s">
        <v>894</v>
      </c>
      <c r="Q201" s="37">
        <f>1-FT_RF_26[[#This Row],[% Defectos]]</f>
        <v>1</v>
      </c>
      <c r="R201" s="38">
        <v>0</v>
      </c>
      <c r="S201" s="39">
        <f>+IFERROR((FT_RF_26[[#This Row],[Inmadura]]/FT_RF_26[[#This Row],[Muestra]]),"0")</f>
        <v>0</v>
      </c>
      <c r="T201" s="38">
        <v>0</v>
      </c>
      <c r="U201" s="39">
        <f>+IFERROR((FT_RF_26[[#This Row],[Partidas]]/FT_RF_26[[#This Row],[Muestra]]),"0")</f>
        <v>0</v>
      </c>
      <c r="V201" s="38">
        <v>0</v>
      </c>
      <c r="W201" s="39">
        <f>+IFERROR((FT_RF_26[[#This Row],[Daño Insecto]]/FT_RF_26[[#This Row],[Muestra]]),"0")</f>
        <v>0</v>
      </c>
      <c r="X201" s="38">
        <v>0</v>
      </c>
      <c r="Y201" s="39">
        <f>+IFERROR((FT_RF_26[[#This Row],[Sobremadura]]/FT_RF_26[[#This Row],[Muestra]]),"0")</f>
        <v>0</v>
      </c>
      <c r="Z201" s="38">
        <v>0</v>
      </c>
      <c r="AA201" s="39">
        <f>+IFERROR((FT_RF_26[[#This Row],[Deforme]]/FT_RF_26[[#This Row],[Muestra]]),"0")</f>
        <v>0</v>
      </c>
      <c r="AB201" s="27"/>
      <c r="AC201" s="38">
        <v>0</v>
      </c>
      <c r="AD201" s="39">
        <f>+IFERROR((FT_RF_26[[#This Row],[Valor Extra 1]]/FT_RF_26[[#This Row],[Muestra]]),"0")</f>
        <v>0</v>
      </c>
      <c r="AF201" s="38">
        <v>0</v>
      </c>
      <c r="AG201" s="39">
        <f>+IFERROR((FT_RF_26[[#This Row],[Valor Extra 2]]/FT_RF_26[[#This Row],[Muestra]]),"0")</f>
        <v>0</v>
      </c>
      <c r="AH201" s="40">
        <v>0</v>
      </c>
      <c r="AI201" s="39">
        <f>+IFERROR((FT_RF_26[[#This Row],[Hongos]]/FT_RF_26[[#This Row],[Muestra]]),"0")</f>
        <v>0</v>
      </c>
      <c r="AJ201" s="38">
        <v>0</v>
      </c>
      <c r="AK201" s="39">
        <f>+IFERROR((FT_RF_26[[#This Row],[Block]]/FT_RF_26[[#This Row],[Muestra]]),"0")</f>
        <v>0</v>
      </c>
      <c r="AL201" s="41">
        <v>0</v>
      </c>
      <c r="AM201" s="42">
        <v>0</v>
      </c>
      <c r="AN201" s="38">
        <v>0</v>
      </c>
      <c r="AO201" s="39">
        <f>+IFERROR((FT_RF_26[[#This Row],[Fuera de calibre &lt;12mm]]/FT_RF_26[[#This Row],[Muestra]]),"0")</f>
        <v>0</v>
      </c>
      <c r="AP201" s="38">
        <v>0</v>
      </c>
      <c r="AQ201" s="39">
        <f>+IFERROR((FT_RF_26[[#This Row],[Calibre &lt;25]]/FT_RF_26[[#This Row],[Muestra]]),"0")</f>
        <v>0</v>
      </c>
      <c r="AR201" s="38">
        <v>0</v>
      </c>
      <c r="AS201" s="39">
        <f>+IFERROR((FT_RF_26[[#This Row],[Calibre &gt;12]]/FT_RF_26[[#This Row],[Muestra]]),"0")</f>
        <v>0</v>
      </c>
      <c r="AT201" s="38">
        <v>0</v>
      </c>
      <c r="AU201" s="39">
        <f>+IFERROR((FT_RF_26[[#This Row],[Calibre &lt;14]]/FT_RF_26[[#This Row],[Muestra]]),"0")</f>
        <v>0</v>
      </c>
      <c r="AV201" s="38">
        <v>0</v>
      </c>
      <c r="AW201" s="39">
        <f>+IFERROR((FT_RF_26[[#This Row],[Calibre &gt;14]]/FT_RF_26[[#This Row],[Muestra]]),"0")</f>
        <v>0</v>
      </c>
      <c r="AX201" s="38">
        <v>0</v>
      </c>
      <c r="AY201" s="39">
        <f>+IFERROR((FT_RF_26[[#This Row],[Calibre &lt;10]]/FT_RF_26[[#This Row],[Muestra]]),"0")</f>
        <v>0</v>
      </c>
      <c r="AZ201" s="38">
        <v>0</v>
      </c>
      <c r="BA201" s="39">
        <f>+IFERROR((FT_RF_26[[#This Row],[Calibre &gt;13]]/FT_RF_26[[#This Row],[Muestra]]),"0")</f>
        <v>0</v>
      </c>
      <c r="BB201" s="41"/>
      <c r="BG201" s="42"/>
      <c r="BH201" s="43">
        <v>0</v>
      </c>
      <c r="BI201" s="29" t="s">
        <v>894</v>
      </c>
      <c r="BJ201" s="29" t="s">
        <v>894</v>
      </c>
      <c r="BK20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0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01" s="45">
        <f>1-FT_RF_26[[#This Row],[% Defectos]]</f>
        <v>1</v>
      </c>
      <c r="BO201" s="60"/>
      <c r="BP201" s="12">
        <f>SUM(FT_RF_26[[#This Row],[Hoja (Un.)]:[Larvas Caja]])</f>
        <v>0</v>
      </c>
      <c r="BQ201" s="12">
        <f>SUM(FT_RF_26[[#This Row],[Vidrios]:[Plástico]])</f>
        <v>0</v>
      </c>
      <c r="BR201" s="12" t="str">
        <f>IF(ISBLANK(FT_RF_26[[#This Row],[Descripción del producto]]),"",FT_RF_26[[#This Row],[Descripción del producto]])</f>
        <v/>
      </c>
      <c r="BS201" s="29" t="str">
        <f>IF(ISBLANK(FT_RF_26[[#This Row],[N° de Lote]]),"",FT_RF_26[[#This Row],[N° de Lote]])</f>
        <v/>
      </c>
      <c r="BT201" s="29" t="str">
        <f>IF(ISBLANK(FT_RF_26[[#This Row],[N° de Pallet]]),"",FT_RF_26[[#This Row],[N° de Pallet]])</f>
        <v/>
      </c>
    </row>
    <row r="202" spans="2:72">
      <c r="B202" s="29">
        <f>+_xlfn.ISOWEEKNUM(FT_RF_26[[#This Row],[Fecha]])</f>
        <v>52</v>
      </c>
      <c r="E202" s="31"/>
      <c r="F202" s="12" t="str">
        <f>IFERROR(""&amp;_xlfn.XLOOKUP(FT_RF_26[[#This Row],[Código]],BD_Cod[SKU],BD_Cod[Descripción]),"")</f>
        <v/>
      </c>
      <c r="G202" s="32" t="str">
        <f>IFERROR(""&amp;_xlfn.XLOOKUP(FT_RF_26[[#This Row],[Código]],BD_Cod[SKU],BD_Cod[Familia Calidad]),"")</f>
        <v/>
      </c>
      <c r="J202" s="33">
        <v>1000</v>
      </c>
      <c r="L202" s="30" t="s">
        <v>244</v>
      </c>
      <c r="O202" s="30" t="s">
        <v>894</v>
      </c>
      <c r="P202" s="29" t="s">
        <v>894</v>
      </c>
      <c r="Q202" s="37">
        <f>1-FT_RF_26[[#This Row],[% Defectos]]</f>
        <v>1</v>
      </c>
      <c r="R202" s="38">
        <v>0</v>
      </c>
      <c r="S202" s="39">
        <f>+IFERROR((FT_RF_26[[#This Row],[Inmadura]]/FT_RF_26[[#This Row],[Muestra]]),"0")</f>
        <v>0</v>
      </c>
      <c r="T202" s="38">
        <v>0</v>
      </c>
      <c r="U202" s="39">
        <f>+IFERROR((FT_RF_26[[#This Row],[Partidas]]/FT_RF_26[[#This Row],[Muestra]]),"0")</f>
        <v>0</v>
      </c>
      <c r="V202" s="38">
        <v>0</v>
      </c>
      <c r="W202" s="39">
        <f>+IFERROR((FT_RF_26[[#This Row],[Daño Insecto]]/FT_RF_26[[#This Row],[Muestra]]),"0")</f>
        <v>0</v>
      </c>
      <c r="X202" s="38">
        <v>0</v>
      </c>
      <c r="Y202" s="39">
        <f>+IFERROR((FT_RF_26[[#This Row],[Sobremadura]]/FT_RF_26[[#This Row],[Muestra]]),"0")</f>
        <v>0</v>
      </c>
      <c r="Z202" s="38">
        <v>0</v>
      </c>
      <c r="AA202" s="39">
        <f>+IFERROR((FT_RF_26[[#This Row],[Deforme]]/FT_RF_26[[#This Row],[Muestra]]),"0")</f>
        <v>0</v>
      </c>
      <c r="AB202" s="27"/>
      <c r="AC202" s="38">
        <v>0</v>
      </c>
      <c r="AD202" s="39">
        <f>+IFERROR((FT_RF_26[[#This Row],[Valor Extra 1]]/FT_RF_26[[#This Row],[Muestra]]),"0")</f>
        <v>0</v>
      </c>
      <c r="AF202" s="38">
        <v>0</v>
      </c>
      <c r="AG202" s="39">
        <f>+IFERROR((FT_RF_26[[#This Row],[Valor Extra 2]]/FT_RF_26[[#This Row],[Muestra]]),"0")</f>
        <v>0</v>
      </c>
      <c r="AH202" s="40">
        <v>0</v>
      </c>
      <c r="AI202" s="39">
        <f>+IFERROR((FT_RF_26[[#This Row],[Hongos]]/FT_RF_26[[#This Row],[Muestra]]),"0")</f>
        <v>0</v>
      </c>
      <c r="AJ202" s="38">
        <v>0</v>
      </c>
      <c r="AK202" s="39">
        <f>+IFERROR((FT_RF_26[[#This Row],[Block]]/FT_RF_26[[#This Row],[Muestra]]),"0")</f>
        <v>0</v>
      </c>
      <c r="AL202" s="41">
        <v>0</v>
      </c>
      <c r="AM202" s="42">
        <v>0</v>
      </c>
      <c r="AN202" s="38">
        <v>0</v>
      </c>
      <c r="AO202" s="39">
        <f>+IFERROR((FT_RF_26[[#This Row],[Fuera de calibre &lt;12mm]]/FT_RF_26[[#This Row],[Muestra]]),"0")</f>
        <v>0</v>
      </c>
      <c r="AP202" s="38">
        <v>0</v>
      </c>
      <c r="AQ202" s="39">
        <f>+IFERROR((FT_RF_26[[#This Row],[Calibre &lt;25]]/FT_RF_26[[#This Row],[Muestra]]),"0")</f>
        <v>0</v>
      </c>
      <c r="AR202" s="38">
        <v>0</v>
      </c>
      <c r="AS202" s="39">
        <f>+IFERROR((FT_RF_26[[#This Row],[Calibre &gt;12]]/FT_RF_26[[#This Row],[Muestra]]),"0")</f>
        <v>0</v>
      </c>
      <c r="AT202" s="38">
        <v>0</v>
      </c>
      <c r="AU202" s="39">
        <f>+IFERROR((FT_RF_26[[#This Row],[Calibre &lt;14]]/FT_RF_26[[#This Row],[Muestra]]),"0")</f>
        <v>0</v>
      </c>
      <c r="AV202" s="38">
        <v>0</v>
      </c>
      <c r="AW202" s="39">
        <f>+IFERROR((FT_RF_26[[#This Row],[Calibre &gt;14]]/FT_RF_26[[#This Row],[Muestra]]),"0")</f>
        <v>0</v>
      </c>
      <c r="AX202" s="38">
        <v>0</v>
      </c>
      <c r="AY202" s="39">
        <f>+IFERROR((FT_RF_26[[#This Row],[Calibre &lt;10]]/FT_RF_26[[#This Row],[Muestra]]),"0")</f>
        <v>0</v>
      </c>
      <c r="AZ202" s="38">
        <v>0</v>
      </c>
      <c r="BA202" s="39">
        <f>+IFERROR((FT_RF_26[[#This Row],[Calibre &gt;13]]/FT_RF_26[[#This Row],[Muestra]]),"0")</f>
        <v>0</v>
      </c>
      <c r="BB202" s="41"/>
      <c r="BG202" s="42"/>
      <c r="BH202" s="43">
        <v>0</v>
      </c>
      <c r="BI202" s="29" t="s">
        <v>894</v>
      </c>
      <c r="BJ202" s="29" t="s">
        <v>894</v>
      </c>
      <c r="BK20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0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02" s="45">
        <f>1-FT_RF_26[[#This Row],[% Defectos]]</f>
        <v>1</v>
      </c>
      <c r="BO202" s="60"/>
      <c r="BP202" s="12">
        <f>SUM(FT_RF_26[[#This Row],[Hoja (Un.)]:[Larvas Caja]])</f>
        <v>0</v>
      </c>
      <c r="BQ202" s="12">
        <f>SUM(FT_RF_26[[#This Row],[Vidrios]:[Plástico]])</f>
        <v>0</v>
      </c>
      <c r="BR202" s="12" t="str">
        <f>IF(ISBLANK(FT_RF_26[[#This Row],[Descripción del producto]]),"",FT_RF_26[[#This Row],[Descripción del producto]])</f>
        <v/>
      </c>
      <c r="BS202" s="29" t="str">
        <f>IF(ISBLANK(FT_RF_26[[#This Row],[N° de Lote]]),"",FT_RF_26[[#This Row],[N° de Lote]])</f>
        <v/>
      </c>
      <c r="BT202" s="29" t="str">
        <f>IF(ISBLANK(FT_RF_26[[#This Row],[N° de Pallet]]),"",FT_RF_26[[#This Row],[N° de Pallet]])</f>
        <v/>
      </c>
    </row>
    <row r="203" spans="2:72">
      <c r="B203" s="29">
        <f>+_xlfn.ISOWEEKNUM(FT_RF_26[[#This Row],[Fecha]])</f>
        <v>52</v>
      </c>
      <c r="E203" s="31"/>
      <c r="F203" s="12" t="str">
        <f>IFERROR(""&amp;_xlfn.XLOOKUP(FT_RF_26[[#This Row],[Código]],BD_Cod[SKU],BD_Cod[Descripción]),"")</f>
        <v/>
      </c>
      <c r="G203" s="32" t="str">
        <f>IFERROR(""&amp;_xlfn.XLOOKUP(FT_RF_26[[#This Row],[Código]],BD_Cod[SKU],BD_Cod[Familia Calidad]),"")</f>
        <v/>
      </c>
      <c r="J203" s="33">
        <v>1000</v>
      </c>
      <c r="L203" s="30" t="s">
        <v>244</v>
      </c>
      <c r="O203" s="30" t="s">
        <v>894</v>
      </c>
      <c r="P203" s="29" t="s">
        <v>894</v>
      </c>
      <c r="Q203" s="37">
        <f>1-FT_RF_26[[#This Row],[% Defectos]]</f>
        <v>1</v>
      </c>
      <c r="R203" s="38">
        <v>0</v>
      </c>
      <c r="S203" s="39">
        <f>+IFERROR((FT_RF_26[[#This Row],[Inmadura]]/FT_RF_26[[#This Row],[Muestra]]),"0")</f>
        <v>0</v>
      </c>
      <c r="T203" s="38">
        <v>0</v>
      </c>
      <c r="U203" s="39">
        <f>+IFERROR((FT_RF_26[[#This Row],[Partidas]]/FT_RF_26[[#This Row],[Muestra]]),"0")</f>
        <v>0</v>
      </c>
      <c r="V203" s="38">
        <v>0</v>
      </c>
      <c r="W203" s="39">
        <f>+IFERROR((FT_RF_26[[#This Row],[Daño Insecto]]/FT_RF_26[[#This Row],[Muestra]]),"0")</f>
        <v>0</v>
      </c>
      <c r="X203" s="38">
        <v>0</v>
      </c>
      <c r="Y203" s="39">
        <f>+IFERROR((FT_RF_26[[#This Row],[Sobremadura]]/FT_RF_26[[#This Row],[Muestra]]),"0")</f>
        <v>0</v>
      </c>
      <c r="Z203" s="38">
        <v>0</v>
      </c>
      <c r="AA203" s="39">
        <f>+IFERROR((FT_RF_26[[#This Row],[Deforme]]/FT_RF_26[[#This Row],[Muestra]]),"0")</f>
        <v>0</v>
      </c>
      <c r="AB203" s="27"/>
      <c r="AC203" s="38">
        <v>0</v>
      </c>
      <c r="AD203" s="39">
        <f>+IFERROR((FT_RF_26[[#This Row],[Valor Extra 1]]/FT_RF_26[[#This Row],[Muestra]]),"0")</f>
        <v>0</v>
      </c>
      <c r="AF203" s="38">
        <v>0</v>
      </c>
      <c r="AG203" s="39">
        <f>+IFERROR((FT_RF_26[[#This Row],[Valor Extra 2]]/FT_RF_26[[#This Row],[Muestra]]),"0")</f>
        <v>0</v>
      </c>
      <c r="AH203" s="40">
        <v>0</v>
      </c>
      <c r="AI203" s="39">
        <f>+IFERROR((FT_RF_26[[#This Row],[Hongos]]/FT_RF_26[[#This Row],[Muestra]]),"0")</f>
        <v>0</v>
      </c>
      <c r="AJ203" s="38">
        <v>0</v>
      </c>
      <c r="AK203" s="39">
        <f>+IFERROR((FT_RF_26[[#This Row],[Block]]/FT_RF_26[[#This Row],[Muestra]]),"0")</f>
        <v>0</v>
      </c>
      <c r="AL203" s="41">
        <v>0</v>
      </c>
      <c r="AM203" s="42">
        <v>0</v>
      </c>
      <c r="AN203" s="38">
        <v>0</v>
      </c>
      <c r="AO203" s="39">
        <f>+IFERROR((FT_RF_26[[#This Row],[Fuera de calibre &lt;12mm]]/FT_RF_26[[#This Row],[Muestra]]),"0")</f>
        <v>0</v>
      </c>
      <c r="AP203" s="38">
        <v>0</v>
      </c>
      <c r="AQ203" s="39">
        <f>+IFERROR((FT_RF_26[[#This Row],[Calibre &lt;25]]/FT_RF_26[[#This Row],[Muestra]]),"0")</f>
        <v>0</v>
      </c>
      <c r="AR203" s="38">
        <v>0</v>
      </c>
      <c r="AS203" s="39">
        <f>+IFERROR((FT_RF_26[[#This Row],[Calibre &gt;12]]/FT_RF_26[[#This Row],[Muestra]]),"0")</f>
        <v>0</v>
      </c>
      <c r="AT203" s="38">
        <v>0</v>
      </c>
      <c r="AU203" s="39">
        <f>+IFERROR((FT_RF_26[[#This Row],[Calibre &lt;14]]/FT_RF_26[[#This Row],[Muestra]]),"0")</f>
        <v>0</v>
      </c>
      <c r="AV203" s="38">
        <v>0</v>
      </c>
      <c r="AW203" s="39">
        <f>+IFERROR((FT_RF_26[[#This Row],[Calibre &gt;14]]/FT_RF_26[[#This Row],[Muestra]]),"0")</f>
        <v>0</v>
      </c>
      <c r="AX203" s="38">
        <v>0</v>
      </c>
      <c r="AY203" s="39">
        <f>+IFERROR((FT_RF_26[[#This Row],[Calibre &lt;10]]/FT_RF_26[[#This Row],[Muestra]]),"0")</f>
        <v>0</v>
      </c>
      <c r="AZ203" s="38">
        <v>0</v>
      </c>
      <c r="BA203" s="39">
        <f>+IFERROR((FT_RF_26[[#This Row],[Calibre &gt;13]]/FT_RF_26[[#This Row],[Muestra]]),"0")</f>
        <v>0</v>
      </c>
      <c r="BB203" s="41"/>
      <c r="BG203" s="42"/>
      <c r="BH203" s="43">
        <v>0</v>
      </c>
      <c r="BI203" s="29" t="s">
        <v>894</v>
      </c>
      <c r="BJ203" s="29" t="s">
        <v>894</v>
      </c>
      <c r="BK20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0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03" s="45">
        <f>1-FT_RF_26[[#This Row],[% Defectos]]</f>
        <v>1</v>
      </c>
      <c r="BO203" s="60"/>
      <c r="BP203" s="12">
        <f>SUM(FT_RF_26[[#This Row],[Hoja (Un.)]:[Larvas Caja]])</f>
        <v>0</v>
      </c>
      <c r="BQ203" s="12">
        <f>SUM(FT_RF_26[[#This Row],[Vidrios]:[Plástico]])</f>
        <v>0</v>
      </c>
      <c r="BR203" s="12" t="str">
        <f>IF(ISBLANK(FT_RF_26[[#This Row],[Descripción del producto]]),"",FT_RF_26[[#This Row],[Descripción del producto]])</f>
        <v/>
      </c>
      <c r="BS203" s="29" t="str">
        <f>IF(ISBLANK(FT_RF_26[[#This Row],[N° de Lote]]),"",FT_RF_26[[#This Row],[N° de Lote]])</f>
        <v/>
      </c>
      <c r="BT203" s="29" t="str">
        <f>IF(ISBLANK(FT_RF_26[[#This Row],[N° de Pallet]]),"",FT_RF_26[[#This Row],[N° de Pallet]])</f>
        <v/>
      </c>
    </row>
    <row r="204" spans="2:72">
      <c r="B204" s="29">
        <f>+_xlfn.ISOWEEKNUM(FT_RF_26[[#This Row],[Fecha]])</f>
        <v>52</v>
      </c>
      <c r="E204" s="31"/>
      <c r="F204" s="12" t="str">
        <f>IFERROR(""&amp;_xlfn.XLOOKUP(FT_RF_26[[#This Row],[Código]],BD_Cod[SKU],BD_Cod[Descripción]),"")</f>
        <v/>
      </c>
      <c r="G204" s="32" t="str">
        <f>IFERROR(""&amp;_xlfn.XLOOKUP(FT_RF_26[[#This Row],[Código]],BD_Cod[SKU],BD_Cod[Familia Calidad]),"")</f>
        <v/>
      </c>
      <c r="J204" s="33">
        <v>1000</v>
      </c>
      <c r="L204" s="30" t="s">
        <v>244</v>
      </c>
      <c r="O204" s="30" t="s">
        <v>894</v>
      </c>
      <c r="P204" s="29" t="s">
        <v>894</v>
      </c>
      <c r="Q204" s="37">
        <f>1-FT_RF_26[[#This Row],[% Defectos]]</f>
        <v>1</v>
      </c>
      <c r="R204" s="38">
        <v>0</v>
      </c>
      <c r="S204" s="39">
        <f>+IFERROR((FT_RF_26[[#This Row],[Inmadura]]/FT_RF_26[[#This Row],[Muestra]]),"0")</f>
        <v>0</v>
      </c>
      <c r="T204" s="38">
        <v>0</v>
      </c>
      <c r="U204" s="39">
        <f>+IFERROR((FT_RF_26[[#This Row],[Partidas]]/FT_RF_26[[#This Row],[Muestra]]),"0")</f>
        <v>0</v>
      </c>
      <c r="V204" s="38">
        <v>0</v>
      </c>
      <c r="W204" s="39">
        <f>+IFERROR((FT_RF_26[[#This Row],[Daño Insecto]]/FT_RF_26[[#This Row],[Muestra]]),"0")</f>
        <v>0</v>
      </c>
      <c r="X204" s="38">
        <v>0</v>
      </c>
      <c r="Y204" s="39">
        <f>+IFERROR((FT_RF_26[[#This Row],[Sobremadura]]/FT_RF_26[[#This Row],[Muestra]]),"0")</f>
        <v>0</v>
      </c>
      <c r="Z204" s="38">
        <v>0</v>
      </c>
      <c r="AA204" s="39">
        <f>+IFERROR((FT_RF_26[[#This Row],[Deforme]]/FT_RF_26[[#This Row],[Muestra]]),"0")</f>
        <v>0</v>
      </c>
      <c r="AB204" s="27"/>
      <c r="AC204" s="38">
        <v>0</v>
      </c>
      <c r="AD204" s="39">
        <f>+IFERROR((FT_RF_26[[#This Row],[Valor Extra 1]]/FT_RF_26[[#This Row],[Muestra]]),"0")</f>
        <v>0</v>
      </c>
      <c r="AF204" s="38">
        <v>0</v>
      </c>
      <c r="AG204" s="39">
        <f>+IFERROR((FT_RF_26[[#This Row],[Valor Extra 2]]/FT_RF_26[[#This Row],[Muestra]]),"0")</f>
        <v>0</v>
      </c>
      <c r="AH204" s="40">
        <v>0</v>
      </c>
      <c r="AI204" s="39">
        <f>+IFERROR((FT_RF_26[[#This Row],[Hongos]]/FT_RF_26[[#This Row],[Muestra]]),"0")</f>
        <v>0</v>
      </c>
      <c r="AJ204" s="38">
        <v>0</v>
      </c>
      <c r="AK204" s="39">
        <f>+IFERROR((FT_RF_26[[#This Row],[Block]]/FT_RF_26[[#This Row],[Muestra]]),"0")</f>
        <v>0</v>
      </c>
      <c r="AL204" s="41">
        <v>0</v>
      </c>
      <c r="AM204" s="42">
        <v>0</v>
      </c>
      <c r="AN204" s="38">
        <v>0</v>
      </c>
      <c r="AO204" s="39">
        <f>+IFERROR((FT_RF_26[[#This Row],[Fuera de calibre &lt;12mm]]/FT_RF_26[[#This Row],[Muestra]]),"0")</f>
        <v>0</v>
      </c>
      <c r="AP204" s="38">
        <v>0</v>
      </c>
      <c r="AQ204" s="39">
        <f>+IFERROR((FT_RF_26[[#This Row],[Calibre &lt;25]]/FT_RF_26[[#This Row],[Muestra]]),"0")</f>
        <v>0</v>
      </c>
      <c r="AR204" s="38">
        <v>0</v>
      </c>
      <c r="AS204" s="39">
        <f>+IFERROR((FT_RF_26[[#This Row],[Calibre &gt;12]]/FT_RF_26[[#This Row],[Muestra]]),"0")</f>
        <v>0</v>
      </c>
      <c r="AT204" s="38">
        <v>0</v>
      </c>
      <c r="AU204" s="39">
        <f>+IFERROR((FT_RF_26[[#This Row],[Calibre &lt;14]]/FT_RF_26[[#This Row],[Muestra]]),"0")</f>
        <v>0</v>
      </c>
      <c r="AV204" s="38">
        <v>0</v>
      </c>
      <c r="AW204" s="39">
        <f>+IFERROR((FT_RF_26[[#This Row],[Calibre &gt;14]]/FT_RF_26[[#This Row],[Muestra]]),"0")</f>
        <v>0</v>
      </c>
      <c r="AX204" s="38">
        <v>0</v>
      </c>
      <c r="AY204" s="39">
        <f>+IFERROR((FT_RF_26[[#This Row],[Calibre &lt;10]]/FT_RF_26[[#This Row],[Muestra]]),"0")</f>
        <v>0</v>
      </c>
      <c r="AZ204" s="38">
        <v>0</v>
      </c>
      <c r="BA204" s="39">
        <f>+IFERROR((FT_RF_26[[#This Row],[Calibre &gt;13]]/FT_RF_26[[#This Row],[Muestra]]),"0")</f>
        <v>0</v>
      </c>
      <c r="BB204" s="41"/>
      <c r="BG204" s="42"/>
      <c r="BH204" s="43">
        <v>0</v>
      </c>
      <c r="BI204" s="29" t="s">
        <v>894</v>
      </c>
      <c r="BJ204" s="29" t="s">
        <v>894</v>
      </c>
      <c r="BK20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0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04" s="45">
        <f>1-FT_RF_26[[#This Row],[% Defectos]]</f>
        <v>1</v>
      </c>
      <c r="BO204" s="60"/>
      <c r="BP204" s="12">
        <f>SUM(FT_RF_26[[#This Row],[Hoja (Un.)]:[Larvas Caja]])</f>
        <v>0</v>
      </c>
      <c r="BQ204" s="12">
        <f>SUM(FT_RF_26[[#This Row],[Vidrios]:[Plástico]])</f>
        <v>0</v>
      </c>
      <c r="BR204" s="12" t="str">
        <f>IF(ISBLANK(FT_RF_26[[#This Row],[Descripción del producto]]),"",FT_RF_26[[#This Row],[Descripción del producto]])</f>
        <v/>
      </c>
      <c r="BS204" s="29" t="str">
        <f>IF(ISBLANK(FT_RF_26[[#This Row],[N° de Lote]]),"",FT_RF_26[[#This Row],[N° de Lote]])</f>
        <v/>
      </c>
      <c r="BT204" s="29" t="str">
        <f>IF(ISBLANK(FT_RF_26[[#This Row],[N° de Pallet]]),"",FT_RF_26[[#This Row],[N° de Pallet]])</f>
        <v/>
      </c>
    </row>
    <row r="205" spans="2:72">
      <c r="B205" s="29">
        <f>+_xlfn.ISOWEEKNUM(FT_RF_26[[#This Row],[Fecha]])</f>
        <v>52</v>
      </c>
      <c r="E205" s="31"/>
      <c r="F205" s="12" t="str">
        <f>IFERROR(""&amp;_xlfn.XLOOKUP(FT_RF_26[[#This Row],[Código]],BD_Cod[SKU],BD_Cod[Descripción]),"")</f>
        <v/>
      </c>
      <c r="G205" s="32" t="str">
        <f>IFERROR(""&amp;_xlfn.XLOOKUP(FT_RF_26[[#This Row],[Código]],BD_Cod[SKU],BD_Cod[Familia Calidad]),"")</f>
        <v/>
      </c>
      <c r="J205" s="33">
        <v>1000</v>
      </c>
      <c r="L205" s="30" t="s">
        <v>244</v>
      </c>
      <c r="O205" s="30" t="s">
        <v>894</v>
      </c>
      <c r="P205" s="29" t="s">
        <v>894</v>
      </c>
      <c r="Q205" s="37">
        <f>1-FT_RF_26[[#This Row],[% Defectos]]</f>
        <v>1</v>
      </c>
      <c r="R205" s="38">
        <v>0</v>
      </c>
      <c r="S205" s="39">
        <f>+IFERROR((FT_RF_26[[#This Row],[Inmadura]]/FT_RF_26[[#This Row],[Muestra]]),"0")</f>
        <v>0</v>
      </c>
      <c r="T205" s="38">
        <v>0</v>
      </c>
      <c r="U205" s="39">
        <f>+IFERROR((FT_RF_26[[#This Row],[Partidas]]/FT_RF_26[[#This Row],[Muestra]]),"0")</f>
        <v>0</v>
      </c>
      <c r="V205" s="38">
        <v>0</v>
      </c>
      <c r="W205" s="39">
        <f>+IFERROR((FT_RF_26[[#This Row],[Daño Insecto]]/FT_RF_26[[#This Row],[Muestra]]),"0")</f>
        <v>0</v>
      </c>
      <c r="X205" s="38">
        <v>0</v>
      </c>
      <c r="Y205" s="39">
        <f>+IFERROR((FT_RF_26[[#This Row],[Sobremadura]]/FT_RF_26[[#This Row],[Muestra]]),"0")</f>
        <v>0</v>
      </c>
      <c r="Z205" s="38">
        <v>0</v>
      </c>
      <c r="AA205" s="39">
        <f>+IFERROR((FT_RF_26[[#This Row],[Deforme]]/FT_RF_26[[#This Row],[Muestra]]),"0")</f>
        <v>0</v>
      </c>
      <c r="AB205" s="27"/>
      <c r="AC205" s="38">
        <v>0</v>
      </c>
      <c r="AD205" s="39">
        <f>+IFERROR((FT_RF_26[[#This Row],[Valor Extra 1]]/FT_RF_26[[#This Row],[Muestra]]),"0")</f>
        <v>0</v>
      </c>
      <c r="AF205" s="38">
        <v>0</v>
      </c>
      <c r="AG205" s="39">
        <f>+IFERROR((FT_RF_26[[#This Row],[Valor Extra 2]]/FT_RF_26[[#This Row],[Muestra]]),"0")</f>
        <v>0</v>
      </c>
      <c r="AH205" s="40">
        <v>0</v>
      </c>
      <c r="AI205" s="39">
        <f>+IFERROR((FT_RF_26[[#This Row],[Hongos]]/FT_RF_26[[#This Row],[Muestra]]),"0")</f>
        <v>0</v>
      </c>
      <c r="AJ205" s="38">
        <v>0</v>
      </c>
      <c r="AK205" s="39">
        <f>+IFERROR((FT_RF_26[[#This Row],[Block]]/FT_RF_26[[#This Row],[Muestra]]),"0")</f>
        <v>0</v>
      </c>
      <c r="AL205" s="41">
        <v>0</v>
      </c>
      <c r="AM205" s="42">
        <v>0</v>
      </c>
      <c r="AN205" s="38">
        <v>0</v>
      </c>
      <c r="AO205" s="39">
        <f>+IFERROR((FT_RF_26[[#This Row],[Fuera de calibre &lt;12mm]]/FT_RF_26[[#This Row],[Muestra]]),"0")</f>
        <v>0</v>
      </c>
      <c r="AP205" s="38">
        <v>0</v>
      </c>
      <c r="AQ205" s="39">
        <f>+IFERROR((FT_RF_26[[#This Row],[Calibre &lt;25]]/FT_RF_26[[#This Row],[Muestra]]),"0")</f>
        <v>0</v>
      </c>
      <c r="AR205" s="38">
        <v>0</v>
      </c>
      <c r="AS205" s="39">
        <f>+IFERROR((FT_RF_26[[#This Row],[Calibre &gt;12]]/FT_RF_26[[#This Row],[Muestra]]),"0")</f>
        <v>0</v>
      </c>
      <c r="AT205" s="38">
        <v>0</v>
      </c>
      <c r="AU205" s="39">
        <f>+IFERROR((FT_RF_26[[#This Row],[Calibre &lt;14]]/FT_RF_26[[#This Row],[Muestra]]),"0")</f>
        <v>0</v>
      </c>
      <c r="AV205" s="38">
        <v>0</v>
      </c>
      <c r="AW205" s="39">
        <f>+IFERROR((FT_RF_26[[#This Row],[Calibre &gt;14]]/FT_RF_26[[#This Row],[Muestra]]),"0")</f>
        <v>0</v>
      </c>
      <c r="AX205" s="38">
        <v>0</v>
      </c>
      <c r="AY205" s="39">
        <f>+IFERROR((FT_RF_26[[#This Row],[Calibre &lt;10]]/FT_RF_26[[#This Row],[Muestra]]),"0")</f>
        <v>0</v>
      </c>
      <c r="AZ205" s="38">
        <v>0</v>
      </c>
      <c r="BA205" s="39">
        <f>+IFERROR((FT_RF_26[[#This Row],[Calibre &gt;13]]/FT_RF_26[[#This Row],[Muestra]]),"0")</f>
        <v>0</v>
      </c>
      <c r="BB205" s="41"/>
      <c r="BG205" s="42"/>
      <c r="BH205" s="43">
        <v>0</v>
      </c>
      <c r="BI205" s="29" t="s">
        <v>894</v>
      </c>
      <c r="BJ205" s="29" t="s">
        <v>894</v>
      </c>
      <c r="BK20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0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05" s="45">
        <f>1-FT_RF_26[[#This Row],[% Defectos]]</f>
        <v>1</v>
      </c>
      <c r="BO205" s="60"/>
      <c r="BP205" s="12">
        <f>SUM(FT_RF_26[[#This Row],[Hoja (Un.)]:[Larvas Caja]])</f>
        <v>0</v>
      </c>
      <c r="BQ205" s="12">
        <f>SUM(FT_RF_26[[#This Row],[Vidrios]:[Plástico]])</f>
        <v>0</v>
      </c>
      <c r="BR205" s="12" t="str">
        <f>IF(ISBLANK(FT_RF_26[[#This Row],[Descripción del producto]]),"",FT_RF_26[[#This Row],[Descripción del producto]])</f>
        <v/>
      </c>
      <c r="BS205" s="29" t="str">
        <f>IF(ISBLANK(FT_RF_26[[#This Row],[N° de Lote]]),"",FT_RF_26[[#This Row],[N° de Lote]])</f>
        <v/>
      </c>
      <c r="BT205" s="29" t="str">
        <f>IF(ISBLANK(FT_RF_26[[#This Row],[N° de Pallet]]),"",FT_RF_26[[#This Row],[N° de Pallet]])</f>
        <v/>
      </c>
    </row>
    <row r="206" spans="2:72">
      <c r="B206" s="29">
        <f>+_xlfn.ISOWEEKNUM(FT_RF_26[[#This Row],[Fecha]])</f>
        <v>52</v>
      </c>
      <c r="E206" s="31"/>
      <c r="F206" s="12" t="str">
        <f>IFERROR(""&amp;_xlfn.XLOOKUP(FT_RF_26[[#This Row],[Código]],BD_Cod[SKU],BD_Cod[Descripción]),"")</f>
        <v/>
      </c>
      <c r="G206" s="32" t="str">
        <f>IFERROR(""&amp;_xlfn.XLOOKUP(FT_RF_26[[#This Row],[Código]],BD_Cod[SKU],BD_Cod[Familia Calidad]),"")</f>
        <v/>
      </c>
      <c r="J206" s="33">
        <v>1000</v>
      </c>
      <c r="L206" s="30" t="s">
        <v>244</v>
      </c>
      <c r="O206" s="30" t="s">
        <v>894</v>
      </c>
      <c r="P206" s="29" t="s">
        <v>894</v>
      </c>
      <c r="Q206" s="37">
        <f>1-FT_RF_26[[#This Row],[% Defectos]]</f>
        <v>1</v>
      </c>
      <c r="R206" s="38">
        <v>0</v>
      </c>
      <c r="S206" s="39">
        <f>+IFERROR((FT_RF_26[[#This Row],[Inmadura]]/FT_RF_26[[#This Row],[Muestra]]),"0")</f>
        <v>0</v>
      </c>
      <c r="T206" s="38">
        <v>0</v>
      </c>
      <c r="U206" s="39">
        <f>+IFERROR((FT_RF_26[[#This Row],[Partidas]]/FT_RF_26[[#This Row],[Muestra]]),"0")</f>
        <v>0</v>
      </c>
      <c r="V206" s="38">
        <v>0</v>
      </c>
      <c r="W206" s="39">
        <f>+IFERROR((FT_RF_26[[#This Row],[Daño Insecto]]/FT_RF_26[[#This Row],[Muestra]]),"0")</f>
        <v>0</v>
      </c>
      <c r="X206" s="38">
        <v>0</v>
      </c>
      <c r="Y206" s="39">
        <f>+IFERROR((FT_RF_26[[#This Row],[Sobremadura]]/FT_RF_26[[#This Row],[Muestra]]),"0")</f>
        <v>0</v>
      </c>
      <c r="Z206" s="38">
        <v>0</v>
      </c>
      <c r="AA206" s="39">
        <f>+IFERROR((FT_RF_26[[#This Row],[Deforme]]/FT_RF_26[[#This Row],[Muestra]]),"0")</f>
        <v>0</v>
      </c>
      <c r="AB206" s="27"/>
      <c r="AC206" s="38">
        <v>0</v>
      </c>
      <c r="AD206" s="39">
        <f>+IFERROR((FT_RF_26[[#This Row],[Valor Extra 1]]/FT_RF_26[[#This Row],[Muestra]]),"0")</f>
        <v>0</v>
      </c>
      <c r="AF206" s="38">
        <v>0</v>
      </c>
      <c r="AG206" s="39">
        <f>+IFERROR((FT_RF_26[[#This Row],[Valor Extra 2]]/FT_RF_26[[#This Row],[Muestra]]),"0")</f>
        <v>0</v>
      </c>
      <c r="AH206" s="40">
        <v>0</v>
      </c>
      <c r="AI206" s="39">
        <f>+IFERROR((FT_RF_26[[#This Row],[Hongos]]/FT_RF_26[[#This Row],[Muestra]]),"0")</f>
        <v>0</v>
      </c>
      <c r="AJ206" s="38">
        <v>0</v>
      </c>
      <c r="AK206" s="39">
        <f>+IFERROR((FT_RF_26[[#This Row],[Block]]/FT_RF_26[[#This Row],[Muestra]]),"0")</f>
        <v>0</v>
      </c>
      <c r="AL206" s="41">
        <v>0</v>
      </c>
      <c r="AM206" s="42">
        <v>0</v>
      </c>
      <c r="AN206" s="38">
        <v>0</v>
      </c>
      <c r="AO206" s="39">
        <f>+IFERROR((FT_RF_26[[#This Row],[Fuera de calibre &lt;12mm]]/FT_RF_26[[#This Row],[Muestra]]),"0")</f>
        <v>0</v>
      </c>
      <c r="AP206" s="38">
        <v>0</v>
      </c>
      <c r="AQ206" s="39">
        <f>+IFERROR((FT_RF_26[[#This Row],[Calibre &lt;25]]/FT_RF_26[[#This Row],[Muestra]]),"0")</f>
        <v>0</v>
      </c>
      <c r="AR206" s="38">
        <v>0</v>
      </c>
      <c r="AS206" s="39">
        <f>+IFERROR((FT_RF_26[[#This Row],[Calibre &gt;12]]/FT_RF_26[[#This Row],[Muestra]]),"0")</f>
        <v>0</v>
      </c>
      <c r="AT206" s="38">
        <v>0</v>
      </c>
      <c r="AU206" s="39">
        <f>+IFERROR((FT_RF_26[[#This Row],[Calibre &lt;14]]/FT_RF_26[[#This Row],[Muestra]]),"0")</f>
        <v>0</v>
      </c>
      <c r="AV206" s="38">
        <v>0</v>
      </c>
      <c r="AW206" s="39">
        <f>+IFERROR((FT_RF_26[[#This Row],[Calibre &gt;14]]/FT_RF_26[[#This Row],[Muestra]]),"0")</f>
        <v>0</v>
      </c>
      <c r="AX206" s="38">
        <v>0</v>
      </c>
      <c r="AY206" s="39">
        <f>+IFERROR((FT_RF_26[[#This Row],[Calibre &lt;10]]/FT_RF_26[[#This Row],[Muestra]]),"0")</f>
        <v>0</v>
      </c>
      <c r="AZ206" s="38">
        <v>0</v>
      </c>
      <c r="BA206" s="39">
        <f>+IFERROR((FT_RF_26[[#This Row],[Calibre &gt;13]]/FT_RF_26[[#This Row],[Muestra]]),"0")</f>
        <v>0</v>
      </c>
      <c r="BB206" s="41"/>
      <c r="BG206" s="42"/>
      <c r="BH206" s="43">
        <v>0</v>
      </c>
      <c r="BI206" s="29" t="s">
        <v>894</v>
      </c>
      <c r="BJ206" s="29" t="s">
        <v>894</v>
      </c>
      <c r="BK20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0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06" s="45">
        <f>1-FT_RF_26[[#This Row],[% Defectos]]</f>
        <v>1</v>
      </c>
      <c r="BO206" s="60"/>
      <c r="BP206" s="12">
        <f>SUM(FT_RF_26[[#This Row],[Hoja (Un.)]:[Larvas Caja]])</f>
        <v>0</v>
      </c>
      <c r="BQ206" s="12">
        <f>SUM(FT_RF_26[[#This Row],[Vidrios]:[Plástico]])</f>
        <v>0</v>
      </c>
      <c r="BR206" s="12" t="str">
        <f>IF(ISBLANK(FT_RF_26[[#This Row],[Descripción del producto]]),"",FT_RF_26[[#This Row],[Descripción del producto]])</f>
        <v/>
      </c>
      <c r="BS206" s="29" t="str">
        <f>IF(ISBLANK(FT_RF_26[[#This Row],[N° de Lote]]),"",FT_RF_26[[#This Row],[N° de Lote]])</f>
        <v/>
      </c>
      <c r="BT206" s="29" t="str">
        <f>IF(ISBLANK(FT_RF_26[[#This Row],[N° de Pallet]]),"",FT_RF_26[[#This Row],[N° de Pallet]])</f>
        <v/>
      </c>
    </row>
    <row r="207" spans="2:72">
      <c r="B207" s="29">
        <f>+_xlfn.ISOWEEKNUM(FT_RF_26[[#This Row],[Fecha]])</f>
        <v>52</v>
      </c>
      <c r="E207" s="31"/>
      <c r="F207" s="12" t="str">
        <f>IFERROR(""&amp;_xlfn.XLOOKUP(FT_RF_26[[#This Row],[Código]],BD_Cod[SKU],BD_Cod[Descripción]),"")</f>
        <v/>
      </c>
      <c r="G207" s="32" t="str">
        <f>IFERROR(""&amp;_xlfn.XLOOKUP(FT_RF_26[[#This Row],[Código]],BD_Cod[SKU],BD_Cod[Familia Calidad]),"")</f>
        <v/>
      </c>
      <c r="J207" s="33">
        <v>1000</v>
      </c>
      <c r="L207" s="30" t="s">
        <v>244</v>
      </c>
      <c r="O207" s="30" t="s">
        <v>894</v>
      </c>
      <c r="P207" s="29" t="s">
        <v>894</v>
      </c>
      <c r="Q207" s="37">
        <f>1-FT_RF_26[[#This Row],[% Defectos]]</f>
        <v>1</v>
      </c>
      <c r="R207" s="38">
        <v>0</v>
      </c>
      <c r="S207" s="39">
        <f>+IFERROR((FT_RF_26[[#This Row],[Inmadura]]/FT_RF_26[[#This Row],[Muestra]]),"0")</f>
        <v>0</v>
      </c>
      <c r="T207" s="38">
        <v>0</v>
      </c>
      <c r="U207" s="39">
        <f>+IFERROR((FT_RF_26[[#This Row],[Partidas]]/FT_RF_26[[#This Row],[Muestra]]),"0")</f>
        <v>0</v>
      </c>
      <c r="V207" s="38">
        <v>0</v>
      </c>
      <c r="W207" s="39">
        <f>+IFERROR((FT_RF_26[[#This Row],[Daño Insecto]]/FT_RF_26[[#This Row],[Muestra]]),"0")</f>
        <v>0</v>
      </c>
      <c r="X207" s="38">
        <v>0</v>
      </c>
      <c r="Y207" s="39">
        <f>+IFERROR((FT_RF_26[[#This Row],[Sobremadura]]/FT_RF_26[[#This Row],[Muestra]]),"0")</f>
        <v>0</v>
      </c>
      <c r="Z207" s="38">
        <v>0</v>
      </c>
      <c r="AA207" s="39">
        <f>+IFERROR((FT_RF_26[[#This Row],[Deforme]]/FT_RF_26[[#This Row],[Muestra]]),"0")</f>
        <v>0</v>
      </c>
      <c r="AB207" s="27"/>
      <c r="AC207" s="38">
        <v>0</v>
      </c>
      <c r="AD207" s="39">
        <f>+IFERROR((FT_RF_26[[#This Row],[Valor Extra 1]]/FT_RF_26[[#This Row],[Muestra]]),"0")</f>
        <v>0</v>
      </c>
      <c r="AF207" s="38">
        <v>0</v>
      </c>
      <c r="AG207" s="39">
        <f>+IFERROR((FT_RF_26[[#This Row],[Valor Extra 2]]/FT_RF_26[[#This Row],[Muestra]]),"0")</f>
        <v>0</v>
      </c>
      <c r="AH207" s="40">
        <v>0</v>
      </c>
      <c r="AI207" s="39">
        <f>+IFERROR((FT_RF_26[[#This Row],[Hongos]]/FT_RF_26[[#This Row],[Muestra]]),"0")</f>
        <v>0</v>
      </c>
      <c r="AJ207" s="38">
        <v>0</v>
      </c>
      <c r="AK207" s="39">
        <f>+IFERROR((FT_RF_26[[#This Row],[Block]]/FT_RF_26[[#This Row],[Muestra]]),"0")</f>
        <v>0</v>
      </c>
      <c r="AL207" s="41">
        <v>0</v>
      </c>
      <c r="AM207" s="42">
        <v>0</v>
      </c>
      <c r="AN207" s="38">
        <v>0</v>
      </c>
      <c r="AO207" s="39">
        <f>+IFERROR((FT_RF_26[[#This Row],[Fuera de calibre &lt;12mm]]/FT_RF_26[[#This Row],[Muestra]]),"0")</f>
        <v>0</v>
      </c>
      <c r="AP207" s="38">
        <v>0</v>
      </c>
      <c r="AQ207" s="39">
        <f>+IFERROR((FT_RF_26[[#This Row],[Calibre &lt;25]]/FT_RF_26[[#This Row],[Muestra]]),"0")</f>
        <v>0</v>
      </c>
      <c r="AR207" s="38">
        <v>0</v>
      </c>
      <c r="AS207" s="39">
        <f>+IFERROR((FT_RF_26[[#This Row],[Calibre &gt;12]]/FT_RF_26[[#This Row],[Muestra]]),"0")</f>
        <v>0</v>
      </c>
      <c r="AT207" s="38">
        <v>0</v>
      </c>
      <c r="AU207" s="39">
        <f>+IFERROR((FT_RF_26[[#This Row],[Calibre &lt;14]]/FT_RF_26[[#This Row],[Muestra]]),"0")</f>
        <v>0</v>
      </c>
      <c r="AV207" s="38">
        <v>0</v>
      </c>
      <c r="AW207" s="39">
        <f>+IFERROR((FT_RF_26[[#This Row],[Calibre &gt;14]]/FT_RF_26[[#This Row],[Muestra]]),"0")</f>
        <v>0</v>
      </c>
      <c r="AX207" s="38">
        <v>0</v>
      </c>
      <c r="AY207" s="39">
        <f>+IFERROR((FT_RF_26[[#This Row],[Calibre &lt;10]]/FT_RF_26[[#This Row],[Muestra]]),"0")</f>
        <v>0</v>
      </c>
      <c r="AZ207" s="38">
        <v>0</v>
      </c>
      <c r="BA207" s="39">
        <f>+IFERROR((FT_RF_26[[#This Row],[Calibre &gt;13]]/FT_RF_26[[#This Row],[Muestra]]),"0")</f>
        <v>0</v>
      </c>
      <c r="BB207" s="41"/>
      <c r="BG207" s="42"/>
      <c r="BH207" s="43">
        <v>0</v>
      </c>
      <c r="BI207" s="29" t="s">
        <v>894</v>
      </c>
      <c r="BJ207" s="29" t="s">
        <v>894</v>
      </c>
      <c r="BK20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0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07" s="45">
        <f>1-FT_RF_26[[#This Row],[% Defectos]]</f>
        <v>1</v>
      </c>
      <c r="BO207" s="60"/>
      <c r="BP207" s="12">
        <f>SUM(FT_RF_26[[#This Row],[Hoja (Un.)]:[Larvas Caja]])</f>
        <v>0</v>
      </c>
      <c r="BQ207" s="12">
        <f>SUM(FT_RF_26[[#This Row],[Vidrios]:[Plástico]])</f>
        <v>0</v>
      </c>
      <c r="BR207" s="12" t="str">
        <f>IF(ISBLANK(FT_RF_26[[#This Row],[Descripción del producto]]),"",FT_RF_26[[#This Row],[Descripción del producto]])</f>
        <v/>
      </c>
      <c r="BS207" s="29" t="str">
        <f>IF(ISBLANK(FT_RF_26[[#This Row],[N° de Lote]]),"",FT_RF_26[[#This Row],[N° de Lote]])</f>
        <v/>
      </c>
      <c r="BT207" s="29" t="str">
        <f>IF(ISBLANK(FT_RF_26[[#This Row],[N° de Pallet]]),"",FT_RF_26[[#This Row],[N° de Pallet]])</f>
        <v/>
      </c>
    </row>
    <row r="208" spans="2:72">
      <c r="B208" s="29">
        <f>+_xlfn.ISOWEEKNUM(FT_RF_26[[#This Row],[Fecha]])</f>
        <v>52</v>
      </c>
      <c r="E208" s="31"/>
      <c r="F208" s="12" t="str">
        <f>IFERROR(""&amp;_xlfn.XLOOKUP(FT_RF_26[[#This Row],[Código]],BD_Cod[SKU],BD_Cod[Descripción]),"")</f>
        <v/>
      </c>
      <c r="G208" s="32" t="str">
        <f>IFERROR(""&amp;_xlfn.XLOOKUP(FT_RF_26[[#This Row],[Código]],BD_Cod[SKU],BD_Cod[Familia Calidad]),"")</f>
        <v/>
      </c>
      <c r="J208" s="33">
        <v>1000</v>
      </c>
      <c r="L208" s="30" t="s">
        <v>244</v>
      </c>
      <c r="O208" s="30" t="s">
        <v>894</v>
      </c>
      <c r="P208" s="29" t="s">
        <v>894</v>
      </c>
      <c r="Q208" s="37">
        <f>1-FT_RF_26[[#This Row],[% Defectos]]</f>
        <v>1</v>
      </c>
      <c r="R208" s="38">
        <v>0</v>
      </c>
      <c r="S208" s="39">
        <f>+IFERROR((FT_RF_26[[#This Row],[Inmadura]]/FT_RF_26[[#This Row],[Muestra]]),"0")</f>
        <v>0</v>
      </c>
      <c r="T208" s="38">
        <v>0</v>
      </c>
      <c r="U208" s="39">
        <f>+IFERROR((FT_RF_26[[#This Row],[Partidas]]/FT_RF_26[[#This Row],[Muestra]]),"0")</f>
        <v>0</v>
      </c>
      <c r="V208" s="38">
        <v>0</v>
      </c>
      <c r="W208" s="39">
        <f>+IFERROR((FT_RF_26[[#This Row],[Daño Insecto]]/FT_RF_26[[#This Row],[Muestra]]),"0")</f>
        <v>0</v>
      </c>
      <c r="X208" s="38">
        <v>0</v>
      </c>
      <c r="Y208" s="39">
        <f>+IFERROR((FT_RF_26[[#This Row],[Sobremadura]]/FT_RF_26[[#This Row],[Muestra]]),"0")</f>
        <v>0</v>
      </c>
      <c r="Z208" s="38">
        <v>0</v>
      </c>
      <c r="AA208" s="39">
        <f>+IFERROR((FT_RF_26[[#This Row],[Deforme]]/FT_RF_26[[#This Row],[Muestra]]),"0")</f>
        <v>0</v>
      </c>
      <c r="AB208" s="27"/>
      <c r="AC208" s="38">
        <v>0</v>
      </c>
      <c r="AD208" s="39">
        <f>+IFERROR((FT_RF_26[[#This Row],[Valor Extra 1]]/FT_RF_26[[#This Row],[Muestra]]),"0")</f>
        <v>0</v>
      </c>
      <c r="AF208" s="38">
        <v>0</v>
      </c>
      <c r="AG208" s="39">
        <f>+IFERROR((FT_RF_26[[#This Row],[Valor Extra 2]]/FT_RF_26[[#This Row],[Muestra]]),"0")</f>
        <v>0</v>
      </c>
      <c r="AH208" s="40">
        <v>0</v>
      </c>
      <c r="AI208" s="39">
        <f>+IFERROR((FT_RF_26[[#This Row],[Hongos]]/FT_RF_26[[#This Row],[Muestra]]),"0")</f>
        <v>0</v>
      </c>
      <c r="AJ208" s="38">
        <v>0</v>
      </c>
      <c r="AK208" s="39">
        <f>+IFERROR((FT_RF_26[[#This Row],[Block]]/FT_RF_26[[#This Row],[Muestra]]),"0")</f>
        <v>0</v>
      </c>
      <c r="AL208" s="41">
        <v>0</v>
      </c>
      <c r="AM208" s="42">
        <v>0</v>
      </c>
      <c r="AN208" s="38">
        <v>0</v>
      </c>
      <c r="AO208" s="39">
        <f>+IFERROR((FT_RF_26[[#This Row],[Fuera de calibre &lt;12mm]]/FT_RF_26[[#This Row],[Muestra]]),"0")</f>
        <v>0</v>
      </c>
      <c r="AP208" s="38">
        <v>0</v>
      </c>
      <c r="AQ208" s="39">
        <f>+IFERROR((FT_RF_26[[#This Row],[Calibre &lt;25]]/FT_RF_26[[#This Row],[Muestra]]),"0")</f>
        <v>0</v>
      </c>
      <c r="AR208" s="38">
        <v>0</v>
      </c>
      <c r="AS208" s="39">
        <f>+IFERROR((FT_RF_26[[#This Row],[Calibre &gt;12]]/FT_RF_26[[#This Row],[Muestra]]),"0")</f>
        <v>0</v>
      </c>
      <c r="AT208" s="38">
        <v>0</v>
      </c>
      <c r="AU208" s="39">
        <f>+IFERROR((FT_RF_26[[#This Row],[Calibre &lt;14]]/FT_RF_26[[#This Row],[Muestra]]),"0")</f>
        <v>0</v>
      </c>
      <c r="AV208" s="38">
        <v>0</v>
      </c>
      <c r="AW208" s="39">
        <f>+IFERROR((FT_RF_26[[#This Row],[Calibre &gt;14]]/FT_RF_26[[#This Row],[Muestra]]),"0")</f>
        <v>0</v>
      </c>
      <c r="AX208" s="38">
        <v>0</v>
      </c>
      <c r="AY208" s="39">
        <f>+IFERROR((FT_RF_26[[#This Row],[Calibre &lt;10]]/FT_RF_26[[#This Row],[Muestra]]),"0")</f>
        <v>0</v>
      </c>
      <c r="AZ208" s="38">
        <v>0</v>
      </c>
      <c r="BA208" s="39">
        <f>+IFERROR((FT_RF_26[[#This Row],[Calibre &gt;13]]/FT_RF_26[[#This Row],[Muestra]]),"0")</f>
        <v>0</v>
      </c>
      <c r="BB208" s="41"/>
      <c r="BG208" s="42"/>
      <c r="BH208" s="43">
        <v>0</v>
      </c>
      <c r="BI208" s="29" t="s">
        <v>894</v>
      </c>
      <c r="BJ208" s="29" t="s">
        <v>894</v>
      </c>
      <c r="BK20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0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08" s="45">
        <f>1-FT_RF_26[[#This Row],[% Defectos]]</f>
        <v>1</v>
      </c>
      <c r="BO208" s="60"/>
      <c r="BP208" s="12">
        <f>SUM(FT_RF_26[[#This Row],[Hoja (Un.)]:[Larvas Caja]])</f>
        <v>0</v>
      </c>
      <c r="BQ208" s="12">
        <f>SUM(FT_RF_26[[#This Row],[Vidrios]:[Plástico]])</f>
        <v>0</v>
      </c>
      <c r="BR208" s="12" t="str">
        <f>IF(ISBLANK(FT_RF_26[[#This Row],[Descripción del producto]]),"",FT_RF_26[[#This Row],[Descripción del producto]])</f>
        <v/>
      </c>
      <c r="BS208" s="29" t="str">
        <f>IF(ISBLANK(FT_RF_26[[#This Row],[N° de Lote]]),"",FT_RF_26[[#This Row],[N° de Lote]])</f>
        <v/>
      </c>
      <c r="BT208" s="29" t="str">
        <f>IF(ISBLANK(FT_RF_26[[#This Row],[N° de Pallet]]),"",FT_RF_26[[#This Row],[N° de Pallet]])</f>
        <v/>
      </c>
    </row>
    <row r="209" spans="2:72">
      <c r="B209" s="29">
        <f>+_xlfn.ISOWEEKNUM(FT_RF_26[[#This Row],[Fecha]])</f>
        <v>52</v>
      </c>
      <c r="E209" s="31"/>
      <c r="F209" s="12" t="str">
        <f>IFERROR(""&amp;_xlfn.XLOOKUP(FT_RF_26[[#This Row],[Código]],BD_Cod[SKU],BD_Cod[Descripción]),"")</f>
        <v/>
      </c>
      <c r="G209" s="32" t="str">
        <f>IFERROR(""&amp;_xlfn.XLOOKUP(FT_RF_26[[#This Row],[Código]],BD_Cod[SKU],BD_Cod[Familia Calidad]),"")</f>
        <v/>
      </c>
      <c r="J209" s="33">
        <v>1000</v>
      </c>
      <c r="L209" s="30" t="s">
        <v>244</v>
      </c>
      <c r="O209" s="30" t="s">
        <v>894</v>
      </c>
      <c r="P209" s="29" t="s">
        <v>894</v>
      </c>
      <c r="Q209" s="37">
        <f>1-FT_RF_26[[#This Row],[% Defectos]]</f>
        <v>1</v>
      </c>
      <c r="R209" s="38">
        <v>0</v>
      </c>
      <c r="S209" s="39">
        <f>+IFERROR((FT_RF_26[[#This Row],[Inmadura]]/FT_RF_26[[#This Row],[Muestra]]),"0")</f>
        <v>0</v>
      </c>
      <c r="T209" s="38">
        <v>0</v>
      </c>
      <c r="U209" s="39">
        <f>+IFERROR((FT_RF_26[[#This Row],[Partidas]]/FT_RF_26[[#This Row],[Muestra]]),"0")</f>
        <v>0</v>
      </c>
      <c r="V209" s="38">
        <v>0</v>
      </c>
      <c r="W209" s="39">
        <f>+IFERROR((FT_RF_26[[#This Row],[Daño Insecto]]/FT_RF_26[[#This Row],[Muestra]]),"0")</f>
        <v>0</v>
      </c>
      <c r="X209" s="38">
        <v>0</v>
      </c>
      <c r="Y209" s="39">
        <f>+IFERROR((FT_RF_26[[#This Row],[Sobremadura]]/FT_RF_26[[#This Row],[Muestra]]),"0")</f>
        <v>0</v>
      </c>
      <c r="Z209" s="38">
        <v>0</v>
      </c>
      <c r="AA209" s="39">
        <f>+IFERROR((FT_RF_26[[#This Row],[Deforme]]/FT_RF_26[[#This Row],[Muestra]]),"0")</f>
        <v>0</v>
      </c>
      <c r="AB209" s="27"/>
      <c r="AC209" s="38">
        <v>0</v>
      </c>
      <c r="AD209" s="39">
        <f>+IFERROR((FT_RF_26[[#This Row],[Valor Extra 1]]/FT_RF_26[[#This Row],[Muestra]]),"0")</f>
        <v>0</v>
      </c>
      <c r="AF209" s="38">
        <v>0</v>
      </c>
      <c r="AG209" s="39">
        <f>+IFERROR((FT_RF_26[[#This Row],[Valor Extra 2]]/FT_RF_26[[#This Row],[Muestra]]),"0")</f>
        <v>0</v>
      </c>
      <c r="AH209" s="40">
        <v>0</v>
      </c>
      <c r="AI209" s="39">
        <f>+IFERROR((FT_RF_26[[#This Row],[Hongos]]/FT_RF_26[[#This Row],[Muestra]]),"0")</f>
        <v>0</v>
      </c>
      <c r="AJ209" s="38">
        <v>0</v>
      </c>
      <c r="AK209" s="39">
        <f>+IFERROR((FT_RF_26[[#This Row],[Block]]/FT_RF_26[[#This Row],[Muestra]]),"0")</f>
        <v>0</v>
      </c>
      <c r="AL209" s="41">
        <v>0</v>
      </c>
      <c r="AM209" s="42">
        <v>0</v>
      </c>
      <c r="AN209" s="38">
        <v>0</v>
      </c>
      <c r="AO209" s="39">
        <f>+IFERROR((FT_RF_26[[#This Row],[Fuera de calibre &lt;12mm]]/FT_RF_26[[#This Row],[Muestra]]),"0")</f>
        <v>0</v>
      </c>
      <c r="AP209" s="38">
        <v>0</v>
      </c>
      <c r="AQ209" s="39">
        <f>+IFERROR((FT_RF_26[[#This Row],[Calibre &lt;25]]/FT_RF_26[[#This Row],[Muestra]]),"0")</f>
        <v>0</v>
      </c>
      <c r="AR209" s="38">
        <v>0</v>
      </c>
      <c r="AS209" s="39">
        <f>+IFERROR((FT_RF_26[[#This Row],[Calibre &gt;12]]/FT_RF_26[[#This Row],[Muestra]]),"0")</f>
        <v>0</v>
      </c>
      <c r="AT209" s="38">
        <v>0</v>
      </c>
      <c r="AU209" s="39">
        <f>+IFERROR((FT_RF_26[[#This Row],[Calibre &lt;14]]/FT_RF_26[[#This Row],[Muestra]]),"0")</f>
        <v>0</v>
      </c>
      <c r="AV209" s="38">
        <v>0</v>
      </c>
      <c r="AW209" s="39">
        <f>+IFERROR((FT_RF_26[[#This Row],[Calibre &gt;14]]/FT_RF_26[[#This Row],[Muestra]]),"0")</f>
        <v>0</v>
      </c>
      <c r="AX209" s="38">
        <v>0</v>
      </c>
      <c r="AY209" s="39">
        <f>+IFERROR((FT_RF_26[[#This Row],[Calibre &lt;10]]/FT_RF_26[[#This Row],[Muestra]]),"0")</f>
        <v>0</v>
      </c>
      <c r="AZ209" s="38">
        <v>0</v>
      </c>
      <c r="BA209" s="39">
        <f>+IFERROR((FT_RF_26[[#This Row],[Calibre &gt;13]]/FT_RF_26[[#This Row],[Muestra]]),"0")</f>
        <v>0</v>
      </c>
      <c r="BB209" s="41"/>
      <c r="BG209" s="42"/>
      <c r="BH209" s="43">
        <v>0</v>
      </c>
      <c r="BI209" s="29" t="s">
        <v>894</v>
      </c>
      <c r="BJ209" s="29" t="s">
        <v>894</v>
      </c>
      <c r="BK20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0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09" s="45">
        <f>1-FT_RF_26[[#This Row],[% Defectos]]</f>
        <v>1</v>
      </c>
      <c r="BO209" s="60"/>
      <c r="BP209" s="12">
        <f>SUM(FT_RF_26[[#This Row],[Hoja (Un.)]:[Larvas Caja]])</f>
        <v>0</v>
      </c>
      <c r="BQ209" s="12">
        <f>SUM(FT_RF_26[[#This Row],[Vidrios]:[Plástico]])</f>
        <v>0</v>
      </c>
      <c r="BR209" s="12" t="str">
        <f>IF(ISBLANK(FT_RF_26[[#This Row],[Descripción del producto]]),"",FT_RF_26[[#This Row],[Descripción del producto]])</f>
        <v/>
      </c>
      <c r="BS209" s="29" t="str">
        <f>IF(ISBLANK(FT_RF_26[[#This Row],[N° de Lote]]),"",FT_RF_26[[#This Row],[N° de Lote]])</f>
        <v/>
      </c>
      <c r="BT209" s="29" t="str">
        <f>IF(ISBLANK(FT_RF_26[[#This Row],[N° de Pallet]]),"",FT_RF_26[[#This Row],[N° de Pallet]])</f>
        <v/>
      </c>
    </row>
    <row r="210" spans="2:72">
      <c r="B210" s="29">
        <f>+_xlfn.ISOWEEKNUM(FT_RF_26[[#This Row],[Fecha]])</f>
        <v>52</v>
      </c>
      <c r="E210" s="31"/>
      <c r="F210" s="12" t="str">
        <f>IFERROR(""&amp;_xlfn.XLOOKUP(FT_RF_26[[#This Row],[Código]],BD_Cod[SKU],BD_Cod[Descripción]),"")</f>
        <v/>
      </c>
      <c r="G210" s="32" t="str">
        <f>IFERROR(""&amp;_xlfn.XLOOKUP(FT_RF_26[[#This Row],[Código]],BD_Cod[SKU],BD_Cod[Familia Calidad]),"")</f>
        <v/>
      </c>
      <c r="J210" s="33">
        <v>1000</v>
      </c>
      <c r="L210" s="30" t="s">
        <v>244</v>
      </c>
      <c r="O210" s="30" t="s">
        <v>894</v>
      </c>
      <c r="P210" s="29" t="s">
        <v>894</v>
      </c>
      <c r="Q210" s="37">
        <f>1-FT_RF_26[[#This Row],[% Defectos]]</f>
        <v>1</v>
      </c>
      <c r="R210" s="38">
        <v>0</v>
      </c>
      <c r="S210" s="39">
        <f>+IFERROR((FT_RF_26[[#This Row],[Inmadura]]/FT_RF_26[[#This Row],[Muestra]]),"0")</f>
        <v>0</v>
      </c>
      <c r="T210" s="38">
        <v>0</v>
      </c>
      <c r="U210" s="39">
        <f>+IFERROR((FT_RF_26[[#This Row],[Partidas]]/FT_RF_26[[#This Row],[Muestra]]),"0")</f>
        <v>0</v>
      </c>
      <c r="V210" s="38">
        <v>0</v>
      </c>
      <c r="W210" s="39">
        <f>+IFERROR((FT_RF_26[[#This Row],[Daño Insecto]]/FT_RF_26[[#This Row],[Muestra]]),"0")</f>
        <v>0</v>
      </c>
      <c r="X210" s="38">
        <v>0</v>
      </c>
      <c r="Y210" s="39">
        <f>+IFERROR((FT_RF_26[[#This Row],[Sobremadura]]/FT_RF_26[[#This Row],[Muestra]]),"0")</f>
        <v>0</v>
      </c>
      <c r="Z210" s="38">
        <v>0</v>
      </c>
      <c r="AA210" s="39">
        <f>+IFERROR((FT_RF_26[[#This Row],[Deforme]]/FT_RF_26[[#This Row],[Muestra]]),"0")</f>
        <v>0</v>
      </c>
      <c r="AB210" s="27"/>
      <c r="AC210" s="38">
        <v>0</v>
      </c>
      <c r="AD210" s="39">
        <f>+IFERROR((FT_RF_26[[#This Row],[Valor Extra 1]]/FT_RF_26[[#This Row],[Muestra]]),"0")</f>
        <v>0</v>
      </c>
      <c r="AF210" s="38">
        <v>0</v>
      </c>
      <c r="AG210" s="39">
        <f>+IFERROR((FT_RF_26[[#This Row],[Valor Extra 2]]/FT_RF_26[[#This Row],[Muestra]]),"0")</f>
        <v>0</v>
      </c>
      <c r="AH210" s="40">
        <v>0</v>
      </c>
      <c r="AI210" s="39">
        <f>+IFERROR((FT_RF_26[[#This Row],[Hongos]]/FT_RF_26[[#This Row],[Muestra]]),"0")</f>
        <v>0</v>
      </c>
      <c r="AJ210" s="38">
        <v>0</v>
      </c>
      <c r="AK210" s="39">
        <f>+IFERROR((FT_RF_26[[#This Row],[Block]]/FT_RF_26[[#This Row],[Muestra]]),"0")</f>
        <v>0</v>
      </c>
      <c r="AL210" s="41">
        <v>0</v>
      </c>
      <c r="AM210" s="42">
        <v>0</v>
      </c>
      <c r="AN210" s="38">
        <v>0</v>
      </c>
      <c r="AO210" s="39">
        <f>+IFERROR((FT_RF_26[[#This Row],[Fuera de calibre &lt;12mm]]/FT_RF_26[[#This Row],[Muestra]]),"0")</f>
        <v>0</v>
      </c>
      <c r="AP210" s="38">
        <v>0</v>
      </c>
      <c r="AQ210" s="39">
        <f>+IFERROR((FT_RF_26[[#This Row],[Calibre &lt;25]]/FT_RF_26[[#This Row],[Muestra]]),"0")</f>
        <v>0</v>
      </c>
      <c r="AR210" s="38">
        <v>0</v>
      </c>
      <c r="AS210" s="39">
        <f>+IFERROR((FT_RF_26[[#This Row],[Calibre &gt;12]]/FT_RF_26[[#This Row],[Muestra]]),"0")</f>
        <v>0</v>
      </c>
      <c r="AT210" s="38">
        <v>0</v>
      </c>
      <c r="AU210" s="39">
        <f>+IFERROR((FT_RF_26[[#This Row],[Calibre &lt;14]]/FT_RF_26[[#This Row],[Muestra]]),"0")</f>
        <v>0</v>
      </c>
      <c r="AV210" s="38">
        <v>0</v>
      </c>
      <c r="AW210" s="39">
        <f>+IFERROR((FT_RF_26[[#This Row],[Calibre &gt;14]]/FT_RF_26[[#This Row],[Muestra]]),"0")</f>
        <v>0</v>
      </c>
      <c r="AX210" s="38">
        <v>0</v>
      </c>
      <c r="AY210" s="39">
        <f>+IFERROR((FT_RF_26[[#This Row],[Calibre &lt;10]]/FT_RF_26[[#This Row],[Muestra]]),"0")</f>
        <v>0</v>
      </c>
      <c r="AZ210" s="38">
        <v>0</v>
      </c>
      <c r="BA210" s="39">
        <f>+IFERROR((FT_RF_26[[#This Row],[Calibre &gt;13]]/FT_RF_26[[#This Row],[Muestra]]),"0")</f>
        <v>0</v>
      </c>
      <c r="BB210" s="41"/>
      <c r="BG210" s="42"/>
      <c r="BH210" s="43">
        <v>0</v>
      </c>
      <c r="BI210" s="29" t="s">
        <v>894</v>
      </c>
      <c r="BJ210" s="29" t="s">
        <v>894</v>
      </c>
      <c r="BK21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1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10" s="45">
        <f>1-FT_RF_26[[#This Row],[% Defectos]]</f>
        <v>1</v>
      </c>
      <c r="BO210" s="60"/>
      <c r="BP210" s="12">
        <f>SUM(FT_RF_26[[#This Row],[Hoja (Un.)]:[Larvas Caja]])</f>
        <v>0</v>
      </c>
      <c r="BQ210" s="12">
        <f>SUM(FT_RF_26[[#This Row],[Vidrios]:[Plástico]])</f>
        <v>0</v>
      </c>
      <c r="BR210" s="12" t="str">
        <f>IF(ISBLANK(FT_RF_26[[#This Row],[Descripción del producto]]),"",FT_RF_26[[#This Row],[Descripción del producto]])</f>
        <v/>
      </c>
      <c r="BS210" s="29" t="str">
        <f>IF(ISBLANK(FT_RF_26[[#This Row],[N° de Lote]]),"",FT_RF_26[[#This Row],[N° de Lote]])</f>
        <v/>
      </c>
      <c r="BT210" s="29" t="str">
        <f>IF(ISBLANK(FT_RF_26[[#This Row],[N° de Pallet]]),"",FT_RF_26[[#This Row],[N° de Pallet]])</f>
        <v/>
      </c>
    </row>
    <row r="211" spans="2:72">
      <c r="B211" s="29">
        <f>+_xlfn.ISOWEEKNUM(FT_RF_26[[#This Row],[Fecha]])</f>
        <v>52</v>
      </c>
      <c r="E211" s="31"/>
      <c r="F211" s="12" t="str">
        <f>IFERROR(""&amp;_xlfn.XLOOKUP(FT_RF_26[[#This Row],[Código]],BD_Cod[SKU],BD_Cod[Descripción]),"")</f>
        <v/>
      </c>
      <c r="G211" s="32" t="str">
        <f>IFERROR(""&amp;_xlfn.XLOOKUP(FT_RF_26[[#This Row],[Código]],BD_Cod[SKU],BD_Cod[Familia Calidad]),"")</f>
        <v/>
      </c>
      <c r="J211" s="33">
        <v>1000</v>
      </c>
      <c r="L211" s="30" t="s">
        <v>244</v>
      </c>
      <c r="O211" s="30" t="s">
        <v>894</v>
      </c>
      <c r="P211" s="29" t="s">
        <v>894</v>
      </c>
      <c r="Q211" s="37">
        <f>1-FT_RF_26[[#This Row],[% Defectos]]</f>
        <v>1</v>
      </c>
      <c r="R211" s="38">
        <v>0</v>
      </c>
      <c r="S211" s="39">
        <f>+IFERROR((FT_RF_26[[#This Row],[Inmadura]]/FT_RF_26[[#This Row],[Muestra]]),"0")</f>
        <v>0</v>
      </c>
      <c r="T211" s="38">
        <v>0</v>
      </c>
      <c r="U211" s="39">
        <f>+IFERROR((FT_RF_26[[#This Row],[Partidas]]/FT_RF_26[[#This Row],[Muestra]]),"0")</f>
        <v>0</v>
      </c>
      <c r="V211" s="38">
        <v>0</v>
      </c>
      <c r="W211" s="39">
        <f>+IFERROR((FT_RF_26[[#This Row],[Daño Insecto]]/FT_RF_26[[#This Row],[Muestra]]),"0")</f>
        <v>0</v>
      </c>
      <c r="X211" s="38">
        <v>0</v>
      </c>
      <c r="Y211" s="39">
        <f>+IFERROR((FT_RF_26[[#This Row],[Sobremadura]]/FT_RF_26[[#This Row],[Muestra]]),"0")</f>
        <v>0</v>
      </c>
      <c r="Z211" s="38">
        <v>0</v>
      </c>
      <c r="AA211" s="39">
        <f>+IFERROR((FT_RF_26[[#This Row],[Deforme]]/FT_RF_26[[#This Row],[Muestra]]),"0")</f>
        <v>0</v>
      </c>
      <c r="AB211" s="27"/>
      <c r="AC211" s="38">
        <v>0</v>
      </c>
      <c r="AD211" s="39">
        <f>+IFERROR((FT_RF_26[[#This Row],[Valor Extra 1]]/FT_RF_26[[#This Row],[Muestra]]),"0")</f>
        <v>0</v>
      </c>
      <c r="AF211" s="38">
        <v>0</v>
      </c>
      <c r="AG211" s="39">
        <f>+IFERROR((FT_RF_26[[#This Row],[Valor Extra 2]]/FT_RF_26[[#This Row],[Muestra]]),"0")</f>
        <v>0</v>
      </c>
      <c r="AH211" s="40">
        <v>0</v>
      </c>
      <c r="AI211" s="39">
        <f>+IFERROR((FT_RF_26[[#This Row],[Hongos]]/FT_RF_26[[#This Row],[Muestra]]),"0")</f>
        <v>0</v>
      </c>
      <c r="AJ211" s="38">
        <v>0</v>
      </c>
      <c r="AK211" s="39">
        <f>+IFERROR((FT_RF_26[[#This Row],[Block]]/FT_RF_26[[#This Row],[Muestra]]),"0")</f>
        <v>0</v>
      </c>
      <c r="AL211" s="41">
        <v>0</v>
      </c>
      <c r="AM211" s="42">
        <v>0</v>
      </c>
      <c r="AN211" s="38">
        <v>0</v>
      </c>
      <c r="AO211" s="39">
        <f>+IFERROR((FT_RF_26[[#This Row],[Fuera de calibre &lt;12mm]]/FT_RF_26[[#This Row],[Muestra]]),"0")</f>
        <v>0</v>
      </c>
      <c r="AP211" s="38">
        <v>0</v>
      </c>
      <c r="AQ211" s="39">
        <f>+IFERROR((FT_RF_26[[#This Row],[Calibre &lt;25]]/FT_RF_26[[#This Row],[Muestra]]),"0")</f>
        <v>0</v>
      </c>
      <c r="AR211" s="38">
        <v>0</v>
      </c>
      <c r="AS211" s="39">
        <f>+IFERROR((FT_RF_26[[#This Row],[Calibre &gt;12]]/FT_RF_26[[#This Row],[Muestra]]),"0")</f>
        <v>0</v>
      </c>
      <c r="AT211" s="38">
        <v>0</v>
      </c>
      <c r="AU211" s="39">
        <f>+IFERROR((FT_RF_26[[#This Row],[Calibre &lt;14]]/FT_RF_26[[#This Row],[Muestra]]),"0")</f>
        <v>0</v>
      </c>
      <c r="AV211" s="38">
        <v>0</v>
      </c>
      <c r="AW211" s="39">
        <f>+IFERROR((FT_RF_26[[#This Row],[Calibre &gt;14]]/FT_RF_26[[#This Row],[Muestra]]),"0")</f>
        <v>0</v>
      </c>
      <c r="AX211" s="38">
        <v>0</v>
      </c>
      <c r="AY211" s="39">
        <f>+IFERROR((FT_RF_26[[#This Row],[Calibre &lt;10]]/FT_RF_26[[#This Row],[Muestra]]),"0")</f>
        <v>0</v>
      </c>
      <c r="AZ211" s="38">
        <v>0</v>
      </c>
      <c r="BA211" s="39">
        <f>+IFERROR((FT_RF_26[[#This Row],[Calibre &gt;13]]/FT_RF_26[[#This Row],[Muestra]]),"0")</f>
        <v>0</v>
      </c>
      <c r="BB211" s="41"/>
      <c r="BG211" s="42"/>
      <c r="BH211" s="43">
        <v>0</v>
      </c>
      <c r="BI211" s="29" t="s">
        <v>894</v>
      </c>
      <c r="BJ211" s="29" t="s">
        <v>894</v>
      </c>
      <c r="BK21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1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11" s="45">
        <f>1-FT_RF_26[[#This Row],[% Defectos]]</f>
        <v>1</v>
      </c>
      <c r="BO211" s="60"/>
      <c r="BP211" s="12">
        <f>SUM(FT_RF_26[[#This Row],[Hoja (Un.)]:[Larvas Caja]])</f>
        <v>0</v>
      </c>
      <c r="BQ211" s="12">
        <f>SUM(FT_RF_26[[#This Row],[Vidrios]:[Plástico]])</f>
        <v>0</v>
      </c>
      <c r="BR211" s="12" t="str">
        <f>IF(ISBLANK(FT_RF_26[[#This Row],[Descripción del producto]]),"",FT_RF_26[[#This Row],[Descripción del producto]])</f>
        <v/>
      </c>
      <c r="BS211" s="29" t="str">
        <f>IF(ISBLANK(FT_RF_26[[#This Row],[N° de Lote]]),"",FT_RF_26[[#This Row],[N° de Lote]])</f>
        <v/>
      </c>
      <c r="BT211" s="29" t="str">
        <f>IF(ISBLANK(FT_RF_26[[#This Row],[N° de Pallet]]),"",FT_RF_26[[#This Row],[N° de Pallet]])</f>
        <v/>
      </c>
    </row>
    <row r="212" spans="2:72">
      <c r="B212" s="29">
        <f>+_xlfn.ISOWEEKNUM(FT_RF_26[[#This Row],[Fecha]])</f>
        <v>52</v>
      </c>
      <c r="E212" s="31"/>
      <c r="F212" s="12" t="str">
        <f>IFERROR(""&amp;_xlfn.XLOOKUP(FT_RF_26[[#This Row],[Código]],BD_Cod[SKU],BD_Cod[Descripción]),"")</f>
        <v/>
      </c>
      <c r="G212" s="32" t="str">
        <f>IFERROR(""&amp;_xlfn.XLOOKUP(FT_RF_26[[#This Row],[Código]],BD_Cod[SKU],BD_Cod[Familia Calidad]),"")</f>
        <v/>
      </c>
      <c r="J212" s="33">
        <v>1000</v>
      </c>
      <c r="L212" s="30" t="s">
        <v>244</v>
      </c>
      <c r="O212" s="30" t="s">
        <v>894</v>
      </c>
      <c r="P212" s="29" t="s">
        <v>894</v>
      </c>
      <c r="Q212" s="37">
        <f>1-FT_RF_26[[#This Row],[% Defectos]]</f>
        <v>1</v>
      </c>
      <c r="R212" s="38">
        <v>0</v>
      </c>
      <c r="S212" s="39">
        <f>+IFERROR((FT_RF_26[[#This Row],[Inmadura]]/FT_RF_26[[#This Row],[Muestra]]),"0")</f>
        <v>0</v>
      </c>
      <c r="T212" s="38">
        <v>0</v>
      </c>
      <c r="U212" s="39">
        <f>+IFERROR((FT_RF_26[[#This Row],[Partidas]]/FT_RF_26[[#This Row],[Muestra]]),"0")</f>
        <v>0</v>
      </c>
      <c r="V212" s="38">
        <v>0</v>
      </c>
      <c r="W212" s="39">
        <f>+IFERROR((FT_RF_26[[#This Row],[Daño Insecto]]/FT_RF_26[[#This Row],[Muestra]]),"0")</f>
        <v>0</v>
      </c>
      <c r="X212" s="38">
        <v>0</v>
      </c>
      <c r="Y212" s="39">
        <f>+IFERROR((FT_RF_26[[#This Row],[Sobremadura]]/FT_RF_26[[#This Row],[Muestra]]),"0")</f>
        <v>0</v>
      </c>
      <c r="Z212" s="38">
        <v>0</v>
      </c>
      <c r="AA212" s="39">
        <f>+IFERROR((FT_RF_26[[#This Row],[Deforme]]/FT_RF_26[[#This Row],[Muestra]]),"0")</f>
        <v>0</v>
      </c>
      <c r="AB212" s="27"/>
      <c r="AC212" s="38">
        <v>0</v>
      </c>
      <c r="AD212" s="39">
        <f>+IFERROR((FT_RF_26[[#This Row],[Valor Extra 1]]/FT_RF_26[[#This Row],[Muestra]]),"0")</f>
        <v>0</v>
      </c>
      <c r="AF212" s="38">
        <v>0</v>
      </c>
      <c r="AG212" s="39">
        <f>+IFERROR((FT_RF_26[[#This Row],[Valor Extra 2]]/FT_RF_26[[#This Row],[Muestra]]),"0")</f>
        <v>0</v>
      </c>
      <c r="AH212" s="40">
        <v>0</v>
      </c>
      <c r="AI212" s="39">
        <f>+IFERROR((FT_RF_26[[#This Row],[Hongos]]/FT_RF_26[[#This Row],[Muestra]]),"0")</f>
        <v>0</v>
      </c>
      <c r="AJ212" s="38">
        <v>0</v>
      </c>
      <c r="AK212" s="39">
        <f>+IFERROR((FT_RF_26[[#This Row],[Block]]/FT_RF_26[[#This Row],[Muestra]]),"0")</f>
        <v>0</v>
      </c>
      <c r="AL212" s="41">
        <v>0</v>
      </c>
      <c r="AM212" s="42">
        <v>0</v>
      </c>
      <c r="AN212" s="38">
        <v>0</v>
      </c>
      <c r="AO212" s="39">
        <f>+IFERROR((FT_RF_26[[#This Row],[Fuera de calibre &lt;12mm]]/FT_RF_26[[#This Row],[Muestra]]),"0")</f>
        <v>0</v>
      </c>
      <c r="AP212" s="38">
        <v>0</v>
      </c>
      <c r="AQ212" s="39">
        <f>+IFERROR((FT_RF_26[[#This Row],[Calibre &lt;25]]/FT_RF_26[[#This Row],[Muestra]]),"0")</f>
        <v>0</v>
      </c>
      <c r="AR212" s="38">
        <v>0</v>
      </c>
      <c r="AS212" s="39">
        <f>+IFERROR((FT_RF_26[[#This Row],[Calibre &gt;12]]/FT_RF_26[[#This Row],[Muestra]]),"0")</f>
        <v>0</v>
      </c>
      <c r="AT212" s="38">
        <v>0</v>
      </c>
      <c r="AU212" s="39">
        <f>+IFERROR((FT_RF_26[[#This Row],[Calibre &lt;14]]/FT_RF_26[[#This Row],[Muestra]]),"0")</f>
        <v>0</v>
      </c>
      <c r="AV212" s="38">
        <v>0</v>
      </c>
      <c r="AW212" s="39">
        <f>+IFERROR((FT_RF_26[[#This Row],[Calibre &gt;14]]/FT_RF_26[[#This Row],[Muestra]]),"0")</f>
        <v>0</v>
      </c>
      <c r="AX212" s="38">
        <v>0</v>
      </c>
      <c r="AY212" s="39">
        <f>+IFERROR((FT_RF_26[[#This Row],[Calibre &lt;10]]/FT_RF_26[[#This Row],[Muestra]]),"0")</f>
        <v>0</v>
      </c>
      <c r="AZ212" s="38">
        <v>0</v>
      </c>
      <c r="BA212" s="39">
        <f>+IFERROR((FT_RF_26[[#This Row],[Calibre &gt;13]]/FT_RF_26[[#This Row],[Muestra]]),"0")</f>
        <v>0</v>
      </c>
      <c r="BB212" s="41"/>
      <c r="BG212" s="42"/>
      <c r="BH212" s="43">
        <v>0</v>
      </c>
      <c r="BI212" s="29" t="s">
        <v>894</v>
      </c>
      <c r="BJ212" s="29" t="s">
        <v>894</v>
      </c>
      <c r="BK21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1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12" s="45">
        <f>1-FT_RF_26[[#This Row],[% Defectos]]</f>
        <v>1</v>
      </c>
      <c r="BO212" s="60"/>
      <c r="BP212" s="12">
        <f>SUM(FT_RF_26[[#This Row],[Hoja (Un.)]:[Larvas Caja]])</f>
        <v>0</v>
      </c>
      <c r="BQ212" s="12">
        <f>SUM(FT_RF_26[[#This Row],[Vidrios]:[Plástico]])</f>
        <v>0</v>
      </c>
      <c r="BR212" s="12" t="str">
        <f>IF(ISBLANK(FT_RF_26[[#This Row],[Descripción del producto]]),"",FT_RF_26[[#This Row],[Descripción del producto]])</f>
        <v/>
      </c>
      <c r="BS212" s="29" t="str">
        <f>IF(ISBLANK(FT_RF_26[[#This Row],[N° de Lote]]),"",FT_RF_26[[#This Row],[N° de Lote]])</f>
        <v/>
      </c>
      <c r="BT212" s="29" t="str">
        <f>IF(ISBLANK(FT_RF_26[[#This Row],[N° de Pallet]]),"",FT_RF_26[[#This Row],[N° de Pallet]])</f>
        <v/>
      </c>
    </row>
    <row r="213" spans="2:72">
      <c r="B213" s="29">
        <f>+_xlfn.ISOWEEKNUM(FT_RF_26[[#This Row],[Fecha]])</f>
        <v>52</v>
      </c>
      <c r="E213" s="31"/>
      <c r="F213" s="12" t="str">
        <f>IFERROR(""&amp;_xlfn.XLOOKUP(FT_RF_26[[#This Row],[Código]],BD_Cod[SKU],BD_Cod[Descripción]),"")</f>
        <v/>
      </c>
      <c r="G213" s="32" t="str">
        <f>IFERROR(""&amp;_xlfn.XLOOKUP(FT_RF_26[[#This Row],[Código]],BD_Cod[SKU],BD_Cod[Familia Calidad]),"")</f>
        <v/>
      </c>
      <c r="J213" s="33">
        <v>1000</v>
      </c>
      <c r="L213" s="30" t="s">
        <v>244</v>
      </c>
      <c r="O213" s="30" t="s">
        <v>894</v>
      </c>
      <c r="P213" s="29" t="s">
        <v>894</v>
      </c>
      <c r="Q213" s="37">
        <f>1-FT_RF_26[[#This Row],[% Defectos]]</f>
        <v>1</v>
      </c>
      <c r="R213" s="38">
        <v>0</v>
      </c>
      <c r="S213" s="39">
        <f>+IFERROR((FT_RF_26[[#This Row],[Inmadura]]/FT_RF_26[[#This Row],[Muestra]]),"0")</f>
        <v>0</v>
      </c>
      <c r="T213" s="38">
        <v>0</v>
      </c>
      <c r="U213" s="39">
        <f>+IFERROR((FT_RF_26[[#This Row],[Partidas]]/FT_RF_26[[#This Row],[Muestra]]),"0")</f>
        <v>0</v>
      </c>
      <c r="V213" s="38">
        <v>0</v>
      </c>
      <c r="W213" s="39">
        <f>+IFERROR((FT_RF_26[[#This Row],[Daño Insecto]]/FT_RF_26[[#This Row],[Muestra]]),"0")</f>
        <v>0</v>
      </c>
      <c r="X213" s="38">
        <v>0</v>
      </c>
      <c r="Y213" s="39">
        <f>+IFERROR((FT_RF_26[[#This Row],[Sobremadura]]/FT_RF_26[[#This Row],[Muestra]]),"0")</f>
        <v>0</v>
      </c>
      <c r="Z213" s="38">
        <v>0</v>
      </c>
      <c r="AA213" s="39">
        <f>+IFERROR((FT_RF_26[[#This Row],[Deforme]]/FT_RF_26[[#This Row],[Muestra]]),"0")</f>
        <v>0</v>
      </c>
      <c r="AB213" s="27"/>
      <c r="AC213" s="38">
        <v>0</v>
      </c>
      <c r="AD213" s="39">
        <f>+IFERROR((FT_RF_26[[#This Row],[Valor Extra 1]]/FT_RF_26[[#This Row],[Muestra]]),"0")</f>
        <v>0</v>
      </c>
      <c r="AF213" s="38">
        <v>0</v>
      </c>
      <c r="AG213" s="39">
        <f>+IFERROR((FT_RF_26[[#This Row],[Valor Extra 2]]/FT_RF_26[[#This Row],[Muestra]]),"0")</f>
        <v>0</v>
      </c>
      <c r="AH213" s="40">
        <v>0</v>
      </c>
      <c r="AI213" s="39">
        <f>+IFERROR((FT_RF_26[[#This Row],[Hongos]]/FT_RF_26[[#This Row],[Muestra]]),"0")</f>
        <v>0</v>
      </c>
      <c r="AJ213" s="38">
        <v>0</v>
      </c>
      <c r="AK213" s="39">
        <f>+IFERROR((FT_RF_26[[#This Row],[Block]]/FT_RF_26[[#This Row],[Muestra]]),"0")</f>
        <v>0</v>
      </c>
      <c r="AL213" s="41">
        <v>0</v>
      </c>
      <c r="AM213" s="42">
        <v>0</v>
      </c>
      <c r="AN213" s="38">
        <v>0</v>
      </c>
      <c r="AO213" s="39">
        <f>+IFERROR((FT_RF_26[[#This Row],[Fuera de calibre &lt;12mm]]/FT_RF_26[[#This Row],[Muestra]]),"0")</f>
        <v>0</v>
      </c>
      <c r="AP213" s="38">
        <v>0</v>
      </c>
      <c r="AQ213" s="39">
        <f>+IFERROR((FT_RF_26[[#This Row],[Calibre &lt;25]]/FT_RF_26[[#This Row],[Muestra]]),"0")</f>
        <v>0</v>
      </c>
      <c r="AR213" s="38">
        <v>0</v>
      </c>
      <c r="AS213" s="39">
        <f>+IFERROR((FT_RF_26[[#This Row],[Calibre &gt;12]]/FT_RF_26[[#This Row],[Muestra]]),"0")</f>
        <v>0</v>
      </c>
      <c r="AT213" s="38">
        <v>0</v>
      </c>
      <c r="AU213" s="39">
        <f>+IFERROR((FT_RF_26[[#This Row],[Calibre &lt;14]]/FT_RF_26[[#This Row],[Muestra]]),"0")</f>
        <v>0</v>
      </c>
      <c r="AV213" s="38">
        <v>0</v>
      </c>
      <c r="AW213" s="39">
        <f>+IFERROR((FT_RF_26[[#This Row],[Calibre &gt;14]]/FT_RF_26[[#This Row],[Muestra]]),"0")</f>
        <v>0</v>
      </c>
      <c r="AX213" s="38">
        <v>0</v>
      </c>
      <c r="AY213" s="39">
        <f>+IFERROR((FT_RF_26[[#This Row],[Calibre &lt;10]]/FT_RF_26[[#This Row],[Muestra]]),"0")</f>
        <v>0</v>
      </c>
      <c r="AZ213" s="38">
        <v>0</v>
      </c>
      <c r="BA213" s="39">
        <f>+IFERROR((FT_RF_26[[#This Row],[Calibre &gt;13]]/FT_RF_26[[#This Row],[Muestra]]),"0")</f>
        <v>0</v>
      </c>
      <c r="BB213" s="41"/>
      <c r="BG213" s="42"/>
      <c r="BH213" s="43">
        <v>0</v>
      </c>
      <c r="BI213" s="29" t="s">
        <v>894</v>
      </c>
      <c r="BJ213" s="29" t="s">
        <v>894</v>
      </c>
      <c r="BK21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1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13" s="45">
        <f>1-FT_RF_26[[#This Row],[% Defectos]]</f>
        <v>1</v>
      </c>
      <c r="BO213" s="60"/>
      <c r="BP213" s="12">
        <f>SUM(FT_RF_26[[#This Row],[Hoja (Un.)]:[Larvas Caja]])</f>
        <v>0</v>
      </c>
      <c r="BQ213" s="12">
        <f>SUM(FT_RF_26[[#This Row],[Vidrios]:[Plástico]])</f>
        <v>0</v>
      </c>
      <c r="BR213" s="12" t="str">
        <f>IF(ISBLANK(FT_RF_26[[#This Row],[Descripción del producto]]),"",FT_RF_26[[#This Row],[Descripción del producto]])</f>
        <v/>
      </c>
      <c r="BS213" s="29" t="str">
        <f>IF(ISBLANK(FT_RF_26[[#This Row],[N° de Lote]]),"",FT_RF_26[[#This Row],[N° de Lote]])</f>
        <v/>
      </c>
      <c r="BT213" s="29" t="str">
        <f>IF(ISBLANK(FT_RF_26[[#This Row],[N° de Pallet]]),"",FT_RF_26[[#This Row],[N° de Pallet]])</f>
        <v/>
      </c>
    </row>
    <row r="214" spans="2:72">
      <c r="B214" s="29">
        <f>+_xlfn.ISOWEEKNUM(FT_RF_26[[#This Row],[Fecha]])</f>
        <v>52</v>
      </c>
      <c r="E214" s="31"/>
      <c r="F214" s="12" t="str">
        <f>IFERROR(""&amp;_xlfn.XLOOKUP(FT_RF_26[[#This Row],[Código]],BD_Cod[SKU],BD_Cod[Descripción]),"")</f>
        <v/>
      </c>
      <c r="G214" s="32" t="str">
        <f>IFERROR(""&amp;_xlfn.XLOOKUP(FT_RF_26[[#This Row],[Código]],BD_Cod[SKU],BD_Cod[Familia Calidad]),"")</f>
        <v/>
      </c>
      <c r="J214" s="33">
        <v>1000</v>
      </c>
      <c r="L214" s="30" t="s">
        <v>244</v>
      </c>
      <c r="O214" s="30" t="s">
        <v>894</v>
      </c>
      <c r="P214" s="29" t="s">
        <v>894</v>
      </c>
      <c r="Q214" s="37">
        <f>1-FT_RF_26[[#This Row],[% Defectos]]</f>
        <v>1</v>
      </c>
      <c r="R214" s="38">
        <v>0</v>
      </c>
      <c r="S214" s="39">
        <f>+IFERROR((FT_RF_26[[#This Row],[Inmadura]]/FT_RF_26[[#This Row],[Muestra]]),"0")</f>
        <v>0</v>
      </c>
      <c r="T214" s="38">
        <v>0</v>
      </c>
      <c r="U214" s="39">
        <f>+IFERROR((FT_RF_26[[#This Row],[Partidas]]/FT_RF_26[[#This Row],[Muestra]]),"0")</f>
        <v>0</v>
      </c>
      <c r="V214" s="38">
        <v>0</v>
      </c>
      <c r="W214" s="39">
        <f>+IFERROR((FT_RF_26[[#This Row],[Daño Insecto]]/FT_RF_26[[#This Row],[Muestra]]),"0")</f>
        <v>0</v>
      </c>
      <c r="X214" s="38">
        <v>0</v>
      </c>
      <c r="Y214" s="39">
        <f>+IFERROR((FT_RF_26[[#This Row],[Sobremadura]]/FT_RF_26[[#This Row],[Muestra]]),"0")</f>
        <v>0</v>
      </c>
      <c r="Z214" s="38">
        <v>0</v>
      </c>
      <c r="AA214" s="39">
        <f>+IFERROR((FT_RF_26[[#This Row],[Deforme]]/FT_RF_26[[#This Row],[Muestra]]),"0")</f>
        <v>0</v>
      </c>
      <c r="AB214" s="27"/>
      <c r="AC214" s="38">
        <v>0</v>
      </c>
      <c r="AD214" s="39">
        <f>+IFERROR((FT_RF_26[[#This Row],[Valor Extra 1]]/FT_RF_26[[#This Row],[Muestra]]),"0")</f>
        <v>0</v>
      </c>
      <c r="AF214" s="38">
        <v>0</v>
      </c>
      <c r="AG214" s="39">
        <f>+IFERROR((FT_RF_26[[#This Row],[Valor Extra 2]]/FT_RF_26[[#This Row],[Muestra]]),"0")</f>
        <v>0</v>
      </c>
      <c r="AH214" s="40">
        <v>0</v>
      </c>
      <c r="AI214" s="39">
        <f>+IFERROR((FT_RF_26[[#This Row],[Hongos]]/FT_RF_26[[#This Row],[Muestra]]),"0")</f>
        <v>0</v>
      </c>
      <c r="AJ214" s="38">
        <v>0</v>
      </c>
      <c r="AK214" s="39">
        <f>+IFERROR((FT_RF_26[[#This Row],[Block]]/FT_RF_26[[#This Row],[Muestra]]),"0")</f>
        <v>0</v>
      </c>
      <c r="AL214" s="41">
        <v>0</v>
      </c>
      <c r="AM214" s="42">
        <v>0</v>
      </c>
      <c r="AN214" s="38">
        <v>0</v>
      </c>
      <c r="AO214" s="39">
        <f>+IFERROR((FT_RF_26[[#This Row],[Fuera de calibre &lt;12mm]]/FT_RF_26[[#This Row],[Muestra]]),"0")</f>
        <v>0</v>
      </c>
      <c r="AP214" s="38">
        <v>0</v>
      </c>
      <c r="AQ214" s="39">
        <f>+IFERROR((FT_RF_26[[#This Row],[Calibre &lt;25]]/FT_RF_26[[#This Row],[Muestra]]),"0")</f>
        <v>0</v>
      </c>
      <c r="AR214" s="38">
        <v>0</v>
      </c>
      <c r="AS214" s="39">
        <f>+IFERROR((FT_RF_26[[#This Row],[Calibre &gt;12]]/FT_RF_26[[#This Row],[Muestra]]),"0")</f>
        <v>0</v>
      </c>
      <c r="AT214" s="38">
        <v>0</v>
      </c>
      <c r="AU214" s="39">
        <f>+IFERROR((FT_RF_26[[#This Row],[Calibre &lt;14]]/FT_RF_26[[#This Row],[Muestra]]),"0")</f>
        <v>0</v>
      </c>
      <c r="AV214" s="38">
        <v>0</v>
      </c>
      <c r="AW214" s="39">
        <f>+IFERROR((FT_RF_26[[#This Row],[Calibre &gt;14]]/FT_RF_26[[#This Row],[Muestra]]),"0")</f>
        <v>0</v>
      </c>
      <c r="AX214" s="38">
        <v>0</v>
      </c>
      <c r="AY214" s="39">
        <f>+IFERROR((FT_RF_26[[#This Row],[Calibre &lt;10]]/FT_RF_26[[#This Row],[Muestra]]),"0")</f>
        <v>0</v>
      </c>
      <c r="AZ214" s="38">
        <v>0</v>
      </c>
      <c r="BA214" s="39">
        <f>+IFERROR((FT_RF_26[[#This Row],[Calibre &gt;13]]/FT_RF_26[[#This Row],[Muestra]]),"0")</f>
        <v>0</v>
      </c>
      <c r="BB214" s="41"/>
      <c r="BG214" s="42"/>
      <c r="BH214" s="43">
        <v>0</v>
      </c>
      <c r="BI214" s="29" t="s">
        <v>894</v>
      </c>
      <c r="BJ214" s="29" t="s">
        <v>894</v>
      </c>
      <c r="BK21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1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14" s="45">
        <f>1-FT_RF_26[[#This Row],[% Defectos]]</f>
        <v>1</v>
      </c>
      <c r="BO214" s="60"/>
      <c r="BP214" s="12">
        <f>SUM(FT_RF_26[[#This Row],[Hoja (Un.)]:[Larvas Caja]])</f>
        <v>0</v>
      </c>
      <c r="BQ214" s="12">
        <f>SUM(FT_RF_26[[#This Row],[Vidrios]:[Plástico]])</f>
        <v>0</v>
      </c>
      <c r="BR214" s="12" t="str">
        <f>IF(ISBLANK(FT_RF_26[[#This Row],[Descripción del producto]]),"",FT_RF_26[[#This Row],[Descripción del producto]])</f>
        <v/>
      </c>
      <c r="BS214" s="29" t="str">
        <f>IF(ISBLANK(FT_RF_26[[#This Row],[N° de Lote]]),"",FT_RF_26[[#This Row],[N° de Lote]])</f>
        <v/>
      </c>
      <c r="BT214" s="29" t="str">
        <f>IF(ISBLANK(FT_RF_26[[#This Row],[N° de Pallet]]),"",FT_RF_26[[#This Row],[N° de Pallet]])</f>
        <v/>
      </c>
    </row>
    <row r="215" spans="2:72">
      <c r="B215" s="29">
        <f>+_xlfn.ISOWEEKNUM(FT_RF_26[[#This Row],[Fecha]])</f>
        <v>52</v>
      </c>
      <c r="E215" s="31"/>
      <c r="F215" s="12" t="str">
        <f>IFERROR(""&amp;_xlfn.XLOOKUP(FT_RF_26[[#This Row],[Código]],BD_Cod[SKU],BD_Cod[Descripción]),"")</f>
        <v/>
      </c>
      <c r="G215" s="32" t="str">
        <f>IFERROR(""&amp;_xlfn.XLOOKUP(FT_RF_26[[#This Row],[Código]],BD_Cod[SKU],BD_Cod[Familia Calidad]),"")</f>
        <v/>
      </c>
      <c r="J215" s="33">
        <v>1000</v>
      </c>
      <c r="L215" s="30" t="s">
        <v>244</v>
      </c>
      <c r="O215" s="30" t="s">
        <v>894</v>
      </c>
      <c r="P215" s="29" t="s">
        <v>894</v>
      </c>
      <c r="Q215" s="37">
        <f>1-FT_RF_26[[#This Row],[% Defectos]]</f>
        <v>1</v>
      </c>
      <c r="R215" s="38">
        <v>0</v>
      </c>
      <c r="S215" s="39">
        <f>+IFERROR((FT_RF_26[[#This Row],[Inmadura]]/FT_RF_26[[#This Row],[Muestra]]),"0")</f>
        <v>0</v>
      </c>
      <c r="T215" s="38">
        <v>0</v>
      </c>
      <c r="U215" s="39">
        <f>+IFERROR((FT_RF_26[[#This Row],[Partidas]]/FT_RF_26[[#This Row],[Muestra]]),"0")</f>
        <v>0</v>
      </c>
      <c r="V215" s="38">
        <v>0</v>
      </c>
      <c r="W215" s="39">
        <f>+IFERROR((FT_RF_26[[#This Row],[Daño Insecto]]/FT_RF_26[[#This Row],[Muestra]]),"0")</f>
        <v>0</v>
      </c>
      <c r="X215" s="38">
        <v>0</v>
      </c>
      <c r="Y215" s="39">
        <f>+IFERROR((FT_RF_26[[#This Row],[Sobremadura]]/FT_RF_26[[#This Row],[Muestra]]),"0")</f>
        <v>0</v>
      </c>
      <c r="Z215" s="38">
        <v>0</v>
      </c>
      <c r="AA215" s="39">
        <f>+IFERROR((FT_RF_26[[#This Row],[Deforme]]/FT_RF_26[[#This Row],[Muestra]]),"0")</f>
        <v>0</v>
      </c>
      <c r="AB215" s="27"/>
      <c r="AC215" s="38">
        <v>0</v>
      </c>
      <c r="AD215" s="39">
        <f>+IFERROR((FT_RF_26[[#This Row],[Valor Extra 1]]/FT_RF_26[[#This Row],[Muestra]]),"0")</f>
        <v>0</v>
      </c>
      <c r="AF215" s="38">
        <v>0</v>
      </c>
      <c r="AG215" s="39">
        <f>+IFERROR((FT_RF_26[[#This Row],[Valor Extra 2]]/FT_RF_26[[#This Row],[Muestra]]),"0")</f>
        <v>0</v>
      </c>
      <c r="AH215" s="40">
        <v>0</v>
      </c>
      <c r="AI215" s="39">
        <f>+IFERROR((FT_RF_26[[#This Row],[Hongos]]/FT_RF_26[[#This Row],[Muestra]]),"0")</f>
        <v>0</v>
      </c>
      <c r="AJ215" s="38">
        <v>0</v>
      </c>
      <c r="AK215" s="39">
        <f>+IFERROR((FT_RF_26[[#This Row],[Block]]/FT_RF_26[[#This Row],[Muestra]]),"0")</f>
        <v>0</v>
      </c>
      <c r="AL215" s="41">
        <v>0</v>
      </c>
      <c r="AM215" s="42">
        <v>0</v>
      </c>
      <c r="AN215" s="38">
        <v>0</v>
      </c>
      <c r="AO215" s="39">
        <f>+IFERROR((FT_RF_26[[#This Row],[Fuera de calibre &lt;12mm]]/FT_RF_26[[#This Row],[Muestra]]),"0")</f>
        <v>0</v>
      </c>
      <c r="AP215" s="38">
        <v>0</v>
      </c>
      <c r="AQ215" s="39">
        <f>+IFERROR((FT_RF_26[[#This Row],[Calibre &lt;25]]/FT_RF_26[[#This Row],[Muestra]]),"0")</f>
        <v>0</v>
      </c>
      <c r="AR215" s="38">
        <v>0</v>
      </c>
      <c r="AS215" s="39">
        <f>+IFERROR((FT_RF_26[[#This Row],[Calibre &gt;12]]/FT_RF_26[[#This Row],[Muestra]]),"0")</f>
        <v>0</v>
      </c>
      <c r="AT215" s="38">
        <v>0</v>
      </c>
      <c r="AU215" s="39">
        <f>+IFERROR((FT_RF_26[[#This Row],[Calibre &lt;14]]/FT_RF_26[[#This Row],[Muestra]]),"0")</f>
        <v>0</v>
      </c>
      <c r="AV215" s="38">
        <v>0</v>
      </c>
      <c r="AW215" s="39">
        <f>+IFERROR((FT_RF_26[[#This Row],[Calibre &gt;14]]/FT_RF_26[[#This Row],[Muestra]]),"0")</f>
        <v>0</v>
      </c>
      <c r="AX215" s="38">
        <v>0</v>
      </c>
      <c r="AY215" s="39">
        <f>+IFERROR((FT_RF_26[[#This Row],[Calibre &lt;10]]/FT_RF_26[[#This Row],[Muestra]]),"0")</f>
        <v>0</v>
      </c>
      <c r="AZ215" s="38">
        <v>0</v>
      </c>
      <c r="BA215" s="39">
        <f>+IFERROR((FT_RF_26[[#This Row],[Calibre &gt;13]]/FT_RF_26[[#This Row],[Muestra]]),"0")</f>
        <v>0</v>
      </c>
      <c r="BB215" s="41"/>
      <c r="BG215" s="42"/>
      <c r="BH215" s="43">
        <v>0</v>
      </c>
      <c r="BI215" s="29" t="s">
        <v>894</v>
      </c>
      <c r="BJ215" s="29" t="s">
        <v>894</v>
      </c>
      <c r="BK21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1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15" s="45">
        <f>1-FT_RF_26[[#This Row],[% Defectos]]</f>
        <v>1</v>
      </c>
      <c r="BO215" s="60"/>
      <c r="BP215" s="12">
        <f>SUM(FT_RF_26[[#This Row],[Hoja (Un.)]:[Larvas Caja]])</f>
        <v>0</v>
      </c>
      <c r="BQ215" s="12">
        <f>SUM(FT_RF_26[[#This Row],[Vidrios]:[Plástico]])</f>
        <v>0</v>
      </c>
      <c r="BR215" s="12" t="str">
        <f>IF(ISBLANK(FT_RF_26[[#This Row],[Descripción del producto]]),"",FT_RF_26[[#This Row],[Descripción del producto]])</f>
        <v/>
      </c>
      <c r="BS215" s="29" t="str">
        <f>IF(ISBLANK(FT_RF_26[[#This Row],[N° de Lote]]),"",FT_RF_26[[#This Row],[N° de Lote]])</f>
        <v/>
      </c>
      <c r="BT215" s="29" t="str">
        <f>IF(ISBLANK(FT_RF_26[[#This Row],[N° de Pallet]]),"",FT_RF_26[[#This Row],[N° de Pallet]])</f>
        <v/>
      </c>
    </row>
    <row r="216" spans="2:72">
      <c r="B216" s="29">
        <f>+_xlfn.ISOWEEKNUM(FT_RF_26[[#This Row],[Fecha]])</f>
        <v>52</v>
      </c>
      <c r="E216" s="31"/>
      <c r="F216" s="12" t="str">
        <f>IFERROR(""&amp;_xlfn.XLOOKUP(FT_RF_26[[#This Row],[Código]],BD_Cod[SKU],BD_Cod[Descripción]),"")</f>
        <v/>
      </c>
      <c r="G216" s="32" t="str">
        <f>IFERROR(""&amp;_xlfn.XLOOKUP(FT_RF_26[[#This Row],[Código]],BD_Cod[SKU],BD_Cod[Familia Calidad]),"")</f>
        <v/>
      </c>
      <c r="J216" s="33">
        <v>1000</v>
      </c>
      <c r="L216" s="30" t="s">
        <v>244</v>
      </c>
      <c r="O216" s="30" t="s">
        <v>894</v>
      </c>
      <c r="P216" s="29" t="s">
        <v>894</v>
      </c>
      <c r="Q216" s="37">
        <f>1-FT_RF_26[[#This Row],[% Defectos]]</f>
        <v>1</v>
      </c>
      <c r="R216" s="38">
        <v>0</v>
      </c>
      <c r="S216" s="39">
        <f>+IFERROR((FT_RF_26[[#This Row],[Inmadura]]/FT_RF_26[[#This Row],[Muestra]]),"0")</f>
        <v>0</v>
      </c>
      <c r="T216" s="38">
        <v>0</v>
      </c>
      <c r="U216" s="39">
        <f>+IFERROR((FT_RF_26[[#This Row],[Partidas]]/FT_RF_26[[#This Row],[Muestra]]),"0")</f>
        <v>0</v>
      </c>
      <c r="V216" s="38">
        <v>0</v>
      </c>
      <c r="W216" s="39">
        <f>+IFERROR((FT_RF_26[[#This Row],[Daño Insecto]]/FT_RF_26[[#This Row],[Muestra]]),"0")</f>
        <v>0</v>
      </c>
      <c r="X216" s="38">
        <v>0</v>
      </c>
      <c r="Y216" s="39">
        <f>+IFERROR((FT_RF_26[[#This Row],[Sobremadura]]/FT_RF_26[[#This Row],[Muestra]]),"0")</f>
        <v>0</v>
      </c>
      <c r="Z216" s="38">
        <v>0</v>
      </c>
      <c r="AA216" s="39">
        <f>+IFERROR((FT_RF_26[[#This Row],[Deforme]]/FT_RF_26[[#This Row],[Muestra]]),"0")</f>
        <v>0</v>
      </c>
      <c r="AB216" s="27"/>
      <c r="AC216" s="38">
        <v>0</v>
      </c>
      <c r="AD216" s="39">
        <f>+IFERROR((FT_RF_26[[#This Row],[Valor Extra 1]]/FT_RF_26[[#This Row],[Muestra]]),"0")</f>
        <v>0</v>
      </c>
      <c r="AF216" s="38">
        <v>0</v>
      </c>
      <c r="AG216" s="39">
        <f>+IFERROR((FT_RF_26[[#This Row],[Valor Extra 2]]/FT_RF_26[[#This Row],[Muestra]]),"0")</f>
        <v>0</v>
      </c>
      <c r="AH216" s="40">
        <v>0</v>
      </c>
      <c r="AI216" s="39">
        <f>+IFERROR((FT_RF_26[[#This Row],[Hongos]]/FT_RF_26[[#This Row],[Muestra]]),"0")</f>
        <v>0</v>
      </c>
      <c r="AJ216" s="38">
        <v>0</v>
      </c>
      <c r="AK216" s="39">
        <f>+IFERROR((FT_RF_26[[#This Row],[Block]]/FT_RF_26[[#This Row],[Muestra]]),"0")</f>
        <v>0</v>
      </c>
      <c r="AL216" s="41">
        <v>0</v>
      </c>
      <c r="AM216" s="42">
        <v>0</v>
      </c>
      <c r="AN216" s="38">
        <v>0</v>
      </c>
      <c r="AO216" s="39">
        <f>+IFERROR((FT_RF_26[[#This Row],[Fuera de calibre &lt;12mm]]/FT_RF_26[[#This Row],[Muestra]]),"0")</f>
        <v>0</v>
      </c>
      <c r="AP216" s="38">
        <v>0</v>
      </c>
      <c r="AQ216" s="39">
        <f>+IFERROR((FT_RF_26[[#This Row],[Calibre &lt;25]]/FT_RF_26[[#This Row],[Muestra]]),"0")</f>
        <v>0</v>
      </c>
      <c r="AR216" s="38">
        <v>0</v>
      </c>
      <c r="AS216" s="39">
        <f>+IFERROR((FT_RF_26[[#This Row],[Calibre &gt;12]]/FT_RF_26[[#This Row],[Muestra]]),"0")</f>
        <v>0</v>
      </c>
      <c r="AT216" s="38">
        <v>0</v>
      </c>
      <c r="AU216" s="39">
        <f>+IFERROR((FT_RF_26[[#This Row],[Calibre &lt;14]]/FT_RF_26[[#This Row],[Muestra]]),"0")</f>
        <v>0</v>
      </c>
      <c r="AV216" s="38">
        <v>0</v>
      </c>
      <c r="AW216" s="39">
        <f>+IFERROR((FT_RF_26[[#This Row],[Calibre &gt;14]]/FT_RF_26[[#This Row],[Muestra]]),"0")</f>
        <v>0</v>
      </c>
      <c r="AX216" s="38">
        <v>0</v>
      </c>
      <c r="AY216" s="39">
        <f>+IFERROR((FT_RF_26[[#This Row],[Calibre &lt;10]]/FT_RF_26[[#This Row],[Muestra]]),"0")</f>
        <v>0</v>
      </c>
      <c r="AZ216" s="38">
        <v>0</v>
      </c>
      <c r="BA216" s="39">
        <f>+IFERROR((FT_RF_26[[#This Row],[Calibre &gt;13]]/FT_RF_26[[#This Row],[Muestra]]),"0")</f>
        <v>0</v>
      </c>
      <c r="BB216" s="41"/>
      <c r="BG216" s="42"/>
      <c r="BH216" s="43">
        <v>0</v>
      </c>
      <c r="BI216" s="29" t="s">
        <v>894</v>
      </c>
      <c r="BJ216" s="29" t="s">
        <v>894</v>
      </c>
      <c r="BK21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1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16" s="45">
        <f>1-FT_RF_26[[#This Row],[% Defectos]]</f>
        <v>1</v>
      </c>
      <c r="BO216" s="60"/>
      <c r="BP216" s="12">
        <f>SUM(FT_RF_26[[#This Row],[Hoja (Un.)]:[Larvas Caja]])</f>
        <v>0</v>
      </c>
      <c r="BQ216" s="12">
        <f>SUM(FT_RF_26[[#This Row],[Vidrios]:[Plástico]])</f>
        <v>0</v>
      </c>
      <c r="BR216" s="12" t="str">
        <f>IF(ISBLANK(FT_RF_26[[#This Row],[Descripción del producto]]),"",FT_RF_26[[#This Row],[Descripción del producto]])</f>
        <v/>
      </c>
      <c r="BS216" s="29" t="str">
        <f>IF(ISBLANK(FT_RF_26[[#This Row],[N° de Lote]]),"",FT_RF_26[[#This Row],[N° de Lote]])</f>
        <v/>
      </c>
      <c r="BT216" s="29" t="str">
        <f>IF(ISBLANK(FT_RF_26[[#This Row],[N° de Pallet]]),"",FT_RF_26[[#This Row],[N° de Pallet]])</f>
        <v/>
      </c>
    </row>
    <row r="217" spans="2:72">
      <c r="B217" s="29">
        <f>+_xlfn.ISOWEEKNUM(FT_RF_26[[#This Row],[Fecha]])</f>
        <v>52</v>
      </c>
      <c r="E217" s="31"/>
      <c r="F217" s="12" t="str">
        <f>IFERROR(""&amp;_xlfn.XLOOKUP(FT_RF_26[[#This Row],[Código]],BD_Cod[SKU],BD_Cod[Descripción]),"")</f>
        <v/>
      </c>
      <c r="G217" s="32" t="str">
        <f>IFERROR(""&amp;_xlfn.XLOOKUP(FT_RF_26[[#This Row],[Código]],BD_Cod[SKU],BD_Cod[Familia Calidad]),"")</f>
        <v/>
      </c>
      <c r="J217" s="33">
        <v>1000</v>
      </c>
      <c r="L217" s="30" t="s">
        <v>244</v>
      </c>
      <c r="O217" s="30" t="s">
        <v>894</v>
      </c>
      <c r="P217" s="29" t="s">
        <v>894</v>
      </c>
      <c r="Q217" s="37">
        <f>1-FT_RF_26[[#This Row],[% Defectos]]</f>
        <v>1</v>
      </c>
      <c r="R217" s="38">
        <v>0</v>
      </c>
      <c r="S217" s="39">
        <f>+IFERROR((FT_RF_26[[#This Row],[Inmadura]]/FT_RF_26[[#This Row],[Muestra]]),"0")</f>
        <v>0</v>
      </c>
      <c r="T217" s="38">
        <v>0</v>
      </c>
      <c r="U217" s="39">
        <f>+IFERROR((FT_RF_26[[#This Row],[Partidas]]/FT_RF_26[[#This Row],[Muestra]]),"0")</f>
        <v>0</v>
      </c>
      <c r="V217" s="38">
        <v>0</v>
      </c>
      <c r="W217" s="39">
        <f>+IFERROR((FT_RF_26[[#This Row],[Daño Insecto]]/FT_RF_26[[#This Row],[Muestra]]),"0")</f>
        <v>0</v>
      </c>
      <c r="X217" s="38">
        <v>0</v>
      </c>
      <c r="Y217" s="39">
        <f>+IFERROR((FT_RF_26[[#This Row],[Sobremadura]]/FT_RF_26[[#This Row],[Muestra]]),"0")</f>
        <v>0</v>
      </c>
      <c r="Z217" s="38">
        <v>0</v>
      </c>
      <c r="AA217" s="39">
        <f>+IFERROR((FT_RF_26[[#This Row],[Deforme]]/FT_RF_26[[#This Row],[Muestra]]),"0")</f>
        <v>0</v>
      </c>
      <c r="AB217" s="27"/>
      <c r="AC217" s="38">
        <v>0</v>
      </c>
      <c r="AD217" s="39">
        <f>+IFERROR((FT_RF_26[[#This Row],[Valor Extra 1]]/FT_RF_26[[#This Row],[Muestra]]),"0")</f>
        <v>0</v>
      </c>
      <c r="AF217" s="38">
        <v>0</v>
      </c>
      <c r="AG217" s="39">
        <f>+IFERROR((FT_RF_26[[#This Row],[Valor Extra 2]]/FT_RF_26[[#This Row],[Muestra]]),"0")</f>
        <v>0</v>
      </c>
      <c r="AH217" s="40">
        <v>0</v>
      </c>
      <c r="AI217" s="39">
        <f>+IFERROR((FT_RF_26[[#This Row],[Hongos]]/FT_RF_26[[#This Row],[Muestra]]),"0")</f>
        <v>0</v>
      </c>
      <c r="AJ217" s="38">
        <v>0</v>
      </c>
      <c r="AK217" s="39">
        <f>+IFERROR((FT_RF_26[[#This Row],[Block]]/FT_RF_26[[#This Row],[Muestra]]),"0")</f>
        <v>0</v>
      </c>
      <c r="AL217" s="41">
        <v>0</v>
      </c>
      <c r="AM217" s="42">
        <v>0</v>
      </c>
      <c r="AN217" s="38">
        <v>0</v>
      </c>
      <c r="AO217" s="39">
        <f>+IFERROR((FT_RF_26[[#This Row],[Fuera de calibre &lt;12mm]]/FT_RF_26[[#This Row],[Muestra]]),"0")</f>
        <v>0</v>
      </c>
      <c r="AP217" s="38">
        <v>0</v>
      </c>
      <c r="AQ217" s="39">
        <f>+IFERROR((FT_RF_26[[#This Row],[Calibre &lt;25]]/FT_RF_26[[#This Row],[Muestra]]),"0")</f>
        <v>0</v>
      </c>
      <c r="AR217" s="38">
        <v>0</v>
      </c>
      <c r="AS217" s="39">
        <f>+IFERROR((FT_RF_26[[#This Row],[Calibre &gt;12]]/FT_RF_26[[#This Row],[Muestra]]),"0")</f>
        <v>0</v>
      </c>
      <c r="AT217" s="38">
        <v>0</v>
      </c>
      <c r="AU217" s="39">
        <f>+IFERROR((FT_RF_26[[#This Row],[Calibre &lt;14]]/FT_RF_26[[#This Row],[Muestra]]),"0")</f>
        <v>0</v>
      </c>
      <c r="AV217" s="38">
        <v>0</v>
      </c>
      <c r="AW217" s="39">
        <f>+IFERROR((FT_RF_26[[#This Row],[Calibre &gt;14]]/FT_RF_26[[#This Row],[Muestra]]),"0")</f>
        <v>0</v>
      </c>
      <c r="AX217" s="38">
        <v>0</v>
      </c>
      <c r="AY217" s="39">
        <f>+IFERROR((FT_RF_26[[#This Row],[Calibre &lt;10]]/FT_RF_26[[#This Row],[Muestra]]),"0")</f>
        <v>0</v>
      </c>
      <c r="AZ217" s="38">
        <v>0</v>
      </c>
      <c r="BA217" s="39">
        <f>+IFERROR((FT_RF_26[[#This Row],[Calibre &gt;13]]/FT_RF_26[[#This Row],[Muestra]]),"0")</f>
        <v>0</v>
      </c>
      <c r="BB217" s="41"/>
      <c r="BG217" s="42"/>
      <c r="BH217" s="43">
        <v>0</v>
      </c>
      <c r="BI217" s="29" t="s">
        <v>894</v>
      </c>
      <c r="BJ217" s="29" t="s">
        <v>894</v>
      </c>
      <c r="BK21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1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17" s="45">
        <f>1-FT_RF_26[[#This Row],[% Defectos]]</f>
        <v>1</v>
      </c>
      <c r="BO217" s="60"/>
      <c r="BP217" s="12">
        <f>SUM(FT_RF_26[[#This Row],[Hoja (Un.)]:[Larvas Caja]])</f>
        <v>0</v>
      </c>
      <c r="BQ217" s="12">
        <f>SUM(FT_RF_26[[#This Row],[Vidrios]:[Plástico]])</f>
        <v>0</v>
      </c>
      <c r="BR217" s="12" t="str">
        <f>IF(ISBLANK(FT_RF_26[[#This Row],[Descripción del producto]]),"",FT_RF_26[[#This Row],[Descripción del producto]])</f>
        <v/>
      </c>
      <c r="BS217" s="29" t="str">
        <f>IF(ISBLANK(FT_RF_26[[#This Row],[N° de Lote]]),"",FT_RF_26[[#This Row],[N° de Lote]])</f>
        <v/>
      </c>
      <c r="BT217" s="29" t="str">
        <f>IF(ISBLANK(FT_RF_26[[#This Row],[N° de Pallet]]),"",FT_RF_26[[#This Row],[N° de Pallet]])</f>
        <v/>
      </c>
    </row>
    <row r="218" spans="2:72">
      <c r="B218" s="29">
        <f>+_xlfn.ISOWEEKNUM(FT_RF_26[[#This Row],[Fecha]])</f>
        <v>52</v>
      </c>
      <c r="E218" s="31"/>
      <c r="F218" s="12" t="str">
        <f>IFERROR(""&amp;_xlfn.XLOOKUP(FT_RF_26[[#This Row],[Código]],BD_Cod[SKU],BD_Cod[Descripción]),"")</f>
        <v/>
      </c>
      <c r="G218" s="32" t="str">
        <f>IFERROR(""&amp;_xlfn.XLOOKUP(FT_RF_26[[#This Row],[Código]],BD_Cod[SKU],BD_Cod[Familia Calidad]),"")</f>
        <v/>
      </c>
      <c r="J218" s="33">
        <v>1000</v>
      </c>
      <c r="L218" s="30" t="s">
        <v>244</v>
      </c>
      <c r="O218" s="30" t="s">
        <v>894</v>
      </c>
      <c r="P218" s="29" t="s">
        <v>894</v>
      </c>
      <c r="Q218" s="37">
        <f>1-FT_RF_26[[#This Row],[% Defectos]]</f>
        <v>1</v>
      </c>
      <c r="R218" s="38">
        <v>0</v>
      </c>
      <c r="S218" s="39">
        <f>+IFERROR((FT_RF_26[[#This Row],[Inmadura]]/FT_RF_26[[#This Row],[Muestra]]),"0")</f>
        <v>0</v>
      </c>
      <c r="T218" s="38">
        <v>0</v>
      </c>
      <c r="U218" s="39">
        <f>+IFERROR((FT_RF_26[[#This Row],[Partidas]]/FT_RF_26[[#This Row],[Muestra]]),"0")</f>
        <v>0</v>
      </c>
      <c r="V218" s="38">
        <v>0</v>
      </c>
      <c r="W218" s="39">
        <f>+IFERROR((FT_RF_26[[#This Row],[Daño Insecto]]/FT_RF_26[[#This Row],[Muestra]]),"0")</f>
        <v>0</v>
      </c>
      <c r="X218" s="38">
        <v>0</v>
      </c>
      <c r="Y218" s="39">
        <f>+IFERROR((FT_RF_26[[#This Row],[Sobremadura]]/FT_RF_26[[#This Row],[Muestra]]),"0")</f>
        <v>0</v>
      </c>
      <c r="Z218" s="38">
        <v>0</v>
      </c>
      <c r="AA218" s="39">
        <f>+IFERROR((FT_RF_26[[#This Row],[Deforme]]/FT_RF_26[[#This Row],[Muestra]]),"0")</f>
        <v>0</v>
      </c>
      <c r="AB218" s="27"/>
      <c r="AC218" s="38">
        <v>0</v>
      </c>
      <c r="AD218" s="39">
        <f>+IFERROR((FT_RF_26[[#This Row],[Valor Extra 1]]/FT_RF_26[[#This Row],[Muestra]]),"0")</f>
        <v>0</v>
      </c>
      <c r="AF218" s="38">
        <v>0</v>
      </c>
      <c r="AG218" s="39">
        <f>+IFERROR((FT_RF_26[[#This Row],[Valor Extra 2]]/FT_RF_26[[#This Row],[Muestra]]),"0")</f>
        <v>0</v>
      </c>
      <c r="AH218" s="40">
        <v>0</v>
      </c>
      <c r="AI218" s="39">
        <f>+IFERROR((FT_RF_26[[#This Row],[Hongos]]/FT_RF_26[[#This Row],[Muestra]]),"0")</f>
        <v>0</v>
      </c>
      <c r="AJ218" s="38">
        <v>0</v>
      </c>
      <c r="AK218" s="39">
        <f>+IFERROR((FT_RF_26[[#This Row],[Block]]/FT_RF_26[[#This Row],[Muestra]]),"0")</f>
        <v>0</v>
      </c>
      <c r="AL218" s="41">
        <v>0</v>
      </c>
      <c r="AM218" s="42">
        <v>0</v>
      </c>
      <c r="AN218" s="38">
        <v>0</v>
      </c>
      <c r="AO218" s="39">
        <f>+IFERROR((FT_RF_26[[#This Row],[Fuera de calibre &lt;12mm]]/FT_RF_26[[#This Row],[Muestra]]),"0")</f>
        <v>0</v>
      </c>
      <c r="AP218" s="38">
        <v>0</v>
      </c>
      <c r="AQ218" s="39">
        <f>+IFERROR((FT_RF_26[[#This Row],[Calibre &lt;25]]/FT_RF_26[[#This Row],[Muestra]]),"0")</f>
        <v>0</v>
      </c>
      <c r="AR218" s="38">
        <v>0</v>
      </c>
      <c r="AS218" s="39">
        <f>+IFERROR((FT_RF_26[[#This Row],[Calibre &gt;12]]/FT_RF_26[[#This Row],[Muestra]]),"0")</f>
        <v>0</v>
      </c>
      <c r="AT218" s="38">
        <v>0</v>
      </c>
      <c r="AU218" s="39">
        <f>+IFERROR((FT_RF_26[[#This Row],[Calibre &lt;14]]/FT_RF_26[[#This Row],[Muestra]]),"0")</f>
        <v>0</v>
      </c>
      <c r="AV218" s="38">
        <v>0</v>
      </c>
      <c r="AW218" s="39">
        <f>+IFERROR((FT_RF_26[[#This Row],[Calibre &gt;14]]/FT_RF_26[[#This Row],[Muestra]]),"0")</f>
        <v>0</v>
      </c>
      <c r="AX218" s="38">
        <v>0</v>
      </c>
      <c r="AY218" s="39">
        <f>+IFERROR((FT_RF_26[[#This Row],[Calibre &lt;10]]/FT_RF_26[[#This Row],[Muestra]]),"0")</f>
        <v>0</v>
      </c>
      <c r="AZ218" s="38">
        <v>0</v>
      </c>
      <c r="BA218" s="39">
        <f>+IFERROR((FT_RF_26[[#This Row],[Calibre &gt;13]]/FT_RF_26[[#This Row],[Muestra]]),"0")</f>
        <v>0</v>
      </c>
      <c r="BB218" s="41"/>
      <c r="BG218" s="42"/>
      <c r="BH218" s="43">
        <v>0</v>
      </c>
      <c r="BI218" s="29" t="s">
        <v>894</v>
      </c>
      <c r="BJ218" s="29" t="s">
        <v>894</v>
      </c>
      <c r="BK21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1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18" s="45">
        <f>1-FT_RF_26[[#This Row],[% Defectos]]</f>
        <v>1</v>
      </c>
      <c r="BO218" s="60"/>
      <c r="BP218" s="12">
        <f>SUM(FT_RF_26[[#This Row],[Hoja (Un.)]:[Larvas Caja]])</f>
        <v>0</v>
      </c>
      <c r="BQ218" s="12">
        <f>SUM(FT_RF_26[[#This Row],[Vidrios]:[Plástico]])</f>
        <v>0</v>
      </c>
      <c r="BR218" s="12" t="str">
        <f>IF(ISBLANK(FT_RF_26[[#This Row],[Descripción del producto]]),"",FT_RF_26[[#This Row],[Descripción del producto]])</f>
        <v/>
      </c>
      <c r="BS218" s="29" t="str">
        <f>IF(ISBLANK(FT_RF_26[[#This Row],[N° de Lote]]),"",FT_RF_26[[#This Row],[N° de Lote]])</f>
        <v/>
      </c>
      <c r="BT218" s="29" t="str">
        <f>IF(ISBLANK(FT_RF_26[[#This Row],[N° de Pallet]]),"",FT_RF_26[[#This Row],[N° de Pallet]])</f>
        <v/>
      </c>
    </row>
    <row r="219" spans="2:72">
      <c r="B219" s="29">
        <f>+_xlfn.ISOWEEKNUM(FT_RF_26[[#This Row],[Fecha]])</f>
        <v>52</v>
      </c>
      <c r="E219" s="31"/>
      <c r="F219" s="12" t="str">
        <f>IFERROR(""&amp;_xlfn.XLOOKUP(FT_RF_26[[#This Row],[Código]],BD_Cod[SKU],BD_Cod[Descripción]),"")</f>
        <v/>
      </c>
      <c r="G219" s="32" t="str">
        <f>IFERROR(""&amp;_xlfn.XLOOKUP(FT_RF_26[[#This Row],[Código]],BD_Cod[SKU],BD_Cod[Familia Calidad]),"")</f>
        <v/>
      </c>
      <c r="J219" s="33">
        <v>1000</v>
      </c>
      <c r="L219" s="30" t="s">
        <v>244</v>
      </c>
      <c r="O219" s="30" t="s">
        <v>894</v>
      </c>
      <c r="P219" s="29" t="s">
        <v>894</v>
      </c>
      <c r="Q219" s="37">
        <f>1-FT_RF_26[[#This Row],[% Defectos]]</f>
        <v>1</v>
      </c>
      <c r="R219" s="38">
        <v>0</v>
      </c>
      <c r="S219" s="39">
        <f>+IFERROR((FT_RF_26[[#This Row],[Inmadura]]/FT_RF_26[[#This Row],[Muestra]]),"0")</f>
        <v>0</v>
      </c>
      <c r="T219" s="38">
        <v>0</v>
      </c>
      <c r="U219" s="39">
        <f>+IFERROR((FT_RF_26[[#This Row],[Partidas]]/FT_RF_26[[#This Row],[Muestra]]),"0")</f>
        <v>0</v>
      </c>
      <c r="V219" s="38">
        <v>0</v>
      </c>
      <c r="W219" s="39">
        <f>+IFERROR((FT_RF_26[[#This Row],[Daño Insecto]]/FT_RF_26[[#This Row],[Muestra]]),"0")</f>
        <v>0</v>
      </c>
      <c r="X219" s="38">
        <v>0</v>
      </c>
      <c r="Y219" s="39">
        <f>+IFERROR((FT_RF_26[[#This Row],[Sobremadura]]/FT_RF_26[[#This Row],[Muestra]]),"0")</f>
        <v>0</v>
      </c>
      <c r="Z219" s="38">
        <v>0</v>
      </c>
      <c r="AA219" s="39">
        <f>+IFERROR((FT_RF_26[[#This Row],[Deforme]]/FT_RF_26[[#This Row],[Muestra]]),"0")</f>
        <v>0</v>
      </c>
      <c r="AB219" s="27"/>
      <c r="AC219" s="38">
        <v>0</v>
      </c>
      <c r="AD219" s="39">
        <f>+IFERROR((FT_RF_26[[#This Row],[Valor Extra 1]]/FT_RF_26[[#This Row],[Muestra]]),"0")</f>
        <v>0</v>
      </c>
      <c r="AF219" s="38">
        <v>0</v>
      </c>
      <c r="AG219" s="39">
        <f>+IFERROR((FT_RF_26[[#This Row],[Valor Extra 2]]/FT_RF_26[[#This Row],[Muestra]]),"0")</f>
        <v>0</v>
      </c>
      <c r="AH219" s="40">
        <v>0</v>
      </c>
      <c r="AI219" s="39">
        <f>+IFERROR((FT_RF_26[[#This Row],[Hongos]]/FT_RF_26[[#This Row],[Muestra]]),"0")</f>
        <v>0</v>
      </c>
      <c r="AJ219" s="38">
        <v>0</v>
      </c>
      <c r="AK219" s="39">
        <f>+IFERROR((FT_RF_26[[#This Row],[Block]]/FT_RF_26[[#This Row],[Muestra]]),"0")</f>
        <v>0</v>
      </c>
      <c r="AL219" s="41">
        <v>0</v>
      </c>
      <c r="AM219" s="42">
        <v>0</v>
      </c>
      <c r="AN219" s="38">
        <v>0</v>
      </c>
      <c r="AO219" s="39">
        <f>+IFERROR((FT_RF_26[[#This Row],[Fuera de calibre &lt;12mm]]/FT_RF_26[[#This Row],[Muestra]]),"0")</f>
        <v>0</v>
      </c>
      <c r="AP219" s="38">
        <v>0</v>
      </c>
      <c r="AQ219" s="39">
        <f>+IFERROR((FT_RF_26[[#This Row],[Calibre &lt;25]]/FT_RF_26[[#This Row],[Muestra]]),"0")</f>
        <v>0</v>
      </c>
      <c r="AR219" s="38">
        <v>0</v>
      </c>
      <c r="AS219" s="39">
        <f>+IFERROR((FT_RF_26[[#This Row],[Calibre &gt;12]]/FT_RF_26[[#This Row],[Muestra]]),"0")</f>
        <v>0</v>
      </c>
      <c r="AT219" s="38">
        <v>0</v>
      </c>
      <c r="AU219" s="39">
        <f>+IFERROR((FT_RF_26[[#This Row],[Calibre &lt;14]]/FT_RF_26[[#This Row],[Muestra]]),"0")</f>
        <v>0</v>
      </c>
      <c r="AV219" s="38">
        <v>0</v>
      </c>
      <c r="AW219" s="39">
        <f>+IFERROR((FT_RF_26[[#This Row],[Calibre &gt;14]]/FT_RF_26[[#This Row],[Muestra]]),"0")</f>
        <v>0</v>
      </c>
      <c r="AX219" s="38">
        <v>0</v>
      </c>
      <c r="AY219" s="39">
        <f>+IFERROR((FT_RF_26[[#This Row],[Calibre &lt;10]]/FT_RF_26[[#This Row],[Muestra]]),"0")</f>
        <v>0</v>
      </c>
      <c r="AZ219" s="38">
        <v>0</v>
      </c>
      <c r="BA219" s="39">
        <f>+IFERROR((FT_RF_26[[#This Row],[Calibre &gt;13]]/FT_RF_26[[#This Row],[Muestra]]),"0")</f>
        <v>0</v>
      </c>
      <c r="BB219" s="41"/>
      <c r="BG219" s="42"/>
      <c r="BH219" s="43">
        <v>0</v>
      </c>
      <c r="BI219" s="29" t="s">
        <v>894</v>
      </c>
      <c r="BJ219" s="29" t="s">
        <v>894</v>
      </c>
      <c r="BK21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1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19" s="45">
        <f>1-FT_RF_26[[#This Row],[% Defectos]]</f>
        <v>1</v>
      </c>
      <c r="BO219" s="60"/>
      <c r="BP219" s="12">
        <f>SUM(FT_RF_26[[#This Row],[Hoja (Un.)]:[Larvas Caja]])</f>
        <v>0</v>
      </c>
      <c r="BQ219" s="12">
        <f>SUM(FT_RF_26[[#This Row],[Vidrios]:[Plástico]])</f>
        <v>0</v>
      </c>
      <c r="BR219" s="12" t="str">
        <f>IF(ISBLANK(FT_RF_26[[#This Row],[Descripción del producto]]),"",FT_RF_26[[#This Row],[Descripción del producto]])</f>
        <v/>
      </c>
      <c r="BS219" s="29" t="str">
        <f>IF(ISBLANK(FT_RF_26[[#This Row],[N° de Lote]]),"",FT_RF_26[[#This Row],[N° de Lote]])</f>
        <v/>
      </c>
      <c r="BT219" s="29" t="str">
        <f>IF(ISBLANK(FT_RF_26[[#This Row],[N° de Pallet]]),"",FT_RF_26[[#This Row],[N° de Pallet]])</f>
        <v/>
      </c>
    </row>
    <row r="220" spans="2:72">
      <c r="B220" s="29">
        <f>+_xlfn.ISOWEEKNUM(FT_RF_26[[#This Row],[Fecha]])</f>
        <v>52</v>
      </c>
      <c r="E220" s="31"/>
      <c r="F220" s="12" t="str">
        <f>IFERROR(""&amp;_xlfn.XLOOKUP(FT_RF_26[[#This Row],[Código]],BD_Cod[SKU],BD_Cod[Descripción]),"")</f>
        <v/>
      </c>
      <c r="G220" s="32" t="str">
        <f>IFERROR(""&amp;_xlfn.XLOOKUP(FT_RF_26[[#This Row],[Código]],BD_Cod[SKU],BD_Cod[Familia Calidad]),"")</f>
        <v/>
      </c>
      <c r="J220" s="33">
        <v>1000</v>
      </c>
      <c r="L220" s="30" t="s">
        <v>244</v>
      </c>
      <c r="O220" s="30" t="s">
        <v>894</v>
      </c>
      <c r="P220" s="29" t="s">
        <v>894</v>
      </c>
      <c r="Q220" s="37">
        <f>1-FT_RF_26[[#This Row],[% Defectos]]</f>
        <v>1</v>
      </c>
      <c r="R220" s="38">
        <v>0</v>
      </c>
      <c r="S220" s="39">
        <f>+IFERROR((FT_RF_26[[#This Row],[Inmadura]]/FT_RF_26[[#This Row],[Muestra]]),"0")</f>
        <v>0</v>
      </c>
      <c r="T220" s="38">
        <v>0</v>
      </c>
      <c r="U220" s="39">
        <f>+IFERROR((FT_RF_26[[#This Row],[Partidas]]/FT_RF_26[[#This Row],[Muestra]]),"0")</f>
        <v>0</v>
      </c>
      <c r="V220" s="38">
        <v>0</v>
      </c>
      <c r="W220" s="39">
        <f>+IFERROR((FT_RF_26[[#This Row],[Daño Insecto]]/FT_RF_26[[#This Row],[Muestra]]),"0")</f>
        <v>0</v>
      </c>
      <c r="X220" s="38">
        <v>0</v>
      </c>
      <c r="Y220" s="39">
        <f>+IFERROR((FT_RF_26[[#This Row],[Sobremadura]]/FT_RF_26[[#This Row],[Muestra]]),"0")</f>
        <v>0</v>
      </c>
      <c r="Z220" s="38">
        <v>0</v>
      </c>
      <c r="AA220" s="39">
        <f>+IFERROR((FT_RF_26[[#This Row],[Deforme]]/FT_RF_26[[#This Row],[Muestra]]),"0")</f>
        <v>0</v>
      </c>
      <c r="AB220" s="27"/>
      <c r="AC220" s="38">
        <v>0</v>
      </c>
      <c r="AD220" s="39">
        <f>+IFERROR((FT_RF_26[[#This Row],[Valor Extra 1]]/FT_RF_26[[#This Row],[Muestra]]),"0")</f>
        <v>0</v>
      </c>
      <c r="AF220" s="38">
        <v>0</v>
      </c>
      <c r="AG220" s="39">
        <f>+IFERROR((FT_RF_26[[#This Row],[Valor Extra 2]]/FT_RF_26[[#This Row],[Muestra]]),"0")</f>
        <v>0</v>
      </c>
      <c r="AH220" s="40">
        <v>0</v>
      </c>
      <c r="AI220" s="39">
        <f>+IFERROR((FT_RF_26[[#This Row],[Hongos]]/FT_RF_26[[#This Row],[Muestra]]),"0")</f>
        <v>0</v>
      </c>
      <c r="AJ220" s="38">
        <v>0</v>
      </c>
      <c r="AK220" s="39">
        <f>+IFERROR((FT_RF_26[[#This Row],[Block]]/FT_RF_26[[#This Row],[Muestra]]),"0")</f>
        <v>0</v>
      </c>
      <c r="AL220" s="41">
        <v>0</v>
      </c>
      <c r="AM220" s="42">
        <v>0</v>
      </c>
      <c r="AN220" s="38">
        <v>0</v>
      </c>
      <c r="AO220" s="39">
        <f>+IFERROR((FT_RF_26[[#This Row],[Fuera de calibre &lt;12mm]]/FT_RF_26[[#This Row],[Muestra]]),"0")</f>
        <v>0</v>
      </c>
      <c r="AP220" s="38">
        <v>0</v>
      </c>
      <c r="AQ220" s="39">
        <f>+IFERROR((FT_RF_26[[#This Row],[Calibre &lt;25]]/FT_RF_26[[#This Row],[Muestra]]),"0")</f>
        <v>0</v>
      </c>
      <c r="AR220" s="38">
        <v>0</v>
      </c>
      <c r="AS220" s="39">
        <f>+IFERROR((FT_RF_26[[#This Row],[Calibre &gt;12]]/FT_RF_26[[#This Row],[Muestra]]),"0")</f>
        <v>0</v>
      </c>
      <c r="AT220" s="38">
        <v>0</v>
      </c>
      <c r="AU220" s="39">
        <f>+IFERROR((FT_RF_26[[#This Row],[Calibre &lt;14]]/FT_RF_26[[#This Row],[Muestra]]),"0")</f>
        <v>0</v>
      </c>
      <c r="AV220" s="38">
        <v>0</v>
      </c>
      <c r="AW220" s="39">
        <f>+IFERROR((FT_RF_26[[#This Row],[Calibre &gt;14]]/FT_RF_26[[#This Row],[Muestra]]),"0")</f>
        <v>0</v>
      </c>
      <c r="AX220" s="38">
        <v>0</v>
      </c>
      <c r="AY220" s="39">
        <f>+IFERROR((FT_RF_26[[#This Row],[Calibre &lt;10]]/FT_RF_26[[#This Row],[Muestra]]),"0")</f>
        <v>0</v>
      </c>
      <c r="AZ220" s="38">
        <v>0</v>
      </c>
      <c r="BA220" s="39">
        <f>+IFERROR((FT_RF_26[[#This Row],[Calibre &gt;13]]/FT_RF_26[[#This Row],[Muestra]]),"0")</f>
        <v>0</v>
      </c>
      <c r="BB220" s="41"/>
      <c r="BG220" s="42"/>
      <c r="BH220" s="43">
        <v>0</v>
      </c>
      <c r="BI220" s="29" t="s">
        <v>894</v>
      </c>
      <c r="BJ220" s="29" t="s">
        <v>894</v>
      </c>
      <c r="BK22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2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20" s="45">
        <f>1-FT_RF_26[[#This Row],[% Defectos]]</f>
        <v>1</v>
      </c>
      <c r="BO220" s="60"/>
      <c r="BP220" s="12">
        <f>SUM(FT_RF_26[[#This Row],[Hoja (Un.)]:[Larvas Caja]])</f>
        <v>0</v>
      </c>
      <c r="BQ220" s="12">
        <f>SUM(FT_RF_26[[#This Row],[Vidrios]:[Plástico]])</f>
        <v>0</v>
      </c>
      <c r="BR220" s="12" t="str">
        <f>IF(ISBLANK(FT_RF_26[[#This Row],[Descripción del producto]]),"",FT_RF_26[[#This Row],[Descripción del producto]])</f>
        <v/>
      </c>
      <c r="BS220" s="29" t="str">
        <f>IF(ISBLANK(FT_RF_26[[#This Row],[N° de Lote]]),"",FT_RF_26[[#This Row],[N° de Lote]])</f>
        <v/>
      </c>
      <c r="BT220" s="29" t="str">
        <f>IF(ISBLANK(FT_RF_26[[#This Row],[N° de Pallet]]),"",FT_RF_26[[#This Row],[N° de Pallet]])</f>
        <v/>
      </c>
    </row>
    <row r="221" spans="2:72">
      <c r="B221" s="29">
        <f>+_xlfn.ISOWEEKNUM(FT_RF_26[[#This Row],[Fecha]])</f>
        <v>52</v>
      </c>
      <c r="E221" s="31"/>
      <c r="F221" s="12" t="str">
        <f>IFERROR(""&amp;_xlfn.XLOOKUP(FT_RF_26[[#This Row],[Código]],BD_Cod[SKU],BD_Cod[Descripción]),"")</f>
        <v/>
      </c>
      <c r="G221" s="32" t="str">
        <f>IFERROR(""&amp;_xlfn.XLOOKUP(FT_RF_26[[#This Row],[Código]],BD_Cod[SKU],BD_Cod[Familia Calidad]),"")</f>
        <v/>
      </c>
      <c r="J221" s="33">
        <v>1000</v>
      </c>
      <c r="L221" s="30" t="s">
        <v>244</v>
      </c>
      <c r="O221" s="30" t="s">
        <v>894</v>
      </c>
      <c r="P221" s="29" t="s">
        <v>894</v>
      </c>
      <c r="Q221" s="37">
        <f>1-FT_RF_26[[#This Row],[% Defectos]]</f>
        <v>1</v>
      </c>
      <c r="R221" s="38">
        <v>0</v>
      </c>
      <c r="S221" s="39">
        <f>+IFERROR((FT_RF_26[[#This Row],[Inmadura]]/FT_RF_26[[#This Row],[Muestra]]),"0")</f>
        <v>0</v>
      </c>
      <c r="T221" s="38">
        <v>0</v>
      </c>
      <c r="U221" s="39">
        <f>+IFERROR((FT_RF_26[[#This Row],[Partidas]]/FT_RF_26[[#This Row],[Muestra]]),"0")</f>
        <v>0</v>
      </c>
      <c r="V221" s="38">
        <v>0</v>
      </c>
      <c r="W221" s="39">
        <f>+IFERROR((FT_RF_26[[#This Row],[Daño Insecto]]/FT_RF_26[[#This Row],[Muestra]]),"0")</f>
        <v>0</v>
      </c>
      <c r="X221" s="38">
        <v>0</v>
      </c>
      <c r="Y221" s="39">
        <f>+IFERROR((FT_RF_26[[#This Row],[Sobremadura]]/FT_RF_26[[#This Row],[Muestra]]),"0")</f>
        <v>0</v>
      </c>
      <c r="Z221" s="38">
        <v>0</v>
      </c>
      <c r="AA221" s="39">
        <f>+IFERROR((FT_RF_26[[#This Row],[Deforme]]/FT_RF_26[[#This Row],[Muestra]]),"0")</f>
        <v>0</v>
      </c>
      <c r="AB221" s="27"/>
      <c r="AC221" s="38">
        <v>0</v>
      </c>
      <c r="AD221" s="39">
        <f>+IFERROR((FT_RF_26[[#This Row],[Valor Extra 1]]/FT_RF_26[[#This Row],[Muestra]]),"0")</f>
        <v>0</v>
      </c>
      <c r="AF221" s="38">
        <v>0</v>
      </c>
      <c r="AG221" s="39">
        <f>+IFERROR((FT_RF_26[[#This Row],[Valor Extra 2]]/FT_RF_26[[#This Row],[Muestra]]),"0")</f>
        <v>0</v>
      </c>
      <c r="AH221" s="40">
        <v>0</v>
      </c>
      <c r="AI221" s="39">
        <f>+IFERROR((FT_RF_26[[#This Row],[Hongos]]/FT_RF_26[[#This Row],[Muestra]]),"0")</f>
        <v>0</v>
      </c>
      <c r="AJ221" s="38">
        <v>0</v>
      </c>
      <c r="AK221" s="39">
        <f>+IFERROR((FT_RF_26[[#This Row],[Block]]/FT_RF_26[[#This Row],[Muestra]]),"0")</f>
        <v>0</v>
      </c>
      <c r="AL221" s="41">
        <v>0</v>
      </c>
      <c r="AM221" s="42">
        <v>0</v>
      </c>
      <c r="AN221" s="38">
        <v>0</v>
      </c>
      <c r="AO221" s="39">
        <f>+IFERROR((FT_RF_26[[#This Row],[Fuera de calibre &lt;12mm]]/FT_RF_26[[#This Row],[Muestra]]),"0")</f>
        <v>0</v>
      </c>
      <c r="AP221" s="38">
        <v>0</v>
      </c>
      <c r="AQ221" s="39">
        <f>+IFERROR((FT_RF_26[[#This Row],[Calibre &lt;25]]/FT_RF_26[[#This Row],[Muestra]]),"0")</f>
        <v>0</v>
      </c>
      <c r="AR221" s="38">
        <v>0</v>
      </c>
      <c r="AS221" s="39">
        <f>+IFERROR((FT_RF_26[[#This Row],[Calibre &gt;12]]/FT_RF_26[[#This Row],[Muestra]]),"0")</f>
        <v>0</v>
      </c>
      <c r="AT221" s="38">
        <v>0</v>
      </c>
      <c r="AU221" s="39">
        <f>+IFERROR((FT_RF_26[[#This Row],[Calibre &lt;14]]/FT_RF_26[[#This Row],[Muestra]]),"0")</f>
        <v>0</v>
      </c>
      <c r="AV221" s="38">
        <v>0</v>
      </c>
      <c r="AW221" s="39">
        <f>+IFERROR((FT_RF_26[[#This Row],[Calibre &gt;14]]/FT_RF_26[[#This Row],[Muestra]]),"0")</f>
        <v>0</v>
      </c>
      <c r="AX221" s="38">
        <v>0</v>
      </c>
      <c r="AY221" s="39">
        <f>+IFERROR((FT_RF_26[[#This Row],[Calibre &lt;10]]/FT_RF_26[[#This Row],[Muestra]]),"0")</f>
        <v>0</v>
      </c>
      <c r="AZ221" s="38">
        <v>0</v>
      </c>
      <c r="BA221" s="39">
        <f>+IFERROR((FT_RF_26[[#This Row],[Calibre &gt;13]]/FT_RF_26[[#This Row],[Muestra]]),"0")</f>
        <v>0</v>
      </c>
      <c r="BB221" s="41"/>
      <c r="BG221" s="42"/>
      <c r="BH221" s="43">
        <v>0</v>
      </c>
      <c r="BI221" s="29" t="s">
        <v>894</v>
      </c>
      <c r="BJ221" s="29" t="s">
        <v>894</v>
      </c>
      <c r="BK22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2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21" s="45">
        <f>1-FT_RF_26[[#This Row],[% Defectos]]</f>
        <v>1</v>
      </c>
      <c r="BO221" s="60"/>
      <c r="BP221" s="12">
        <f>SUM(FT_RF_26[[#This Row],[Hoja (Un.)]:[Larvas Caja]])</f>
        <v>0</v>
      </c>
      <c r="BQ221" s="12">
        <f>SUM(FT_RF_26[[#This Row],[Vidrios]:[Plástico]])</f>
        <v>0</v>
      </c>
      <c r="BR221" s="12" t="str">
        <f>IF(ISBLANK(FT_RF_26[[#This Row],[Descripción del producto]]),"",FT_RF_26[[#This Row],[Descripción del producto]])</f>
        <v/>
      </c>
      <c r="BS221" s="29" t="str">
        <f>IF(ISBLANK(FT_RF_26[[#This Row],[N° de Lote]]),"",FT_RF_26[[#This Row],[N° de Lote]])</f>
        <v/>
      </c>
      <c r="BT221" s="29" t="str">
        <f>IF(ISBLANK(FT_RF_26[[#This Row],[N° de Pallet]]),"",FT_RF_26[[#This Row],[N° de Pallet]])</f>
        <v/>
      </c>
    </row>
    <row r="222" spans="2:72">
      <c r="B222" s="29">
        <f>+_xlfn.ISOWEEKNUM(FT_RF_26[[#This Row],[Fecha]])</f>
        <v>52</v>
      </c>
      <c r="E222" s="31"/>
      <c r="F222" s="12" t="str">
        <f>IFERROR(""&amp;_xlfn.XLOOKUP(FT_RF_26[[#This Row],[Código]],BD_Cod[SKU],BD_Cod[Descripción]),"")</f>
        <v/>
      </c>
      <c r="G222" s="32" t="str">
        <f>IFERROR(""&amp;_xlfn.XLOOKUP(FT_RF_26[[#This Row],[Código]],BD_Cod[SKU],BD_Cod[Familia Calidad]),"")</f>
        <v/>
      </c>
      <c r="J222" s="33">
        <v>1000</v>
      </c>
      <c r="L222" s="30" t="s">
        <v>244</v>
      </c>
      <c r="O222" s="30" t="s">
        <v>894</v>
      </c>
      <c r="P222" s="29" t="s">
        <v>894</v>
      </c>
      <c r="Q222" s="37">
        <f>1-FT_RF_26[[#This Row],[% Defectos]]</f>
        <v>1</v>
      </c>
      <c r="R222" s="38">
        <v>0</v>
      </c>
      <c r="S222" s="39">
        <f>+IFERROR((FT_RF_26[[#This Row],[Inmadura]]/FT_RF_26[[#This Row],[Muestra]]),"0")</f>
        <v>0</v>
      </c>
      <c r="T222" s="38">
        <v>0</v>
      </c>
      <c r="U222" s="39">
        <f>+IFERROR((FT_RF_26[[#This Row],[Partidas]]/FT_RF_26[[#This Row],[Muestra]]),"0")</f>
        <v>0</v>
      </c>
      <c r="V222" s="38">
        <v>0</v>
      </c>
      <c r="W222" s="39">
        <f>+IFERROR((FT_RF_26[[#This Row],[Daño Insecto]]/FT_RF_26[[#This Row],[Muestra]]),"0")</f>
        <v>0</v>
      </c>
      <c r="X222" s="38">
        <v>0</v>
      </c>
      <c r="Y222" s="39">
        <f>+IFERROR((FT_RF_26[[#This Row],[Sobremadura]]/FT_RF_26[[#This Row],[Muestra]]),"0")</f>
        <v>0</v>
      </c>
      <c r="Z222" s="38">
        <v>0</v>
      </c>
      <c r="AA222" s="39">
        <f>+IFERROR((FT_RF_26[[#This Row],[Deforme]]/FT_RF_26[[#This Row],[Muestra]]),"0")</f>
        <v>0</v>
      </c>
      <c r="AB222" s="27"/>
      <c r="AC222" s="38">
        <v>0</v>
      </c>
      <c r="AD222" s="39">
        <f>+IFERROR((FT_RF_26[[#This Row],[Valor Extra 1]]/FT_RF_26[[#This Row],[Muestra]]),"0")</f>
        <v>0</v>
      </c>
      <c r="AF222" s="38">
        <v>0</v>
      </c>
      <c r="AG222" s="39">
        <f>+IFERROR((FT_RF_26[[#This Row],[Valor Extra 2]]/FT_RF_26[[#This Row],[Muestra]]),"0")</f>
        <v>0</v>
      </c>
      <c r="AH222" s="40">
        <v>0</v>
      </c>
      <c r="AI222" s="39">
        <f>+IFERROR((FT_RF_26[[#This Row],[Hongos]]/FT_RF_26[[#This Row],[Muestra]]),"0")</f>
        <v>0</v>
      </c>
      <c r="AJ222" s="38">
        <v>0</v>
      </c>
      <c r="AK222" s="39">
        <f>+IFERROR((FT_RF_26[[#This Row],[Block]]/FT_RF_26[[#This Row],[Muestra]]),"0")</f>
        <v>0</v>
      </c>
      <c r="AL222" s="41">
        <v>0</v>
      </c>
      <c r="AM222" s="42">
        <v>0</v>
      </c>
      <c r="AN222" s="38">
        <v>0</v>
      </c>
      <c r="AO222" s="39">
        <f>+IFERROR((FT_RF_26[[#This Row],[Fuera de calibre &lt;12mm]]/FT_RF_26[[#This Row],[Muestra]]),"0")</f>
        <v>0</v>
      </c>
      <c r="AP222" s="38">
        <v>0</v>
      </c>
      <c r="AQ222" s="39">
        <f>+IFERROR((FT_RF_26[[#This Row],[Calibre &lt;25]]/FT_RF_26[[#This Row],[Muestra]]),"0")</f>
        <v>0</v>
      </c>
      <c r="AR222" s="38">
        <v>0</v>
      </c>
      <c r="AS222" s="39">
        <f>+IFERROR((FT_RF_26[[#This Row],[Calibre &gt;12]]/FT_RF_26[[#This Row],[Muestra]]),"0")</f>
        <v>0</v>
      </c>
      <c r="AT222" s="38">
        <v>0</v>
      </c>
      <c r="AU222" s="39">
        <f>+IFERROR((FT_RF_26[[#This Row],[Calibre &lt;14]]/FT_RF_26[[#This Row],[Muestra]]),"0")</f>
        <v>0</v>
      </c>
      <c r="AV222" s="38">
        <v>0</v>
      </c>
      <c r="AW222" s="39">
        <f>+IFERROR((FT_RF_26[[#This Row],[Calibre &gt;14]]/FT_RF_26[[#This Row],[Muestra]]),"0")</f>
        <v>0</v>
      </c>
      <c r="AX222" s="38">
        <v>0</v>
      </c>
      <c r="AY222" s="39">
        <f>+IFERROR((FT_RF_26[[#This Row],[Calibre &lt;10]]/FT_RF_26[[#This Row],[Muestra]]),"0")</f>
        <v>0</v>
      </c>
      <c r="AZ222" s="38">
        <v>0</v>
      </c>
      <c r="BA222" s="39">
        <f>+IFERROR((FT_RF_26[[#This Row],[Calibre &gt;13]]/FT_RF_26[[#This Row],[Muestra]]),"0")</f>
        <v>0</v>
      </c>
      <c r="BB222" s="41"/>
      <c r="BG222" s="42"/>
      <c r="BH222" s="43">
        <v>0</v>
      </c>
      <c r="BI222" s="29" t="s">
        <v>894</v>
      </c>
      <c r="BJ222" s="29" t="s">
        <v>894</v>
      </c>
      <c r="BK22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2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22" s="45">
        <f>1-FT_RF_26[[#This Row],[% Defectos]]</f>
        <v>1</v>
      </c>
      <c r="BO222" s="60"/>
      <c r="BP222" s="12">
        <f>SUM(FT_RF_26[[#This Row],[Hoja (Un.)]:[Larvas Caja]])</f>
        <v>0</v>
      </c>
      <c r="BQ222" s="12">
        <f>SUM(FT_RF_26[[#This Row],[Vidrios]:[Plástico]])</f>
        <v>0</v>
      </c>
      <c r="BR222" s="12" t="str">
        <f>IF(ISBLANK(FT_RF_26[[#This Row],[Descripción del producto]]),"",FT_RF_26[[#This Row],[Descripción del producto]])</f>
        <v/>
      </c>
      <c r="BS222" s="29" t="str">
        <f>IF(ISBLANK(FT_RF_26[[#This Row],[N° de Lote]]),"",FT_RF_26[[#This Row],[N° de Lote]])</f>
        <v/>
      </c>
      <c r="BT222" s="29" t="str">
        <f>IF(ISBLANK(FT_RF_26[[#This Row],[N° de Pallet]]),"",FT_RF_26[[#This Row],[N° de Pallet]])</f>
        <v/>
      </c>
    </row>
    <row r="223" spans="2:72">
      <c r="B223" s="29">
        <f>+_xlfn.ISOWEEKNUM(FT_RF_26[[#This Row],[Fecha]])</f>
        <v>52</v>
      </c>
      <c r="E223" s="31"/>
      <c r="F223" s="12" t="str">
        <f>IFERROR(""&amp;_xlfn.XLOOKUP(FT_RF_26[[#This Row],[Código]],BD_Cod[SKU],BD_Cod[Descripción]),"")</f>
        <v/>
      </c>
      <c r="G223" s="32" t="str">
        <f>IFERROR(""&amp;_xlfn.XLOOKUP(FT_RF_26[[#This Row],[Código]],BD_Cod[SKU],BD_Cod[Familia Calidad]),"")</f>
        <v/>
      </c>
      <c r="J223" s="33">
        <v>1000</v>
      </c>
      <c r="L223" s="30" t="s">
        <v>244</v>
      </c>
      <c r="O223" s="30" t="s">
        <v>894</v>
      </c>
      <c r="P223" s="29" t="s">
        <v>894</v>
      </c>
      <c r="Q223" s="37">
        <f>1-FT_RF_26[[#This Row],[% Defectos]]</f>
        <v>1</v>
      </c>
      <c r="R223" s="38">
        <v>0</v>
      </c>
      <c r="S223" s="39">
        <f>+IFERROR((FT_RF_26[[#This Row],[Inmadura]]/FT_RF_26[[#This Row],[Muestra]]),"0")</f>
        <v>0</v>
      </c>
      <c r="T223" s="38">
        <v>0</v>
      </c>
      <c r="U223" s="39">
        <f>+IFERROR((FT_RF_26[[#This Row],[Partidas]]/FT_RF_26[[#This Row],[Muestra]]),"0")</f>
        <v>0</v>
      </c>
      <c r="V223" s="38">
        <v>0</v>
      </c>
      <c r="W223" s="39">
        <f>+IFERROR((FT_RF_26[[#This Row],[Daño Insecto]]/FT_RF_26[[#This Row],[Muestra]]),"0")</f>
        <v>0</v>
      </c>
      <c r="X223" s="38">
        <v>0</v>
      </c>
      <c r="Y223" s="39">
        <f>+IFERROR((FT_RF_26[[#This Row],[Sobremadura]]/FT_RF_26[[#This Row],[Muestra]]),"0")</f>
        <v>0</v>
      </c>
      <c r="Z223" s="38">
        <v>0</v>
      </c>
      <c r="AA223" s="39">
        <f>+IFERROR((FT_RF_26[[#This Row],[Deforme]]/FT_RF_26[[#This Row],[Muestra]]),"0")</f>
        <v>0</v>
      </c>
      <c r="AB223" s="27"/>
      <c r="AC223" s="38">
        <v>0</v>
      </c>
      <c r="AD223" s="39">
        <f>+IFERROR((FT_RF_26[[#This Row],[Valor Extra 1]]/FT_RF_26[[#This Row],[Muestra]]),"0")</f>
        <v>0</v>
      </c>
      <c r="AF223" s="38">
        <v>0</v>
      </c>
      <c r="AG223" s="39">
        <f>+IFERROR((FT_RF_26[[#This Row],[Valor Extra 2]]/FT_RF_26[[#This Row],[Muestra]]),"0")</f>
        <v>0</v>
      </c>
      <c r="AH223" s="40">
        <v>0</v>
      </c>
      <c r="AI223" s="39">
        <f>+IFERROR((FT_RF_26[[#This Row],[Hongos]]/FT_RF_26[[#This Row],[Muestra]]),"0")</f>
        <v>0</v>
      </c>
      <c r="AJ223" s="38">
        <v>0</v>
      </c>
      <c r="AK223" s="39">
        <f>+IFERROR((FT_RF_26[[#This Row],[Block]]/FT_RF_26[[#This Row],[Muestra]]),"0")</f>
        <v>0</v>
      </c>
      <c r="AL223" s="41">
        <v>0</v>
      </c>
      <c r="AM223" s="42">
        <v>0</v>
      </c>
      <c r="AN223" s="38">
        <v>0</v>
      </c>
      <c r="AO223" s="39">
        <f>+IFERROR((FT_RF_26[[#This Row],[Fuera de calibre &lt;12mm]]/FT_RF_26[[#This Row],[Muestra]]),"0")</f>
        <v>0</v>
      </c>
      <c r="AP223" s="38">
        <v>0</v>
      </c>
      <c r="AQ223" s="39">
        <f>+IFERROR((FT_RF_26[[#This Row],[Calibre &lt;25]]/FT_RF_26[[#This Row],[Muestra]]),"0")</f>
        <v>0</v>
      </c>
      <c r="AR223" s="38">
        <v>0</v>
      </c>
      <c r="AS223" s="39">
        <f>+IFERROR((FT_RF_26[[#This Row],[Calibre &gt;12]]/FT_RF_26[[#This Row],[Muestra]]),"0")</f>
        <v>0</v>
      </c>
      <c r="AT223" s="38">
        <v>0</v>
      </c>
      <c r="AU223" s="39">
        <f>+IFERROR((FT_RF_26[[#This Row],[Calibre &lt;14]]/FT_RF_26[[#This Row],[Muestra]]),"0")</f>
        <v>0</v>
      </c>
      <c r="AV223" s="38">
        <v>0</v>
      </c>
      <c r="AW223" s="39">
        <f>+IFERROR((FT_RF_26[[#This Row],[Calibre &gt;14]]/FT_RF_26[[#This Row],[Muestra]]),"0")</f>
        <v>0</v>
      </c>
      <c r="AX223" s="38">
        <v>0</v>
      </c>
      <c r="AY223" s="39">
        <f>+IFERROR((FT_RF_26[[#This Row],[Calibre &lt;10]]/FT_RF_26[[#This Row],[Muestra]]),"0")</f>
        <v>0</v>
      </c>
      <c r="AZ223" s="38">
        <v>0</v>
      </c>
      <c r="BA223" s="39">
        <f>+IFERROR((FT_RF_26[[#This Row],[Calibre &gt;13]]/FT_RF_26[[#This Row],[Muestra]]),"0")</f>
        <v>0</v>
      </c>
      <c r="BB223" s="41"/>
      <c r="BG223" s="42"/>
      <c r="BH223" s="43">
        <v>0</v>
      </c>
      <c r="BI223" s="29" t="s">
        <v>894</v>
      </c>
      <c r="BJ223" s="29" t="s">
        <v>894</v>
      </c>
      <c r="BK22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2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23" s="45">
        <f>1-FT_RF_26[[#This Row],[% Defectos]]</f>
        <v>1</v>
      </c>
      <c r="BO223" s="60"/>
      <c r="BP223" s="12">
        <f>SUM(FT_RF_26[[#This Row],[Hoja (Un.)]:[Larvas Caja]])</f>
        <v>0</v>
      </c>
      <c r="BQ223" s="12">
        <f>SUM(FT_RF_26[[#This Row],[Vidrios]:[Plástico]])</f>
        <v>0</v>
      </c>
      <c r="BR223" s="12" t="str">
        <f>IF(ISBLANK(FT_RF_26[[#This Row],[Descripción del producto]]),"",FT_RF_26[[#This Row],[Descripción del producto]])</f>
        <v/>
      </c>
      <c r="BS223" s="29" t="str">
        <f>IF(ISBLANK(FT_RF_26[[#This Row],[N° de Lote]]),"",FT_RF_26[[#This Row],[N° de Lote]])</f>
        <v/>
      </c>
      <c r="BT223" s="29" t="str">
        <f>IF(ISBLANK(FT_RF_26[[#This Row],[N° de Pallet]]),"",FT_RF_26[[#This Row],[N° de Pallet]])</f>
        <v/>
      </c>
    </row>
    <row r="224" spans="2:72">
      <c r="B224" s="29">
        <f>+_xlfn.ISOWEEKNUM(FT_RF_26[[#This Row],[Fecha]])</f>
        <v>52</v>
      </c>
      <c r="E224" s="31"/>
      <c r="F224" s="12" t="str">
        <f>IFERROR(""&amp;_xlfn.XLOOKUP(FT_RF_26[[#This Row],[Código]],BD_Cod[SKU],BD_Cod[Descripción]),"")</f>
        <v/>
      </c>
      <c r="G224" s="32" t="str">
        <f>IFERROR(""&amp;_xlfn.XLOOKUP(FT_RF_26[[#This Row],[Código]],BD_Cod[SKU],BD_Cod[Familia Calidad]),"")</f>
        <v/>
      </c>
      <c r="J224" s="33">
        <v>1000</v>
      </c>
      <c r="L224" s="30" t="s">
        <v>244</v>
      </c>
      <c r="O224" s="30" t="s">
        <v>894</v>
      </c>
      <c r="P224" s="29" t="s">
        <v>894</v>
      </c>
      <c r="Q224" s="37">
        <f>1-FT_RF_26[[#This Row],[% Defectos]]</f>
        <v>1</v>
      </c>
      <c r="R224" s="38">
        <v>0</v>
      </c>
      <c r="S224" s="39">
        <f>+IFERROR((FT_RF_26[[#This Row],[Inmadura]]/FT_RF_26[[#This Row],[Muestra]]),"0")</f>
        <v>0</v>
      </c>
      <c r="T224" s="38">
        <v>0</v>
      </c>
      <c r="U224" s="39">
        <f>+IFERROR((FT_RF_26[[#This Row],[Partidas]]/FT_RF_26[[#This Row],[Muestra]]),"0")</f>
        <v>0</v>
      </c>
      <c r="V224" s="38">
        <v>0</v>
      </c>
      <c r="W224" s="39">
        <f>+IFERROR((FT_RF_26[[#This Row],[Daño Insecto]]/FT_RF_26[[#This Row],[Muestra]]),"0")</f>
        <v>0</v>
      </c>
      <c r="X224" s="38">
        <v>0</v>
      </c>
      <c r="Y224" s="39">
        <f>+IFERROR((FT_RF_26[[#This Row],[Sobremadura]]/FT_RF_26[[#This Row],[Muestra]]),"0")</f>
        <v>0</v>
      </c>
      <c r="Z224" s="38">
        <v>0</v>
      </c>
      <c r="AA224" s="39">
        <f>+IFERROR((FT_RF_26[[#This Row],[Deforme]]/FT_RF_26[[#This Row],[Muestra]]),"0")</f>
        <v>0</v>
      </c>
      <c r="AB224" s="27"/>
      <c r="AC224" s="38">
        <v>0</v>
      </c>
      <c r="AD224" s="39">
        <f>+IFERROR((FT_RF_26[[#This Row],[Valor Extra 1]]/FT_RF_26[[#This Row],[Muestra]]),"0")</f>
        <v>0</v>
      </c>
      <c r="AF224" s="38">
        <v>0</v>
      </c>
      <c r="AG224" s="39">
        <f>+IFERROR((FT_RF_26[[#This Row],[Valor Extra 2]]/FT_RF_26[[#This Row],[Muestra]]),"0")</f>
        <v>0</v>
      </c>
      <c r="AH224" s="40">
        <v>0</v>
      </c>
      <c r="AI224" s="39">
        <f>+IFERROR((FT_RF_26[[#This Row],[Hongos]]/FT_RF_26[[#This Row],[Muestra]]),"0")</f>
        <v>0</v>
      </c>
      <c r="AJ224" s="38">
        <v>0</v>
      </c>
      <c r="AK224" s="39">
        <f>+IFERROR((FT_RF_26[[#This Row],[Block]]/FT_RF_26[[#This Row],[Muestra]]),"0")</f>
        <v>0</v>
      </c>
      <c r="AL224" s="41">
        <v>0</v>
      </c>
      <c r="AM224" s="42">
        <v>0</v>
      </c>
      <c r="AN224" s="38">
        <v>0</v>
      </c>
      <c r="AO224" s="39">
        <f>+IFERROR((FT_RF_26[[#This Row],[Fuera de calibre &lt;12mm]]/FT_RF_26[[#This Row],[Muestra]]),"0")</f>
        <v>0</v>
      </c>
      <c r="AP224" s="38">
        <v>0</v>
      </c>
      <c r="AQ224" s="39">
        <f>+IFERROR((FT_RF_26[[#This Row],[Calibre &lt;25]]/FT_RF_26[[#This Row],[Muestra]]),"0")</f>
        <v>0</v>
      </c>
      <c r="AR224" s="38">
        <v>0</v>
      </c>
      <c r="AS224" s="39">
        <f>+IFERROR((FT_RF_26[[#This Row],[Calibre &gt;12]]/FT_RF_26[[#This Row],[Muestra]]),"0")</f>
        <v>0</v>
      </c>
      <c r="AT224" s="38">
        <v>0</v>
      </c>
      <c r="AU224" s="39">
        <f>+IFERROR((FT_RF_26[[#This Row],[Calibre &lt;14]]/FT_RF_26[[#This Row],[Muestra]]),"0")</f>
        <v>0</v>
      </c>
      <c r="AV224" s="38">
        <v>0</v>
      </c>
      <c r="AW224" s="39">
        <f>+IFERROR((FT_RF_26[[#This Row],[Calibre &gt;14]]/FT_RF_26[[#This Row],[Muestra]]),"0")</f>
        <v>0</v>
      </c>
      <c r="AX224" s="38">
        <v>0</v>
      </c>
      <c r="AY224" s="39">
        <f>+IFERROR((FT_RF_26[[#This Row],[Calibre &lt;10]]/FT_RF_26[[#This Row],[Muestra]]),"0")</f>
        <v>0</v>
      </c>
      <c r="AZ224" s="38">
        <v>0</v>
      </c>
      <c r="BA224" s="39">
        <f>+IFERROR((FT_RF_26[[#This Row],[Calibre &gt;13]]/FT_RF_26[[#This Row],[Muestra]]),"0")</f>
        <v>0</v>
      </c>
      <c r="BB224" s="41"/>
      <c r="BG224" s="42"/>
      <c r="BH224" s="43">
        <v>0</v>
      </c>
      <c r="BI224" s="29" t="s">
        <v>894</v>
      </c>
      <c r="BJ224" s="29" t="s">
        <v>894</v>
      </c>
      <c r="BK22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2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24" s="45">
        <f>1-FT_RF_26[[#This Row],[% Defectos]]</f>
        <v>1</v>
      </c>
      <c r="BO224" s="60"/>
      <c r="BP224" s="12">
        <f>SUM(FT_RF_26[[#This Row],[Hoja (Un.)]:[Larvas Caja]])</f>
        <v>0</v>
      </c>
      <c r="BQ224" s="12">
        <f>SUM(FT_RF_26[[#This Row],[Vidrios]:[Plástico]])</f>
        <v>0</v>
      </c>
      <c r="BR224" s="12" t="str">
        <f>IF(ISBLANK(FT_RF_26[[#This Row],[Descripción del producto]]),"",FT_RF_26[[#This Row],[Descripción del producto]])</f>
        <v/>
      </c>
      <c r="BS224" s="29" t="str">
        <f>IF(ISBLANK(FT_RF_26[[#This Row],[N° de Lote]]),"",FT_RF_26[[#This Row],[N° de Lote]])</f>
        <v/>
      </c>
      <c r="BT224" s="29" t="str">
        <f>IF(ISBLANK(FT_RF_26[[#This Row],[N° de Pallet]]),"",FT_RF_26[[#This Row],[N° de Pallet]])</f>
        <v/>
      </c>
    </row>
    <row r="225" spans="2:72">
      <c r="B225" s="29">
        <f>+_xlfn.ISOWEEKNUM(FT_RF_26[[#This Row],[Fecha]])</f>
        <v>52</v>
      </c>
      <c r="E225" s="31"/>
      <c r="F225" s="12" t="str">
        <f>IFERROR(""&amp;_xlfn.XLOOKUP(FT_RF_26[[#This Row],[Código]],BD_Cod[SKU],BD_Cod[Descripción]),"")</f>
        <v/>
      </c>
      <c r="G225" s="32" t="str">
        <f>IFERROR(""&amp;_xlfn.XLOOKUP(FT_RF_26[[#This Row],[Código]],BD_Cod[SKU],BD_Cod[Familia Calidad]),"")</f>
        <v/>
      </c>
      <c r="J225" s="33">
        <v>1000</v>
      </c>
      <c r="L225" s="30" t="s">
        <v>244</v>
      </c>
      <c r="O225" s="30" t="s">
        <v>894</v>
      </c>
      <c r="P225" s="29" t="s">
        <v>894</v>
      </c>
      <c r="Q225" s="37">
        <f>1-FT_RF_26[[#This Row],[% Defectos]]</f>
        <v>1</v>
      </c>
      <c r="R225" s="38">
        <v>0</v>
      </c>
      <c r="S225" s="39">
        <f>+IFERROR((FT_RF_26[[#This Row],[Inmadura]]/FT_RF_26[[#This Row],[Muestra]]),"0")</f>
        <v>0</v>
      </c>
      <c r="T225" s="38">
        <v>0</v>
      </c>
      <c r="U225" s="39">
        <f>+IFERROR((FT_RF_26[[#This Row],[Partidas]]/FT_RF_26[[#This Row],[Muestra]]),"0")</f>
        <v>0</v>
      </c>
      <c r="V225" s="38">
        <v>0</v>
      </c>
      <c r="W225" s="39">
        <f>+IFERROR((FT_RF_26[[#This Row],[Daño Insecto]]/FT_RF_26[[#This Row],[Muestra]]),"0")</f>
        <v>0</v>
      </c>
      <c r="X225" s="38">
        <v>0</v>
      </c>
      <c r="Y225" s="39">
        <f>+IFERROR((FT_RF_26[[#This Row],[Sobremadura]]/FT_RF_26[[#This Row],[Muestra]]),"0")</f>
        <v>0</v>
      </c>
      <c r="Z225" s="38">
        <v>0</v>
      </c>
      <c r="AA225" s="39">
        <f>+IFERROR((FT_RF_26[[#This Row],[Deforme]]/FT_RF_26[[#This Row],[Muestra]]),"0")</f>
        <v>0</v>
      </c>
      <c r="AB225" s="27"/>
      <c r="AC225" s="38">
        <v>0</v>
      </c>
      <c r="AD225" s="39">
        <f>+IFERROR((FT_RF_26[[#This Row],[Valor Extra 1]]/FT_RF_26[[#This Row],[Muestra]]),"0")</f>
        <v>0</v>
      </c>
      <c r="AF225" s="38">
        <v>0</v>
      </c>
      <c r="AG225" s="39">
        <f>+IFERROR((FT_RF_26[[#This Row],[Valor Extra 2]]/FT_RF_26[[#This Row],[Muestra]]),"0")</f>
        <v>0</v>
      </c>
      <c r="AH225" s="40">
        <v>0</v>
      </c>
      <c r="AI225" s="39">
        <f>+IFERROR((FT_RF_26[[#This Row],[Hongos]]/FT_RF_26[[#This Row],[Muestra]]),"0")</f>
        <v>0</v>
      </c>
      <c r="AJ225" s="38">
        <v>0</v>
      </c>
      <c r="AK225" s="39">
        <f>+IFERROR((FT_RF_26[[#This Row],[Block]]/FT_RF_26[[#This Row],[Muestra]]),"0")</f>
        <v>0</v>
      </c>
      <c r="AL225" s="41">
        <v>0</v>
      </c>
      <c r="AM225" s="42">
        <v>0</v>
      </c>
      <c r="AN225" s="38">
        <v>0</v>
      </c>
      <c r="AO225" s="39">
        <f>+IFERROR((FT_RF_26[[#This Row],[Fuera de calibre &lt;12mm]]/FT_RF_26[[#This Row],[Muestra]]),"0")</f>
        <v>0</v>
      </c>
      <c r="AP225" s="38">
        <v>0</v>
      </c>
      <c r="AQ225" s="39">
        <f>+IFERROR((FT_RF_26[[#This Row],[Calibre &lt;25]]/FT_RF_26[[#This Row],[Muestra]]),"0")</f>
        <v>0</v>
      </c>
      <c r="AR225" s="38">
        <v>0</v>
      </c>
      <c r="AS225" s="39">
        <f>+IFERROR((FT_RF_26[[#This Row],[Calibre &gt;12]]/FT_RF_26[[#This Row],[Muestra]]),"0")</f>
        <v>0</v>
      </c>
      <c r="AT225" s="38">
        <v>0</v>
      </c>
      <c r="AU225" s="39">
        <f>+IFERROR((FT_RF_26[[#This Row],[Calibre &lt;14]]/FT_RF_26[[#This Row],[Muestra]]),"0")</f>
        <v>0</v>
      </c>
      <c r="AV225" s="38">
        <v>0</v>
      </c>
      <c r="AW225" s="39">
        <f>+IFERROR((FT_RF_26[[#This Row],[Calibre &gt;14]]/FT_RF_26[[#This Row],[Muestra]]),"0")</f>
        <v>0</v>
      </c>
      <c r="AX225" s="38">
        <v>0</v>
      </c>
      <c r="AY225" s="39">
        <f>+IFERROR((FT_RF_26[[#This Row],[Calibre &lt;10]]/FT_RF_26[[#This Row],[Muestra]]),"0")</f>
        <v>0</v>
      </c>
      <c r="AZ225" s="38">
        <v>0</v>
      </c>
      <c r="BA225" s="39">
        <f>+IFERROR((FT_RF_26[[#This Row],[Calibre &gt;13]]/FT_RF_26[[#This Row],[Muestra]]),"0")</f>
        <v>0</v>
      </c>
      <c r="BB225" s="41"/>
      <c r="BG225" s="42"/>
      <c r="BH225" s="43">
        <v>0</v>
      </c>
      <c r="BI225" s="29" t="s">
        <v>894</v>
      </c>
      <c r="BJ225" s="29" t="s">
        <v>894</v>
      </c>
      <c r="BK22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2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25" s="45">
        <f>1-FT_RF_26[[#This Row],[% Defectos]]</f>
        <v>1</v>
      </c>
      <c r="BO225" s="60"/>
      <c r="BP225" s="12">
        <f>SUM(FT_RF_26[[#This Row],[Hoja (Un.)]:[Larvas Caja]])</f>
        <v>0</v>
      </c>
      <c r="BQ225" s="12">
        <f>SUM(FT_RF_26[[#This Row],[Vidrios]:[Plástico]])</f>
        <v>0</v>
      </c>
      <c r="BR225" s="12" t="str">
        <f>IF(ISBLANK(FT_RF_26[[#This Row],[Descripción del producto]]),"",FT_RF_26[[#This Row],[Descripción del producto]])</f>
        <v/>
      </c>
      <c r="BS225" s="29" t="str">
        <f>IF(ISBLANK(FT_RF_26[[#This Row],[N° de Lote]]),"",FT_RF_26[[#This Row],[N° de Lote]])</f>
        <v/>
      </c>
      <c r="BT225" s="29" t="str">
        <f>IF(ISBLANK(FT_RF_26[[#This Row],[N° de Pallet]]),"",FT_RF_26[[#This Row],[N° de Pallet]])</f>
        <v/>
      </c>
    </row>
    <row r="226" spans="2:72">
      <c r="B226" s="29">
        <f>+_xlfn.ISOWEEKNUM(FT_RF_26[[#This Row],[Fecha]])</f>
        <v>52</v>
      </c>
      <c r="E226" s="31"/>
      <c r="F226" s="12" t="str">
        <f>IFERROR(""&amp;_xlfn.XLOOKUP(FT_RF_26[[#This Row],[Código]],BD_Cod[SKU],BD_Cod[Descripción]),"")</f>
        <v/>
      </c>
      <c r="G226" s="32" t="str">
        <f>IFERROR(""&amp;_xlfn.XLOOKUP(FT_RF_26[[#This Row],[Código]],BD_Cod[SKU],BD_Cod[Familia Calidad]),"")</f>
        <v/>
      </c>
      <c r="J226" s="33">
        <v>1000</v>
      </c>
      <c r="L226" s="30" t="s">
        <v>244</v>
      </c>
      <c r="O226" s="30" t="s">
        <v>894</v>
      </c>
      <c r="P226" s="29" t="s">
        <v>894</v>
      </c>
      <c r="Q226" s="37">
        <f>1-FT_RF_26[[#This Row],[% Defectos]]</f>
        <v>1</v>
      </c>
      <c r="R226" s="38">
        <v>0</v>
      </c>
      <c r="S226" s="39">
        <f>+IFERROR((FT_RF_26[[#This Row],[Inmadura]]/FT_RF_26[[#This Row],[Muestra]]),"0")</f>
        <v>0</v>
      </c>
      <c r="T226" s="38">
        <v>0</v>
      </c>
      <c r="U226" s="39">
        <f>+IFERROR((FT_RF_26[[#This Row],[Partidas]]/FT_RF_26[[#This Row],[Muestra]]),"0")</f>
        <v>0</v>
      </c>
      <c r="V226" s="38">
        <v>0</v>
      </c>
      <c r="W226" s="39">
        <f>+IFERROR((FT_RF_26[[#This Row],[Daño Insecto]]/FT_RF_26[[#This Row],[Muestra]]),"0")</f>
        <v>0</v>
      </c>
      <c r="X226" s="38">
        <v>0</v>
      </c>
      <c r="Y226" s="39">
        <f>+IFERROR((FT_RF_26[[#This Row],[Sobremadura]]/FT_RF_26[[#This Row],[Muestra]]),"0")</f>
        <v>0</v>
      </c>
      <c r="Z226" s="38">
        <v>0</v>
      </c>
      <c r="AA226" s="39">
        <f>+IFERROR((FT_RF_26[[#This Row],[Deforme]]/FT_RF_26[[#This Row],[Muestra]]),"0")</f>
        <v>0</v>
      </c>
      <c r="AB226" s="27"/>
      <c r="AC226" s="38">
        <v>0</v>
      </c>
      <c r="AD226" s="39">
        <f>+IFERROR((FT_RF_26[[#This Row],[Valor Extra 1]]/FT_RF_26[[#This Row],[Muestra]]),"0")</f>
        <v>0</v>
      </c>
      <c r="AF226" s="38">
        <v>0</v>
      </c>
      <c r="AG226" s="39">
        <f>+IFERROR((FT_RF_26[[#This Row],[Valor Extra 2]]/FT_RF_26[[#This Row],[Muestra]]),"0")</f>
        <v>0</v>
      </c>
      <c r="AH226" s="40">
        <v>0</v>
      </c>
      <c r="AI226" s="39">
        <f>+IFERROR((FT_RF_26[[#This Row],[Hongos]]/FT_RF_26[[#This Row],[Muestra]]),"0")</f>
        <v>0</v>
      </c>
      <c r="AJ226" s="38">
        <v>0</v>
      </c>
      <c r="AK226" s="39">
        <f>+IFERROR((FT_RF_26[[#This Row],[Block]]/FT_RF_26[[#This Row],[Muestra]]),"0")</f>
        <v>0</v>
      </c>
      <c r="AL226" s="41">
        <v>0</v>
      </c>
      <c r="AM226" s="42">
        <v>0</v>
      </c>
      <c r="AN226" s="38">
        <v>0</v>
      </c>
      <c r="AO226" s="39">
        <f>+IFERROR((FT_RF_26[[#This Row],[Fuera de calibre &lt;12mm]]/FT_RF_26[[#This Row],[Muestra]]),"0")</f>
        <v>0</v>
      </c>
      <c r="AP226" s="38">
        <v>0</v>
      </c>
      <c r="AQ226" s="39">
        <f>+IFERROR((FT_RF_26[[#This Row],[Calibre &lt;25]]/FT_RF_26[[#This Row],[Muestra]]),"0")</f>
        <v>0</v>
      </c>
      <c r="AR226" s="38">
        <v>0</v>
      </c>
      <c r="AS226" s="39">
        <f>+IFERROR((FT_RF_26[[#This Row],[Calibre &gt;12]]/FT_RF_26[[#This Row],[Muestra]]),"0")</f>
        <v>0</v>
      </c>
      <c r="AT226" s="38">
        <v>0</v>
      </c>
      <c r="AU226" s="39">
        <f>+IFERROR((FT_RF_26[[#This Row],[Calibre &lt;14]]/FT_RF_26[[#This Row],[Muestra]]),"0")</f>
        <v>0</v>
      </c>
      <c r="AV226" s="38">
        <v>0</v>
      </c>
      <c r="AW226" s="39">
        <f>+IFERROR((FT_RF_26[[#This Row],[Calibre &gt;14]]/FT_RF_26[[#This Row],[Muestra]]),"0")</f>
        <v>0</v>
      </c>
      <c r="AX226" s="38">
        <v>0</v>
      </c>
      <c r="AY226" s="39">
        <f>+IFERROR((FT_RF_26[[#This Row],[Calibre &lt;10]]/FT_RF_26[[#This Row],[Muestra]]),"0")</f>
        <v>0</v>
      </c>
      <c r="AZ226" s="38">
        <v>0</v>
      </c>
      <c r="BA226" s="39">
        <f>+IFERROR((FT_RF_26[[#This Row],[Calibre &gt;13]]/FT_RF_26[[#This Row],[Muestra]]),"0")</f>
        <v>0</v>
      </c>
      <c r="BB226" s="41"/>
      <c r="BG226" s="42"/>
      <c r="BH226" s="43">
        <v>0</v>
      </c>
      <c r="BI226" s="29" t="s">
        <v>894</v>
      </c>
      <c r="BJ226" s="29" t="s">
        <v>894</v>
      </c>
      <c r="BK22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2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26" s="45">
        <f>1-FT_RF_26[[#This Row],[% Defectos]]</f>
        <v>1</v>
      </c>
      <c r="BO226" s="60"/>
      <c r="BP226" s="12">
        <f>SUM(FT_RF_26[[#This Row],[Hoja (Un.)]:[Larvas Caja]])</f>
        <v>0</v>
      </c>
      <c r="BQ226" s="12">
        <f>SUM(FT_RF_26[[#This Row],[Vidrios]:[Plástico]])</f>
        <v>0</v>
      </c>
      <c r="BR226" s="12" t="str">
        <f>IF(ISBLANK(FT_RF_26[[#This Row],[Descripción del producto]]),"",FT_RF_26[[#This Row],[Descripción del producto]])</f>
        <v/>
      </c>
      <c r="BS226" s="29" t="str">
        <f>IF(ISBLANK(FT_RF_26[[#This Row],[N° de Lote]]),"",FT_RF_26[[#This Row],[N° de Lote]])</f>
        <v/>
      </c>
      <c r="BT226" s="29" t="str">
        <f>IF(ISBLANK(FT_RF_26[[#This Row],[N° de Pallet]]),"",FT_RF_26[[#This Row],[N° de Pallet]])</f>
        <v/>
      </c>
    </row>
    <row r="227" spans="2:72">
      <c r="B227" s="29">
        <f>+_xlfn.ISOWEEKNUM(FT_RF_26[[#This Row],[Fecha]])</f>
        <v>52</v>
      </c>
      <c r="E227" s="31"/>
      <c r="F227" s="12" t="str">
        <f>IFERROR(""&amp;_xlfn.XLOOKUP(FT_RF_26[[#This Row],[Código]],BD_Cod[SKU],BD_Cod[Descripción]),"")</f>
        <v/>
      </c>
      <c r="G227" s="32" t="str">
        <f>IFERROR(""&amp;_xlfn.XLOOKUP(FT_RF_26[[#This Row],[Código]],BD_Cod[SKU],BD_Cod[Familia Calidad]),"")</f>
        <v/>
      </c>
      <c r="J227" s="33">
        <v>1000</v>
      </c>
      <c r="L227" s="30" t="s">
        <v>244</v>
      </c>
      <c r="O227" s="30" t="s">
        <v>894</v>
      </c>
      <c r="P227" s="29" t="s">
        <v>894</v>
      </c>
      <c r="Q227" s="37">
        <f>1-FT_RF_26[[#This Row],[% Defectos]]</f>
        <v>1</v>
      </c>
      <c r="R227" s="38">
        <v>0</v>
      </c>
      <c r="S227" s="39">
        <f>+IFERROR((FT_RF_26[[#This Row],[Inmadura]]/FT_RF_26[[#This Row],[Muestra]]),"0")</f>
        <v>0</v>
      </c>
      <c r="T227" s="38">
        <v>0</v>
      </c>
      <c r="U227" s="39">
        <f>+IFERROR((FT_RF_26[[#This Row],[Partidas]]/FT_RF_26[[#This Row],[Muestra]]),"0")</f>
        <v>0</v>
      </c>
      <c r="V227" s="38">
        <v>0</v>
      </c>
      <c r="W227" s="39">
        <f>+IFERROR((FT_RF_26[[#This Row],[Daño Insecto]]/FT_RF_26[[#This Row],[Muestra]]),"0")</f>
        <v>0</v>
      </c>
      <c r="X227" s="38">
        <v>0</v>
      </c>
      <c r="Y227" s="39">
        <f>+IFERROR((FT_RF_26[[#This Row],[Sobremadura]]/FT_RF_26[[#This Row],[Muestra]]),"0")</f>
        <v>0</v>
      </c>
      <c r="Z227" s="38">
        <v>0</v>
      </c>
      <c r="AA227" s="39">
        <f>+IFERROR((FT_RF_26[[#This Row],[Deforme]]/FT_RF_26[[#This Row],[Muestra]]),"0")</f>
        <v>0</v>
      </c>
      <c r="AB227" s="27"/>
      <c r="AC227" s="38">
        <v>0</v>
      </c>
      <c r="AD227" s="39">
        <f>+IFERROR((FT_RF_26[[#This Row],[Valor Extra 1]]/FT_RF_26[[#This Row],[Muestra]]),"0")</f>
        <v>0</v>
      </c>
      <c r="AF227" s="38">
        <v>0</v>
      </c>
      <c r="AG227" s="39">
        <f>+IFERROR((FT_RF_26[[#This Row],[Valor Extra 2]]/FT_RF_26[[#This Row],[Muestra]]),"0")</f>
        <v>0</v>
      </c>
      <c r="AH227" s="40">
        <v>0</v>
      </c>
      <c r="AI227" s="39">
        <f>+IFERROR((FT_RF_26[[#This Row],[Hongos]]/FT_RF_26[[#This Row],[Muestra]]),"0")</f>
        <v>0</v>
      </c>
      <c r="AJ227" s="38">
        <v>0</v>
      </c>
      <c r="AK227" s="39">
        <f>+IFERROR((FT_RF_26[[#This Row],[Block]]/FT_RF_26[[#This Row],[Muestra]]),"0")</f>
        <v>0</v>
      </c>
      <c r="AL227" s="41">
        <v>0</v>
      </c>
      <c r="AM227" s="42">
        <v>0</v>
      </c>
      <c r="AN227" s="38">
        <v>0</v>
      </c>
      <c r="AO227" s="39">
        <f>+IFERROR((FT_RF_26[[#This Row],[Fuera de calibre &lt;12mm]]/FT_RF_26[[#This Row],[Muestra]]),"0")</f>
        <v>0</v>
      </c>
      <c r="AP227" s="38">
        <v>0</v>
      </c>
      <c r="AQ227" s="39">
        <f>+IFERROR((FT_RF_26[[#This Row],[Calibre &lt;25]]/FT_RF_26[[#This Row],[Muestra]]),"0")</f>
        <v>0</v>
      </c>
      <c r="AR227" s="38">
        <v>0</v>
      </c>
      <c r="AS227" s="39">
        <f>+IFERROR((FT_RF_26[[#This Row],[Calibre &gt;12]]/FT_RF_26[[#This Row],[Muestra]]),"0")</f>
        <v>0</v>
      </c>
      <c r="AT227" s="38">
        <v>0</v>
      </c>
      <c r="AU227" s="39">
        <f>+IFERROR((FT_RF_26[[#This Row],[Calibre &lt;14]]/FT_RF_26[[#This Row],[Muestra]]),"0")</f>
        <v>0</v>
      </c>
      <c r="AV227" s="38">
        <v>0</v>
      </c>
      <c r="AW227" s="39">
        <f>+IFERROR((FT_RF_26[[#This Row],[Calibre &gt;14]]/FT_RF_26[[#This Row],[Muestra]]),"0")</f>
        <v>0</v>
      </c>
      <c r="AX227" s="38">
        <v>0</v>
      </c>
      <c r="AY227" s="39">
        <f>+IFERROR((FT_RF_26[[#This Row],[Calibre &lt;10]]/FT_RF_26[[#This Row],[Muestra]]),"0")</f>
        <v>0</v>
      </c>
      <c r="AZ227" s="38">
        <v>0</v>
      </c>
      <c r="BA227" s="39">
        <f>+IFERROR((FT_RF_26[[#This Row],[Calibre &gt;13]]/FT_RF_26[[#This Row],[Muestra]]),"0")</f>
        <v>0</v>
      </c>
      <c r="BB227" s="41"/>
      <c r="BG227" s="42"/>
      <c r="BH227" s="43">
        <v>0</v>
      </c>
      <c r="BI227" s="29" t="s">
        <v>894</v>
      </c>
      <c r="BJ227" s="29" t="s">
        <v>894</v>
      </c>
      <c r="BK22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2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27" s="45">
        <f>1-FT_RF_26[[#This Row],[% Defectos]]</f>
        <v>1</v>
      </c>
      <c r="BO227" s="60"/>
      <c r="BP227" s="12">
        <f>SUM(FT_RF_26[[#This Row],[Hoja (Un.)]:[Larvas Caja]])</f>
        <v>0</v>
      </c>
      <c r="BQ227" s="12">
        <f>SUM(FT_RF_26[[#This Row],[Vidrios]:[Plástico]])</f>
        <v>0</v>
      </c>
      <c r="BR227" s="12" t="str">
        <f>IF(ISBLANK(FT_RF_26[[#This Row],[Descripción del producto]]),"",FT_RF_26[[#This Row],[Descripción del producto]])</f>
        <v/>
      </c>
      <c r="BS227" s="29" t="str">
        <f>IF(ISBLANK(FT_RF_26[[#This Row],[N° de Lote]]),"",FT_RF_26[[#This Row],[N° de Lote]])</f>
        <v/>
      </c>
      <c r="BT227" s="29" t="str">
        <f>IF(ISBLANK(FT_RF_26[[#This Row],[N° de Pallet]]),"",FT_RF_26[[#This Row],[N° de Pallet]])</f>
        <v/>
      </c>
    </row>
    <row r="228" spans="2:72">
      <c r="B228" s="29">
        <f>+_xlfn.ISOWEEKNUM(FT_RF_26[[#This Row],[Fecha]])</f>
        <v>52</v>
      </c>
      <c r="E228" s="31"/>
      <c r="F228" s="12" t="str">
        <f>IFERROR(""&amp;_xlfn.XLOOKUP(FT_RF_26[[#This Row],[Código]],BD_Cod[SKU],BD_Cod[Descripción]),"")</f>
        <v/>
      </c>
      <c r="G228" s="32" t="str">
        <f>IFERROR(""&amp;_xlfn.XLOOKUP(FT_RF_26[[#This Row],[Código]],BD_Cod[SKU],BD_Cod[Familia Calidad]),"")</f>
        <v/>
      </c>
      <c r="J228" s="33">
        <v>1000</v>
      </c>
      <c r="L228" s="30" t="s">
        <v>244</v>
      </c>
      <c r="O228" s="30" t="s">
        <v>894</v>
      </c>
      <c r="P228" s="29" t="s">
        <v>894</v>
      </c>
      <c r="Q228" s="37">
        <f>1-FT_RF_26[[#This Row],[% Defectos]]</f>
        <v>1</v>
      </c>
      <c r="R228" s="38">
        <v>0</v>
      </c>
      <c r="S228" s="39">
        <f>+IFERROR((FT_RF_26[[#This Row],[Inmadura]]/FT_RF_26[[#This Row],[Muestra]]),"0")</f>
        <v>0</v>
      </c>
      <c r="T228" s="38">
        <v>0</v>
      </c>
      <c r="U228" s="39">
        <f>+IFERROR((FT_RF_26[[#This Row],[Partidas]]/FT_RF_26[[#This Row],[Muestra]]),"0")</f>
        <v>0</v>
      </c>
      <c r="V228" s="38">
        <v>0</v>
      </c>
      <c r="W228" s="39">
        <f>+IFERROR((FT_RF_26[[#This Row],[Daño Insecto]]/FT_RF_26[[#This Row],[Muestra]]),"0")</f>
        <v>0</v>
      </c>
      <c r="X228" s="38">
        <v>0</v>
      </c>
      <c r="Y228" s="39">
        <f>+IFERROR((FT_RF_26[[#This Row],[Sobremadura]]/FT_RF_26[[#This Row],[Muestra]]),"0")</f>
        <v>0</v>
      </c>
      <c r="Z228" s="38">
        <v>0</v>
      </c>
      <c r="AA228" s="39">
        <f>+IFERROR((FT_RF_26[[#This Row],[Deforme]]/FT_RF_26[[#This Row],[Muestra]]),"0")</f>
        <v>0</v>
      </c>
      <c r="AB228" s="27"/>
      <c r="AC228" s="38">
        <v>0</v>
      </c>
      <c r="AD228" s="39">
        <f>+IFERROR((FT_RF_26[[#This Row],[Valor Extra 1]]/FT_RF_26[[#This Row],[Muestra]]),"0")</f>
        <v>0</v>
      </c>
      <c r="AF228" s="38">
        <v>0</v>
      </c>
      <c r="AG228" s="39">
        <f>+IFERROR((FT_RF_26[[#This Row],[Valor Extra 2]]/FT_RF_26[[#This Row],[Muestra]]),"0")</f>
        <v>0</v>
      </c>
      <c r="AH228" s="40">
        <v>0</v>
      </c>
      <c r="AI228" s="39">
        <f>+IFERROR((FT_RF_26[[#This Row],[Hongos]]/FT_RF_26[[#This Row],[Muestra]]),"0")</f>
        <v>0</v>
      </c>
      <c r="AJ228" s="38">
        <v>0</v>
      </c>
      <c r="AK228" s="39">
        <f>+IFERROR((FT_RF_26[[#This Row],[Block]]/FT_RF_26[[#This Row],[Muestra]]),"0")</f>
        <v>0</v>
      </c>
      <c r="AL228" s="41">
        <v>0</v>
      </c>
      <c r="AM228" s="42">
        <v>0</v>
      </c>
      <c r="AN228" s="38">
        <v>0</v>
      </c>
      <c r="AO228" s="39">
        <f>+IFERROR((FT_RF_26[[#This Row],[Fuera de calibre &lt;12mm]]/FT_RF_26[[#This Row],[Muestra]]),"0")</f>
        <v>0</v>
      </c>
      <c r="AP228" s="38">
        <v>0</v>
      </c>
      <c r="AQ228" s="39">
        <f>+IFERROR((FT_RF_26[[#This Row],[Calibre &lt;25]]/FT_RF_26[[#This Row],[Muestra]]),"0")</f>
        <v>0</v>
      </c>
      <c r="AR228" s="38">
        <v>0</v>
      </c>
      <c r="AS228" s="39">
        <f>+IFERROR((FT_RF_26[[#This Row],[Calibre &gt;12]]/FT_RF_26[[#This Row],[Muestra]]),"0")</f>
        <v>0</v>
      </c>
      <c r="AT228" s="38">
        <v>0</v>
      </c>
      <c r="AU228" s="39">
        <f>+IFERROR((FT_RF_26[[#This Row],[Calibre &lt;14]]/FT_RF_26[[#This Row],[Muestra]]),"0")</f>
        <v>0</v>
      </c>
      <c r="AV228" s="38">
        <v>0</v>
      </c>
      <c r="AW228" s="39">
        <f>+IFERROR((FT_RF_26[[#This Row],[Calibre &gt;14]]/FT_RF_26[[#This Row],[Muestra]]),"0")</f>
        <v>0</v>
      </c>
      <c r="AX228" s="38">
        <v>0</v>
      </c>
      <c r="AY228" s="39">
        <f>+IFERROR((FT_RF_26[[#This Row],[Calibre &lt;10]]/FT_RF_26[[#This Row],[Muestra]]),"0")</f>
        <v>0</v>
      </c>
      <c r="AZ228" s="38">
        <v>0</v>
      </c>
      <c r="BA228" s="39">
        <f>+IFERROR((FT_RF_26[[#This Row],[Calibre &gt;13]]/FT_RF_26[[#This Row],[Muestra]]),"0")</f>
        <v>0</v>
      </c>
      <c r="BB228" s="41"/>
      <c r="BG228" s="42"/>
      <c r="BH228" s="43">
        <v>0</v>
      </c>
      <c r="BI228" s="29" t="s">
        <v>894</v>
      </c>
      <c r="BJ228" s="29" t="s">
        <v>894</v>
      </c>
      <c r="BK22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2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28" s="45">
        <f>1-FT_RF_26[[#This Row],[% Defectos]]</f>
        <v>1</v>
      </c>
      <c r="BO228" s="60"/>
      <c r="BP228" s="12">
        <f>SUM(FT_RF_26[[#This Row],[Hoja (Un.)]:[Larvas Caja]])</f>
        <v>0</v>
      </c>
      <c r="BQ228" s="12">
        <f>SUM(FT_RF_26[[#This Row],[Vidrios]:[Plástico]])</f>
        <v>0</v>
      </c>
      <c r="BR228" s="12" t="str">
        <f>IF(ISBLANK(FT_RF_26[[#This Row],[Descripción del producto]]),"",FT_RF_26[[#This Row],[Descripción del producto]])</f>
        <v/>
      </c>
      <c r="BS228" s="29" t="str">
        <f>IF(ISBLANK(FT_RF_26[[#This Row],[N° de Lote]]),"",FT_RF_26[[#This Row],[N° de Lote]])</f>
        <v/>
      </c>
      <c r="BT228" s="29" t="str">
        <f>IF(ISBLANK(FT_RF_26[[#This Row],[N° de Pallet]]),"",FT_RF_26[[#This Row],[N° de Pallet]])</f>
        <v/>
      </c>
    </row>
    <row r="229" spans="2:72">
      <c r="B229" s="29">
        <f>+_xlfn.ISOWEEKNUM(FT_RF_26[[#This Row],[Fecha]])</f>
        <v>52</v>
      </c>
      <c r="E229" s="31"/>
      <c r="F229" s="12" t="str">
        <f>IFERROR(""&amp;_xlfn.XLOOKUP(FT_RF_26[[#This Row],[Código]],BD_Cod[SKU],BD_Cod[Descripción]),"")</f>
        <v/>
      </c>
      <c r="G229" s="32" t="str">
        <f>IFERROR(""&amp;_xlfn.XLOOKUP(FT_RF_26[[#This Row],[Código]],BD_Cod[SKU],BD_Cod[Familia Calidad]),"")</f>
        <v/>
      </c>
      <c r="J229" s="33">
        <v>1000</v>
      </c>
      <c r="L229" s="30" t="s">
        <v>244</v>
      </c>
      <c r="O229" s="30" t="s">
        <v>894</v>
      </c>
      <c r="P229" s="29" t="s">
        <v>894</v>
      </c>
      <c r="Q229" s="37">
        <f>1-FT_RF_26[[#This Row],[% Defectos]]</f>
        <v>1</v>
      </c>
      <c r="R229" s="38">
        <v>0</v>
      </c>
      <c r="S229" s="39">
        <f>+IFERROR((FT_RF_26[[#This Row],[Inmadura]]/FT_RF_26[[#This Row],[Muestra]]),"0")</f>
        <v>0</v>
      </c>
      <c r="T229" s="38">
        <v>0</v>
      </c>
      <c r="U229" s="39">
        <f>+IFERROR((FT_RF_26[[#This Row],[Partidas]]/FT_RF_26[[#This Row],[Muestra]]),"0")</f>
        <v>0</v>
      </c>
      <c r="V229" s="38">
        <v>0</v>
      </c>
      <c r="W229" s="39">
        <f>+IFERROR((FT_RF_26[[#This Row],[Daño Insecto]]/FT_RF_26[[#This Row],[Muestra]]),"0")</f>
        <v>0</v>
      </c>
      <c r="X229" s="38">
        <v>0</v>
      </c>
      <c r="Y229" s="39">
        <f>+IFERROR((FT_RF_26[[#This Row],[Sobremadura]]/FT_RF_26[[#This Row],[Muestra]]),"0")</f>
        <v>0</v>
      </c>
      <c r="Z229" s="38">
        <v>0</v>
      </c>
      <c r="AA229" s="39">
        <f>+IFERROR((FT_RF_26[[#This Row],[Deforme]]/FT_RF_26[[#This Row],[Muestra]]),"0")</f>
        <v>0</v>
      </c>
      <c r="AB229" s="27"/>
      <c r="AC229" s="38">
        <v>0</v>
      </c>
      <c r="AD229" s="39">
        <f>+IFERROR((FT_RF_26[[#This Row],[Valor Extra 1]]/FT_RF_26[[#This Row],[Muestra]]),"0")</f>
        <v>0</v>
      </c>
      <c r="AF229" s="38">
        <v>0</v>
      </c>
      <c r="AG229" s="39">
        <f>+IFERROR((FT_RF_26[[#This Row],[Valor Extra 2]]/FT_RF_26[[#This Row],[Muestra]]),"0")</f>
        <v>0</v>
      </c>
      <c r="AH229" s="40">
        <v>0</v>
      </c>
      <c r="AI229" s="39">
        <f>+IFERROR((FT_RF_26[[#This Row],[Hongos]]/FT_RF_26[[#This Row],[Muestra]]),"0")</f>
        <v>0</v>
      </c>
      <c r="AJ229" s="38">
        <v>0</v>
      </c>
      <c r="AK229" s="39">
        <f>+IFERROR((FT_RF_26[[#This Row],[Block]]/FT_RF_26[[#This Row],[Muestra]]),"0")</f>
        <v>0</v>
      </c>
      <c r="AL229" s="41">
        <v>0</v>
      </c>
      <c r="AM229" s="42">
        <v>0</v>
      </c>
      <c r="AN229" s="38">
        <v>0</v>
      </c>
      <c r="AO229" s="39">
        <f>+IFERROR((FT_RF_26[[#This Row],[Fuera de calibre &lt;12mm]]/FT_RF_26[[#This Row],[Muestra]]),"0")</f>
        <v>0</v>
      </c>
      <c r="AP229" s="38">
        <v>0</v>
      </c>
      <c r="AQ229" s="39">
        <f>+IFERROR((FT_RF_26[[#This Row],[Calibre &lt;25]]/FT_RF_26[[#This Row],[Muestra]]),"0")</f>
        <v>0</v>
      </c>
      <c r="AR229" s="38">
        <v>0</v>
      </c>
      <c r="AS229" s="39">
        <f>+IFERROR((FT_RF_26[[#This Row],[Calibre &gt;12]]/FT_RF_26[[#This Row],[Muestra]]),"0")</f>
        <v>0</v>
      </c>
      <c r="AT229" s="38">
        <v>0</v>
      </c>
      <c r="AU229" s="39">
        <f>+IFERROR((FT_RF_26[[#This Row],[Calibre &lt;14]]/FT_RF_26[[#This Row],[Muestra]]),"0")</f>
        <v>0</v>
      </c>
      <c r="AV229" s="38">
        <v>0</v>
      </c>
      <c r="AW229" s="39">
        <f>+IFERROR((FT_RF_26[[#This Row],[Calibre &gt;14]]/FT_RF_26[[#This Row],[Muestra]]),"0")</f>
        <v>0</v>
      </c>
      <c r="AX229" s="38">
        <v>0</v>
      </c>
      <c r="AY229" s="39">
        <f>+IFERROR((FT_RF_26[[#This Row],[Calibre &lt;10]]/FT_RF_26[[#This Row],[Muestra]]),"0")</f>
        <v>0</v>
      </c>
      <c r="AZ229" s="38">
        <v>0</v>
      </c>
      <c r="BA229" s="39">
        <f>+IFERROR((FT_RF_26[[#This Row],[Calibre &gt;13]]/FT_RF_26[[#This Row],[Muestra]]),"0")</f>
        <v>0</v>
      </c>
      <c r="BB229" s="41"/>
      <c r="BG229" s="42"/>
      <c r="BH229" s="43">
        <v>0</v>
      </c>
      <c r="BI229" s="29" t="s">
        <v>894</v>
      </c>
      <c r="BJ229" s="29" t="s">
        <v>894</v>
      </c>
      <c r="BK22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2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29" s="45">
        <f>1-FT_RF_26[[#This Row],[% Defectos]]</f>
        <v>1</v>
      </c>
      <c r="BO229" s="60"/>
      <c r="BP229" s="12">
        <f>SUM(FT_RF_26[[#This Row],[Hoja (Un.)]:[Larvas Caja]])</f>
        <v>0</v>
      </c>
      <c r="BQ229" s="12">
        <f>SUM(FT_RF_26[[#This Row],[Vidrios]:[Plástico]])</f>
        <v>0</v>
      </c>
      <c r="BR229" s="12" t="str">
        <f>IF(ISBLANK(FT_RF_26[[#This Row],[Descripción del producto]]),"",FT_RF_26[[#This Row],[Descripción del producto]])</f>
        <v/>
      </c>
      <c r="BS229" s="29" t="str">
        <f>IF(ISBLANK(FT_RF_26[[#This Row],[N° de Lote]]),"",FT_RF_26[[#This Row],[N° de Lote]])</f>
        <v/>
      </c>
      <c r="BT229" s="29" t="str">
        <f>IF(ISBLANK(FT_RF_26[[#This Row],[N° de Pallet]]),"",FT_RF_26[[#This Row],[N° de Pallet]])</f>
        <v/>
      </c>
    </row>
    <row r="230" spans="2:72">
      <c r="B230" s="29">
        <f>+_xlfn.ISOWEEKNUM(FT_RF_26[[#This Row],[Fecha]])</f>
        <v>52</v>
      </c>
      <c r="E230" s="31"/>
      <c r="F230" s="12" t="str">
        <f>IFERROR(""&amp;_xlfn.XLOOKUP(FT_RF_26[[#This Row],[Código]],BD_Cod[SKU],BD_Cod[Descripción]),"")</f>
        <v/>
      </c>
      <c r="G230" s="32" t="str">
        <f>IFERROR(""&amp;_xlfn.XLOOKUP(FT_RF_26[[#This Row],[Código]],BD_Cod[SKU],BD_Cod[Familia Calidad]),"")</f>
        <v/>
      </c>
      <c r="J230" s="33">
        <v>1000</v>
      </c>
      <c r="L230" s="30" t="s">
        <v>244</v>
      </c>
      <c r="O230" s="30" t="s">
        <v>894</v>
      </c>
      <c r="P230" s="29" t="s">
        <v>894</v>
      </c>
      <c r="Q230" s="37">
        <f>1-FT_RF_26[[#This Row],[% Defectos]]</f>
        <v>1</v>
      </c>
      <c r="R230" s="38">
        <v>0</v>
      </c>
      <c r="S230" s="39">
        <f>+IFERROR((FT_RF_26[[#This Row],[Inmadura]]/FT_RF_26[[#This Row],[Muestra]]),"0")</f>
        <v>0</v>
      </c>
      <c r="T230" s="38">
        <v>0</v>
      </c>
      <c r="U230" s="39">
        <f>+IFERROR((FT_RF_26[[#This Row],[Partidas]]/FT_RF_26[[#This Row],[Muestra]]),"0")</f>
        <v>0</v>
      </c>
      <c r="V230" s="38">
        <v>0</v>
      </c>
      <c r="W230" s="39">
        <f>+IFERROR((FT_RF_26[[#This Row],[Daño Insecto]]/FT_RF_26[[#This Row],[Muestra]]),"0")</f>
        <v>0</v>
      </c>
      <c r="X230" s="38">
        <v>0</v>
      </c>
      <c r="Y230" s="39">
        <f>+IFERROR((FT_RF_26[[#This Row],[Sobremadura]]/FT_RF_26[[#This Row],[Muestra]]),"0")</f>
        <v>0</v>
      </c>
      <c r="Z230" s="38">
        <v>0</v>
      </c>
      <c r="AA230" s="39">
        <f>+IFERROR((FT_RF_26[[#This Row],[Deforme]]/FT_RF_26[[#This Row],[Muestra]]),"0")</f>
        <v>0</v>
      </c>
      <c r="AB230" s="27"/>
      <c r="AC230" s="38">
        <v>0</v>
      </c>
      <c r="AD230" s="39">
        <f>+IFERROR((FT_RF_26[[#This Row],[Valor Extra 1]]/FT_RF_26[[#This Row],[Muestra]]),"0")</f>
        <v>0</v>
      </c>
      <c r="AF230" s="38">
        <v>0</v>
      </c>
      <c r="AG230" s="39">
        <f>+IFERROR((FT_RF_26[[#This Row],[Valor Extra 2]]/FT_RF_26[[#This Row],[Muestra]]),"0")</f>
        <v>0</v>
      </c>
      <c r="AH230" s="40">
        <v>0</v>
      </c>
      <c r="AI230" s="39">
        <f>+IFERROR((FT_RF_26[[#This Row],[Hongos]]/FT_RF_26[[#This Row],[Muestra]]),"0")</f>
        <v>0</v>
      </c>
      <c r="AJ230" s="38">
        <v>0</v>
      </c>
      <c r="AK230" s="39">
        <f>+IFERROR((FT_RF_26[[#This Row],[Block]]/FT_RF_26[[#This Row],[Muestra]]),"0")</f>
        <v>0</v>
      </c>
      <c r="AL230" s="41">
        <v>0</v>
      </c>
      <c r="AM230" s="42">
        <v>0</v>
      </c>
      <c r="AN230" s="38">
        <v>0</v>
      </c>
      <c r="AO230" s="39">
        <f>+IFERROR((FT_RF_26[[#This Row],[Fuera de calibre &lt;12mm]]/FT_RF_26[[#This Row],[Muestra]]),"0")</f>
        <v>0</v>
      </c>
      <c r="AP230" s="38">
        <v>0</v>
      </c>
      <c r="AQ230" s="39">
        <f>+IFERROR((FT_RF_26[[#This Row],[Calibre &lt;25]]/FT_RF_26[[#This Row],[Muestra]]),"0")</f>
        <v>0</v>
      </c>
      <c r="AR230" s="38">
        <v>0</v>
      </c>
      <c r="AS230" s="39">
        <f>+IFERROR((FT_RF_26[[#This Row],[Calibre &gt;12]]/FT_RF_26[[#This Row],[Muestra]]),"0")</f>
        <v>0</v>
      </c>
      <c r="AT230" s="38">
        <v>0</v>
      </c>
      <c r="AU230" s="39">
        <f>+IFERROR((FT_RF_26[[#This Row],[Calibre &lt;14]]/FT_RF_26[[#This Row],[Muestra]]),"0")</f>
        <v>0</v>
      </c>
      <c r="AV230" s="38">
        <v>0</v>
      </c>
      <c r="AW230" s="39">
        <f>+IFERROR((FT_RF_26[[#This Row],[Calibre &gt;14]]/FT_RF_26[[#This Row],[Muestra]]),"0")</f>
        <v>0</v>
      </c>
      <c r="AX230" s="38">
        <v>0</v>
      </c>
      <c r="AY230" s="39">
        <f>+IFERROR((FT_RF_26[[#This Row],[Calibre &lt;10]]/FT_RF_26[[#This Row],[Muestra]]),"0")</f>
        <v>0</v>
      </c>
      <c r="AZ230" s="38">
        <v>0</v>
      </c>
      <c r="BA230" s="39">
        <f>+IFERROR((FT_RF_26[[#This Row],[Calibre &gt;13]]/FT_RF_26[[#This Row],[Muestra]]),"0")</f>
        <v>0</v>
      </c>
      <c r="BB230" s="41"/>
      <c r="BG230" s="42"/>
      <c r="BH230" s="43">
        <v>0</v>
      </c>
      <c r="BI230" s="29" t="s">
        <v>894</v>
      </c>
      <c r="BJ230" s="29" t="s">
        <v>894</v>
      </c>
      <c r="BK23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3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30" s="45">
        <f>1-FT_RF_26[[#This Row],[% Defectos]]</f>
        <v>1</v>
      </c>
      <c r="BO230" s="60"/>
      <c r="BP230" s="12">
        <f>SUM(FT_RF_26[[#This Row],[Hoja (Un.)]:[Larvas Caja]])</f>
        <v>0</v>
      </c>
      <c r="BQ230" s="12">
        <f>SUM(FT_RF_26[[#This Row],[Vidrios]:[Plástico]])</f>
        <v>0</v>
      </c>
      <c r="BR230" s="12" t="str">
        <f>IF(ISBLANK(FT_RF_26[[#This Row],[Descripción del producto]]),"",FT_RF_26[[#This Row],[Descripción del producto]])</f>
        <v/>
      </c>
      <c r="BS230" s="29" t="str">
        <f>IF(ISBLANK(FT_RF_26[[#This Row],[N° de Lote]]),"",FT_RF_26[[#This Row],[N° de Lote]])</f>
        <v/>
      </c>
      <c r="BT230" s="29" t="str">
        <f>IF(ISBLANK(FT_RF_26[[#This Row],[N° de Pallet]]),"",FT_RF_26[[#This Row],[N° de Pallet]])</f>
        <v/>
      </c>
    </row>
    <row r="231" spans="2:72">
      <c r="B231" s="29">
        <f>+_xlfn.ISOWEEKNUM(FT_RF_26[[#This Row],[Fecha]])</f>
        <v>52</v>
      </c>
      <c r="E231" s="31"/>
      <c r="F231" s="12" t="str">
        <f>IFERROR(""&amp;_xlfn.XLOOKUP(FT_RF_26[[#This Row],[Código]],BD_Cod[SKU],BD_Cod[Descripción]),"")</f>
        <v/>
      </c>
      <c r="G231" s="32" t="str">
        <f>IFERROR(""&amp;_xlfn.XLOOKUP(FT_RF_26[[#This Row],[Código]],BD_Cod[SKU],BD_Cod[Familia Calidad]),"")</f>
        <v/>
      </c>
      <c r="J231" s="33">
        <v>1000</v>
      </c>
      <c r="L231" s="30" t="s">
        <v>244</v>
      </c>
      <c r="O231" s="30" t="s">
        <v>894</v>
      </c>
      <c r="P231" s="29" t="s">
        <v>894</v>
      </c>
      <c r="Q231" s="37">
        <f>1-FT_RF_26[[#This Row],[% Defectos]]</f>
        <v>1</v>
      </c>
      <c r="R231" s="38">
        <v>0</v>
      </c>
      <c r="S231" s="39">
        <f>+IFERROR((FT_RF_26[[#This Row],[Inmadura]]/FT_RF_26[[#This Row],[Muestra]]),"0")</f>
        <v>0</v>
      </c>
      <c r="T231" s="38">
        <v>0</v>
      </c>
      <c r="U231" s="39">
        <f>+IFERROR((FT_RF_26[[#This Row],[Partidas]]/FT_RF_26[[#This Row],[Muestra]]),"0")</f>
        <v>0</v>
      </c>
      <c r="V231" s="38">
        <v>0</v>
      </c>
      <c r="W231" s="39">
        <f>+IFERROR((FT_RF_26[[#This Row],[Daño Insecto]]/FT_RF_26[[#This Row],[Muestra]]),"0")</f>
        <v>0</v>
      </c>
      <c r="X231" s="38">
        <v>0</v>
      </c>
      <c r="Y231" s="39">
        <f>+IFERROR((FT_RF_26[[#This Row],[Sobremadura]]/FT_RF_26[[#This Row],[Muestra]]),"0")</f>
        <v>0</v>
      </c>
      <c r="Z231" s="38">
        <v>0</v>
      </c>
      <c r="AA231" s="39">
        <f>+IFERROR((FT_RF_26[[#This Row],[Deforme]]/FT_RF_26[[#This Row],[Muestra]]),"0")</f>
        <v>0</v>
      </c>
      <c r="AB231" s="27"/>
      <c r="AC231" s="38">
        <v>0</v>
      </c>
      <c r="AD231" s="39">
        <f>+IFERROR((FT_RF_26[[#This Row],[Valor Extra 1]]/FT_RF_26[[#This Row],[Muestra]]),"0")</f>
        <v>0</v>
      </c>
      <c r="AF231" s="38">
        <v>0</v>
      </c>
      <c r="AG231" s="39">
        <f>+IFERROR((FT_RF_26[[#This Row],[Valor Extra 2]]/FT_RF_26[[#This Row],[Muestra]]),"0")</f>
        <v>0</v>
      </c>
      <c r="AH231" s="40">
        <v>0</v>
      </c>
      <c r="AI231" s="39">
        <f>+IFERROR((FT_RF_26[[#This Row],[Hongos]]/FT_RF_26[[#This Row],[Muestra]]),"0")</f>
        <v>0</v>
      </c>
      <c r="AJ231" s="38">
        <v>0</v>
      </c>
      <c r="AK231" s="39">
        <f>+IFERROR((FT_RF_26[[#This Row],[Block]]/FT_RF_26[[#This Row],[Muestra]]),"0")</f>
        <v>0</v>
      </c>
      <c r="AL231" s="41">
        <v>0</v>
      </c>
      <c r="AM231" s="42">
        <v>0</v>
      </c>
      <c r="AN231" s="38">
        <v>0</v>
      </c>
      <c r="AO231" s="39">
        <f>+IFERROR((FT_RF_26[[#This Row],[Fuera de calibre &lt;12mm]]/FT_RF_26[[#This Row],[Muestra]]),"0")</f>
        <v>0</v>
      </c>
      <c r="AP231" s="38">
        <v>0</v>
      </c>
      <c r="AQ231" s="39">
        <f>+IFERROR((FT_RF_26[[#This Row],[Calibre &lt;25]]/FT_RF_26[[#This Row],[Muestra]]),"0")</f>
        <v>0</v>
      </c>
      <c r="AR231" s="38">
        <v>0</v>
      </c>
      <c r="AS231" s="39">
        <f>+IFERROR((FT_RF_26[[#This Row],[Calibre &gt;12]]/FT_RF_26[[#This Row],[Muestra]]),"0")</f>
        <v>0</v>
      </c>
      <c r="AT231" s="38">
        <v>0</v>
      </c>
      <c r="AU231" s="39">
        <f>+IFERROR((FT_RF_26[[#This Row],[Calibre &lt;14]]/FT_RF_26[[#This Row],[Muestra]]),"0")</f>
        <v>0</v>
      </c>
      <c r="AV231" s="38">
        <v>0</v>
      </c>
      <c r="AW231" s="39">
        <f>+IFERROR((FT_RF_26[[#This Row],[Calibre &gt;14]]/FT_RF_26[[#This Row],[Muestra]]),"0")</f>
        <v>0</v>
      </c>
      <c r="AX231" s="38">
        <v>0</v>
      </c>
      <c r="AY231" s="39">
        <f>+IFERROR((FT_RF_26[[#This Row],[Calibre &lt;10]]/FT_RF_26[[#This Row],[Muestra]]),"0")</f>
        <v>0</v>
      </c>
      <c r="AZ231" s="38">
        <v>0</v>
      </c>
      <c r="BA231" s="39">
        <f>+IFERROR((FT_RF_26[[#This Row],[Calibre &gt;13]]/FT_RF_26[[#This Row],[Muestra]]),"0")</f>
        <v>0</v>
      </c>
      <c r="BB231" s="41"/>
      <c r="BG231" s="42"/>
      <c r="BH231" s="43">
        <v>0</v>
      </c>
      <c r="BI231" s="29" t="s">
        <v>894</v>
      </c>
      <c r="BJ231" s="29" t="s">
        <v>894</v>
      </c>
      <c r="BK23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3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31" s="45">
        <f>1-FT_RF_26[[#This Row],[% Defectos]]</f>
        <v>1</v>
      </c>
      <c r="BO231" s="60"/>
      <c r="BP231" s="12">
        <f>SUM(FT_RF_26[[#This Row],[Hoja (Un.)]:[Larvas Caja]])</f>
        <v>0</v>
      </c>
      <c r="BQ231" s="12">
        <f>SUM(FT_RF_26[[#This Row],[Vidrios]:[Plástico]])</f>
        <v>0</v>
      </c>
      <c r="BR231" s="12" t="str">
        <f>IF(ISBLANK(FT_RF_26[[#This Row],[Descripción del producto]]),"",FT_RF_26[[#This Row],[Descripción del producto]])</f>
        <v/>
      </c>
      <c r="BS231" s="29" t="str">
        <f>IF(ISBLANK(FT_RF_26[[#This Row],[N° de Lote]]),"",FT_RF_26[[#This Row],[N° de Lote]])</f>
        <v/>
      </c>
      <c r="BT231" s="29" t="str">
        <f>IF(ISBLANK(FT_RF_26[[#This Row],[N° de Pallet]]),"",FT_RF_26[[#This Row],[N° de Pallet]])</f>
        <v/>
      </c>
    </row>
    <row r="232" spans="2:72">
      <c r="B232" s="29">
        <f>+_xlfn.ISOWEEKNUM(FT_RF_26[[#This Row],[Fecha]])</f>
        <v>52</v>
      </c>
      <c r="E232" s="31"/>
      <c r="F232" s="12" t="str">
        <f>IFERROR(""&amp;_xlfn.XLOOKUP(FT_RF_26[[#This Row],[Código]],BD_Cod[SKU],BD_Cod[Descripción]),"")</f>
        <v/>
      </c>
      <c r="G232" s="32" t="str">
        <f>IFERROR(""&amp;_xlfn.XLOOKUP(FT_RF_26[[#This Row],[Código]],BD_Cod[SKU],BD_Cod[Familia Calidad]),"")</f>
        <v/>
      </c>
      <c r="J232" s="33">
        <v>1000</v>
      </c>
      <c r="L232" s="30" t="s">
        <v>244</v>
      </c>
      <c r="O232" s="30" t="s">
        <v>894</v>
      </c>
      <c r="P232" s="29" t="s">
        <v>894</v>
      </c>
      <c r="Q232" s="37">
        <f>1-FT_RF_26[[#This Row],[% Defectos]]</f>
        <v>1</v>
      </c>
      <c r="R232" s="38">
        <v>0</v>
      </c>
      <c r="S232" s="39">
        <f>+IFERROR((FT_RF_26[[#This Row],[Inmadura]]/FT_RF_26[[#This Row],[Muestra]]),"0")</f>
        <v>0</v>
      </c>
      <c r="T232" s="38">
        <v>0</v>
      </c>
      <c r="U232" s="39">
        <f>+IFERROR((FT_RF_26[[#This Row],[Partidas]]/FT_RF_26[[#This Row],[Muestra]]),"0")</f>
        <v>0</v>
      </c>
      <c r="V232" s="38">
        <v>0</v>
      </c>
      <c r="W232" s="39">
        <f>+IFERROR((FT_RF_26[[#This Row],[Daño Insecto]]/FT_RF_26[[#This Row],[Muestra]]),"0")</f>
        <v>0</v>
      </c>
      <c r="X232" s="38">
        <v>0</v>
      </c>
      <c r="Y232" s="39">
        <f>+IFERROR((FT_RF_26[[#This Row],[Sobremadura]]/FT_RF_26[[#This Row],[Muestra]]),"0")</f>
        <v>0</v>
      </c>
      <c r="Z232" s="38">
        <v>0</v>
      </c>
      <c r="AA232" s="39">
        <f>+IFERROR((FT_RF_26[[#This Row],[Deforme]]/FT_RF_26[[#This Row],[Muestra]]),"0")</f>
        <v>0</v>
      </c>
      <c r="AB232" s="27"/>
      <c r="AC232" s="38">
        <v>0</v>
      </c>
      <c r="AD232" s="39">
        <f>+IFERROR((FT_RF_26[[#This Row],[Valor Extra 1]]/FT_RF_26[[#This Row],[Muestra]]),"0")</f>
        <v>0</v>
      </c>
      <c r="AF232" s="38">
        <v>0</v>
      </c>
      <c r="AG232" s="39">
        <f>+IFERROR((FT_RF_26[[#This Row],[Valor Extra 2]]/FT_RF_26[[#This Row],[Muestra]]),"0")</f>
        <v>0</v>
      </c>
      <c r="AH232" s="40">
        <v>0</v>
      </c>
      <c r="AI232" s="39">
        <f>+IFERROR((FT_RF_26[[#This Row],[Hongos]]/FT_RF_26[[#This Row],[Muestra]]),"0")</f>
        <v>0</v>
      </c>
      <c r="AJ232" s="38">
        <v>0</v>
      </c>
      <c r="AK232" s="39">
        <f>+IFERROR((FT_RF_26[[#This Row],[Block]]/FT_RF_26[[#This Row],[Muestra]]),"0")</f>
        <v>0</v>
      </c>
      <c r="AL232" s="41">
        <v>0</v>
      </c>
      <c r="AM232" s="42">
        <v>0</v>
      </c>
      <c r="AN232" s="38">
        <v>0</v>
      </c>
      <c r="AO232" s="39">
        <f>+IFERROR((FT_RF_26[[#This Row],[Fuera de calibre &lt;12mm]]/FT_RF_26[[#This Row],[Muestra]]),"0")</f>
        <v>0</v>
      </c>
      <c r="AP232" s="38">
        <v>0</v>
      </c>
      <c r="AQ232" s="39">
        <f>+IFERROR((FT_RF_26[[#This Row],[Calibre &lt;25]]/FT_RF_26[[#This Row],[Muestra]]),"0")</f>
        <v>0</v>
      </c>
      <c r="AR232" s="38">
        <v>0</v>
      </c>
      <c r="AS232" s="39">
        <f>+IFERROR((FT_RF_26[[#This Row],[Calibre &gt;12]]/FT_RF_26[[#This Row],[Muestra]]),"0")</f>
        <v>0</v>
      </c>
      <c r="AT232" s="38">
        <v>0</v>
      </c>
      <c r="AU232" s="39">
        <f>+IFERROR((FT_RF_26[[#This Row],[Calibre &lt;14]]/FT_RF_26[[#This Row],[Muestra]]),"0")</f>
        <v>0</v>
      </c>
      <c r="AV232" s="38">
        <v>0</v>
      </c>
      <c r="AW232" s="39">
        <f>+IFERROR((FT_RF_26[[#This Row],[Calibre &gt;14]]/FT_RF_26[[#This Row],[Muestra]]),"0")</f>
        <v>0</v>
      </c>
      <c r="AX232" s="38">
        <v>0</v>
      </c>
      <c r="AY232" s="39">
        <f>+IFERROR((FT_RF_26[[#This Row],[Calibre &lt;10]]/FT_RF_26[[#This Row],[Muestra]]),"0")</f>
        <v>0</v>
      </c>
      <c r="AZ232" s="38">
        <v>0</v>
      </c>
      <c r="BA232" s="39">
        <f>+IFERROR((FT_RF_26[[#This Row],[Calibre &gt;13]]/FT_RF_26[[#This Row],[Muestra]]),"0")</f>
        <v>0</v>
      </c>
      <c r="BB232" s="41"/>
      <c r="BG232" s="42"/>
      <c r="BH232" s="43">
        <v>0</v>
      </c>
      <c r="BI232" s="29" t="s">
        <v>894</v>
      </c>
      <c r="BJ232" s="29" t="s">
        <v>894</v>
      </c>
      <c r="BK23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3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32" s="45">
        <f>1-FT_RF_26[[#This Row],[% Defectos]]</f>
        <v>1</v>
      </c>
      <c r="BO232" s="60"/>
      <c r="BP232" s="12">
        <f>SUM(FT_RF_26[[#This Row],[Hoja (Un.)]:[Larvas Caja]])</f>
        <v>0</v>
      </c>
      <c r="BQ232" s="12">
        <f>SUM(FT_RF_26[[#This Row],[Vidrios]:[Plástico]])</f>
        <v>0</v>
      </c>
      <c r="BR232" s="12" t="str">
        <f>IF(ISBLANK(FT_RF_26[[#This Row],[Descripción del producto]]),"",FT_RF_26[[#This Row],[Descripción del producto]])</f>
        <v/>
      </c>
      <c r="BS232" s="29" t="str">
        <f>IF(ISBLANK(FT_RF_26[[#This Row],[N° de Lote]]),"",FT_RF_26[[#This Row],[N° de Lote]])</f>
        <v/>
      </c>
      <c r="BT232" s="29" t="str">
        <f>IF(ISBLANK(FT_RF_26[[#This Row],[N° de Pallet]]),"",FT_RF_26[[#This Row],[N° de Pallet]])</f>
        <v/>
      </c>
    </row>
    <row r="233" spans="2:72">
      <c r="B233" s="29">
        <f>+_xlfn.ISOWEEKNUM(FT_RF_26[[#This Row],[Fecha]])</f>
        <v>52</v>
      </c>
      <c r="E233" s="31"/>
      <c r="F233" s="12" t="str">
        <f>IFERROR(""&amp;_xlfn.XLOOKUP(FT_RF_26[[#This Row],[Código]],BD_Cod[SKU],BD_Cod[Descripción]),"")</f>
        <v/>
      </c>
      <c r="G233" s="32" t="str">
        <f>IFERROR(""&amp;_xlfn.XLOOKUP(FT_RF_26[[#This Row],[Código]],BD_Cod[SKU],BD_Cod[Familia Calidad]),"")</f>
        <v/>
      </c>
      <c r="J233" s="33">
        <v>1000</v>
      </c>
      <c r="L233" s="30" t="s">
        <v>244</v>
      </c>
      <c r="O233" s="30" t="s">
        <v>894</v>
      </c>
      <c r="P233" s="29" t="s">
        <v>894</v>
      </c>
      <c r="Q233" s="37">
        <f>1-FT_RF_26[[#This Row],[% Defectos]]</f>
        <v>1</v>
      </c>
      <c r="R233" s="38">
        <v>0</v>
      </c>
      <c r="S233" s="39">
        <f>+IFERROR((FT_RF_26[[#This Row],[Inmadura]]/FT_RF_26[[#This Row],[Muestra]]),"0")</f>
        <v>0</v>
      </c>
      <c r="T233" s="38">
        <v>0</v>
      </c>
      <c r="U233" s="39">
        <f>+IFERROR((FT_RF_26[[#This Row],[Partidas]]/FT_RF_26[[#This Row],[Muestra]]),"0")</f>
        <v>0</v>
      </c>
      <c r="V233" s="38">
        <v>0</v>
      </c>
      <c r="W233" s="39">
        <f>+IFERROR((FT_RF_26[[#This Row],[Daño Insecto]]/FT_RF_26[[#This Row],[Muestra]]),"0")</f>
        <v>0</v>
      </c>
      <c r="X233" s="38">
        <v>0</v>
      </c>
      <c r="Y233" s="39">
        <f>+IFERROR((FT_RF_26[[#This Row],[Sobremadura]]/FT_RF_26[[#This Row],[Muestra]]),"0")</f>
        <v>0</v>
      </c>
      <c r="Z233" s="38">
        <v>0</v>
      </c>
      <c r="AA233" s="39">
        <f>+IFERROR((FT_RF_26[[#This Row],[Deforme]]/FT_RF_26[[#This Row],[Muestra]]),"0")</f>
        <v>0</v>
      </c>
      <c r="AB233" s="27"/>
      <c r="AC233" s="38">
        <v>0</v>
      </c>
      <c r="AD233" s="39">
        <f>+IFERROR((FT_RF_26[[#This Row],[Valor Extra 1]]/FT_RF_26[[#This Row],[Muestra]]),"0")</f>
        <v>0</v>
      </c>
      <c r="AF233" s="38">
        <v>0</v>
      </c>
      <c r="AG233" s="39">
        <f>+IFERROR((FT_RF_26[[#This Row],[Valor Extra 2]]/FT_RF_26[[#This Row],[Muestra]]),"0")</f>
        <v>0</v>
      </c>
      <c r="AH233" s="40">
        <v>0</v>
      </c>
      <c r="AI233" s="39">
        <f>+IFERROR((FT_RF_26[[#This Row],[Hongos]]/FT_RF_26[[#This Row],[Muestra]]),"0")</f>
        <v>0</v>
      </c>
      <c r="AJ233" s="38">
        <v>0</v>
      </c>
      <c r="AK233" s="39">
        <f>+IFERROR((FT_RF_26[[#This Row],[Block]]/FT_RF_26[[#This Row],[Muestra]]),"0")</f>
        <v>0</v>
      </c>
      <c r="AL233" s="41">
        <v>0</v>
      </c>
      <c r="AM233" s="42">
        <v>0</v>
      </c>
      <c r="AN233" s="38">
        <v>0</v>
      </c>
      <c r="AO233" s="39">
        <f>+IFERROR((FT_RF_26[[#This Row],[Fuera de calibre &lt;12mm]]/FT_RF_26[[#This Row],[Muestra]]),"0")</f>
        <v>0</v>
      </c>
      <c r="AP233" s="38">
        <v>0</v>
      </c>
      <c r="AQ233" s="39">
        <f>+IFERROR((FT_RF_26[[#This Row],[Calibre &lt;25]]/FT_RF_26[[#This Row],[Muestra]]),"0")</f>
        <v>0</v>
      </c>
      <c r="AR233" s="38">
        <v>0</v>
      </c>
      <c r="AS233" s="39">
        <f>+IFERROR((FT_RF_26[[#This Row],[Calibre &gt;12]]/FT_RF_26[[#This Row],[Muestra]]),"0")</f>
        <v>0</v>
      </c>
      <c r="AT233" s="38">
        <v>0</v>
      </c>
      <c r="AU233" s="39">
        <f>+IFERROR((FT_RF_26[[#This Row],[Calibre &lt;14]]/FT_RF_26[[#This Row],[Muestra]]),"0")</f>
        <v>0</v>
      </c>
      <c r="AV233" s="38">
        <v>0</v>
      </c>
      <c r="AW233" s="39">
        <f>+IFERROR((FT_RF_26[[#This Row],[Calibre &gt;14]]/FT_RF_26[[#This Row],[Muestra]]),"0")</f>
        <v>0</v>
      </c>
      <c r="AX233" s="38">
        <v>0</v>
      </c>
      <c r="AY233" s="39">
        <f>+IFERROR((FT_RF_26[[#This Row],[Calibre &lt;10]]/FT_RF_26[[#This Row],[Muestra]]),"0")</f>
        <v>0</v>
      </c>
      <c r="AZ233" s="38">
        <v>0</v>
      </c>
      <c r="BA233" s="39">
        <f>+IFERROR((FT_RF_26[[#This Row],[Calibre &gt;13]]/FT_RF_26[[#This Row],[Muestra]]),"0")</f>
        <v>0</v>
      </c>
      <c r="BB233" s="41"/>
      <c r="BG233" s="42"/>
      <c r="BH233" s="43">
        <v>0</v>
      </c>
      <c r="BI233" s="29" t="s">
        <v>894</v>
      </c>
      <c r="BJ233" s="29" t="s">
        <v>894</v>
      </c>
      <c r="BK23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3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33" s="45">
        <f>1-FT_RF_26[[#This Row],[% Defectos]]</f>
        <v>1</v>
      </c>
      <c r="BO233" s="60"/>
      <c r="BP233" s="12">
        <f>SUM(FT_RF_26[[#This Row],[Hoja (Un.)]:[Larvas Caja]])</f>
        <v>0</v>
      </c>
      <c r="BQ233" s="12">
        <f>SUM(FT_RF_26[[#This Row],[Vidrios]:[Plástico]])</f>
        <v>0</v>
      </c>
      <c r="BR233" s="12" t="str">
        <f>IF(ISBLANK(FT_RF_26[[#This Row],[Descripción del producto]]),"",FT_RF_26[[#This Row],[Descripción del producto]])</f>
        <v/>
      </c>
      <c r="BS233" s="29" t="str">
        <f>IF(ISBLANK(FT_RF_26[[#This Row],[N° de Lote]]),"",FT_RF_26[[#This Row],[N° de Lote]])</f>
        <v/>
      </c>
      <c r="BT233" s="29" t="str">
        <f>IF(ISBLANK(FT_RF_26[[#This Row],[N° de Pallet]]),"",FT_RF_26[[#This Row],[N° de Pallet]])</f>
        <v/>
      </c>
    </row>
    <row r="234" spans="2:72">
      <c r="B234" s="29">
        <f>+_xlfn.ISOWEEKNUM(FT_RF_26[[#This Row],[Fecha]])</f>
        <v>52</v>
      </c>
      <c r="E234" s="31"/>
      <c r="F234" s="12" t="str">
        <f>IFERROR(""&amp;_xlfn.XLOOKUP(FT_RF_26[[#This Row],[Código]],BD_Cod[SKU],BD_Cod[Descripción]),"")</f>
        <v/>
      </c>
      <c r="G234" s="32" t="str">
        <f>IFERROR(""&amp;_xlfn.XLOOKUP(FT_RF_26[[#This Row],[Código]],BD_Cod[SKU],BD_Cod[Familia Calidad]),"")</f>
        <v/>
      </c>
      <c r="J234" s="33">
        <v>1000</v>
      </c>
      <c r="L234" s="30" t="s">
        <v>244</v>
      </c>
      <c r="O234" s="30" t="s">
        <v>894</v>
      </c>
      <c r="P234" s="29" t="s">
        <v>894</v>
      </c>
      <c r="Q234" s="37">
        <f>1-FT_RF_26[[#This Row],[% Defectos]]</f>
        <v>1</v>
      </c>
      <c r="R234" s="38">
        <v>0</v>
      </c>
      <c r="S234" s="39">
        <f>+IFERROR((FT_RF_26[[#This Row],[Inmadura]]/FT_RF_26[[#This Row],[Muestra]]),"0")</f>
        <v>0</v>
      </c>
      <c r="T234" s="38">
        <v>0</v>
      </c>
      <c r="U234" s="39">
        <f>+IFERROR((FT_RF_26[[#This Row],[Partidas]]/FT_RF_26[[#This Row],[Muestra]]),"0")</f>
        <v>0</v>
      </c>
      <c r="V234" s="38">
        <v>0</v>
      </c>
      <c r="W234" s="39">
        <f>+IFERROR((FT_RF_26[[#This Row],[Daño Insecto]]/FT_RF_26[[#This Row],[Muestra]]),"0")</f>
        <v>0</v>
      </c>
      <c r="X234" s="38">
        <v>0</v>
      </c>
      <c r="Y234" s="39">
        <f>+IFERROR((FT_RF_26[[#This Row],[Sobremadura]]/FT_RF_26[[#This Row],[Muestra]]),"0")</f>
        <v>0</v>
      </c>
      <c r="Z234" s="38">
        <v>0</v>
      </c>
      <c r="AA234" s="39">
        <f>+IFERROR((FT_RF_26[[#This Row],[Deforme]]/FT_RF_26[[#This Row],[Muestra]]),"0")</f>
        <v>0</v>
      </c>
      <c r="AB234" s="27"/>
      <c r="AC234" s="38">
        <v>0</v>
      </c>
      <c r="AD234" s="39">
        <f>+IFERROR((FT_RF_26[[#This Row],[Valor Extra 1]]/FT_RF_26[[#This Row],[Muestra]]),"0")</f>
        <v>0</v>
      </c>
      <c r="AF234" s="38">
        <v>0</v>
      </c>
      <c r="AG234" s="39">
        <f>+IFERROR((FT_RF_26[[#This Row],[Valor Extra 2]]/FT_RF_26[[#This Row],[Muestra]]),"0")</f>
        <v>0</v>
      </c>
      <c r="AH234" s="40">
        <v>0</v>
      </c>
      <c r="AI234" s="39">
        <f>+IFERROR((FT_RF_26[[#This Row],[Hongos]]/FT_RF_26[[#This Row],[Muestra]]),"0")</f>
        <v>0</v>
      </c>
      <c r="AJ234" s="38">
        <v>0</v>
      </c>
      <c r="AK234" s="39">
        <f>+IFERROR((FT_RF_26[[#This Row],[Block]]/FT_RF_26[[#This Row],[Muestra]]),"0")</f>
        <v>0</v>
      </c>
      <c r="AL234" s="41">
        <v>0</v>
      </c>
      <c r="AM234" s="42">
        <v>0</v>
      </c>
      <c r="AN234" s="38">
        <v>0</v>
      </c>
      <c r="AO234" s="39">
        <f>+IFERROR((FT_RF_26[[#This Row],[Fuera de calibre &lt;12mm]]/FT_RF_26[[#This Row],[Muestra]]),"0")</f>
        <v>0</v>
      </c>
      <c r="AP234" s="38">
        <v>0</v>
      </c>
      <c r="AQ234" s="39">
        <f>+IFERROR((FT_RF_26[[#This Row],[Calibre &lt;25]]/FT_RF_26[[#This Row],[Muestra]]),"0")</f>
        <v>0</v>
      </c>
      <c r="AR234" s="38">
        <v>0</v>
      </c>
      <c r="AS234" s="39">
        <f>+IFERROR((FT_RF_26[[#This Row],[Calibre &gt;12]]/FT_RF_26[[#This Row],[Muestra]]),"0")</f>
        <v>0</v>
      </c>
      <c r="AT234" s="38">
        <v>0</v>
      </c>
      <c r="AU234" s="39">
        <f>+IFERROR((FT_RF_26[[#This Row],[Calibre &lt;14]]/FT_RF_26[[#This Row],[Muestra]]),"0")</f>
        <v>0</v>
      </c>
      <c r="AV234" s="38">
        <v>0</v>
      </c>
      <c r="AW234" s="39">
        <f>+IFERROR((FT_RF_26[[#This Row],[Calibre &gt;14]]/FT_RF_26[[#This Row],[Muestra]]),"0")</f>
        <v>0</v>
      </c>
      <c r="AX234" s="38">
        <v>0</v>
      </c>
      <c r="AY234" s="39">
        <f>+IFERROR((FT_RF_26[[#This Row],[Calibre &lt;10]]/FT_RF_26[[#This Row],[Muestra]]),"0")</f>
        <v>0</v>
      </c>
      <c r="AZ234" s="38">
        <v>0</v>
      </c>
      <c r="BA234" s="39">
        <f>+IFERROR((FT_RF_26[[#This Row],[Calibre &gt;13]]/FT_RF_26[[#This Row],[Muestra]]),"0")</f>
        <v>0</v>
      </c>
      <c r="BB234" s="41"/>
      <c r="BG234" s="42"/>
      <c r="BH234" s="43">
        <v>0</v>
      </c>
      <c r="BI234" s="29" t="s">
        <v>894</v>
      </c>
      <c r="BJ234" s="29" t="s">
        <v>894</v>
      </c>
      <c r="BK23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3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34" s="45">
        <f>1-FT_RF_26[[#This Row],[% Defectos]]</f>
        <v>1</v>
      </c>
      <c r="BO234" s="60"/>
      <c r="BP234" s="12">
        <f>SUM(FT_RF_26[[#This Row],[Hoja (Un.)]:[Larvas Caja]])</f>
        <v>0</v>
      </c>
      <c r="BQ234" s="12">
        <f>SUM(FT_RF_26[[#This Row],[Vidrios]:[Plástico]])</f>
        <v>0</v>
      </c>
      <c r="BR234" s="12" t="str">
        <f>IF(ISBLANK(FT_RF_26[[#This Row],[Descripción del producto]]),"",FT_RF_26[[#This Row],[Descripción del producto]])</f>
        <v/>
      </c>
      <c r="BS234" s="29" t="str">
        <f>IF(ISBLANK(FT_RF_26[[#This Row],[N° de Lote]]),"",FT_RF_26[[#This Row],[N° de Lote]])</f>
        <v/>
      </c>
      <c r="BT234" s="29" t="str">
        <f>IF(ISBLANK(FT_RF_26[[#This Row],[N° de Pallet]]),"",FT_RF_26[[#This Row],[N° de Pallet]])</f>
        <v/>
      </c>
    </row>
    <row r="235" spans="2:72">
      <c r="B235" s="29">
        <f>+_xlfn.ISOWEEKNUM(FT_RF_26[[#This Row],[Fecha]])</f>
        <v>52</v>
      </c>
      <c r="E235" s="31"/>
      <c r="F235" s="12" t="str">
        <f>IFERROR(""&amp;_xlfn.XLOOKUP(FT_RF_26[[#This Row],[Código]],BD_Cod[SKU],BD_Cod[Descripción]),"")</f>
        <v/>
      </c>
      <c r="G235" s="32" t="str">
        <f>IFERROR(""&amp;_xlfn.XLOOKUP(FT_RF_26[[#This Row],[Código]],BD_Cod[SKU],BD_Cod[Familia Calidad]),"")</f>
        <v/>
      </c>
      <c r="J235" s="33">
        <v>1000</v>
      </c>
      <c r="L235" s="30" t="s">
        <v>244</v>
      </c>
      <c r="O235" s="30" t="s">
        <v>894</v>
      </c>
      <c r="P235" s="29" t="s">
        <v>894</v>
      </c>
      <c r="Q235" s="37">
        <f>1-FT_RF_26[[#This Row],[% Defectos]]</f>
        <v>1</v>
      </c>
      <c r="R235" s="38">
        <v>0</v>
      </c>
      <c r="S235" s="39">
        <f>+IFERROR((FT_RF_26[[#This Row],[Inmadura]]/FT_RF_26[[#This Row],[Muestra]]),"0")</f>
        <v>0</v>
      </c>
      <c r="T235" s="38">
        <v>0</v>
      </c>
      <c r="U235" s="39">
        <f>+IFERROR((FT_RF_26[[#This Row],[Partidas]]/FT_RF_26[[#This Row],[Muestra]]),"0")</f>
        <v>0</v>
      </c>
      <c r="V235" s="38">
        <v>0</v>
      </c>
      <c r="W235" s="39">
        <f>+IFERROR((FT_RF_26[[#This Row],[Daño Insecto]]/FT_RF_26[[#This Row],[Muestra]]),"0")</f>
        <v>0</v>
      </c>
      <c r="X235" s="38">
        <v>0</v>
      </c>
      <c r="Y235" s="39">
        <f>+IFERROR((FT_RF_26[[#This Row],[Sobremadura]]/FT_RF_26[[#This Row],[Muestra]]),"0")</f>
        <v>0</v>
      </c>
      <c r="Z235" s="38">
        <v>0</v>
      </c>
      <c r="AA235" s="39">
        <f>+IFERROR((FT_RF_26[[#This Row],[Deforme]]/FT_RF_26[[#This Row],[Muestra]]),"0")</f>
        <v>0</v>
      </c>
      <c r="AB235" s="27"/>
      <c r="AC235" s="38">
        <v>0</v>
      </c>
      <c r="AD235" s="39">
        <f>+IFERROR((FT_RF_26[[#This Row],[Valor Extra 1]]/FT_RF_26[[#This Row],[Muestra]]),"0")</f>
        <v>0</v>
      </c>
      <c r="AF235" s="38">
        <v>0</v>
      </c>
      <c r="AG235" s="39">
        <f>+IFERROR((FT_RF_26[[#This Row],[Valor Extra 2]]/FT_RF_26[[#This Row],[Muestra]]),"0")</f>
        <v>0</v>
      </c>
      <c r="AH235" s="40">
        <v>0</v>
      </c>
      <c r="AI235" s="39">
        <f>+IFERROR((FT_RF_26[[#This Row],[Hongos]]/FT_RF_26[[#This Row],[Muestra]]),"0")</f>
        <v>0</v>
      </c>
      <c r="AJ235" s="38">
        <v>0</v>
      </c>
      <c r="AK235" s="39">
        <f>+IFERROR((FT_RF_26[[#This Row],[Block]]/FT_RF_26[[#This Row],[Muestra]]),"0")</f>
        <v>0</v>
      </c>
      <c r="AL235" s="41">
        <v>0</v>
      </c>
      <c r="AM235" s="42">
        <v>0</v>
      </c>
      <c r="AN235" s="38">
        <v>0</v>
      </c>
      <c r="AO235" s="39">
        <f>+IFERROR((FT_RF_26[[#This Row],[Fuera de calibre &lt;12mm]]/FT_RF_26[[#This Row],[Muestra]]),"0")</f>
        <v>0</v>
      </c>
      <c r="AP235" s="38">
        <v>0</v>
      </c>
      <c r="AQ235" s="39">
        <f>+IFERROR((FT_RF_26[[#This Row],[Calibre &lt;25]]/FT_RF_26[[#This Row],[Muestra]]),"0")</f>
        <v>0</v>
      </c>
      <c r="AR235" s="38">
        <v>0</v>
      </c>
      <c r="AS235" s="39">
        <f>+IFERROR((FT_RF_26[[#This Row],[Calibre &gt;12]]/FT_RF_26[[#This Row],[Muestra]]),"0")</f>
        <v>0</v>
      </c>
      <c r="AT235" s="38">
        <v>0</v>
      </c>
      <c r="AU235" s="39">
        <f>+IFERROR((FT_RF_26[[#This Row],[Calibre &lt;14]]/FT_RF_26[[#This Row],[Muestra]]),"0")</f>
        <v>0</v>
      </c>
      <c r="AV235" s="38">
        <v>0</v>
      </c>
      <c r="AW235" s="39">
        <f>+IFERROR((FT_RF_26[[#This Row],[Calibre &gt;14]]/FT_RF_26[[#This Row],[Muestra]]),"0")</f>
        <v>0</v>
      </c>
      <c r="AX235" s="38">
        <v>0</v>
      </c>
      <c r="AY235" s="39">
        <f>+IFERROR((FT_RF_26[[#This Row],[Calibre &lt;10]]/FT_RF_26[[#This Row],[Muestra]]),"0")</f>
        <v>0</v>
      </c>
      <c r="AZ235" s="38">
        <v>0</v>
      </c>
      <c r="BA235" s="39">
        <f>+IFERROR((FT_RF_26[[#This Row],[Calibre &gt;13]]/FT_RF_26[[#This Row],[Muestra]]),"0")</f>
        <v>0</v>
      </c>
      <c r="BB235" s="41"/>
      <c r="BG235" s="42"/>
      <c r="BH235" s="43">
        <v>0</v>
      </c>
      <c r="BI235" s="29" t="s">
        <v>894</v>
      </c>
      <c r="BJ235" s="29" t="s">
        <v>894</v>
      </c>
      <c r="BK23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3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35" s="45">
        <f>1-FT_RF_26[[#This Row],[% Defectos]]</f>
        <v>1</v>
      </c>
      <c r="BO235" s="60"/>
      <c r="BP235" s="12">
        <f>SUM(FT_RF_26[[#This Row],[Hoja (Un.)]:[Larvas Caja]])</f>
        <v>0</v>
      </c>
      <c r="BQ235" s="12">
        <f>SUM(FT_RF_26[[#This Row],[Vidrios]:[Plástico]])</f>
        <v>0</v>
      </c>
      <c r="BR235" s="12" t="str">
        <f>IF(ISBLANK(FT_RF_26[[#This Row],[Descripción del producto]]),"",FT_RF_26[[#This Row],[Descripción del producto]])</f>
        <v/>
      </c>
      <c r="BS235" s="29" t="str">
        <f>IF(ISBLANK(FT_RF_26[[#This Row],[N° de Lote]]),"",FT_RF_26[[#This Row],[N° de Lote]])</f>
        <v/>
      </c>
      <c r="BT235" s="29" t="str">
        <f>IF(ISBLANK(FT_RF_26[[#This Row],[N° de Pallet]]),"",FT_RF_26[[#This Row],[N° de Pallet]])</f>
        <v/>
      </c>
    </row>
    <row r="236" spans="2:72">
      <c r="B236" s="29">
        <f>+_xlfn.ISOWEEKNUM(FT_RF_26[[#This Row],[Fecha]])</f>
        <v>52</v>
      </c>
      <c r="E236" s="31"/>
      <c r="F236" s="12" t="str">
        <f>IFERROR(""&amp;_xlfn.XLOOKUP(FT_RF_26[[#This Row],[Código]],BD_Cod[SKU],BD_Cod[Descripción]),"")</f>
        <v/>
      </c>
      <c r="G236" s="32" t="str">
        <f>IFERROR(""&amp;_xlfn.XLOOKUP(FT_RF_26[[#This Row],[Código]],BD_Cod[SKU],BD_Cod[Familia Calidad]),"")</f>
        <v/>
      </c>
      <c r="J236" s="33">
        <v>1000</v>
      </c>
      <c r="L236" s="30" t="s">
        <v>244</v>
      </c>
      <c r="O236" s="30" t="s">
        <v>894</v>
      </c>
      <c r="P236" s="29" t="s">
        <v>894</v>
      </c>
      <c r="Q236" s="37">
        <f>1-FT_RF_26[[#This Row],[% Defectos]]</f>
        <v>1</v>
      </c>
      <c r="R236" s="38">
        <v>0</v>
      </c>
      <c r="S236" s="39">
        <f>+IFERROR((FT_RF_26[[#This Row],[Inmadura]]/FT_RF_26[[#This Row],[Muestra]]),"0")</f>
        <v>0</v>
      </c>
      <c r="T236" s="38">
        <v>0</v>
      </c>
      <c r="U236" s="39">
        <f>+IFERROR((FT_RF_26[[#This Row],[Partidas]]/FT_RF_26[[#This Row],[Muestra]]),"0")</f>
        <v>0</v>
      </c>
      <c r="V236" s="38">
        <v>0</v>
      </c>
      <c r="W236" s="39">
        <f>+IFERROR((FT_RF_26[[#This Row],[Daño Insecto]]/FT_RF_26[[#This Row],[Muestra]]),"0")</f>
        <v>0</v>
      </c>
      <c r="X236" s="38">
        <v>0</v>
      </c>
      <c r="Y236" s="39">
        <f>+IFERROR((FT_RF_26[[#This Row],[Sobremadura]]/FT_RF_26[[#This Row],[Muestra]]),"0")</f>
        <v>0</v>
      </c>
      <c r="Z236" s="38">
        <v>0</v>
      </c>
      <c r="AA236" s="39">
        <f>+IFERROR((FT_RF_26[[#This Row],[Deforme]]/FT_RF_26[[#This Row],[Muestra]]),"0")</f>
        <v>0</v>
      </c>
      <c r="AB236" s="27"/>
      <c r="AC236" s="38">
        <v>0</v>
      </c>
      <c r="AD236" s="39">
        <f>+IFERROR((FT_RF_26[[#This Row],[Valor Extra 1]]/FT_RF_26[[#This Row],[Muestra]]),"0")</f>
        <v>0</v>
      </c>
      <c r="AF236" s="38">
        <v>0</v>
      </c>
      <c r="AG236" s="39">
        <f>+IFERROR((FT_RF_26[[#This Row],[Valor Extra 2]]/FT_RF_26[[#This Row],[Muestra]]),"0")</f>
        <v>0</v>
      </c>
      <c r="AH236" s="40">
        <v>0</v>
      </c>
      <c r="AI236" s="39">
        <f>+IFERROR((FT_RF_26[[#This Row],[Hongos]]/FT_RF_26[[#This Row],[Muestra]]),"0")</f>
        <v>0</v>
      </c>
      <c r="AJ236" s="38">
        <v>0</v>
      </c>
      <c r="AK236" s="39">
        <f>+IFERROR((FT_RF_26[[#This Row],[Block]]/FT_RF_26[[#This Row],[Muestra]]),"0")</f>
        <v>0</v>
      </c>
      <c r="AL236" s="41">
        <v>0</v>
      </c>
      <c r="AM236" s="42">
        <v>0</v>
      </c>
      <c r="AN236" s="38">
        <v>0</v>
      </c>
      <c r="AO236" s="39">
        <f>+IFERROR((FT_RF_26[[#This Row],[Fuera de calibre &lt;12mm]]/FT_RF_26[[#This Row],[Muestra]]),"0")</f>
        <v>0</v>
      </c>
      <c r="AP236" s="38">
        <v>0</v>
      </c>
      <c r="AQ236" s="39">
        <f>+IFERROR((FT_RF_26[[#This Row],[Calibre &lt;25]]/FT_RF_26[[#This Row],[Muestra]]),"0")</f>
        <v>0</v>
      </c>
      <c r="AR236" s="38">
        <v>0</v>
      </c>
      <c r="AS236" s="39">
        <f>+IFERROR((FT_RF_26[[#This Row],[Calibre &gt;12]]/FT_RF_26[[#This Row],[Muestra]]),"0")</f>
        <v>0</v>
      </c>
      <c r="AT236" s="38">
        <v>0</v>
      </c>
      <c r="AU236" s="39">
        <f>+IFERROR((FT_RF_26[[#This Row],[Calibre &lt;14]]/FT_RF_26[[#This Row],[Muestra]]),"0")</f>
        <v>0</v>
      </c>
      <c r="AV236" s="38">
        <v>0</v>
      </c>
      <c r="AW236" s="39">
        <f>+IFERROR((FT_RF_26[[#This Row],[Calibre &gt;14]]/FT_RF_26[[#This Row],[Muestra]]),"0")</f>
        <v>0</v>
      </c>
      <c r="AX236" s="38">
        <v>0</v>
      </c>
      <c r="AY236" s="39">
        <f>+IFERROR((FT_RF_26[[#This Row],[Calibre &lt;10]]/FT_RF_26[[#This Row],[Muestra]]),"0")</f>
        <v>0</v>
      </c>
      <c r="AZ236" s="38">
        <v>0</v>
      </c>
      <c r="BA236" s="39">
        <f>+IFERROR((FT_RF_26[[#This Row],[Calibre &gt;13]]/FT_RF_26[[#This Row],[Muestra]]),"0")</f>
        <v>0</v>
      </c>
      <c r="BB236" s="41"/>
      <c r="BG236" s="42"/>
      <c r="BH236" s="43">
        <v>0</v>
      </c>
      <c r="BI236" s="29" t="s">
        <v>894</v>
      </c>
      <c r="BJ236" s="29" t="s">
        <v>894</v>
      </c>
      <c r="BK23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3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36" s="45">
        <f>1-FT_RF_26[[#This Row],[% Defectos]]</f>
        <v>1</v>
      </c>
      <c r="BO236" s="60"/>
      <c r="BP236" s="12">
        <f>SUM(FT_RF_26[[#This Row],[Hoja (Un.)]:[Larvas Caja]])</f>
        <v>0</v>
      </c>
      <c r="BQ236" s="12">
        <f>SUM(FT_RF_26[[#This Row],[Vidrios]:[Plástico]])</f>
        <v>0</v>
      </c>
      <c r="BR236" s="12" t="str">
        <f>IF(ISBLANK(FT_RF_26[[#This Row],[Descripción del producto]]),"",FT_RF_26[[#This Row],[Descripción del producto]])</f>
        <v/>
      </c>
      <c r="BS236" s="29" t="str">
        <f>IF(ISBLANK(FT_RF_26[[#This Row],[N° de Lote]]),"",FT_RF_26[[#This Row],[N° de Lote]])</f>
        <v/>
      </c>
      <c r="BT236" s="29" t="str">
        <f>IF(ISBLANK(FT_RF_26[[#This Row],[N° de Pallet]]),"",FT_RF_26[[#This Row],[N° de Pallet]])</f>
        <v/>
      </c>
    </row>
    <row r="237" spans="2:72">
      <c r="B237" s="29">
        <f>+_xlfn.ISOWEEKNUM(FT_RF_26[[#This Row],[Fecha]])</f>
        <v>52</v>
      </c>
      <c r="E237" s="31"/>
      <c r="F237" s="12" t="str">
        <f>IFERROR(""&amp;_xlfn.XLOOKUP(FT_RF_26[[#This Row],[Código]],BD_Cod[SKU],BD_Cod[Descripción]),"")</f>
        <v/>
      </c>
      <c r="G237" s="32" t="str">
        <f>IFERROR(""&amp;_xlfn.XLOOKUP(FT_RF_26[[#This Row],[Código]],BD_Cod[SKU],BD_Cod[Familia Calidad]),"")</f>
        <v/>
      </c>
      <c r="J237" s="33">
        <v>1000</v>
      </c>
      <c r="L237" s="30" t="s">
        <v>244</v>
      </c>
      <c r="O237" s="30" t="s">
        <v>894</v>
      </c>
      <c r="P237" s="29" t="s">
        <v>894</v>
      </c>
      <c r="Q237" s="37">
        <f>1-FT_RF_26[[#This Row],[% Defectos]]</f>
        <v>1</v>
      </c>
      <c r="R237" s="38">
        <v>0</v>
      </c>
      <c r="S237" s="39">
        <f>+IFERROR((FT_RF_26[[#This Row],[Inmadura]]/FT_RF_26[[#This Row],[Muestra]]),"0")</f>
        <v>0</v>
      </c>
      <c r="T237" s="38">
        <v>0</v>
      </c>
      <c r="U237" s="39">
        <f>+IFERROR((FT_RF_26[[#This Row],[Partidas]]/FT_RF_26[[#This Row],[Muestra]]),"0")</f>
        <v>0</v>
      </c>
      <c r="V237" s="38">
        <v>0</v>
      </c>
      <c r="W237" s="39">
        <f>+IFERROR((FT_RF_26[[#This Row],[Daño Insecto]]/FT_RF_26[[#This Row],[Muestra]]),"0")</f>
        <v>0</v>
      </c>
      <c r="X237" s="38">
        <v>0</v>
      </c>
      <c r="Y237" s="39">
        <f>+IFERROR((FT_RF_26[[#This Row],[Sobremadura]]/FT_RF_26[[#This Row],[Muestra]]),"0")</f>
        <v>0</v>
      </c>
      <c r="Z237" s="38">
        <v>0</v>
      </c>
      <c r="AA237" s="39">
        <f>+IFERROR((FT_RF_26[[#This Row],[Deforme]]/FT_RF_26[[#This Row],[Muestra]]),"0")</f>
        <v>0</v>
      </c>
      <c r="AB237" s="27"/>
      <c r="AC237" s="38">
        <v>0</v>
      </c>
      <c r="AD237" s="39">
        <f>+IFERROR((FT_RF_26[[#This Row],[Valor Extra 1]]/FT_RF_26[[#This Row],[Muestra]]),"0")</f>
        <v>0</v>
      </c>
      <c r="AF237" s="38">
        <v>0</v>
      </c>
      <c r="AG237" s="39">
        <f>+IFERROR((FT_RF_26[[#This Row],[Valor Extra 2]]/FT_RF_26[[#This Row],[Muestra]]),"0")</f>
        <v>0</v>
      </c>
      <c r="AH237" s="40">
        <v>0</v>
      </c>
      <c r="AI237" s="39">
        <f>+IFERROR((FT_RF_26[[#This Row],[Hongos]]/FT_RF_26[[#This Row],[Muestra]]),"0")</f>
        <v>0</v>
      </c>
      <c r="AJ237" s="38">
        <v>0</v>
      </c>
      <c r="AK237" s="39">
        <f>+IFERROR((FT_RF_26[[#This Row],[Block]]/FT_RF_26[[#This Row],[Muestra]]),"0")</f>
        <v>0</v>
      </c>
      <c r="AL237" s="41">
        <v>0</v>
      </c>
      <c r="AM237" s="42">
        <v>0</v>
      </c>
      <c r="AN237" s="38">
        <v>0</v>
      </c>
      <c r="AO237" s="39">
        <f>+IFERROR((FT_RF_26[[#This Row],[Fuera de calibre &lt;12mm]]/FT_RF_26[[#This Row],[Muestra]]),"0")</f>
        <v>0</v>
      </c>
      <c r="AP237" s="38">
        <v>0</v>
      </c>
      <c r="AQ237" s="39">
        <f>+IFERROR((FT_RF_26[[#This Row],[Calibre &lt;25]]/FT_RF_26[[#This Row],[Muestra]]),"0")</f>
        <v>0</v>
      </c>
      <c r="AR237" s="38">
        <v>0</v>
      </c>
      <c r="AS237" s="39">
        <f>+IFERROR((FT_RF_26[[#This Row],[Calibre &gt;12]]/FT_RF_26[[#This Row],[Muestra]]),"0")</f>
        <v>0</v>
      </c>
      <c r="AT237" s="38">
        <v>0</v>
      </c>
      <c r="AU237" s="39">
        <f>+IFERROR((FT_RF_26[[#This Row],[Calibre &lt;14]]/FT_RF_26[[#This Row],[Muestra]]),"0")</f>
        <v>0</v>
      </c>
      <c r="AV237" s="38">
        <v>0</v>
      </c>
      <c r="AW237" s="39">
        <f>+IFERROR((FT_RF_26[[#This Row],[Calibre &gt;14]]/FT_RF_26[[#This Row],[Muestra]]),"0")</f>
        <v>0</v>
      </c>
      <c r="AX237" s="38">
        <v>0</v>
      </c>
      <c r="AY237" s="39">
        <f>+IFERROR((FT_RF_26[[#This Row],[Calibre &lt;10]]/FT_RF_26[[#This Row],[Muestra]]),"0")</f>
        <v>0</v>
      </c>
      <c r="AZ237" s="38">
        <v>0</v>
      </c>
      <c r="BA237" s="39">
        <f>+IFERROR((FT_RF_26[[#This Row],[Calibre &gt;13]]/FT_RF_26[[#This Row],[Muestra]]),"0")</f>
        <v>0</v>
      </c>
      <c r="BB237" s="41"/>
      <c r="BG237" s="42"/>
      <c r="BH237" s="43">
        <v>0</v>
      </c>
      <c r="BI237" s="29" t="s">
        <v>894</v>
      </c>
      <c r="BJ237" s="29" t="s">
        <v>894</v>
      </c>
      <c r="BK23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3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37" s="45">
        <f>1-FT_RF_26[[#This Row],[% Defectos]]</f>
        <v>1</v>
      </c>
      <c r="BO237" s="60"/>
      <c r="BP237" s="12">
        <f>SUM(FT_RF_26[[#This Row],[Hoja (Un.)]:[Larvas Caja]])</f>
        <v>0</v>
      </c>
      <c r="BQ237" s="12">
        <f>SUM(FT_RF_26[[#This Row],[Vidrios]:[Plástico]])</f>
        <v>0</v>
      </c>
      <c r="BR237" s="12" t="str">
        <f>IF(ISBLANK(FT_RF_26[[#This Row],[Descripción del producto]]),"",FT_RF_26[[#This Row],[Descripción del producto]])</f>
        <v/>
      </c>
      <c r="BS237" s="29" t="str">
        <f>IF(ISBLANK(FT_RF_26[[#This Row],[N° de Lote]]),"",FT_RF_26[[#This Row],[N° de Lote]])</f>
        <v/>
      </c>
      <c r="BT237" s="29" t="str">
        <f>IF(ISBLANK(FT_RF_26[[#This Row],[N° de Pallet]]),"",FT_RF_26[[#This Row],[N° de Pallet]])</f>
        <v/>
      </c>
    </row>
    <row r="238" spans="2:72">
      <c r="B238" s="29">
        <f>+_xlfn.ISOWEEKNUM(FT_RF_26[[#This Row],[Fecha]])</f>
        <v>52</v>
      </c>
      <c r="E238" s="31"/>
      <c r="F238" s="12" t="str">
        <f>IFERROR(""&amp;_xlfn.XLOOKUP(FT_RF_26[[#This Row],[Código]],BD_Cod[SKU],BD_Cod[Descripción]),"")</f>
        <v/>
      </c>
      <c r="G238" s="32" t="str">
        <f>IFERROR(""&amp;_xlfn.XLOOKUP(FT_RF_26[[#This Row],[Código]],BD_Cod[SKU],BD_Cod[Familia Calidad]),"")</f>
        <v/>
      </c>
      <c r="J238" s="33">
        <v>1000</v>
      </c>
      <c r="L238" s="30" t="s">
        <v>244</v>
      </c>
      <c r="O238" s="30" t="s">
        <v>894</v>
      </c>
      <c r="P238" s="29" t="s">
        <v>894</v>
      </c>
      <c r="Q238" s="37">
        <f>1-FT_RF_26[[#This Row],[% Defectos]]</f>
        <v>1</v>
      </c>
      <c r="R238" s="38">
        <v>0</v>
      </c>
      <c r="S238" s="39">
        <f>+IFERROR((FT_RF_26[[#This Row],[Inmadura]]/FT_RF_26[[#This Row],[Muestra]]),"0")</f>
        <v>0</v>
      </c>
      <c r="T238" s="38">
        <v>0</v>
      </c>
      <c r="U238" s="39">
        <f>+IFERROR((FT_RF_26[[#This Row],[Partidas]]/FT_RF_26[[#This Row],[Muestra]]),"0")</f>
        <v>0</v>
      </c>
      <c r="V238" s="38">
        <v>0</v>
      </c>
      <c r="W238" s="39">
        <f>+IFERROR((FT_RF_26[[#This Row],[Daño Insecto]]/FT_RF_26[[#This Row],[Muestra]]),"0")</f>
        <v>0</v>
      </c>
      <c r="X238" s="38">
        <v>0</v>
      </c>
      <c r="Y238" s="39">
        <f>+IFERROR((FT_RF_26[[#This Row],[Sobremadura]]/FT_RF_26[[#This Row],[Muestra]]),"0")</f>
        <v>0</v>
      </c>
      <c r="Z238" s="38">
        <v>0</v>
      </c>
      <c r="AA238" s="39">
        <f>+IFERROR((FT_RF_26[[#This Row],[Deforme]]/FT_RF_26[[#This Row],[Muestra]]),"0")</f>
        <v>0</v>
      </c>
      <c r="AB238" s="27"/>
      <c r="AC238" s="38">
        <v>0</v>
      </c>
      <c r="AD238" s="39">
        <f>+IFERROR((FT_RF_26[[#This Row],[Valor Extra 1]]/FT_RF_26[[#This Row],[Muestra]]),"0")</f>
        <v>0</v>
      </c>
      <c r="AF238" s="38">
        <v>0</v>
      </c>
      <c r="AG238" s="39">
        <f>+IFERROR((FT_RF_26[[#This Row],[Valor Extra 2]]/FT_RF_26[[#This Row],[Muestra]]),"0")</f>
        <v>0</v>
      </c>
      <c r="AH238" s="40">
        <v>0</v>
      </c>
      <c r="AI238" s="39">
        <f>+IFERROR((FT_RF_26[[#This Row],[Hongos]]/FT_RF_26[[#This Row],[Muestra]]),"0")</f>
        <v>0</v>
      </c>
      <c r="AJ238" s="38">
        <v>0</v>
      </c>
      <c r="AK238" s="39">
        <f>+IFERROR((FT_RF_26[[#This Row],[Block]]/FT_RF_26[[#This Row],[Muestra]]),"0")</f>
        <v>0</v>
      </c>
      <c r="AL238" s="41">
        <v>0</v>
      </c>
      <c r="AM238" s="42">
        <v>0</v>
      </c>
      <c r="AN238" s="38">
        <v>0</v>
      </c>
      <c r="AO238" s="39">
        <f>+IFERROR((FT_RF_26[[#This Row],[Fuera de calibre &lt;12mm]]/FT_RF_26[[#This Row],[Muestra]]),"0")</f>
        <v>0</v>
      </c>
      <c r="AP238" s="38">
        <v>0</v>
      </c>
      <c r="AQ238" s="39">
        <f>+IFERROR((FT_RF_26[[#This Row],[Calibre &lt;25]]/FT_RF_26[[#This Row],[Muestra]]),"0")</f>
        <v>0</v>
      </c>
      <c r="AR238" s="38">
        <v>0</v>
      </c>
      <c r="AS238" s="39">
        <f>+IFERROR((FT_RF_26[[#This Row],[Calibre &gt;12]]/FT_RF_26[[#This Row],[Muestra]]),"0")</f>
        <v>0</v>
      </c>
      <c r="AT238" s="38">
        <v>0</v>
      </c>
      <c r="AU238" s="39">
        <f>+IFERROR((FT_RF_26[[#This Row],[Calibre &lt;14]]/FT_RF_26[[#This Row],[Muestra]]),"0")</f>
        <v>0</v>
      </c>
      <c r="AV238" s="38">
        <v>0</v>
      </c>
      <c r="AW238" s="39">
        <f>+IFERROR((FT_RF_26[[#This Row],[Calibre &gt;14]]/FT_RF_26[[#This Row],[Muestra]]),"0")</f>
        <v>0</v>
      </c>
      <c r="AX238" s="38">
        <v>0</v>
      </c>
      <c r="AY238" s="39">
        <f>+IFERROR((FT_RF_26[[#This Row],[Calibre &lt;10]]/FT_RF_26[[#This Row],[Muestra]]),"0")</f>
        <v>0</v>
      </c>
      <c r="AZ238" s="38">
        <v>0</v>
      </c>
      <c r="BA238" s="39">
        <f>+IFERROR((FT_RF_26[[#This Row],[Calibre &gt;13]]/FT_RF_26[[#This Row],[Muestra]]),"0")</f>
        <v>0</v>
      </c>
      <c r="BB238" s="41"/>
      <c r="BG238" s="42"/>
      <c r="BH238" s="43">
        <v>0</v>
      </c>
      <c r="BI238" s="29" t="s">
        <v>894</v>
      </c>
      <c r="BJ238" s="29" t="s">
        <v>894</v>
      </c>
      <c r="BK23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3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38" s="45">
        <f>1-FT_RF_26[[#This Row],[% Defectos]]</f>
        <v>1</v>
      </c>
      <c r="BO238" s="60"/>
      <c r="BP238" s="12">
        <f>SUM(FT_RF_26[[#This Row],[Hoja (Un.)]:[Larvas Caja]])</f>
        <v>0</v>
      </c>
      <c r="BQ238" s="12">
        <f>SUM(FT_RF_26[[#This Row],[Vidrios]:[Plástico]])</f>
        <v>0</v>
      </c>
      <c r="BR238" s="12" t="str">
        <f>IF(ISBLANK(FT_RF_26[[#This Row],[Descripción del producto]]),"",FT_RF_26[[#This Row],[Descripción del producto]])</f>
        <v/>
      </c>
      <c r="BS238" s="29" t="str">
        <f>IF(ISBLANK(FT_RF_26[[#This Row],[N° de Lote]]),"",FT_RF_26[[#This Row],[N° de Lote]])</f>
        <v/>
      </c>
      <c r="BT238" s="29" t="str">
        <f>IF(ISBLANK(FT_RF_26[[#This Row],[N° de Pallet]]),"",FT_RF_26[[#This Row],[N° de Pallet]])</f>
        <v/>
      </c>
    </row>
    <row r="239" spans="2:72">
      <c r="B239" s="29">
        <f>+_xlfn.ISOWEEKNUM(FT_RF_26[[#This Row],[Fecha]])</f>
        <v>52</v>
      </c>
      <c r="E239" s="31"/>
      <c r="F239" s="12" t="str">
        <f>IFERROR(""&amp;_xlfn.XLOOKUP(FT_RF_26[[#This Row],[Código]],BD_Cod[SKU],BD_Cod[Descripción]),"")</f>
        <v/>
      </c>
      <c r="G239" s="32" t="str">
        <f>IFERROR(""&amp;_xlfn.XLOOKUP(FT_RF_26[[#This Row],[Código]],BD_Cod[SKU],BD_Cod[Familia Calidad]),"")</f>
        <v/>
      </c>
      <c r="J239" s="33">
        <v>1000</v>
      </c>
      <c r="L239" s="30" t="s">
        <v>244</v>
      </c>
      <c r="O239" s="30" t="s">
        <v>894</v>
      </c>
      <c r="P239" s="29" t="s">
        <v>894</v>
      </c>
      <c r="Q239" s="37">
        <f>1-FT_RF_26[[#This Row],[% Defectos]]</f>
        <v>1</v>
      </c>
      <c r="R239" s="38">
        <v>0</v>
      </c>
      <c r="S239" s="39">
        <f>+IFERROR((FT_RF_26[[#This Row],[Inmadura]]/FT_RF_26[[#This Row],[Muestra]]),"0")</f>
        <v>0</v>
      </c>
      <c r="T239" s="38">
        <v>0</v>
      </c>
      <c r="U239" s="39">
        <f>+IFERROR((FT_RF_26[[#This Row],[Partidas]]/FT_RF_26[[#This Row],[Muestra]]),"0")</f>
        <v>0</v>
      </c>
      <c r="V239" s="38">
        <v>0</v>
      </c>
      <c r="W239" s="39">
        <f>+IFERROR((FT_RF_26[[#This Row],[Daño Insecto]]/FT_RF_26[[#This Row],[Muestra]]),"0")</f>
        <v>0</v>
      </c>
      <c r="X239" s="38">
        <v>0</v>
      </c>
      <c r="Y239" s="39">
        <f>+IFERROR((FT_RF_26[[#This Row],[Sobremadura]]/FT_RF_26[[#This Row],[Muestra]]),"0")</f>
        <v>0</v>
      </c>
      <c r="Z239" s="38">
        <v>0</v>
      </c>
      <c r="AA239" s="39">
        <f>+IFERROR((FT_RF_26[[#This Row],[Deforme]]/FT_RF_26[[#This Row],[Muestra]]),"0")</f>
        <v>0</v>
      </c>
      <c r="AB239" s="27"/>
      <c r="AC239" s="38">
        <v>0</v>
      </c>
      <c r="AD239" s="39">
        <f>+IFERROR((FT_RF_26[[#This Row],[Valor Extra 1]]/FT_RF_26[[#This Row],[Muestra]]),"0")</f>
        <v>0</v>
      </c>
      <c r="AF239" s="38">
        <v>0</v>
      </c>
      <c r="AG239" s="39">
        <f>+IFERROR((FT_RF_26[[#This Row],[Valor Extra 2]]/FT_RF_26[[#This Row],[Muestra]]),"0")</f>
        <v>0</v>
      </c>
      <c r="AH239" s="40">
        <v>0</v>
      </c>
      <c r="AI239" s="39">
        <f>+IFERROR((FT_RF_26[[#This Row],[Hongos]]/FT_RF_26[[#This Row],[Muestra]]),"0")</f>
        <v>0</v>
      </c>
      <c r="AJ239" s="38">
        <v>0</v>
      </c>
      <c r="AK239" s="39">
        <f>+IFERROR((FT_RF_26[[#This Row],[Block]]/FT_RF_26[[#This Row],[Muestra]]),"0")</f>
        <v>0</v>
      </c>
      <c r="AL239" s="41">
        <v>0</v>
      </c>
      <c r="AM239" s="42">
        <v>0</v>
      </c>
      <c r="AN239" s="38">
        <v>0</v>
      </c>
      <c r="AO239" s="39">
        <f>+IFERROR((FT_RF_26[[#This Row],[Fuera de calibre &lt;12mm]]/FT_RF_26[[#This Row],[Muestra]]),"0")</f>
        <v>0</v>
      </c>
      <c r="AP239" s="38">
        <v>0</v>
      </c>
      <c r="AQ239" s="39">
        <f>+IFERROR((FT_RF_26[[#This Row],[Calibre &lt;25]]/FT_RF_26[[#This Row],[Muestra]]),"0")</f>
        <v>0</v>
      </c>
      <c r="AR239" s="38">
        <v>0</v>
      </c>
      <c r="AS239" s="39">
        <f>+IFERROR((FT_RF_26[[#This Row],[Calibre &gt;12]]/FT_RF_26[[#This Row],[Muestra]]),"0")</f>
        <v>0</v>
      </c>
      <c r="AT239" s="38">
        <v>0</v>
      </c>
      <c r="AU239" s="39">
        <f>+IFERROR((FT_RF_26[[#This Row],[Calibre &lt;14]]/FT_RF_26[[#This Row],[Muestra]]),"0")</f>
        <v>0</v>
      </c>
      <c r="AV239" s="38">
        <v>0</v>
      </c>
      <c r="AW239" s="39">
        <f>+IFERROR((FT_RF_26[[#This Row],[Calibre &gt;14]]/FT_RF_26[[#This Row],[Muestra]]),"0")</f>
        <v>0</v>
      </c>
      <c r="AX239" s="38">
        <v>0</v>
      </c>
      <c r="AY239" s="39">
        <f>+IFERROR((FT_RF_26[[#This Row],[Calibre &lt;10]]/FT_RF_26[[#This Row],[Muestra]]),"0")</f>
        <v>0</v>
      </c>
      <c r="AZ239" s="38">
        <v>0</v>
      </c>
      <c r="BA239" s="39">
        <f>+IFERROR((FT_RF_26[[#This Row],[Calibre &gt;13]]/FT_RF_26[[#This Row],[Muestra]]),"0")</f>
        <v>0</v>
      </c>
      <c r="BB239" s="41"/>
      <c r="BG239" s="42"/>
      <c r="BH239" s="43">
        <v>0</v>
      </c>
      <c r="BI239" s="29" t="s">
        <v>894</v>
      </c>
      <c r="BJ239" s="29" t="s">
        <v>894</v>
      </c>
      <c r="BK23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3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39" s="45">
        <f>1-FT_RF_26[[#This Row],[% Defectos]]</f>
        <v>1</v>
      </c>
      <c r="BO239" s="60"/>
      <c r="BP239" s="12">
        <f>SUM(FT_RF_26[[#This Row],[Hoja (Un.)]:[Larvas Caja]])</f>
        <v>0</v>
      </c>
      <c r="BQ239" s="12">
        <f>SUM(FT_RF_26[[#This Row],[Vidrios]:[Plástico]])</f>
        <v>0</v>
      </c>
      <c r="BR239" s="12" t="str">
        <f>IF(ISBLANK(FT_RF_26[[#This Row],[Descripción del producto]]),"",FT_RF_26[[#This Row],[Descripción del producto]])</f>
        <v/>
      </c>
      <c r="BS239" s="29" t="str">
        <f>IF(ISBLANK(FT_RF_26[[#This Row],[N° de Lote]]),"",FT_RF_26[[#This Row],[N° de Lote]])</f>
        <v/>
      </c>
      <c r="BT239" s="29" t="str">
        <f>IF(ISBLANK(FT_RF_26[[#This Row],[N° de Pallet]]),"",FT_RF_26[[#This Row],[N° de Pallet]])</f>
        <v/>
      </c>
    </row>
    <row r="240" spans="2:72">
      <c r="B240" s="29">
        <f>+_xlfn.ISOWEEKNUM(FT_RF_26[[#This Row],[Fecha]])</f>
        <v>52</v>
      </c>
      <c r="E240" s="31"/>
      <c r="F240" s="12" t="str">
        <f>IFERROR(""&amp;_xlfn.XLOOKUP(FT_RF_26[[#This Row],[Código]],BD_Cod[SKU],BD_Cod[Descripción]),"")</f>
        <v/>
      </c>
      <c r="G240" s="32" t="str">
        <f>IFERROR(""&amp;_xlfn.XLOOKUP(FT_RF_26[[#This Row],[Código]],BD_Cod[SKU],BD_Cod[Familia Calidad]),"")</f>
        <v/>
      </c>
      <c r="J240" s="33">
        <v>1000</v>
      </c>
      <c r="L240" s="30" t="s">
        <v>244</v>
      </c>
      <c r="O240" s="30" t="s">
        <v>894</v>
      </c>
      <c r="P240" s="29" t="s">
        <v>894</v>
      </c>
      <c r="Q240" s="37">
        <f>1-FT_RF_26[[#This Row],[% Defectos]]</f>
        <v>1</v>
      </c>
      <c r="R240" s="38">
        <v>0</v>
      </c>
      <c r="S240" s="39">
        <f>+IFERROR((FT_RF_26[[#This Row],[Inmadura]]/FT_RF_26[[#This Row],[Muestra]]),"0")</f>
        <v>0</v>
      </c>
      <c r="T240" s="38">
        <v>0</v>
      </c>
      <c r="U240" s="39">
        <f>+IFERROR((FT_RF_26[[#This Row],[Partidas]]/FT_RF_26[[#This Row],[Muestra]]),"0")</f>
        <v>0</v>
      </c>
      <c r="V240" s="38">
        <v>0</v>
      </c>
      <c r="W240" s="39">
        <f>+IFERROR((FT_RF_26[[#This Row],[Daño Insecto]]/FT_RF_26[[#This Row],[Muestra]]),"0")</f>
        <v>0</v>
      </c>
      <c r="X240" s="38">
        <v>0</v>
      </c>
      <c r="Y240" s="39">
        <f>+IFERROR((FT_RF_26[[#This Row],[Sobremadura]]/FT_RF_26[[#This Row],[Muestra]]),"0")</f>
        <v>0</v>
      </c>
      <c r="Z240" s="38">
        <v>0</v>
      </c>
      <c r="AA240" s="39">
        <f>+IFERROR((FT_RF_26[[#This Row],[Deforme]]/FT_RF_26[[#This Row],[Muestra]]),"0")</f>
        <v>0</v>
      </c>
      <c r="AB240" s="27"/>
      <c r="AC240" s="38">
        <v>0</v>
      </c>
      <c r="AD240" s="39">
        <f>+IFERROR((FT_RF_26[[#This Row],[Valor Extra 1]]/FT_RF_26[[#This Row],[Muestra]]),"0")</f>
        <v>0</v>
      </c>
      <c r="AF240" s="38">
        <v>0</v>
      </c>
      <c r="AG240" s="39">
        <f>+IFERROR((FT_RF_26[[#This Row],[Valor Extra 2]]/FT_RF_26[[#This Row],[Muestra]]),"0")</f>
        <v>0</v>
      </c>
      <c r="AH240" s="40">
        <v>0</v>
      </c>
      <c r="AI240" s="39">
        <f>+IFERROR((FT_RF_26[[#This Row],[Hongos]]/FT_RF_26[[#This Row],[Muestra]]),"0")</f>
        <v>0</v>
      </c>
      <c r="AJ240" s="38">
        <v>0</v>
      </c>
      <c r="AK240" s="39">
        <f>+IFERROR((FT_RF_26[[#This Row],[Block]]/FT_RF_26[[#This Row],[Muestra]]),"0")</f>
        <v>0</v>
      </c>
      <c r="AL240" s="41">
        <v>0</v>
      </c>
      <c r="AM240" s="42">
        <v>0</v>
      </c>
      <c r="AN240" s="38">
        <v>0</v>
      </c>
      <c r="AO240" s="39">
        <f>+IFERROR((FT_RF_26[[#This Row],[Fuera de calibre &lt;12mm]]/FT_RF_26[[#This Row],[Muestra]]),"0")</f>
        <v>0</v>
      </c>
      <c r="AP240" s="38">
        <v>0</v>
      </c>
      <c r="AQ240" s="39">
        <f>+IFERROR((FT_RF_26[[#This Row],[Calibre &lt;25]]/FT_RF_26[[#This Row],[Muestra]]),"0")</f>
        <v>0</v>
      </c>
      <c r="AR240" s="38">
        <v>0</v>
      </c>
      <c r="AS240" s="39">
        <f>+IFERROR((FT_RF_26[[#This Row],[Calibre &gt;12]]/FT_RF_26[[#This Row],[Muestra]]),"0")</f>
        <v>0</v>
      </c>
      <c r="AT240" s="38">
        <v>0</v>
      </c>
      <c r="AU240" s="39">
        <f>+IFERROR((FT_RF_26[[#This Row],[Calibre &lt;14]]/FT_RF_26[[#This Row],[Muestra]]),"0")</f>
        <v>0</v>
      </c>
      <c r="AV240" s="38">
        <v>0</v>
      </c>
      <c r="AW240" s="39">
        <f>+IFERROR((FT_RF_26[[#This Row],[Calibre &gt;14]]/FT_RF_26[[#This Row],[Muestra]]),"0")</f>
        <v>0</v>
      </c>
      <c r="AX240" s="38">
        <v>0</v>
      </c>
      <c r="AY240" s="39">
        <f>+IFERROR((FT_RF_26[[#This Row],[Calibre &lt;10]]/FT_RF_26[[#This Row],[Muestra]]),"0")</f>
        <v>0</v>
      </c>
      <c r="AZ240" s="38">
        <v>0</v>
      </c>
      <c r="BA240" s="39">
        <f>+IFERROR((FT_RF_26[[#This Row],[Calibre &gt;13]]/FT_RF_26[[#This Row],[Muestra]]),"0")</f>
        <v>0</v>
      </c>
      <c r="BB240" s="41"/>
      <c r="BG240" s="42"/>
      <c r="BH240" s="43">
        <v>0</v>
      </c>
      <c r="BI240" s="29" t="s">
        <v>894</v>
      </c>
      <c r="BJ240" s="29" t="s">
        <v>894</v>
      </c>
      <c r="BK24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4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40" s="45">
        <f>1-FT_RF_26[[#This Row],[% Defectos]]</f>
        <v>1</v>
      </c>
      <c r="BO240" s="60"/>
      <c r="BP240" s="12">
        <f>SUM(FT_RF_26[[#This Row],[Hoja (Un.)]:[Larvas Caja]])</f>
        <v>0</v>
      </c>
      <c r="BQ240" s="12">
        <f>SUM(FT_RF_26[[#This Row],[Vidrios]:[Plástico]])</f>
        <v>0</v>
      </c>
      <c r="BR240" s="12" t="str">
        <f>IF(ISBLANK(FT_RF_26[[#This Row],[Descripción del producto]]),"",FT_RF_26[[#This Row],[Descripción del producto]])</f>
        <v/>
      </c>
      <c r="BS240" s="29" t="str">
        <f>IF(ISBLANK(FT_RF_26[[#This Row],[N° de Lote]]),"",FT_RF_26[[#This Row],[N° de Lote]])</f>
        <v/>
      </c>
      <c r="BT240" s="29" t="str">
        <f>IF(ISBLANK(FT_RF_26[[#This Row],[N° de Pallet]]),"",FT_RF_26[[#This Row],[N° de Pallet]])</f>
        <v/>
      </c>
    </row>
    <row r="241" spans="2:72">
      <c r="B241" s="29">
        <f>+_xlfn.ISOWEEKNUM(FT_RF_26[[#This Row],[Fecha]])</f>
        <v>52</v>
      </c>
      <c r="E241" s="31"/>
      <c r="F241" s="12" t="str">
        <f>IFERROR(""&amp;_xlfn.XLOOKUP(FT_RF_26[[#This Row],[Código]],BD_Cod[SKU],BD_Cod[Descripción]),"")</f>
        <v/>
      </c>
      <c r="G241" s="32" t="str">
        <f>IFERROR(""&amp;_xlfn.XLOOKUP(FT_RF_26[[#This Row],[Código]],BD_Cod[SKU],BD_Cod[Familia Calidad]),"")</f>
        <v/>
      </c>
      <c r="J241" s="33">
        <v>1000</v>
      </c>
      <c r="L241" s="30" t="s">
        <v>244</v>
      </c>
      <c r="O241" s="30" t="s">
        <v>894</v>
      </c>
      <c r="P241" s="29" t="s">
        <v>894</v>
      </c>
      <c r="Q241" s="37">
        <f>1-FT_RF_26[[#This Row],[% Defectos]]</f>
        <v>1</v>
      </c>
      <c r="R241" s="38">
        <v>0</v>
      </c>
      <c r="S241" s="39">
        <f>+IFERROR((FT_RF_26[[#This Row],[Inmadura]]/FT_RF_26[[#This Row],[Muestra]]),"0")</f>
        <v>0</v>
      </c>
      <c r="T241" s="38">
        <v>0</v>
      </c>
      <c r="U241" s="39">
        <f>+IFERROR((FT_RF_26[[#This Row],[Partidas]]/FT_RF_26[[#This Row],[Muestra]]),"0")</f>
        <v>0</v>
      </c>
      <c r="V241" s="38">
        <v>0</v>
      </c>
      <c r="W241" s="39">
        <f>+IFERROR((FT_RF_26[[#This Row],[Daño Insecto]]/FT_RF_26[[#This Row],[Muestra]]),"0")</f>
        <v>0</v>
      </c>
      <c r="X241" s="38">
        <v>0</v>
      </c>
      <c r="Y241" s="39">
        <f>+IFERROR((FT_RF_26[[#This Row],[Sobremadura]]/FT_RF_26[[#This Row],[Muestra]]),"0")</f>
        <v>0</v>
      </c>
      <c r="Z241" s="38">
        <v>0</v>
      </c>
      <c r="AA241" s="39">
        <f>+IFERROR((FT_RF_26[[#This Row],[Deforme]]/FT_RF_26[[#This Row],[Muestra]]),"0")</f>
        <v>0</v>
      </c>
      <c r="AB241" s="27"/>
      <c r="AC241" s="38">
        <v>0</v>
      </c>
      <c r="AD241" s="39">
        <f>+IFERROR((FT_RF_26[[#This Row],[Valor Extra 1]]/FT_RF_26[[#This Row],[Muestra]]),"0")</f>
        <v>0</v>
      </c>
      <c r="AF241" s="38">
        <v>0</v>
      </c>
      <c r="AG241" s="39">
        <f>+IFERROR((FT_RF_26[[#This Row],[Valor Extra 2]]/FT_RF_26[[#This Row],[Muestra]]),"0")</f>
        <v>0</v>
      </c>
      <c r="AH241" s="40">
        <v>0</v>
      </c>
      <c r="AI241" s="39">
        <f>+IFERROR((FT_RF_26[[#This Row],[Hongos]]/FT_RF_26[[#This Row],[Muestra]]),"0")</f>
        <v>0</v>
      </c>
      <c r="AJ241" s="38">
        <v>0</v>
      </c>
      <c r="AK241" s="39">
        <f>+IFERROR((FT_RF_26[[#This Row],[Block]]/FT_RF_26[[#This Row],[Muestra]]),"0")</f>
        <v>0</v>
      </c>
      <c r="AL241" s="41">
        <v>0</v>
      </c>
      <c r="AM241" s="42">
        <v>0</v>
      </c>
      <c r="AN241" s="38">
        <v>0</v>
      </c>
      <c r="AO241" s="39">
        <f>+IFERROR((FT_RF_26[[#This Row],[Fuera de calibre &lt;12mm]]/FT_RF_26[[#This Row],[Muestra]]),"0")</f>
        <v>0</v>
      </c>
      <c r="AP241" s="38">
        <v>0</v>
      </c>
      <c r="AQ241" s="39">
        <f>+IFERROR((FT_RF_26[[#This Row],[Calibre &lt;25]]/FT_RF_26[[#This Row],[Muestra]]),"0")</f>
        <v>0</v>
      </c>
      <c r="AR241" s="38">
        <v>0</v>
      </c>
      <c r="AS241" s="39">
        <f>+IFERROR((FT_RF_26[[#This Row],[Calibre &gt;12]]/FT_RF_26[[#This Row],[Muestra]]),"0")</f>
        <v>0</v>
      </c>
      <c r="AT241" s="38">
        <v>0</v>
      </c>
      <c r="AU241" s="39">
        <f>+IFERROR((FT_RF_26[[#This Row],[Calibre &lt;14]]/FT_RF_26[[#This Row],[Muestra]]),"0")</f>
        <v>0</v>
      </c>
      <c r="AV241" s="38">
        <v>0</v>
      </c>
      <c r="AW241" s="39">
        <f>+IFERROR((FT_RF_26[[#This Row],[Calibre &gt;14]]/FT_RF_26[[#This Row],[Muestra]]),"0")</f>
        <v>0</v>
      </c>
      <c r="AX241" s="38">
        <v>0</v>
      </c>
      <c r="AY241" s="39">
        <f>+IFERROR((FT_RF_26[[#This Row],[Calibre &lt;10]]/FT_RF_26[[#This Row],[Muestra]]),"0")</f>
        <v>0</v>
      </c>
      <c r="AZ241" s="38">
        <v>0</v>
      </c>
      <c r="BA241" s="39">
        <f>+IFERROR((FT_RF_26[[#This Row],[Calibre &gt;13]]/FT_RF_26[[#This Row],[Muestra]]),"0")</f>
        <v>0</v>
      </c>
      <c r="BB241" s="41"/>
      <c r="BG241" s="42"/>
      <c r="BH241" s="43">
        <v>0</v>
      </c>
      <c r="BI241" s="29" t="s">
        <v>894</v>
      </c>
      <c r="BJ241" s="29" t="s">
        <v>894</v>
      </c>
      <c r="BK24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4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41" s="45">
        <f>1-FT_RF_26[[#This Row],[% Defectos]]</f>
        <v>1</v>
      </c>
      <c r="BO241" s="60"/>
      <c r="BP241" s="12">
        <f>SUM(FT_RF_26[[#This Row],[Hoja (Un.)]:[Larvas Caja]])</f>
        <v>0</v>
      </c>
      <c r="BQ241" s="12">
        <f>SUM(FT_RF_26[[#This Row],[Vidrios]:[Plástico]])</f>
        <v>0</v>
      </c>
      <c r="BR241" s="12" t="str">
        <f>IF(ISBLANK(FT_RF_26[[#This Row],[Descripción del producto]]),"",FT_RF_26[[#This Row],[Descripción del producto]])</f>
        <v/>
      </c>
      <c r="BS241" s="29" t="str">
        <f>IF(ISBLANK(FT_RF_26[[#This Row],[N° de Lote]]),"",FT_RF_26[[#This Row],[N° de Lote]])</f>
        <v/>
      </c>
      <c r="BT241" s="29" t="str">
        <f>IF(ISBLANK(FT_RF_26[[#This Row],[N° de Pallet]]),"",FT_RF_26[[#This Row],[N° de Pallet]])</f>
        <v/>
      </c>
    </row>
    <row r="242" spans="2:72">
      <c r="B242" s="29">
        <f>+_xlfn.ISOWEEKNUM(FT_RF_26[[#This Row],[Fecha]])</f>
        <v>52</v>
      </c>
      <c r="E242" s="31"/>
      <c r="F242" s="12" t="str">
        <f>IFERROR(""&amp;_xlfn.XLOOKUP(FT_RF_26[[#This Row],[Código]],BD_Cod[SKU],BD_Cod[Descripción]),"")</f>
        <v/>
      </c>
      <c r="G242" s="32" t="str">
        <f>IFERROR(""&amp;_xlfn.XLOOKUP(FT_RF_26[[#This Row],[Código]],BD_Cod[SKU],BD_Cod[Familia Calidad]),"")</f>
        <v/>
      </c>
      <c r="J242" s="33">
        <v>1000</v>
      </c>
      <c r="L242" s="30" t="s">
        <v>244</v>
      </c>
      <c r="O242" s="30" t="s">
        <v>894</v>
      </c>
      <c r="P242" s="29" t="s">
        <v>894</v>
      </c>
      <c r="Q242" s="37">
        <f>1-FT_RF_26[[#This Row],[% Defectos]]</f>
        <v>1</v>
      </c>
      <c r="R242" s="38">
        <v>0</v>
      </c>
      <c r="S242" s="39">
        <f>+IFERROR((FT_RF_26[[#This Row],[Inmadura]]/FT_RF_26[[#This Row],[Muestra]]),"0")</f>
        <v>0</v>
      </c>
      <c r="T242" s="38">
        <v>0</v>
      </c>
      <c r="U242" s="39">
        <f>+IFERROR((FT_RF_26[[#This Row],[Partidas]]/FT_RF_26[[#This Row],[Muestra]]),"0")</f>
        <v>0</v>
      </c>
      <c r="V242" s="38">
        <v>0</v>
      </c>
      <c r="W242" s="39">
        <f>+IFERROR((FT_RF_26[[#This Row],[Daño Insecto]]/FT_RF_26[[#This Row],[Muestra]]),"0")</f>
        <v>0</v>
      </c>
      <c r="X242" s="38">
        <v>0</v>
      </c>
      <c r="Y242" s="39">
        <f>+IFERROR((FT_RF_26[[#This Row],[Sobremadura]]/FT_RF_26[[#This Row],[Muestra]]),"0")</f>
        <v>0</v>
      </c>
      <c r="Z242" s="38">
        <v>0</v>
      </c>
      <c r="AA242" s="39">
        <f>+IFERROR((FT_RF_26[[#This Row],[Deforme]]/FT_RF_26[[#This Row],[Muestra]]),"0")</f>
        <v>0</v>
      </c>
      <c r="AB242" s="27"/>
      <c r="AC242" s="38">
        <v>0</v>
      </c>
      <c r="AD242" s="39">
        <f>+IFERROR((FT_RF_26[[#This Row],[Valor Extra 1]]/FT_RF_26[[#This Row],[Muestra]]),"0")</f>
        <v>0</v>
      </c>
      <c r="AF242" s="38">
        <v>0</v>
      </c>
      <c r="AG242" s="39">
        <f>+IFERROR((FT_RF_26[[#This Row],[Valor Extra 2]]/FT_RF_26[[#This Row],[Muestra]]),"0")</f>
        <v>0</v>
      </c>
      <c r="AH242" s="40">
        <v>0</v>
      </c>
      <c r="AI242" s="39">
        <f>+IFERROR((FT_RF_26[[#This Row],[Hongos]]/FT_RF_26[[#This Row],[Muestra]]),"0")</f>
        <v>0</v>
      </c>
      <c r="AJ242" s="38">
        <v>0</v>
      </c>
      <c r="AK242" s="39">
        <f>+IFERROR((FT_RF_26[[#This Row],[Block]]/FT_RF_26[[#This Row],[Muestra]]),"0")</f>
        <v>0</v>
      </c>
      <c r="AL242" s="41">
        <v>0</v>
      </c>
      <c r="AM242" s="42">
        <v>0</v>
      </c>
      <c r="AN242" s="38">
        <v>0</v>
      </c>
      <c r="AO242" s="39">
        <f>+IFERROR((FT_RF_26[[#This Row],[Fuera de calibre &lt;12mm]]/FT_RF_26[[#This Row],[Muestra]]),"0")</f>
        <v>0</v>
      </c>
      <c r="AP242" s="38">
        <v>0</v>
      </c>
      <c r="AQ242" s="39">
        <f>+IFERROR((FT_RF_26[[#This Row],[Calibre &lt;25]]/FT_RF_26[[#This Row],[Muestra]]),"0")</f>
        <v>0</v>
      </c>
      <c r="AR242" s="38">
        <v>0</v>
      </c>
      <c r="AS242" s="39">
        <f>+IFERROR((FT_RF_26[[#This Row],[Calibre &gt;12]]/FT_RF_26[[#This Row],[Muestra]]),"0")</f>
        <v>0</v>
      </c>
      <c r="AT242" s="38">
        <v>0</v>
      </c>
      <c r="AU242" s="39">
        <f>+IFERROR((FT_RF_26[[#This Row],[Calibre &lt;14]]/FT_RF_26[[#This Row],[Muestra]]),"0")</f>
        <v>0</v>
      </c>
      <c r="AV242" s="38">
        <v>0</v>
      </c>
      <c r="AW242" s="39">
        <f>+IFERROR((FT_RF_26[[#This Row],[Calibre &gt;14]]/FT_RF_26[[#This Row],[Muestra]]),"0")</f>
        <v>0</v>
      </c>
      <c r="AX242" s="38">
        <v>0</v>
      </c>
      <c r="AY242" s="39">
        <f>+IFERROR((FT_RF_26[[#This Row],[Calibre &lt;10]]/FT_RF_26[[#This Row],[Muestra]]),"0")</f>
        <v>0</v>
      </c>
      <c r="AZ242" s="38">
        <v>0</v>
      </c>
      <c r="BA242" s="39">
        <f>+IFERROR((FT_RF_26[[#This Row],[Calibre &gt;13]]/FT_RF_26[[#This Row],[Muestra]]),"0")</f>
        <v>0</v>
      </c>
      <c r="BB242" s="41"/>
      <c r="BG242" s="42"/>
      <c r="BH242" s="43">
        <v>0</v>
      </c>
      <c r="BI242" s="29" t="s">
        <v>894</v>
      </c>
      <c r="BJ242" s="29" t="s">
        <v>894</v>
      </c>
      <c r="BK24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4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42" s="45">
        <f>1-FT_RF_26[[#This Row],[% Defectos]]</f>
        <v>1</v>
      </c>
      <c r="BO242" s="60"/>
      <c r="BP242" s="12">
        <f>SUM(FT_RF_26[[#This Row],[Hoja (Un.)]:[Larvas Caja]])</f>
        <v>0</v>
      </c>
      <c r="BQ242" s="12">
        <f>SUM(FT_RF_26[[#This Row],[Vidrios]:[Plástico]])</f>
        <v>0</v>
      </c>
      <c r="BR242" s="12" t="str">
        <f>IF(ISBLANK(FT_RF_26[[#This Row],[Descripción del producto]]),"",FT_RF_26[[#This Row],[Descripción del producto]])</f>
        <v/>
      </c>
      <c r="BS242" s="29" t="str">
        <f>IF(ISBLANK(FT_RF_26[[#This Row],[N° de Lote]]),"",FT_RF_26[[#This Row],[N° de Lote]])</f>
        <v/>
      </c>
      <c r="BT242" s="29" t="str">
        <f>IF(ISBLANK(FT_RF_26[[#This Row],[N° de Pallet]]),"",FT_RF_26[[#This Row],[N° de Pallet]])</f>
        <v/>
      </c>
    </row>
    <row r="243" spans="2:72">
      <c r="B243" s="29">
        <f>+_xlfn.ISOWEEKNUM(FT_RF_26[[#This Row],[Fecha]])</f>
        <v>52</v>
      </c>
      <c r="E243" s="31"/>
      <c r="F243" s="12" t="str">
        <f>IFERROR(""&amp;_xlfn.XLOOKUP(FT_RF_26[[#This Row],[Código]],BD_Cod[SKU],BD_Cod[Descripción]),"")</f>
        <v/>
      </c>
      <c r="G243" s="32" t="str">
        <f>IFERROR(""&amp;_xlfn.XLOOKUP(FT_RF_26[[#This Row],[Código]],BD_Cod[SKU],BD_Cod[Familia Calidad]),"")</f>
        <v/>
      </c>
      <c r="J243" s="33">
        <v>1000</v>
      </c>
      <c r="L243" s="30" t="s">
        <v>244</v>
      </c>
      <c r="O243" s="30" t="s">
        <v>894</v>
      </c>
      <c r="P243" s="29" t="s">
        <v>894</v>
      </c>
      <c r="Q243" s="37">
        <f>1-FT_RF_26[[#This Row],[% Defectos]]</f>
        <v>1</v>
      </c>
      <c r="R243" s="38">
        <v>0</v>
      </c>
      <c r="S243" s="39">
        <f>+IFERROR((FT_RF_26[[#This Row],[Inmadura]]/FT_RF_26[[#This Row],[Muestra]]),"0")</f>
        <v>0</v>
      </c>
      <c r="T243" s="38">
        <v>0</v>
      </c>
      <c r="U243" s="39">
        <f>+IFERROR((FT_RF_26[[#This Row],[Partidas]]/FT_RF_26[[#This Row],[Muestra]]),"0")</f>
        <v>0</v>
      </c>
      <c r="V243" s="38">
        <v>0</v>
      </c>
      <c r="W243" s="39">
        <f>+IFERROR((FT_RF_26[[#This Row],[Daño Insecto]]/FT_RF_26[[#This Row],[Muestra]]),"0")</f>
        <v>0</v>
      </c>
      <c r="X243" s="38">
        <v>0</v>
      </c>
      <c r="Y243" s="39">
        <f>+IFERROR((FT_RF_26[[#This Row],[Sobremadura]]/FT_RF_26[[#This Row],[Muestra]]),"0")</f>
        <v>0</v>
      </c>
      <c r="Z243" s="38">
        <v>0</v>
      </c>
      <c r="AA243" s="39">
        <f>+IFERROR((FT_RF_26[[#This Row],[Deforme]]/FT_RF_26[[#This Row],[Muestra]]),"0")</f>
        <v>0</v>
      </c>
      <c r="AB243" s="27"/>
      <c r="AC243" s="38">
        <v>0</v>
      </c>
      <c r="AD243" s="39">
        <f>+IFERROR((FT_RF_26[[#This Row],[Valor Extra 1]]/FT_RF_26[[#This Row],[Muestra]]),"0")</f>
        <v>0</v>
      </c>
      <c r="AF243" s="38">
        <v>0</v>
      </c>
      <c r="AG243" s="39">
        <f>+IFERROR((FT_RF_26[[#This Row],[Valor Extra 2]]/FT_RF_26[[#This Row],[Muestra]]),"0")</f>
        <v>0</v>
      </c>
      <c r="AH243" s="40">
        <v>0</v>
      </c>
      <c r="AI243" s="39">
        <f>+IFERROR((FT_RF_26[[#This Row],[Hongos]]/FT_RF_26[[#This Row],[Muestra]]),"0")</f>
        <v>0</v>
      </c>
      <c r="AJ243" s="38">
        <v>0</v>
      </c>
      <c r="AK243" s="39">
        <f>+IFERROR((FT_RF_26[[#This Row],[Block]]/FT_RF_26[[#This Row],[Muestra]]),"0")</f>
        <v>0</v>
      </c>
      <c r="AL243" s="41">
        <v>0</v>
      </c>
      <c r="AM243" s="42">
        <v>0</v>
      </c>
      <c r="AN243" s="38">
        <v>0</v>
      </c>
      <c r="AO243" s="39">
        <f>+IFERROR((FT_RF_26[[#This Row],[Fuera de calibre &lt;12mm]]/FT_RF_26[[#This Row],[Muestra]]),"0")</f>
        <v>0</v>
      </c>
      <c r="AP243" s="38">
        <v>0</v>
      </c>
      <c r="AQ243" s="39">
        <f>+IFERROR((FT_RF_26[[#This Row],[Calibre &lt;25]]/FT_RF_26[[#This Row],[Muestra]]),"0")</f>
        <v>0</v>
      </c>
      <c r="AR243" s="38">
        <v>0</v>
      </c>
      <c r="AS243" s="39">
        <f>+IFERROR((FT_RF_26[[#This Row],[Calibre &gt;12]]/FT_RF_26[[#This Row],[Muestra]]),"0")</f>
        <v>0</v>
      </c>
      <c r="AT243" s="38">
        <v>0</v>
      </c>
      <c r="AU243" s="39">
        <f>+IFERROR((FT_RF_26[[#This Row],[Calibre &lt;14]]/FT_RF_26[[#This Row],[Muestra]]),"0")</f>
        <v>0</v>
      </c>
      <c r="AV243" s="38">
        <v>0</v>
      </c>
      <c r="AW243" s="39">
        <f>+IFERROR((FT_RF_26[[#This Row],[Calibre &gt;14]]/FT_RF_26[[#This Row],[Muestra]]),"0")</f>
        <v>0</v>
      </c>
      <c r="AX243" s="38">
        <v>0</v>
      </c>
      <c r="AY243" s="39">
        <f>+IFERROR((FT_RF_26[[#This Row],[Calibre &lt;10]]/FT_RF_26[[#This Row],[Muestra]]),"0")</f>
        <v>0</v>
      </c>
      <c r="AZ243" s="38">
        <v>0</v>
      </c>
      <c r="BA243" s="39">
        <f>+IFERROR((FT_RF_26[[#This Row],[Calibre &gt;13]]/FT_RF_26[[#This Row],[Muestra]]),"0")</f>
        <v>0</v>
      </c>
      <c r="BB243" s="41"/>
      <c r="BG243" s="42"/>
      <c r="BH243" s="43">
        <v>0</v>
      </c>
      <c r="BI243" s="29" t="s">
        <v>894</v>
      </c>
      <c r="BJ243" s="29" t="s">
        <v>894</v>
      </c>
      <c r="BK24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4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43" s="45">
        <f>1-FT_RF_26[[#This Row],[% Defectos]]</f>
        <v>1</v>
      </c>
      <c r="BO243" s="60"/>
      <c r="BP243" s="12">
        <f>SUM(FT_RF_26[[#This Row],[Hoja (Un.)]:[Larvas Caja]])</f>
        <v>0</v>
      </c>
      <c r="BQ243" s="12">
        <f>SUM(FT_RF_26[[#This Row],[Vidrios]:[Plástico]])</f>
        <v>0</v>
      </c>
      <c r="BR243" s="12" t="str">
        <f>IF(ISBLANK(FT_RF_26[[#This Row],[Descripción del producto]]),"",FT_RF_26[[#This Row],[Descripción del producto]])</f>
        <v/>
      </c>
      <c r="BS243" s="29" t="str">
        <f>IF(ISBLANK(FT_RF_26[[#This Row],[N° de Lote]]),"",FT_RF_26[[#This Row],[N° de Lote]])</f>
        <v/>
      </c>
      <c r="BT243" s="29" t="str">
        <f>IF(ISBLANK(FT_RF_26[[#This Row],[N° de Pallet]]),"",FT_RF_26[[#This Row],[N° de Pallet]])</f>
        <v/>
      </c>
    </row>
    <row r="244" spans="2:72">
      <c r="B244" s="29">
        <f>+_xlfn.ISOWEEKNUM(FT_RF_26[[#This Row],[Fecha]])</f>
        <v>52</v>
      </c>
      <c r="E244" s="31"/>
      <c r="F244" s="12" t="str">
        <f>IFERROR(""&amp;_xlfn.XLOOKUP(FT_RF_26[[#This Row],[Código]],BD_Cod[SKU],BD_Cod[Descripción]),"")</f>
        <v/>
      </c>
      <c r="G244" s="32" t="str">
        <f>IFERROR(""&amp;_xlfn.XLOOKUP(FT_RF_26[[#This Row],[Código]],BD_Cod[SKU],BD_Cod[Familia Calidad]),"")</f>
        <v/>
      </c>
      <c r="J244" s="33">
        <v>1000</v>
      </c>
      <c r="L244" s="30" t="s">
        <v>244</v>
      </c>
      <c r="O244" s="30" t="s">
        <v>894</v>
      </c>
      <c r="P244" s="29" t="s">
        <v>894</v>
      </c>
      <c r="Q244" s="37">
        <f>1-FT_RF_26[[#This Row],[% Defectos]]</f>
        <v>1</v>
      </c>
      <c r="R244" s="38">
        <v>0</v>
      </c>
      <c r="S244" s="39">
        <f>+IFERROR((FT_RF_26[[#This Row],[Inmadura]]/FT_RF_26[[#This Row],[Muestra]]),"0")</f>
        <v>0</v>
      </c>
      <c r="T244" s="38">
        <v>0</v>
      </c>
      <c r="U244" s="39">
        <f>+IFERROR((FT_RF_26[[#This Row],[Partidas]]/FT_RF_26[[#This Row],[Muestra]]),"0")</f>
        <v>0</v>
      </c>
      <c r="V244" s="38">
        <v>0</v>
      </c>
      <c r="W244" s="39">
        <f>+IFERROR((FT_RF_26[[#This Row],[Daño Insecto]]/FT_RF_26[[#This Row],[Muestra]]),"0")</f>
        <v>0</v>
      </c>
      <c r="X244" s="38">
        <v>0</v>
      </c>
      <c r="Y244" s="39">
        <f>+IFERROR((FT_RF_26[[#This Row],[Sobremadura]]/FT_RF_26[[#This Row],[Muestra]]),"0")</f>
        <v>0</v>
      </c>
      <c r="Z244" s="38">
        <v>0</v>
      </c>
      <c r="AA244" s="39">
        <f>+IFERROR((FT_RF_26[[#This Row],[Deforme]]/FT_RF_26[[#This Row],[Muestra]]),"0")</f>
        <v>0</v>
      </c>
      <c r="AB244" s="27"/>
      <c r="AC244" s="38">
        <v>0</v>
      </c>
      <c r="AD244" s="39">
        <f>+IFERROR((FT_RF_26[[#This Row],[Valor Extra 1]]/FT_RF_26[[#This Row],[Muestra]]),"0")</f>
        <v>0</v>
      </c>
      <c r="AF244" s="38">
        <v>0</v>
      </c>
      <c r="AG244" s="39">
        <f>+IFERROR((FT_RF_26[[#This Row],[Valor Extra 2]]/FT_RF_26[[#This Row],[Muestra]]),"0")</f>
        <v>0</v>
      </c>
      <c r="AH244" s="40">
        <v>0</v>
      </c>
      <c r="AI244" s="39">
        <f>+IFERROR((FT_RF_26[[#This Row],[Hongos]]/FT_RF_26[[#This Row],[Muestra]]),"0")</f>
        <v>0</v>
      </c>
      <c r="AJ244" s="38">
        <v>0</v>
      </c>
      <c r="AK244" s="39">
        <f>+IFERROR((FT_RF_26[[#This Row],[Block]]/FT_RF_26[[#This Row],[Muestra]]),"0")</f>
        <v>0</v>
      </c>
      <c r="AL244" s="41">
        <v>0</v>
      </c>
      <c r="AM244" s="42">
        <v>0</v>
      </c>
      <c r="AN244" s="38">
        <v>0</v>
      </c>
      <c r="AO244" s="39">
        <f>+IFERROR((FT_RF_26[[#This Row],[Fuera de calibre &lt;12mm]]/FT_RF_26[[#This Row],[Muestra]]),"0")</f>
        <v>0</v>
      </c>
      <c r="AP244" s="38">
        <v>0</v>
      </c>
      <c r="AQ244" s="39">
        <f>+IFERROR((FT_RF_26[[#This Row],[Calibre &lt;25]]/FT_RF_26[[#This Row],[Muestra]]),"0")</f>
        <v>0</v>
      </c>
      <c r="AR244" s="38">
        <v>0</v>
      </c>
      <c r="AS244" s="39">
        <f>+IFERROR((FT_RF_26[[#This Row],[Calibre &gt;12]]/FT_RF_26[[#This Row],[Muestra]]),"0")</f>
        <v>0</v>
      </c>
      <c r="AT244" s="38">
        <v>0</v>
      </c>
      <c r="AU244" s="39">
        <f>+IFERROR((FT_RF_26[[#This Row],[Calibre &lt;14]]/FT_RF_26[[#This Row],[Muestra]]),"0")</f>
        <v>0</v>
      </c>
      <c r="AV244" s="38">
        <v>0</v>
      </c>
      <c r="AW244" s="39">
        <f>+IFERROR((FT_RF_26[[#This Row],[Calibre &gt;14]]/FT_RF_26[[#This Row],[Muestra]]),"0")</f>
        <v>0</v>
      </c>
      <c r="AX244" s="38">
        <v>0</v>
      </c>
      <c r="AY244" s="39">
        <f>+IFERROR((FT_RF_26[[#This Row],[Calibre &lt;10]]/FT_RF_26[[#This Row],[Muestra]]),"0")</f>
        <v>0</v>
      </c>
      <c r="AZ244" s="38">
        <v>0</v>
      </c>
      <c r="BA244" s="39">
        <f>+IFERROR((FT_RF_26[[#This Row],[Calibre &gt;13]]/FT_RF_26[[#This Row],[Muestra]]),"0")</f>
        <v>0</v>
      </c>
      <c r="BB244" s="41"/>
      <c r="BG244" s="42"/>
      <c r="BH244" s="43">
        <v>0</v>
      </c>
      <c r="BI244" s="29" t="s">
        <v>894</v>
      </c>
      <c r="BJ244" s="29" t="s">
        <v>894</v>
      </c>
      <c r="BK24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4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44" s="45">
        <f>1-FT_RF_26[[#This Row],[% Defectos]]</f>
        <v>1</v>
      </c>
      <c r="BO244" s="60"/>
      <c r="BP244" s="12">
        <f>SUM(FT_RF_26[[#This Row],[Hoja (Un.)]:[Larvas Caja]])</f>
        <v>0</v>
      </c>
      <c r="BQ244" s="12">
        <f>SUM(FT_RF_26[[#This Row],[Vidrios]:[Plástico]])</f>
        <v>0</v>
      </c>
      <c r="BR244" s="12" t="str">
        <f>IF(ISBLANK(FT_RF_26[[#This Row],[Descripción del producto]]),"",FT_RF_26[[#This Row],[Descripción del producto]])</f>
        <v/>
      </c>
      <c r="BS244" s="29" t="str">
        <f>IF(ISBLANK(FT_RF_26[[#This Row],[N° de Lote]]),"",FT_RF_26[[#This Row],[N° de Lote]])</f>
        <v/>
      </c>
      <c r="BT244" s="29" t="str">
        <f>IF(ISBLANK(FT_RF_26[[#This Row],[N° de Pallet]]),"",FT_RF_26[[#This Row],[N° de Pallet]])</f>
        <v/>
      </c>
    </row>
    <row r="245" spans="2:72">
      <c r="B245" s="29">
        <f>+_xlfn.ISOWEEKNUM(FT_RF_26[[#This Row],[Fecha]])</f>
        <v>52</v>
      </c>
      <c r="E245" s="31"/>
      <c r="F245" s="12" t="str">
        <f>IFERROR(""&amp;_xlfn.XLOOKUP(FT_RF_26[[#This Row],[Código]],BD_Cod[SKU],BD_Cod[Descripción]),"")</f>
        <v/>
      </c>
      <c r="G245" s="32" t="str">
        <f>IFERROR(""&amp;_xlfn.XLOOKUP(FT_RF_26[[#This Row],[Código]],BD_Cod[SKU],BD_Cod[Familia Calidad]),"")</f>
        <v/>
      </c>
      <c r="J245" s="33">
        <v>1000</v>
      </c>
      <c r="L245" s="30" t="s">
        <v>244</v>
      </c>
      <c r="O245" s="30" t="s">
        <v>894</v>
      </c>
      <c r="P245" s="29" t="s">
        <v>894</v>
      </c>
      <c r="Q245" s="37">
        <f>1-FT_RF_26[[#This Row],[% Defectos]]</f>
        <v>1</v>
      </c>
      <c r="R245" s="38">
        <v>0</v>
      </c>
      <c r="S245" s="39">
        <f>+IFERROR((FT_RF_26[[#This Row],[Inmadura]]/FT_RF_26[[#This Row],[Muestra]]),"0")</f>
        <v>0</v>
      </c>
      <c r="T245" s="38">
        <v>0</v>
      </c>
      <c r="U245" s="39">
        <f>+IFERROR((FT_RF_26[[#This Row],[Partidas]]/FT_RF_26[[#This Row],[Muestra]]),"0")</f>
        <v>0</v>
      </c>
      <c r="V245" s="38">
        <v>0</v>
      </c>
      <c r="W245" s="39">
        <f>+IFERROR((FT_RF_26[[#This Row],[Daño Insecto]]/FT_RF_26[[#This Row],[Muestra]]),"0")</f>
        <v>0</v>
      </c>
      <c r="X245" s="38">
        <v>0</v>
      </c>
      <c r="Y245" s="39">
        <f>+IFERROR((FT_RF_26[[#This Row],[Sobremadura]]/FT_RF_26[[#This Row],[Muestra]]),"0")</f>
        <v>0</v>
      </c>
      <c r="Z245" s="38">
        <v>0</v>
      </c>
      <c r="AA245" s="39">
        <f>+IFERROR((FT_RF_26[[#This Row],[Deforme]]/FT_RF_26[[#This Row],[Muestra]]),"0")</f>
        <v>0</v>
      </c>
      <c r="AB245" s="27"/>
      <c r="AC245" s="38">
        <v>0</v>
      </c>
      <c r="AD245" s="39">
        <f>+IFERROR((FT_RF_26[[#This Row],[Valor Extra 1]]/FT_RF_26[[#This Row],[Muestra]]),"0")</f>
        <v>0</v>
      </c>
      <c r="AF245" s="38">
        <v>0</v>
      </c>
      <c r="AG245" s="39">
        <f>+IFERROR((FT_RF_26[[#This Row],[Valor Extra 2]]/FT_RF_26[[#This Row],[Muestra]]),"0")</f>
        <v>0</v>
      </c>
      <c r="AH245" s="40">
        <v>0</v>
      </c>
      <c r="AI245" s="39">
        <f>+IFERROR((FT_RF_26[[#This Row],[Hongos]]/FT_RF_26[[#This Row],[Muestra]]),"0")</f>
        <v>0</v>
      </c>
      <c r="AJ245" s="38">
        <v>0</v>
      </c>
      <c r="AK245" s="39">
        <f>+IFERROR((FT_RF_26[[#This Row],[Block]]/FT_RF_26[[#This Row],[Muestra]]),"0")</f>
        <v>0</v>
      </c>
      <c r="AL245" s="41">
        <v>0</v>
      </c>
      <c r="AM245" s="42">
        <v>0</v>
      </c>
      <c r="AN245" s="38">
        <v>0</v>
      </c>
      <c r="AO245" s="39">
        <f>+IFERROR((FT_RF_26[[#This Row],[Fuera de calibre &lt;12mm]]/FT_RF_26[[#This Row],[Muestra]]),"0")</f>
        <v>0</v>
      </c>
      <c r="AP245" s="38">
        <v>0</v>
      </c>
      <c r="AQ245" s="39">
        <f>+IFERROR((FT_RF_26[[#This Row],[Calibre &lt;25]]/FT_RF_26[[#This Row],[Muestra]]),"0")</f>
        <v>0</v>
      </c>
      <c r="AR245" s="38">
        <v>0</v>
      </c>
      <c r="AS245" s="39">
        <f>+IFERROR((FT_RF_26[[#This Row],[Calibre &gt;12]]/FT_RF_26[[#This Row],[Muestra]]),"0")</f>
        <v>0</v>
      </c>
      <c r="AT245" s="38">
        <v>0</v>
      </c>
      <c r="AU245" s="39">
        <f>+IFERROR((FT_RF_26[[#This Row],[Calibre &lt;14]]/FT_RF_26[[#This Row],[Muestra]]),"0")</f>
        <v>0</v>
      </c>
      <c r="AV245" s="38">
        <v>0</v>
      </c>
      <c r="AW245" s="39">
        <f>+IFERROR((FT_RF_26[[#This Row],[Calibre &gt;14]]/FT_RF_26[[#This Row],[Muestra]]),"0")</f>
        <v>0</v>
      </c>
      <c r="AX245" s="38">
        <v>0</v>
      </c>
      <c r="AY245" s="39">
        <f>+IFERROR((FT_RF_26[[#This Row],[Calibre &lt;10]]/FT_RF_26[[#This Row],[Muestra]]),"0")</f>
        <v>0</v>
      </c>
      <c r="AZ245" s="38">
        <v>0</v>
      </c>
      <c r="BA245" s="39">
        <f>+IFERROR((FT_RF_26[[#This Row],[Calibre &gt;13]]/FT_RF_26[[#This Row],[Muestra]]),"0")</f>
        <v>0</v>
      </c>
      <c r="BB245" s="41"/>
      <c r="BG245" s="42"/>
      <c r="BH245" s="43">
        <v>0</v>
      </c>
      <c r="BI245" s="29" t="s">
        <v>894</v>
      </c>
      <c r="BJ245" s="29" t="s">
        <v>894</v>
      </c>
      <c r="BK24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4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45" s="45">
        <f>1-FT_RF_26[[#This Row],[% Defectos]]</f>
        <v>1</v>
      </c>
      <c r="BO245" s="60"/>
      <c r="BP245" s="12">
        <f>SUM(FT_RF_26[[#This Row],[Hoja (Un.)]:[Larvas Caja]])</f>
        <v>0</v>
      </c>
      <c r="BQ245" s="12">
        <f>SUM(FT_RF_26[[#This Row],[Vidrios]:[Plástico]])</f>
        <v>0</v>
      </c>
      <c r="BR245" s="12" t="str">
        <f>IF(ISBLANK(FT_RF_26[[#This Row],[Descripción del producto]]),"",FT_RF_26[[#This Row],[Descripción del producto]])</f>
        <v/>
      </c>
      <c r="BS245" s="29" t="str">
        <f>IF(ISBLANK(FT_RF_26[[#This Row],[N° de Lote]]),"",FT_RF_26[[#This Row],[N° de Lote]])</f>
        <v/>
      </c>
      <c r="BT245" s="29" t="str">
        <f>IF(ISBLANK(FT_RF_26[[#This Row],[N° de Pallet]]),"",FT_RF_26[[#This Row],[N° de Pallet]])</f>
        <v/>
      </c>
    </row>
    <row r="246" spans="2:72">
      <c r="B246" s="29">
        <f>+_xlfn.ISOWEEKNUM(FT_RF_26[[#This Row],[Fecha]])</f>
        <v>52</v>
      </c>
      <c r="E246" s="31"/>
      <c r="F246" s="12" t="str">
        <f>IFERROR(""&amp;_xlfn.XLOOKUP(FT_RF_26[[#This Row],[Código]],BD_Cod[SKU],BD_Cod[Descripción]),"")</f>
        <v/>
      </c>
      <c r="G246" s="32" t="str">
        <f>IFERROR(""&amp;_xlfn.XLOOKUP(FT_RF_26[[#This Row],[Código]],BD_Cod[SKU],BD_Cod[Familia Calidad]),"")</f>
        <v/>
      </c>
      <c r="J246" s="33">
        <v>1000</v>
      </c>
      <c r="L246" s="30" t="s">
        <v>244</v>
      </c>
      <c r="O246" s="30" t="s">
        <v>894</v>
      </c>
      <c r="P246" s="29" t="s">
        <v>894</v>
      </c>
      <c r="Q246" s="37">
        <f>1-FT_RF_26[[#This Row],[% Defectos]]</f>
        <v>1</v>
      </c>
      <c r="R246" s="38">
        <v>0</v>
      </c>
      <c r="S246" s="39">
        <f>+IFERROR((FT_RF_26[[#This Row],[Inmadura]]/FT_RF_26[[#This Row],[Muestra]]),"0")</f>
        <v>0</v>
      </c>
      <c r="T246" s="38">
        <v>0</v>
      </c>
      <c r="U246" s="39">
        <f>+IFERROR((FT_RF_26[[#This Row],[Partidas]]/FT_RF_26[[#This Row],[Muestra]]),"0")</f>
        <v>0</v>
      </c>
      <c r="V246" s="38">
        <v>0</v>
      </c>
      <c r="W246" s="39">
        <f>+IFERROR((FT_RF_26[[#This Row],[Daño Insecto]]/FT_RF_26[[#This Row],[Muestra]]),"0")</f>
        <v>0</v>
      </c>
      <c r="X246" s="38">
        <v>0</v>
      </c>
      <c r="Y246" s="39">
        <f>+IFERROR((FT_RF_26[[#This Row],[Sobremadura]]/FT_RF_26[[#This Row],[Muestra]]),"0")</f>
        <v>0</v>
      </c>
      <c r="Z246" s="38">
        <v>0</v>
      </c>
      <c r="AA246" s="39">
        <f>+IFERROR((FT_RF_26[[#This Row],[Deforme]]/FT_RF_26[[#This Row],[Muestra]]),"0")</f>
        <v>0</v>
      </c>
      <c r="AB246" s="27"/>
      <c r="AC246" s="38">
        <v>0</v>
      </c>
      <c r="AD246" s="39">
        <f>+IFERROR((FT_RF_26[[#This Row],[Valor Extra 1]]/FT_RF_26[[#This Row],[Muestra]]),"0")</f>
        <v>0</v>
      </c>
      <c r="AF246" s="38">
        <v>0</v>
      </c>
      <c r="AG246" s="39">
        <f>+IFERROR((FT_RF_26[[#This Row],[Valor Extra 2]]/FT_RF_26[[#This Row],[Muestra]]),"0")</f>
        <v>0</v>
      </c>
      <c r="AH246" s="40">
        <v>0</v>
      </c>
      <c r="AI246" s="39">
        <f>+IFERROR((FT_RF_26[[#This Row],[Hongos]]/FT_RF_26[[#This Row],[Muestra]]),"0")</f>
        <v>0</v>
      </c>
      <c r="AJ246" s="38">
        <v>0</v>
      </c>
      <c r="AK246" s="39">
        <f>+IFERROR((FT_RF_26[[#This Row],[Block]]/FT_RF_26[[#This Row],[Muestra]]),"0")</f>
        <v>0</v>
      </c>
      <c r="AL246" s="41">
        <v>0</v>
      </c>
      <c r="AM246" s="42">
        <v>0</v>
      </c>
      <c r="AN246" s="38">
        <v>0</v>
      </c>
      <c r="AO246" s="39">
        <f>+IFERROR((FT_RF_26[[#This Row],[Fuera de calibre &lt;12mm]]/FT_RF_26[[#This Row],[Muestra]]),"0")</f>
        <v>0</v>
      </c>
      <c r="AP246" s="38">
        <v>0</v>
      </c>
      <c r="AQ246" s="39">
        <f>+IFERROR((FT_RF_26[[#This Row],[Calibre &lt;25]]/FT_RF_26[[#This Row],[Muestra]]),"0")</f>
        <v>0</v>
      </c>
      <c r="AR246" s="38">
        <v>0</v>
      </c>
      <c r="AS246" s="39">
        <f>+IFERROR((FT_RF_26[[#This Row],[Calibre &gt;12]]/FT_RF_26[[#This Row],[Muestra]]),"0")</f>
        <v>0</v>
      </c>
      <c r="AT246" s="38">
        <v>0</v>
      </c>
      <c r="AU246" s="39">
        <f>+IFERROR((FT_RF_26[[#This Row],[Calibre &lt;14]]/FT_RF_26[[#This Row],[Muestra]]),"0")</f>
        <v>0</v>
      </c>
      <c r="AV246" s="38">
        <v>0</v>
      </c>
      <c r="AW246" s="39">
        <f>+IFERROR((FT_RF_26[[#This Row],[Calibre &gt;14]]/FT_RF_26[[#This Row],[Muestra]]),"0")</f>
        <v>0</v>
      </c>
      <c r="AX246" s="38">
        <v>0</v>
      </c>
      <c r="AY246" s="39">
        <f>+IFERROR((FT_RF_26[[#This Row],[Calibre &lt;10]]/FT_RF_26[[#This Row],[Muestra]]),"0")</f>
        <v>0</v>
      </c>
      <c r="AZ246" s="38">
        <v>0</v>
      </c>
      <c r="BA246" s="39">
        <f>+IFERROR((FT_RF_26[[#This Row],[Calibre &gt;13]]/FT_RF_26[[#This Row],[Muestra]]),"0")</f>
        <v>0</v>
      </c>
      <c r="BB246" s="41"/>
      <c r="BG246" s="42"/>
      <c r="BH246" s="43">
        <v>0</v>
      </c>
      <c r="BI246" s="29" t="s">
        <v>894</v>
      </c>
      <c r="BJ246" s="29" t="s">
        <v>894</v>
      </c>
      <c r="BK24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4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46" s="45">
        <f>1-FT_RF_26[[#This Row],[% Defectos]]</f>
        <v>1</v>
      </c>
      <c r="BO246" s="60"/>
      <c r="BP246" s="12">
        <f>SUM(FT_RF_26[[#This Row],[Hoja (Un.)]:[Larvas Caja]])</f>
        <v>0</v>
      </c>
      <c r="BQ246" s="12">
        <f>SUM(FT_RF_26[[#This Row],[Vidrios]:[Plástico]])</f>
        <v>0</v>
      </c>
      <c r="BR246" s="12" t="str">
        <f>IF(ISBLANK(FT_RF_26[[#This Row],[Descripción del producto]]),"",FT_RF_26[[#This Row],[Descripción del producto]])</f>
        <v/>
      </c>
      <c r="BS246" s="29" t="str">
        <f>IF(ISBLANK(FT_RF_26[[#This Row],[N° de Lote]]),"",FT_RF_26[[#This Row],[N° de Lote]])</f>
        <v/>
      </c>
      <c r="BT246" s="29" t="str">
        <f>IF(ISBLANK(FT_RF_26[[#This Row],[N° de Pallet]]),"",FT_RF_26[[#This Row],[N° de Pallet]])</f>
        <v/>
      </c>
    </row>
    <row r="247" spans="2:72">
      <c r="B247" s="29">
        <f>+_xlfn.ISOWEEKNUM(FT_RF_26[[#This Row],[Fecha]])</f>
        <v>52</v>
      </c>
      <c r="E247" s="31"/>
      <c r="F247" s="12" t="str">
        <f>IFERROR(""&amp;_xlfn.XLOOKUP(FT_RF_26[[#This Row],[Código]],BD_Cod[SKU],BD_Cod[Descripción]),"")</f>
        <v/>
      </c>
      <c r="G247" s="32" t="str">
        <f>IFERROR(""&amp;_xlfn.XLOOKUP(FT_RF_26[[#This Row],[Código]],BD_Cod[SKU],BD_Cod[Familia Calidad]),"")</f>
        <v/>
      </c>
      <c r="J247" s="33">
        <v>1000</v>
      </c>
      <c r="L247" s="30" t="s">
        <v>244</v>
      </c>
      <c r="O247" s="30" t="s">
        <v>894</v>
      </c>
      <c r="P247" s="29" t="s">
        <v>894</v>
      </c>
      <c r="Q247" s="37">
        <f>1-FT_RF_26[[#This Row],[% Defectos]]</f>
        <v>1</v>
      </c>
      <c r="R247" s="38">
        <v>0</v>
      </c>
      <c r="S247" s="39">
        <f>+IFERROR((FT_RF_26[[#This Row],[Inmadura]]/FT_RF_26[[#This Row],[Muestra]]),"0")</f>
        <v>0</v>
      </c>
      <c r="T247" s="38">
        <v>0</v>
      </c>
      <c r="U247" s="39">
        <f>+IFERROR((FT_RF_26[[#This Row],[Partidas]]/FT_RF_26[[#This Row],[Muestra]]),"0")</f>
        <v>0</v>
      </c>
      <c r="V247" s="38">
        <v>0</v>
      </c>
      <c r="W247" s="39">
        <f>+IFERROR((FT_RF_26[[#This Row],[Daño Insecto]]/FT_RF_26[[#This Row],[Muestra]]),"0")</f>
        <v>0</v>
      </c>
      <c r="X247" s="38">
        <v>0</v>
      </c>
      <c r="Y247" s="39">
        <f>+IFERROR((FT_RF_26[[#This Row],[Sobremadura]]/FT_RF_26[[#This Row],[Muestra]]),"0")</f>
        <v>0</v>
      </c>
      <c r="Z247" s="38">
        <v>0</v>
      </c>
      <c r="AA247" s="39">
        <f>+IFERROR((FT_RF_26[[#This Row],[Deforme]]/FT_RF_26[[#This Row],[Muestra]]),"0")</f>
        <v>0</v>
      </c>
      <c r="AB247" s="27"/>
      <c r="AC247" s="38">
        <v>0</v>
      </c>
      <c r="AD247" s="39">
        <f>+IFERROR((FT_RF_26[[#This Row],[Valor Extra 1]]/FT_RF_26[[#This Row],[Muestra]]),"0")</f>
        <v>0</v>
      </c>
      <c r="AF247" s="38">
        <v>0</v>
      </c>
      <c r="AG247" s="39">
        <f>+IFERROR((FT_RF_26[[#This Row],[Valor Extra 2]]/FT_RF_26[[#This Row],[Muestra]]),"0")</f>
        <v>0</v>
      </c>
      <c r="AH247" s="40">
        <v>0</v>
      </c>
      <c r="AI247" s="39">
        <f>+IFERROR((FT_RF_26[[#This Row],[Hongos]]/FT_RF_26[[#This Row],[Muestra]]),"0")</f>
        <v>0</v>
      </c>
      <c r="AJ247" s="38">
        <v>0</v>
      </c>
      <c r="AK247" s="39">
        <f>+IFERROR((FT_RF_26[[#This Row],[Block]]/FT_RF_26[[#This Row],[Muestra]]),"0")</f>
        <v>0</v>
      </c>
      <c r="AL247" s="41">
        <v>0</v>
      </c>
      <c r="AM247" s="42">
        <v>0</v>
      </c>
      <c r="AN247" s="38">
        <v>0</v>
      </c>
      <c r="AO247" s="39">
        <f>+IFERROR((FT_RF_26[[#This Row],[Fuera de calibre &lt;12mm]]/FT_RF_26[[#This Row],[Muestra]]),"0")</f>
        <v>0</v>
      </c>
      <c r="AP247" s="38">
        <v>0</v>
      </c>
      <c r="AQ247" s="39">
        <f>+IFERROR((FT_RF_26[[#This Row],[Calibre &lt;25]]/FT_RF_26[[#This Row],[Muestra]]),"0")</f>
        <v>0</v>
      </c>
      <c r="AR247" s="38">
        <v>0</v>
      </c>
      <c r="AS247" s="39">
        <f>+IFERROR((FT_RF_26[[#This Row],[Calibre &gt;12]]/FT_RF_26[[#This Row],[Muestra]]),"0")</f>
        <v>0</v>
      </c>
      <c r="AT247" s="38">
        <v>0</v>
      </c>
      <c r="AU247" s="39">
        <f>+IFERROR((FT_RF_26[[#This Row],[Calibre &lt;14]]/FT_RF_26[[#This Row],[Muestra]]),"0")</f>
        <v>0</v>
      </c>
      <c r="AV247" s="38">
        <v>0</v>
      </c>
      <c r="AW247" s="39">
        <f>+IFERROR((FT_RF_26[[#This Row],[Calibre &gt;14]]/FT_RF_26[[#This Row],[Muestra]]),"0")</f>
        <v>0</v>
      </c>
      <c r="AX247" s="38">
        <v>0</v>
      </c>
      <c r="AY247" s="39">
        <f>+IFERROR((FT_RF_26[[#This Row],[Calibre &lt;10]]/FT_RF_26[[#This Row],[Muestra]]),"0")</f>
        <v>0</v>
      </c>
      <c r="AZ247" s="38">
        <v>0</v>
      </c>
      <c r="BA247" s="39">
        <f>+IFERROR((FT_RF_26[[#This Row],[Calibre &gt;13]]/FT_RF_26[[#This Row],[Muestra]]),"0")</f>
        <v>0</v>
      </c>
      <c r="BB247" s="41"/>
      <c r="BG247" s="42"/>
      <c r="BH247" s="43">
        <v>0</v>
      </c>
      <c r="BI247" s="29" t="s">
        <v>894</v>
      </c>
      <c r="BJ247" s="29" t="s">
        <v>894</v>
      </c>
      <c r="BK24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4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47" s="45">
        <f>1-FT_RF_26[[#This Row],[% Defectos]]</f>
        <v>1</v>
      </c>
      <c r="BO247" s="60"/>
      <c r="BP247" s="12">
        <f>SUM(FT_RF_26[[#This Row],[Hoja (Un.)]:[Larvas Caja]])</f>
        <v>0</v>
      </c>
      <c r="BQ247" s="12">
        <f>SUM(FT_RF_26[[#This Row],[Vidrios]:[Plástico]])</f>
        <v>0</v>
      </c>
      <c r="BR247" s="12" t="str">
        <f>IF(ISBLANK(FT_RF_26[[#This Row],[Descripción del producto]]),"",FT_RF_26[[#This Row],[Descripción del producto]])</f>
        <v/>
      </c>
      <c r="BS247" s="29" t="str">
        <f>IF(ISBLANK(FT_RF_26[[#This Row],[N° de Lote]]),"",FT_RF_26[[#This Row],[N° de Lote]])</f>
        <v/>
      </c>
      <c r="BT247" s="29" t="str">
        <f>IF(ISBLANK(FT_RF_26[[#This Row],[N° de Pallet]]),"",FT_RF_26[[#This Row],[N° de Pallet]])</f>
        <v/>
      </c>
    </row>
    <row r="248" spans="2:72">
      <c r="B248" s="29">
        <f>+_xlfn.ISOWEEKNUM(FT_RF_26[[#This Row],[Fecha]])</f>
        <v>52</v>
      </c>
      <c r="E248" s="31"/>
      <c r="F248" s="12" t="str">
        <f>IFERROR(""&amp;_xlfn.XLOOKUP(FT_RF_26[[#This Row],[Código]],BD_Cod[SKU],BD_Cod[Descripción]),"")</f>
        <v/>
      </c>
      <c r="G248" s="32" t="str">
        <f>IFERROR(""&amp;_xlfn.XLOOKUP(FT_RF_26[[#This Row],[Código]],BD_Cod[SKU],BD_Cod[Familia Calidad]),"")</f>
        <v/>
      </c>
      <c r="J248" s="33">
        <v>1000</v>
      </c>
      <c r="L248" s="30" t="s">
        <v>244</v>
      </c>
      <c r="O248" s="30" t="s">
        <v>894</v>
      </c>
      <c r="P248" s="29" t="s">
        <v>894</v>
      </c>
      <c r="Q248" s="37">
        <f>1-FT_RF_26[[#This Row],[% Defectos]]</f>
        <v>1</v>
      </c>
      <c r="R248" s="38">
        <v>0</v>
      </c>
      <c r="S248" s="39">
        <f>+IFERROR((FT_RF_26[[#This Row],[Inmadura]]/FT_RF_26[[#This Row],[Muestra]]),"0")</f>
        <v>0</v>
      </c>
      <c r="T248" s="38">
        <v>0</v>
      </c>
      <c r="U248" s="39">
        <f>+IFERROR((FT_RF_26[[#This Row],[Partidas]]/FT_RF_26[[#This Row],[Muestra]]),"0")</f>
        <v>0</v>
      </c>
      <c r="V248" s="38">
        <v>0</v>
      </c>
      <c r="W248" s="39">
        <f>+IFERROR((FT_RF_26[[#This Row],[Daño Insecto]]/FT_RF_26[[#This Row],[Muestra]]),"0")</f>
        <v>0</v>
      </c>
      <c r="X248" s="38">
        <v>0</v>
      </c>
      <c r="Y248" s="39">
        <f>+IFERROR((FT_RF_26[[#This Row],[Sobremadura]]/FT_RF_26[[#This Row],[Muestra]]),"0")</f>
        <v>0</v>
      </c>
      <c r="Z248" s="38">
        <v>0</v>
      </c>
      <c r="AA248" s="39">
        <f>+IFERROR((FT_RF_26[[#This Row],[Deforme]]/FT_RF_26[[#This Row],[Muestra]]),"0")</f>
        <v>0</v>
      </c>
      <c r="AB248" s="27"/>
      <c r="AC248" s="38">
        <v>0</v>
      </c>
      <c r="AD248" s="39">
        <f>+IFERROR((FT_RF_26[[#This Row],[Valor Extra 1]]/FT_RF_26[[#This Row],[Muestra]]),"0")</f>
        <v>0</v>
      </c>
      <c r="AF248" s="38">
        <v>0</v>
      </c>
      <c r="AG248" s="39">
        <f>+IFERROR((FT_RF_26[[#This Row],[Valor Extra 2]]/FT_RF_26[[#This Row],[Muestra]]),"0")</f>
        <v>0</v>
      </c>
      <c r="AH248" s="40">
        <v>0</v>
      </c>
      <c r="AI248" s="39">
        <f>+IFERROR((FT_RF_26[[#This Row],[Hongos]]/FT_RF_26[[#This Row],[Muestra]]),"0")</f>
        <v>0</v>
      </c>
      <c r="AJ248" s="38">
        <v>0</v>
      </c>
      <c r="AK248" s="39">
        <f>+IFERROR((FT_RF_26[[#This Row],[Block]]/FT_RF_26[[#This Row],[Muestra]]),"0")</f>
        <v>0</v>
      </c>
      <c r="AL248" s="41">
        <v>0</v>
      </c>
      <c r="AM248" s="42">
        <v>0</v>
      </c>
      <c r="AN248" s="38">
        <v>0</v>
      </c>
      <c r="AO248" s="39">
        <f>+IFERROR((FT_RF_26[[#This Row],[Fuera de calibre &lt;12mm]]/FT_RF_26[[#This Row],[Muestra]]),"0")</f>
        <v>0</v>
      </c>
      <c r="AP248" s="38">
        <v>0</v>
      </c>
      <c r="AQ248" s="39">
        <f>+IFERROR((FT_RF_26[[#This Row],[Calibre &lt;25]]/FT_RF_26[[#This Row],[Muestra]]),"0")</f>
        <v>0</v>
      </c>
      <c r="AR248" s="38">
        <v>0</v>
      </c>
      <c r="AS248" s="39">
        <f>+IFERROR((FT_RF_26[[#This Row],[Calibre &gt;12]]/FT_RF_26[[#This Row],[Muestra]]),"0")</f>
        <v>0</v>
      </c>
      <c r="AT248" s="38">
        <v>0</v>
      </c>
      <c r="AU248" s="39">
        <f>+IFERROR((FT_RF_26[[#This Row],[Calibre &lt;14]]/FT_RF_26[[#This Row],[Muestra]]),"0")</f>
        <v>0</v>
      </c>
      <c r="AV248" s="38">
        <v>0</v>
      </c>
      <c r="AW248" s="39">
        <f>+IFERROR((FT_RF_26[[#This Row],[Calibre &gt;14]]/FT_RF_26[[#This Row],[Muestra]]),"0")</f>
        <v>0</v>
      </c>
      <c r="AX248" s="38">
        <v>0</v>
      </c>
      <c r="AY248" s="39">
        <f>+IFERROR((FT_RF_26[[#This Row],[Calibre &lt;10]]/FT_RF_26[[#This Row],[Muestra]]),"0")</f>
        <v>0</v>
      </c>
      <c r="AZ248" s="38">
        <v>0</v>
      </c>
      <c r="BA248" s="39">
        <f>+IFERROR((FT_RF_26[[#This Row],[Calibre &gt;13]]/FT_RF_26[[#This Row],[Muestra]]),"0")</f>
        <v>0</v>
      </c>
      <c r="BB248" s="41"/>
      <c r="BG248" s="42"/>
      <c r="BH248" s="43">
        <v>0</v>
      </c>
      <c r="BI248" s="29" t="s">
        <v>894</v>
      </c>
      <c r="BJ248" s="29" t="s">
        <v>894</v>
      </c>
      <c r="BK24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4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48" s="45">
        <f>1-FT_RF_26[[#This Row],[% Defectos]]</f>
        <v>1</v>
      </c>
      <c r="BO248" s="60"/>
      <c r="BP248" s="12">
        <f>SUM(FT_RF_26[[#This Row],[Hoja (Un.)]:[Larvas Caja]])</f>
        <v>0</v>
      </c>
      <c r="BQ248" s="12">
        <f>SUM(FT_RF_26[[#This Row],[Vidrios]:[Plástico]])</f>
        <v>0</v>
      </c>
      <c r="BR248" s="12" t="str">
        <f>IF(ISBLANK(FT_RF_26[[#This Row],[Descripción del producto]]),"",FT_RF_26[[#This Row],[Descripción del producto]])</f>
        <v/>
      </c>
      <c r="BS248" s="29" t="str">
        <f>IF(ISBLANK(FT_RF_26[[#This Row],[N° de Lote]]),"",FT_RF_26[[#This Row],[N° de Lote]])</f>
        <v/>
      </c>
      <c r="BT248" s="29" t="str">
        <f>IF(ISBLANK(FT_RF_26[[#This Row],[N° de Pallet]]),"",FT_RF_26[[#This Row],[N° de Pallet]])</f>
        <v/>
      </c>
    </row>
    <row r="249" spans="2:72">
      <c r="B249" s="29">
        <f>+_xlfn.ISOWEEKNUM(FT_RF_26[[#This Row],[Fecha]])</f>
        <v>52</v>
      </c>
      <c r="E249" s="31"/>
      <c r="F249" s="12" t="str">
        <f>IFERROR(""&amp;_xlfn.XLOOKUP(FT_RF_26[[#This Row],[Código]],BD_Cod[SKU],BD_Cod[Descripción]),"")</f>
        <v/>
      </c>
      <c r="G249" s="32" t="str">
        <f>IFERROR(""&amp;_xlfn.XLOOKUP(FT_RF_26[[#This Row],[Código]],BD_Cod[SKU],BD_Cod[Familia Calidad]),"")</f>
        <v/>
      </c>
      <c r="J249" s="33">
        <v>1000</v>
      </c>
      <c r="L249" s="30" t="s">
        <v>244</v>
      </c>
      <c r="O249" s="30" t="s">
        <v>894</v>
      </c>
      <c r="P249" s="29" t="s">
        <v>894</v>
      </c>
      <c r="Q249" s="37">
        <f>1-FT_RF_26[[#This Row],[% Defectos]]</f>
        <v>1</v>
      </c>
      <c r="R249" s="38">
        <v>0</v>
      </c>
      <c r="S249" s="39">
        <f>+IFERROR((FT_RF_26[[#This Row],[Inmadura]]/FT_RF_26[[#This Row],[Muestra]]),"0")</f>
        <v>0</v>
      </c>
      <c r="T249" s="38">
        <v>0</v>
      </c>
      <c r="U249" s="39">
        <f>+IFERROR((FT_RF_26[[#This Row],[Partidas]]/FT_RF_26[[#This Row],[Muestra]]),"0")</f>
        <v>0</v>
      </c>
      <c r="V249" s="38">
        <v>0</v>
      </c>
      <c r="W249" s="39">
        <f>+IFERROR((FT_RF_26[[#This Row],[Daño Insecto]]/FT_RF_26[[#This Row],[Muestra]]),"0")</f>
        <v>0</v>
      </c>
      <c r="X249" s="38">
        <v>0</v>
      </c>
      <c r="Y249" s="39">
        <f>+IFERROR((FT_RF_26[[#This Row],[Sobremadura]]/FT_RF_26[[#This Row],[Muestra]]),"0")</f>
        <v>0</v>
      </c>
      <c r="Z249" s="38">
        <v>0</v>
      </c>
      <c r="AA249" s="39">
        <f>+IFERROR((FT_RF_26[[#This Row],[Deforme]]/FT_RF_26[[#This Row],[Muestra]]),"0")</f>
        <v>0</v>
      </c>
      <c r="AB249" s="27"/>
      <c r="AC249" s="38">
        <v>0</v>
      </c>
      <c r="AD249" s="39">
        <f>+IFERROR((FT_RF_26[[#This Row],[Valor Extra 1]]/FT_RF_26[[#This Row],[Muestra]]),"0")</f>
        <v>0</v>
      </c>
      <c r="AF249" s="38">
        <v>0</v>
      </c>
      <c r="AG249" s="39">
        <f>+IFERROR((FT_RF_26[[#This Row],[Valor Extra 2]]/FT_RF_26[[#This Row],[Muestra]]),"0")</f>
        <v>0</v>
      </c>
      <c r="AH249" s="40">
        <v>0</v>
      </c>
      <c r="AI249" s="39">
        <f>+IFERROR((FT_RF_26[[#This Row],[Hongos]]/FT_RF_26[[#This Row],[Muestra]]),"0")</f>
        <v>0</v>
      </c>
      <c r="AJ249" s="38">
        <v>0</v>
      </c>
      <c r="AK249" s="39">
        <f>+IFERROR((FT_RF_26[[#This Row],[Block]]/FT_RF_26[[#This Row],[Muestra]]),"0")</f>
        <v>0</v>
      </c>
      <c r="AL249" s="41">
        <v>0</v>
      </c>
      <c r="AM249" s="42">
        <v>0</v>
      </c>
      <c r="AN249" s="38">
        <v>0</v>
      </c>
      <c r="AO249" s="39">
        <f>+IFERROR((FT_RF_26[[#This Row],[Fuera de calibre &lt;12mm]]/FT_RF_26[[#This Row],[Muestra]]),"0")</f>
        <v>0</v>
      </c>
      <c r="AP249" s="38">
        <v>0</v>
      </c>
      <c r="AQ249" s="39">
        <f>+IFERROR((FT_RF_26[[#This Row],[Calibre &lt;25]]/FT_RF_26[[#This Row],[Muestra]]),"0")</f>
        <v>0</v>
      </c>
      <c r="AR249" s="38">
        <v>0</v>
      </c>
      <c r="AS249" s="39">
        <f>+IFERROR((FT_RF_26[[#This Row],[Calibre &gt;12]]/FT_RF_26[[#This Row],[Muestra]]),"0")</f>
        <v>0</v>
      </c>
      <c r="AT249" s="38">
        <v>0</v>
      </c>
      <c r="AU249" s="39">
        <f>+IFERROR((FT_RF_26[[#This Row],[Calibre &lt;14]]/FT_RF_26[[#This Row],[Muestra]]),"0")</f>
        <v>0</v>
      </c>
      <c r="AV249" s="38">
        <v>0</v>
      </c>
      <c r="AW249" s="39">
        <f>+IFERROR((FT_RF_26[[#This Row],[Calibre &gt;14]]/FT_RF_26[[#This Row],[Muestra]]),"0")</f>
        <v>0</v>
      </c>
      <c r="AX249" s="38">
        <v>0</v>
      </c>
      <c r="AY249" s="39">
        <f>+IFERROR((FT_RF_26[[#This Row],[Calibre &lt;10]]/FT_RF_26[[#This Row],[Muestra]]),"0")</f>
        <v>0</v>
      </c>
      <c r="AZ249" s="38">
        <v>0</v>
      </c>
      <c r="BA249" s="39">
        <f>+IFERROR((FT_RF_26[[#This Row],[Calibre &gt;13]]/FT_RF_26[[#This Row],[Muestra]]),"0")</f>
        <v>0</v>
      </c>
      <c r="BB249" s="41"/>
      <c r="BG249" s="42"/>
      <c r="BH249" s="43">
        <v>0</v>
      </c>
      <c r="BI249" s="29" t="s">
        <v>894</v>
      </c>
      <c r="BJ249" s="29" t="s">
        <v>894</v>
      </c>
      <c r="BK24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4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49" s="45">
        <f>1-FT_RF_26[[#This Row],[% Defectos]]</f>
        <v>1</v>
      </c>
      <c r="BO249" s="60"/>
      <c r="BP249" s="12">
        <f>SUM(FT_RF_26[[#This Row],[Hoja (Un.)]:[Larvas Caja]])</f>
        <v>0</v>
      </c>
      <c r="BQ249" s="12">
        <f>SUM(FT_RF_26[[#This Row],[Vidrios]:[Plástico]])</f>
        <v>0</v>
      </c>
      <c r="BR249" s="12" t="str">
        <f>IF(ISBLANK(FT_RF_26[[#This Row],[Descripción del producto]]),"",FT_RF_26[[#This Row],[Descripción del producto]])</f>
        <v/>
      </c>
      <c r="BS249" s="29" t="str">
        <f>IF(ISBLANK(FT_RF_26[[#This Row],[N° de Lote]]),"",FT_RF_26[[#This Row],[N° de Lote]])</f>
        <v/>
      </c>
      <c r="BT249" s="29" t="str">
        <f>IF(ISBLANK(FT_RF_26[[#This Row],[N° de Pallet]]),"",FT_RF_26[[#This Row],[N° de Pallet]])</f>
        <v/>
      </c>
    </row>
    <row r="250" spans="2:72">
      <c r="B250" s="29">
        <f>+_xlfn.ISOWEEKNUM(FT_RF_26[[#This Row],[Fecha]])</f>
        <v>52</v>
      </c>
      <c r="E250" s="31"/>
      <c r="F250" s="12" t="str">
        <f>IFERROR(""&amp;_xlfn.XLOOKUP(FT_RF_26[[#This Row],[Código]],BD_Cod[SKU],BD_Cod[Descripción]),"")</f>
        <v/>
      </c>
      <c r="G250" s="32" t="str">
        <f>IFERROR(""&amp;_xlfn.XLOOKUP(FT_RF_26[[#This Row],[Código]],BD_Cod[SKU],BD_Cod[Familia Calidad]),"")</f>
        <v/>
      </c>
      <c r="J250" s="33">
        <v>1000</v>
      </c>
      <c r="L250" s="30" t="s">
        <v>244</v>
      </c>
      <c r="O250" s="30" t="s">
        <v>894</v>
      </c>
      <c r="P250" s="29" t="s">
        <v>894</v>
      </c>
      <c r="Q250" s="37">
        <f>1-FT_RF_26[[#This Row],[% Defectos]]</f>
        <v>1</v>
      </c>
      <c r="R250" s="38">
        <v>0</v>
      </c>
      <c r="S250" s="39">
        <f>+IFERROR((FT_RF_26[[#This Row],[Inmadura]]/FT_RF_26[[#This Row],[Muestra]]),"0")</f>
        <v>0</v>
      </c>
      <c r="T250" s="38">
        <v>0</v>
      </c>
      <c r="U250" s="39">
        <f>+IFERROR((FT_RF_26[[#This Row],[Partidas]]/FT_RF_26[[#This Row],[Muestra]]),"0")</f>
        <v>0</v>
      </c>
      <c r="V250" s="38">
        <v>0</v>
      </c>
      <c r="W250" s="39">
        <f>+IFERROR((FT_RF_26[[#This Row],[Daño Insecto]]/FT_RF_26[[#This Row],[Muestra]]),"0")</f>
        <v>0</v>
      </c>
      <c r="X250" s="38">
        <v>0</v>
      </c>
      <c r="Y250" s="39">
        <f>+IFERROR((FT_RF_26[[#This Row],[Sobremadura]]/FT_RF_26[[#This Row],[Muestra]]),"0")</f>
        <v>0</v>
      </c>
      <c r="Z250" s="38">
        <v>0</v>
      </c>
      <c r="AA250" s="39">
        <f>+IFERROR((FT_RF_26[[#This Row],[Deforme]]/FT_RF_26[[#This Row],[Muestra]]),"0")</f>
        <v>0</v>
      </c>
      <c r="AB250" s="27"/>
      <c r="AC250" s="38">
        <v>0</v>
      </c>
      <c r="AD250" s="39">
        <f>+IFERROR((FT_RF_26[[#This Row],[Valor Extra 1]]/FT_RF_26[[#This Row],[Muestra]]),"0")</f>
        <v>0</v>
      </c>
      <c r="AF250" s="38">
        <v>0</v>
      </c>
      <c r="AG250" s="39">
        <f>+IFERROR((FT_RF_26[[#This Row],[Valor Extra 2]]/FT_RF_26[[#This Row],[Muestra]]),"0")</f>
        <v>0</v>
      </c>
      <c r="AH250" s="40">
        <v>0</v>
      </c>
      <c r="AI250" s="39">
        <f>+IFERROR((FT_RF_26[[#This Row],[Hongos]]/FT_RF_26[[#This Row],[Muestra]]),"0")</f>
        <v>0</v>
      </c>
      <c r="AJ250" s="38">
        <v>0</v>
      </c>
      <c r="AK250" s="39">
        <f>+IFERROR((FT_RF_26[[#This Row],[Block]]/FT_RF_26[[#This Row],[Muestra]]),"0")</f>
        <v>0</v>
      </c>
      <c r="AL250" s="41">
        <v>0</v>
      </c>
      <c r="AM250" s="42">
        <v>0</v>
      </c>
      <c r="AN250" s="38">
        <v>0</v>
      </c>
      <c r="AO250" s="39">
        <f>+IFERROR((FT_RF_26[[#This Row],[Fuera de calibre &lt;12mm]]/FT_RF_26[[#This Row],[Muestra]]),"0")</f>
        <v>0</v>
      </c>
      <c r="AP250" s="38">
        <v>0</v>
      </c>
      <c r="AQ250" s="39">
        <f>+IFERROR((FT_RF_26[[#This Row],[Calibre &lt;25]]/FT_RF_26[[#This Row],[Muestra]]),"0")</f>
        <v>0</v>
      </c>
      <c r="AR250" s="38">
        <v>0</v>
      </c>
      <c r="AS250" s="39">
        <f>+IFERROR((FT_RF_26[[#This Row],[Calibre &gt;12]]/FT_RF_26[[#This Row],[Muestra]]),"0")</f>
        <v>0</v>
      </c>
      <c r="AT250" s="38">
        <v>0</v>
      </c>
      <c r="AU250" s="39">
        <f>+IFERROR((FT_RF_26[[#This Row],[Calibre &lt;14]]/FT_RF_26[[#This Row],[Muestra]]),"0")</f>
        <v>0</v>
      </c>
      <c r="AV250" s="38">
        <v>0</v>
      </c>
      <c r="AW250" s="39">
        <f>+IFERROR((FT_RF_26[[#This Row],[Calibre &gt;14]]/FT_RF_26[[#This Row],[Muestra]]),"0")</f>
        <v>0</v>
      </c>
      <c r="AX250" s="38">
        <v>0</v>
      </c>
      <c r="AY250" s="39">
        <f>+IFERROR((FT_RF_26[[#This Row],[Calibre &lt;10]]/FT_RF_26[[#This Row],[Muestra]]),"0")</f>
        <v>0</v>
      </c>
      <c r="AZ250" s="38">
        <v>0</v>
      </c>
      <c r="BA250" s="39">
        <f>+IFERROR((FT_RF_26[[#This Row],[Calibre &gt;13]]/FT_RF_26[[#This Row],[Muestra]]),"0")</f>
        <v>0</v>
      </c>
      <c r="BB250" s="41"/>
      <c r="BG250" s="42"/>
      <c r="BH250" s="43">
        <v>0</v>
      </c>
      <c r="BI250" s="29" t="s">
        <v>894</v>
      </c>
      <c r="BJ250" s="29" t="s">
        <v>894</v>
      </c>
      <c r="BK25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5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50" s="45">
        <f>1-FT_RF_26[[#This Row],[% Defectos]]</f>
        <v>1</v>
      </c>
      <c r="BO250" s="60"/>
      <c r="BP250" s="12">
        <f>SUM(FT_RF_26[[#This Row],[Hoja (Un.)]:[Larvas Caja]])</f>
        <v>0</v>
      </c>
      <c r="BQ250" s="12">
        <f>SUM(FT_RF_26[[#This Row],[Vidrios]:[Plástico]])</f>
        <v>0</v>
      </c>
      <c r="BR250" s="12" t="str">
        <f>IF(ISBLANK(FT_RF_26[[#This Row],[Descripción del producto]]),"",FT_RF_26[[#This Row],[Descripción del producto]])</f>
        <v/>
      </c>
      <c r="BS250" s="29" t="str">
        <f>IF(ISBLANK(FT_RF_26[[#This Row],[N° de Lote]]),"",FT_RF_26[[#This Row],[N° de Lote]])</f>
        <v/>
      </c>
      <c r="BT250" s="29" t="str">
        <f>IF(ISBLANK(FT_RF_26[[#This Row],[N° de Pallet]]),"",FT_RF_26[[#This Row],[N° de Pallet]])</f>
        <v/>
      </c>
    </row>
    <row r="251" spans="2:72">
      <c r="B251" s="29">
        <f>+_xlfn.ISOWEEKNUM(FT_RF_26[[#This Row],[Fecha]])</f>
        <v>52</v>
      </c>
      <c r="E251" s="31"/>
      <c r="F251" s="12" t="str">
        <f>IFERROR(""&amp;_xlfn.XLOOKUP(FT_RF_26[[#This Row],[Código]],BD_Cod[SKU],BD_Cod[Descripción]),"")</f>
        <v/>
      </c>
      <c r="G251" s="32" t="str">
        <f>IFERROR(""&amp;_xlfn.XLOOKUP(FT_RF_26[[#This Row],[Código]],BD_Cod[SKU],BD_Cod[Familia Calidad]),"")</f>
        <v/>
      </c>
      <c r="J251" s="33">
        <v>1000</v>
      </c>
      <c r="L251" s="30" t="s">
        <v>244</v>
      </c>
      <c r="O251" s="30" t="s">
        <v>894</v>
      </c>
      <c r="P251" s="29" t="s">
        <v>894</v>
      </c>
      <c r="Q251" s="37">
        <f>1-FT_RF_26[[#This Row],[% Defectos]]</f>
        <v>1</v>
      </c>
      <c r="R251" s="38">
        <v>0</v>
      </c>
      <c r="S251" s="39">
        <f>+IFERROR((FT_RF_26[[#This Row],[Inmadura]]/FT_RF_26[[#This Row],[Muestra]]),"0")</f>
        <v>0</v>
      </c>
      <c r="T251" s="38">
        <v>0</v>
      </c>
      <c r="U251" s="39">
        <f>+IFERROR((FT_RF_26[[#This Row],[Partidas]]/FT_RF_26[[#This Row],[Muestra]]),"0")</f>
        <v>0</v>
      </c>
      <c r="V251" s="38">
        <v>0</v>
      </c>
      <c r="W251" s="39">
        <f>+IFERROR((FT_RF_26[[#This Row],[Daño Insecto]]/FT_RF_26[[#This Row],[Muestra]]),"0")</f>
        <v>0</v>
      </c>
      <c r="X251" s="38">
        <v>0</v>
      </c>
      <c r="Y251" s="39">
        <f>+IFERROR((FT_RF_26[[#This Row],[Sobremadura]]/FT_RF_26[[#This Row],[Muestra]]),"0")</f>
        <v>0</v>
      </c>
      <c r="Z251" s="38">
        <v>0</v>
      </c>
      <c r="AA251" s="39">
        <f>+IFERROR((FT_RF_26[[#This Row],[Deforme]]/FT_RF_26[[#This Row],[Muestra]]),"0")</f>
        <v>0</v>
      </c>
      <c r="AB251" s="27"/>
      <c r="AC251" s="38">
        <v>0</v>
      </c>
      <c r="AD251" s="39">
        <f>+IFERROR((FT_RF_26[[#This Row],[Valor Extra 1]]/FT_RF_26[[#This Row],[Muestra]]),"0")</f>
        <v>0</v>
      </c>
      <c r="AF251" s="38">
        <v>0</v>
      </c>
      <c r="AG251" s="39">
        <f>+IFERROR((FT_RF_26[[#This Row],[Valor Extra 2]]/FT_RF_26[[#This Row],[Muestra]]),"0")</f>
        <v>0</v>
      </c>
      <c r="AH251" s="40">
        <v>0</v>
      </c>
      <c r="AI251" s="39">
        <f>+IFERROR((FT_RF_26[[#This Row],[Hongos]]/FT_RF_26[[#This Row],[Muestra]]),"0")</f>
        <v>0</v>
      </c>
      <c r="AJ251" s="38">
        <v>0</v>
      </c>
      <c r="AK251" s="39">
        <f>+IFERROR((FT_RF_26[[#This Row],[Block]]/FT_RF_26[[#This Row],[Muestra]]),"0")</f>
        <v>0</v>
      </c>
      <c r="AL251" s="41">
        <v>0</v>
      </c>
      <c r="AM251" s="42">
        <v>0</v>
      </c>
      <c r="AN251" s="38">
        <v>0</v>
      </c>
      <c r="AO251" s="39">
        <f>+IFERROR((FT_RF_26[[#This Row],[Fuera de calibre &lt;12mm]]/FT_RF_26[[#This Row],[Muestra]]),"0")</f>
        <v>0</v>
      </c>
      <c r="AP251" s="38">
        <v>0</v>
      </c>
      <c r="AQ251" s="39">
        <f>+IFERROR((FT_RF_26[[#This Row],[Calibre &lt;25]]/FT_RF_26[[#This Row],[Muestra]]),"0")</f>
        <v>0</v>
      </c>
      <c r="AR251" s="38">
        <v>0</v>
      </c>
      <c r="AS251" s="39">
        <f>+IFERROR((FT_RF_26[[#This Row],[Calibre &gt;12]]/FT_RF_26[[#This Row],[Muestra]]),"0")</f>
        <v>0</v>
      </c>
      <c r="AT251" s="38">
        <v>0</v>
      </c>
      <c r="AU251" s="39">
        <f>+IFERROR((FT_RF_26[[#This Row],[Calibre &lt;14]]/FT_RF_26[[#This Row],[Muestra]]),"0")</f>
        <v>0</v>
      </c>
      <c r="AV251" s="38">
        <v>0</v>
      </c>
      <c r="AW251" s="39">
        <f>+IFERROR((FT_RF_26[[#This Row],[Calibre &gt;14]]/FT_RF_26[[#This Row],[Muestra]]),"0")</f>
        <v>0</v>
      </c>
      <c r="AX251" s="38">
        <v>0</v>
      </c>
      <c r="AY251" s="39">
        <f>+IFERROR((FT_RF_26[[#This Row],[Calibre &lt;10]]/FT_RF_26[[#This Row],[Muestra]]),"0")</f>
        <v>0</v>
      </c>
      <c r="AZ251" s="38">
        <v>0</v>
      </c>
      <c r="BA251" s="39">
        <f>+IFERROR((FT_RF_26[[#This Row],[Calibre &gt;13]]/FT_RF_26[[#This Row],[Muestra]]),"0")</f>
        <v>0</v>
      </c>
      <c r="BB251" s="41"/>
      <c r="BG251" s="42"/>
      <c r="BH251" s="43">
        <v>0</v>
      </c>
      <c r="BI251" s="29" t="s">
        <v>894</v>
      </c>
      <c r="BJ251" s="29" t="s">
        <v>894</v>
      </c>
      <c r="BK25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5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51" s="45">
        <f>1-FT_RF_26[[#This Row],[% Defectos]]</f>
        <v>1</v>
      </c>
      <c r="BO251" s="60"/>
      <c r="BP251" s="12">
        <f>SUM(FT_RF_26[[#This Row],[Hoja (Un.)]:[Larvas Caja]])</f>
        <v>0</v>
      </c>
      <c r="BQ251" s="12">
        <f>SUM(FT_RF_26[[#This Row],[Vidrios]:[Plástico]])</f>
        <v>0</v>
      </c>
      <c r="BR251" s="12" t="str">
        <f>IF(ISBLANK(FT_RF_26[[#This Row],[Descripción del producto]]),"",FT_RF_26[[#This Row],[Descripción del producto]])</f>
        <v/>
      </c>
      <c r="BS251" s="29" t="str">
        <f>IF(ISBLANK(FT_RF_26[[#This Row],[N° de Lote]]),"",FT_RF_26[[#This Row],[N° de Lote]])</f>
        <v/>
      </c>
      <c r="BT251" s="29" t="str">
        <f>IF(ISBLANK(FT_RF_26[[#This Row],[N° de Pallet]]),"",FT_RF_26[[#This Row],[N° de Pallet]])</f>
        <v/>
      </c>
    </row>
    <row r="252" spans="2:72">
      <c r="B252" s="29">
        <f>+_xlfn.ISOWEEKNUM(FT_RF_26[[#This Row],[Fecha]])</f>
        <v>52</v>
      </c>
      <c r="E252" s="31"/>
      <c r="F252" s="12" t="str">
        <f>IFERROR(""&amp;_xlfn.XLOOKUP(FT_RF_26[[#This Row],[Código]],BD_Cod[SKU],BD_Cod[Descripción]),"")</f>
        <v/>
      </c>
      <c r="G252" s="32" t="str">
        <f>IFERROR(""&amp;_xlfn.XLOOKUP(FT_RF_26[[#This Row],[Código]],BD_Cod[SKU],BD_Cod[Familia Calidad]),"")</f>
        <v/>
      </c>
      <c r="J252" s="33">
        <v>1000</v>
      </c>
      <c r="L252" s="30" t="s">
        <v>244</v>
      </c>
      <c r="O252" s="30" t="s">
        <v>894</v>
      </c>
      <c r="P252" s="29" t="s">
        <v>894</v>
      </c>
      <c r="Q252" s="37">
        <f>1-FT_RF_26[[#This Row],[% Defectos]]</f>
        <v>1</v>
      </c>
      <c r="R252" s="38">
        <v>0</v>
      </c>
      <c r="S252" s="39">
        <f>+IFERROR((FT_RF_26[[#This Row],[Inmadura]]/FT_RF_26[[#This Row],[Muestra]]),"0")</f>
        <v>0</v>
      </c>
      <c r="T252" s="38">
        <v>0</v>
      </c>
      <c r="U252" s="39">
        <f>+IFERROR((FT_RF_26[[#This Row],[Partidas]]/FT_RF_26[[#This Row],[Muestra]]),"0")</f>
        <v>0</v>
      </c>
      <c r="V252" s="38">
        <v>0</v>
      </c>
      <c r="W252" s="39">
        <f>+IFERROR((FT_RF_26[[#This Row],[Daño Insecto]]/FT_RF_26[[#This Row],[Muestra]]),"0")</f>
        <v>0</v>
      </c>
      <c r="X252" s="38">
        <v>0</v>
      </c>
      <c r="Y252" s="39">
        <f>+IFERROR((FT_RF_26[[#This Row],[Sobremadura]]/FT_RF_26[[#This Row],[Muestra]]),"0")</f>
        <v>0</v>
      </c>
      <c r="Z252" s="38">
        <v>0</v>
      </c>
      <c r="AA252" s="39">
        <f>+IFERROR((FT_RF_26[[#This Row],[Deforme]]/FT_RF_26[[#This Row],[Muestra]]),"0")</f>
        <v>0</v>
      </c>
      <c r="AB252" s="27"/>
      <c r="AC252" s="38">
        <v>0</v>
      </c>
      <c r="AD252" s="39">
        <f>+IFERROR((FT_RF_26[[#This Row],[Valor Extra 1]]/FT_RF_26[[#This Row],[Muestra]]),"0")</f>
        <v>0</v>
      </c>
      <c r="AF252" s="38">
        <v>0</v>
      </c>
      <c r="AG252" s="39">
        <f>+IFERROR((FT_RF_26[[#This Row],[Valor Extra 2]]/FT_RF_26[[#This Row],[Muestra]]),"0")</f>
        <v>0</v>
      </c>
      <c r="AH252" s="40">
        <v>0</v>
      </c>
      <c r="AI252" s="39">
        <f>+IFERROR((FT_RF_26[[#This Row],[Hongos]]/FT_RF_26[[#This Row],[Muestra]]),"0")</f>
        <v>0</v>
      </c>
      <c r="AJ252" s="38">
        <v>0</v>
      </c>
      <c r="AK252" s="39">
        <f>+IFERROR((FT_RF_26[[#This Row],[Block]]/FT_RF_26[[#This Row],[Muestra]]),"0")</f>
        <v>0</v>
      </c>
      <c r="AL252" s="41">
        <v>0</v>
      </c>
      <c r="AM252" s="42">
        <v>0</v>
      </c>
      <c r="AN252" s="38">
        <v>0</v>
      </c>
      <c r="AO252" s="39">
        <f>+IFERROR((FT_RF_26[[#This Row],[Fuera de calibre &lt;12mm]]/FT_RF_26[[#This Row],[Muestra]]),"0")</f>
        <v>0</v>
      </c>
      <c r="AP252" s="38">
        <v>0</v>
      </c>
      <c r="AQ252" s="39">
        <f>+IFERROR((FT_RF_26[[#This Row],[Calibre &lt;25]]/FT_RF_26[[#This Row],[Muestra]]),"0")</f>
        <v>0</v>
      </c>
      <c r="AR252" s="38">
        <v>0</v>
      </c>
      <c r="AS252" s="39">
        <f>+IFERROR((FT_RF_26[[#This Row],[Calibre &gt;12]]/FT_RF_26[[#This Row],[Muestra]]),"0")</f>
        <v>0</v>
      </c>
      <c r="AT252" s="38">
        <v>0</v>
      </c>
      <c r="AU252" s="39">
        <f>+IFERROR((FT_RF_26[[#This Row],[Calibre &lt;14]]/FT_RF_26[[#This Row],[Muestra]]),"0")</f>
        <v>0</v>
      </c>
      <c r="AV252" s="38">
        <v>0</v>
      </c>
      <c r="AW252" s="39">
        <f>+IFERROR((FT_RF_26[[#This Row],[Calibre &gt;14]]/FT_RF_26[[#This Row],[Muestra]]),"0")</f>
        <v>0</v>
      </c>
      <c r="AX252" s="38">
        <v>0</v>
      </c>
      <c r="AY252" s="39">
        <f>+IFERROR((FT_RF_26[[#This Row],[Calibre &lt;10]]/FT_RF_26[[#This Row],[Muestra]]),"0")</f>
        <v>0</v>
      </c>
      <c r="AZ252" s="38">
        <v>0</v>
      </c>
      <c r="BA252" s="39">
        <f>+IFERROR((FT_RF_26[[#This Row],[Calibre &gt;13]]/FT_RF_26[[#This Row],[Muestra]]),"0")</f>
        <v>0</v>
      </c>
      <c r="BB252" s="41"/>
      <c r="BG252" s="42"/>
      <c r="BH252" s="43">
        <v>0</v>
      </c>
      <c r="BI252" s="29" t="s">
        <v>894</v>
      </c>
      <c r="BJ252" s="29" t="s">
        <v>894</v>
      </c>
      <c r="BK25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5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52" s="45">
        <f>1-FT_RF_26[[#This Row],[% Defectos]]</f>
        <v>1</v>
      </c>
      <c r="BO252" s="60"/>
      <c r="BP252" s="12">
        <f>SUM(FT_RF_26[[#This Row],[Hoja (Un.)]:[Larvas Caja]])</f>
        <v>0</v>
      </c>
      <c r="BQ252" s="12">
        <f>SUM(FT_RF_26[[#This Row],[Vidrios]:[Plástico]])</f>
        <v>0</v>
      </c>
      <c r="BR252" s="12" t="str">
        <f>IF(ISBLANK(FT_RF_26[[#This Row],[Descripción del producto]]),"",FT_RF_26[[#This Row],[Descripción del producto]])</f>
        <v/>
      </c>
      <c r="BS252" s="29" t="str">
        <f>IF(ISBLANK(FT_RF_26[[#This Row],[N° de Lote]]),"",FT_RF_26[[#This Row],[N° de Lote]])</f>
        <v/>
      </c>
      <c r="BT252" s="29" t="str">
        <f>IF(ISBLANK(FT_RF_26[[#This Row],[N° de Pallet]]),"",FT_RF_26[[#This Row],[N° de Pallet]])</f>
        <v/>
      </c>
    </row>
    <row r="253" spans="2:72">
      <c r="B253" s="29">
        <f>+_xlfn.ISOWEEKNUM(FT_RF_26[[#This Row],[Fecha]])</f>
        <v>52</v>
      </c>
      <c r="E253" s="31"/>
      <c r="F253" s="12" t="str">
        <f>IFERROR(""&amp;_xlfn.XLOOKUP(FT_RF_26[[#This Row],[Código]],BD_Cod[SKU],BD_Cod[Descripción]),"")</f>
        <v/>
      </c>
      <c r="G253" s="32" t="str">
        <f>IFERROR(""&amp;_xlfn.XLOOKUP(FT_RF_26[[#This Row],[Código]],BD_Cod[SKU],BD_Cod[Familia Calidad]),"")</f>
        <v/>
      </c>
      <c r="J253" s="33">
        <v>1000</v>
      </c>
      <c r="L253" s="30" t="s">
        <v>244</v>
      </c>
      <c r="O253" s="30" t="s">
        <v>894</v>
      </c>
      <c r="P253" s="29" t="s">
        <v>894</v>
      </c>
      <c r="Q253" s="37">
        <f>1-FT_RF_26[[#This Row],[% Defectos]]</f>
        <v>1</v>
      </c>
      <c r="R253" s="38">
        <v>0</v>
      </c>
      <c r="S253" s="39">
        <f>+IFERROR((FT_RF_26[[#This Row],[Inmadura]]/FT_RF_26[[#This Row],[Muestra]]),"0")</f>
        <v>0</v>
      </c>
      <c r="T253" s="38">
        <v>0</v>
      </c>
      <c r="U253" s="39">
        <f>+IFERROR((FT_RF_26[[#This Row],[Partidas]]/FT_RF_26[[#This Row],[Muestra]]),"0")</f>
        <v>0</v>
      </c>
      <c r="V253" s="38">
        <v>0</v>
      </c>
      <c r="W253" s="39">
        <f>+IFERROR((FT_RF_26[[#This Row],[Daño Insecto]]/FT_RF_26[[#This Row],[Muestra]]),"0")</f>
        <v>0</v>
      </c>
      <c r="X253" s="38">
        <v>0</v>
      </c>
      <c r="Y253" s="39">
        <f>+IFERROR((FT_RF_26[[#This Row],[Sobremadura]]/FT_RF_26[[#This Row],[Muestra]]),"0")</f>
        <v>0</v>
      </c>
      <c r="Z253" s="38">
        <v>0</v>
      </c>
      <c r="AA253" s="39">
        <f>+IFERROR((FT_RF_26[[#This Row],[Deforme]]/FT_RF_26[[#This Row],[Muestra]]),"0")</f>
        <v>0</v>
      </c>
      <c r="AB253" s="27"/>
      <c r="AC253" s="38">
        <v>0</v>
      </c>
      <c r="AD253" s="39">
        <f>+IFERROR((FT_RF_26[[#This Row],[Valor Extra 1]]/FT_RF_26[[#This Row],[Muestra]]),"0")</f>
        <v>0</v>
      </c>
      <c r="AF253" s="38">
        <v>0</v>
      </c>
      <c r="AG253" s="39">
        <f>+IFERROR((FT_RF_26[[#This Row],[Valor Extra 2]]/FT_RF_26[[#This Row],[Muestra]]),"0")</f>
        <v>0</v>
      </c>
      <c r="AH253" s="40">
        <v>0</v>
      </c>
      <c r="AI253" s="39">
        <f>+IFERROR((FT_RF_26[[#This Row],[Hongos]]/FT_RF_26[[#This Row],[Muestra]]),"0")</f>
        <v>0</v>
      </c>
      <c r="AJ253" s="38">
        <v>0</v>
      </c>
      <c r="AK253" s="39">
        <f>+IFERROR((FT_RF_26[[#This Row],[Block]]/FT_RF_26[[#This Row],[Muestra]]),"0")</f>
        <v>0</v>
      </c>
      <c r="AL253" s="41">
        <v>0</v>
      </c>
      <c r="AM253" s="42">
        <v>0</v>
      </c>
      <c r="AN253" s="38">
        <v>0</v>
      </c>
      <c r="AO253" s="39">
        <f>+IFERROR((FT_RF_26[[#This Row],[Fuera de calibre &lt;12mm]]/FT_RF_26[[#This Row],[Muestra]]),"0")</f>
        <v>0</v>
      </c>
      <c r="AP253" s="38">
        <v>0</v>
      </c>
      <c r="AQ253" s="39">
        <f>+IFERROR((FT_RF_26[[#This Row],[Calibre &lt;25]]/FT_RF_26[[#This Row],[Muestra]]),"0")</f>
        <v>0</v>
      </c>
      <c r="AR253" s="38">
        <v>0</v>
      </c>
      <c r="AS253" s="39">
        <f>+IFERROR((FT_RF_26[[#This Row],[Calibre &gt;12]]/FT_RF_26[[#This Row],[Muestra]]),"0")</f>
        <v>0</v>
      </c>
      <c r="AT253" s="38">
        <v>0</v>
      </c>
      <c r="AU253" s="39">
        <f>+IFERROR((FT_RF_26[[#This Row],[Calibre &lt;14]]/FT_RF_26[[#This Row],[Muestra]]),"0")</f>
        <v>0</v>
      </c>
      <c r="AV253" s="38">
        <v>0</v>
      </c>
      <c r="AW253" s="39">
        <f>+IFERROR((FT_RF_26[[#This Row],[Calibre &gt;14]]/FT_RF_26[[#This Row],[Muestra]]),"0")</f>
        <v>0</v>
      </c>
      <c r="AX253" s="38">
        <v>0</v>
      </c>
      <c r="AY253" s="39">
        <f>+IFERROR((FT_RF_26[[#This Row],[Calibre &lt;10]]/FT_RF_26[[#This Row],[Muestra]]),"0")</f>
        <v>0</v>
      </c>
      <c r="AZ253" s="38">
        <v>0</v>
      </c>
      <c r="BA253" s="39">
        <f>+IFERROR((FT_RF_26[[#This Row],[Calibre &gt;13]]/FT_RF_26[[#This Row],[Muestra]]),"0")</f>
        <v>0</v>
      </c>
      <c r="BB253" s="41"/>
      <c r="BG253" s="42"/>
      <c r="BH253" s="43">
        <v>0</v>
      </c>
      <c r="BI253" s="29" t="s">
        <v>894</v>
      </c>
      <c r="BJ253" s="29" t="s">
        <v>894</v>
      </c>
      <c r="BK25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5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53" s="45">
        <f>1-FT_RF_26[[#This Row],[% Defectos]]</f>
        <v>1</v>
      </c>
      <c r="BO253" s="60"/>
      <c r="BP253" s="12">
        <f>SUM(FT_RF_26[[#This Row],[Hoja (Un.)]:[Larvas Caja]])</f>
        <v>0</v>
      </c>
      <c r="BQ253" s="12">
        <f>SUM(FT_RF_26[[#This Row],[Vidrios]:[Plástico]])</f>
        <v>0</v>
      </c>
      <c r="BR253" s="12" t="str">
        <f>IF(ISBLANK(FT_RF_26[[#This Row],[Descripción del producto]]),"",FT_RF_26[[#This Row],[Descripción del producto]])</f>
        <v/>
      </c>
      <c r="BS253" s="29" t="str">
        <f>IF(ISBLANK(FT_RF_26[[#This Row],[N° de Lote]]),"",FT_RF_26[[#This Row],[N° de Lote]])</f>
        <v/>
      </c>
      <c r="BT253" s="29" t="str">
        <f>IF(ISBLANK(FT_RF_26[[#This Row],[N° de Pallet]]),"",FT_RF_26[[#This Row],[N° de Pallet]])</f>
        <v/>
      </c>
    </row>
    <row r="254" spans="2:72">
      <c r="B254" s="29">
        <f>+_xlfn.ISOWEEKNUM(FT_RF_26[[#This Row],[Fecha]])</f>
        <v>52</v>
      </c>
      <c r="E254" s="31"/>
      <c r="F254" s="12" t="str">
        <f>IFERROR(""&amp;_xlfn.XLOOKUP(FT_RF_26[[#This Row],[Código]],BD_Cod[SKU],BD_Cod[Descripción]),"")</f>
        <v/>
      </c>
      <c r="G254" s="32" t="str">
        <f>IFERROR(""&amp;_xlfn.XLOOKUP(FT_RF_26[[#This Row],[Código]],BD_Cod[SKU],BD_Cod[Familia Calidad]),"")</f>
        <v/>
      </c>
      <c r="J254" s="33">
        <v>1000</v>
      </c>
      <c r="L254" s="30" t="s">
        <v>244</v>
      </c>
      <c r="O254" s="30" t="s">
        <v>894</v>
      </c>
      <c r="P254" s="29" t="s">
        <v>894</v>
      </c>
      <c r="Q254" s="37">
        <f>1-FT_RF_26[[#This Row],[% Defectos]]</f>
        <v>1</v>
      </c>
      <c r="R254" s="38">
        <v>0</v>
      </c>
      <c r="S254" s="39">
        <f>+IFERROR((FT_RF_26[[#This Row],[Inmadura]]/FT_RF_26[[#This Row],[Muestra]]),"0")</f>
        <v>0</v>
      </c>
      <c r="T254" s="38">
        <v>0</v>
      </c>
      <c r="U254" s="39">
        <f>+IFERROR((FT_RF_26[[#This Row],[Partidas]]/FT_RF_26[[#This Row],[Muestra]]),"0")</f>
        <v>0</v>
      </c>
      <c r="V254" s="38">
        <v>0</v>
      </c>
      <c r="W254" s="39">
        <f>+IFERROR((FT_RF_26[[#This Row],[Daño Insecto]]/FT_RF_26[[#This Row],[Muestra]]),"0")</f>
        <v>0</v>
      </c>
      <c r="X254" s="38">
        <v>0</v>
      </c>
      <c r="Y254" s="39">
        <f>+IFERROR((FT_RF_26[[#This Row],[Sobremadura]]/FT_RF_26[[#This Row],[Muestra]]),"0")</f>
        <v>0</v>
      </c>
      <c r="Z254" s="38">
        <v>0</v>
      </c>
      <c r="AA254" s="39">
        <f>+IFERROR((FT_RF_26[[#This Row],[Deforme]]/FT_RF_26[[#This Row],[Muestra]]),"0")</f>
        <v>0</v>
      </c>
      <c r="AB254" s="27"/>
      <c r="AC254" s="38">
        <v>0</v>
      </c>
      <c r="AD254" s="39">
        <f>+IFERROR((FT_RF_26[[#This Row],[Valor Extra 1]]/FT_RF_26[[#This Row],[Muestra]]),"0")</f>
        <v>0</v>
      </c>
      <c r="AF254" s="38">
        <v>0</v>
      </c>
      <c r="AG254" s="39">
        <f>+IFERROR((FT_RF_26[[#This Row],[Valor Extra 2]]/FT_RF_26[[#This Row],[Muestra]]),"0")</f>
        <v>0</v>
      </c>
      <c r="AH254" s="40">
        <v>0</v>
      </c>
      <c r="AI254" s="39">
        <f>+IFERROR((FT_RF_26[[#This Row],[Hongos]]/FT_RF_26[[#This Row],[Muestra]]),"0")</f>
        <v>0</v>
      </c>
      <c r="AJ254" s="38">
        <v>0</v>
      </c>
      <c r="AK254" s="39">
        <f>+IFERROR((FT_RF_26[[#This Row],[Block]]/FT_RF_26[[#This Row],[Muestra]]),"0")</f>
        <v>0</v>
      </c>
      <c r="AL254" s="41">
        <v>0</v>
      </c>
      <c r="AM254" s="42">
        <v>0</v>
      </c>
      <c r="AN254" s="38">
        <v>0</v>
      </c>
      <c r="AO254" s="39">
        <f>+IFERROR((FT_RF_26[[#This Row],[Fuera de calibre &lt;12mm]]/FT_RF_26[[#This Row],[Muestra]]),"0")</f>
        <v>0</v>
      </c>
      <c r="AP254" s="38">
        <v>0</v>
      </c>
      <c r="AQ254" s="39">
        <f>+IFERROR((FT_RF_26[[#This Row],[Calibre &lt;25]]/FT_RF_26[[#This Row],[Muestra]]),"0")</f>
        <v>0</v>
      </c>
      <c r="AR254" s="38">
        <v>0</v>
      </c>
      <c r="AS254" s="39">
        <f>+IFERROR((FT_RF_26[[#This Row],[Calibre &gt;12]]/FT_RF_26[[#This Row],[Muestra]]),"0")</f>
        <v>0</v>
      </c>
      <c r="AT254" s="38">
        <v>0</v>
      </c>
      <c r="AU254" s="39">
        <f>+IFERROR((FT_RF_26[[#This Row],[Calibre &lt;14]]/FT_RF_26[[#This Row],[Muestra]]),"0")</f>
        <v>0</v>
      </c>
      <c r="AV254" s="38">
        <v>0</v>
      </c>
      <c r="AW254" s="39">
        <f>+IFERROR((FT_RF_26[[#This Row],[Calibre &gt;14]]/FT_RF_26[[#This Row],[Muestra]]),"0")</f>
        <v>0</v>
      </c>
      <c r="AX254" s="38">
        <v>0</v>
      </c>
      <c r="AY254" s="39">
        <f>+IFERROR((FT_RF_26[[#This Row],[Calibre &lt;10]]/FT_RF_26[[#This Row],[Muestra]]),"0")</f>
        <v>0</v>
      </c>
      <c r="AZ254" s="38">
        <v>0</v>
      </c>
      <c r="BA254" s="39">
        <f>+IFERROR((FT_RF_26[[#This Row],[Calibre &gt;13]]/FT_RF_26[[#This Row],[Muestra]]),"0")</f>
        <v>0</v>
      </c>
      <c r="BB254" s="41"/>
      <c r="BG254" s="42"/>
      <c r="BH254" s="43">
        <v>0</v>
      </c>
      <c r="BI254" s="29" t="s">
        <v>894</v>
      </c>
      <c r="BJ254" s="29" t="s">
        <v>894</v>
      </c>
      <c r="BK25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5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54" s="45">
        <f>1-FT_RF_26[[#This Row],[% Defectos]]</f>
        <v>1</v>
      </c>
      <c r="BO254" s="60"/>
      <c r="BP254" s="12">
        <f>SUM(FT_RF_26[[#This Row],[Hoja (Un.)]:[Larvas Caja]])</f>
        <v>0</v>
      </c>
      <c r="BQ254" s="12">
        <f>SUM(FT_RF_26[[#This Row],[Vidrios]:[Plástico]])</f>
        <v>0</v>
      </c>
      <c r="BR254" s="12" t="str">
        <f>IF(ISBLANK(FT_RF_26[[#This Row],[Descripción del producto]]),"",FT_RF_26[[#This Row],[Descripción del producto]])</f>
        <v/>
      </c>
      <c r="BS254" s="29" t="str">
        <f>IF(ISBLANK(FT_RF_26[[#This Row],[N° de Lote]]),"",FT_RF_26[[#This Row],[N° de Lote]])</f>
        <v/>
      </c>
      <c r="BT254" s="29" t="str">
        <f>IF(ISBLANK(FT_RF_26[[#This Row],[N° de Pallet]]),"",FT_RF_26[[#This Row],[N° de Pallet]])</f>
        <v/>
      </c>
    </row>
    <row r="255" spans="2:72">
      <c r="B255" s="29">
        <f>+_xlfn.ISOWEEKNUM(FT_RF_26[[#This Row],[Fecha]])</f>
        <v>52</v>
      </c>
      <c r="E255" s="31"/>
      <c r="F255" s="12" t="str">
        <f>IFERROR(""&amp;_xlfn.XLOOKUP(FT_RF_26[[#This Row],[Código]],BD_Cod[SKU],BD_Cod[Descripción]),"")</f>
        <v/>
      </c>
      <c r="G255" s="32" t="str">
        <f>IFERROR(""&amp;_xlfn.XLOOKUP(FT_RF_26[[#This Row],[Código]],BD_Cod[SKU],BD_Cod[Familia Calidad]),"")</f>
        <v/>
      </c>
      <c r="J255" s="33">
        <v>1000</v>
      </c>
      <c r="L255" s="30" t="s">
        <v>244</v>
      </c>
      <c r="O255" s="30" t="s">
        <v>894</v>
      </c>
      <c r="P255" s="29" t="s">
        <v>894</v>
      </c>
      <c r="Q255" s="37">
        <f>1-FT_RF_26[[#This Row],[% Defectos]]</f>
        <v>1</v>
      </c>
      <c r="R255" s="38">
        <v>0</v>
      </c>
      <c r="S255" s="39">
        <f>+IFERROR((FT_RF_26[[#This Row],[Inmadura]]/FT_RF_26[[#This Row],[Muestra]]),"0")</f>
        <v>0</v>
      </c>
      <c r="T255" s="38">
        <v>0</v>
      </c>
      <c r="U255" s="39">
        <f>+IFERROR((FT_RF_26[[#This Row],[Partidas]]/FT_RF_26[[#This Row],[Muestra]]),"0")</f>
        <v>0</v>
      </c>
      <c r="V255" s="38">
        <v>0</v>
      </c>
      <c r="W255" s="39">
        <f>+IFERROR((FT_RF_26[[#This Row],[Daño Insecto]]/FT_RF_26[[#This Row],[Muestra]]),"0")</f>
        <v>0</v>
      </c>
      <c r="X255" s="38">
        <v>0</v>
      </c>
      <c r="Y255" s="39">
        <f>+IFERROR((FT_RF_26[[#This Row],[Sobremadura]]/FT_RF_26[[#This Row],[Muestra]]),"0")</f>
        <v>0</v>
      </c>
      <c r="Z255" s="38">
        <v>0</v>
      </c>
      <c r="AA255" s="39">
        <f>+IFERROR((FT_RF_26[[#This Row],[Deforme]]/FT_RF_26[[#This Row],[Muestra]]),"0")</f>
        <v>0</v>
      </c>
      <c r="AB255" s="27"/>
      <c r="AC255" s="38">
        <v>0</v>
      </c>
      <c r="AD255" s="39">
        <f>+IFERROR((FT_RF_26[[#This Row],[Valor Extra 1]]/FT_RF_26[[#This Row],[Muestra]]),"0")</f>
        <v>0</v>
      </c>
      <c r="AF255" s="38">
        <v>0</v>
      </c>
      <c r="AG255" s="39">
        <f>+IFERROR((FT_RF_26[[#This Row],[Valor Extra 2]]/FT_RF_26[[#This Row],[Muestra]]),"0")</f>
        <v>0</v>
      </c>
      <c r="AH255" s="40">
        <v>0</v>
      </c>
      <c r="AI255" s="39">
        <f>+IFERROR((FT_RF_26[[#This Row],[Hongos]]/FT_RF_26[[#This Row],[Muestra]]),"0")</f>
        <v>0</v>
      </c>
      <c r="AJ255" s="38">
        <v>0</v>
      </c>
      <c r="AK255" s="39">
        <f>+IFERROR((FT_RF_26[[#This Row],[Block]]/FT_RF_26[[#This Row],[Muestra]]),"0")</f>
        <v>0</v>
      </c>
      <c r="AL255" s="41">
        <v>0</v>
      </c>
      <c r="AM255" s="42">
        <v>0</v>
      </c>
      <c r="AN255" s="38">
        <v>0</v>
      </c>
      <c r="AO255" s="39">
        <f>+IFERROR((FT_RF_26[[#This Row],[Fuera de calibre &lt;12mm]]/FT_RF_26[[#This Row],[Muestra]]),"0")</f>
        <v>0</v>
      </c>
      <c r="AP255" s="38">
        <v>0</v>
      </c>
      <c r="AQ255" s="39">
        <f>+IFERROR((FT_RF_26[[#This Row],[Calibre &lt;25]]/FT_RF_26[[#This Row],[Muestra]]),"0")</f>
        <v>0</v>
      </c>
      <c r="AR255" s="38">
        <v>0</v>
      </c>
      <c r="AS255" s="39">
        <f>+IFERROR((FT_RF_26[[#This Row],[Calibre &gt;12]]/FT_RF_26[[#This Row],[Muestra]]),"0")</f>
        <v>0</v>
      </c>
      <c r="AT255" s="38">
        <v>0</v>
      </c>
      <c r="AU255" s="39">
        <f>+IFERROR((FT_RF_26[[#This Row],[Calibre &lt;14]]/FT_RF_26[[#This Row],[Muestra]]),"0")</f>
        <v>0</v>
      </c>
      <c r="AV255" s="38">
        <v>0</v>
      </c>
      <c r="AW255" s="39">
        <f>+IFERROR((FT_RF_26[[#This Row],[Calibre &gt;14]]/FT_RF_26[[#This Row],[Muestra]]),"0")</f>
        <v>0</v>
      </c>
      <c r="AX255" s="38">
        <v>0</v>
      </c>
      <c r="AY255" s="39">
        <f>+IFERROR((FT_RF_26[[#This Row],[Calibre &lt;10]]/FT_RF_26[[#This Row],[Muestra]]),"0")</f>
        <v>0</v>
      </c>
      <c r="AZ255" s="38">
        <v>0</v>
      </c>
      <c r="BA255" s="39">
        <f>+IFERROR((FT_RF_26[[#This Row],[Calibre &gt;13]]/FT_RF_26[[#This Row],[Muestra]]),"0")</f>
        <v>0</v>
      </c>
      <c r="BB255" s="41"/>
      <c r="BG255" s="42"/>
      <c r="BH255" s="43">
        <v>0</v>
      </c>
      <c r="BI255" s="29" t="s">
        <v>894</v>
      </c>
      <c r="BJ255" s="29" t="s">
        <v>894</v>
      </c>
      <c r="BK25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5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55" s="45">
        <f>1-FT_RF_26[[#This Row],[% Defectos]]</f>
        <v>1</v>
      </c>
      <c r="BO255" s="60"/>
      <c r="BP255" s="12">
        <f>SUM(FT_RF_26[[#This Row],[Hoja (Un.)]:[Larvas Caja]])</f>
        <v>0</v>
      </c>
      <c r="BQ255" s="12">
        <f>SUM(FT_RF_26[[#This Row],[Vidrios]:[Plástico]])</f>
        <v>0</v>
      </c>
      <c r="BR255" s="12" t="str">
        <f>IF(ISBLANK(FT_RF_26[[#This Row],[Descripción del producto]]),"",FT_RF_26[[#This Row],[Descripción del producto]])</f>
        <v/>
      </c>
      <c r="BS255" s="29" t="str">
        <f>IF(ISBLANK(FT_RF_26[[#This Row],[N° de Lote]]),"",FT_RF_26[[#This Row],[N° de Lote]])</f>
        <v/>
      </c>
      <c r="BT255" s="29" t="str">
        <f>IF(ISBLANK(FT_RF_26[[#This Row],[N° de Pallet]]),"",FT_RF_26[[#This Row],[N° de Pallet]])</f>
        <v/>
      </c>
    </row>
    <row r="256" spans="2:72">
      <c r="B256" s="29">
        <f>+_xlfn.ISOWEEKNUM(FT_RF_26[[#This Row],[Fecha]])</f>
        <v>52</v>
      </c>
      <c r="E256" s="31"/>
      <c r="F256" s="12" t="str">
        <f>IFERROR(""&amp;_xlfn.XLOOKUP(FT_RF_26[[#This Row],[Código]],BD_Cod[SKU],BD_Cod[Descripción]),"")</f>
        <v/>
      </c>
      <c r="G256" s="32" t="str">
        <f>IFERROR(""&amp;_xlfn.XLOOKUP(FT_RF_26[[#This Row],[Código]],BD_Cod[SKU],BD_Cod[Familia Calidad]),"")</f>
        <v/>
      </c>
      <c r="J256" s="33">
        <v>1000</v>
      </c>
      <c r="L256" s="30" t="s">
        <v>244</v>
      </c>
      <c r="O256" s="30" t="s">
        <v>894</v>
      </c>
      <c r="P256" s="29" t="s">
        <v>894</v>
      </c>
      <c r="Q256" s="37">
        <f>1-FT_RF_26[[#This Row],[% Defectos]]</f>
        <v>1</v>
      </c>
      <c r="R256" s="38">
        <v>0</v>
      </c>
      <c r="S256" s="39">
        <f>+IFERROR((FT_RF_26[[#This Row],[Inmadura]]/FT_RF_26[[#This Row],[Muestra]]),"0")</f>
        <v>0</v>
      </c>
      <c r="T256" s="38">
        <v>0</v>
      </c>
      <c r="U256" s="39">
        <f>+IFERROR((FT_RF_26[[#This Row],[Partidas]]/FT_RF_26[[#This Row],[Muestra]]),"0")</f>
        <v>0</v>
      </c>
      <c r="V256" s="38">
        <v>0</v>
      </c>
      <c r="W256" s="39">
        <f>+IFERROR((FT_RF_26[[#This Row],[Daño Insecto]]/FT_RF_26[[#This Row],[Muestra]]),"0")</f>
        <v>0</v>
      </c>
      <c r="X256" s="38">
        <v>0</v>
      </c>
      <c r="Y256" s="39">
        <f>+IFERROR((FT_RF_26[[#This Row],[Sobremadura]]/FT_RF_26[[#This Row],[Muestra]]),"0")</f>
        <v>0</v>
      </c>
      <c r="Z256" s="38">
        <v>0</v>
      </c>
      <c r="AA256" s="39">
        <f>+IFERROR((FT_RF_26[[#This Row],[Deforme]]/FT_RF_26[[#This Row],[Muestra]]),"0")</f>
        <v>0</v>
      </c>
      <c r="AB256" s="27"/>
      <c r="AC256" s="38">
        <v>0</v>
      </c>
      <c r="AD256" s="39">
        <f>+IFERROR((FT_RF_26[[#This Row],[Valor Extra 1]]/FT_RF_26[[#This Row],[Muestra]]),"0")</f>
        <v>0</v>
      </c>
      <c r="AF256" s="38">
        <v>0</v>
      </c>
      <c r="AG256" s="39">
        <f>+IFERROR((FT_RF_26[[#This Row],[Valor Extra 2]]/FT_RF_26[[#This Row],[Muestra]]),"0")</f>
        <v>0</v>
      </c>
      <c r="AH256" s="40">
        <v>0</v>
      </c>
      <c r="AI256" s="39">
        <f>+IFERROR((FT_RF_26[[#This Row],[Hongos]]/FT_RF_26[[#This Row],[Muestra]]),"0")</f>
        <v>0</v>
      </c>
      <c r="AJ256" s="38">
        <v>0</v>
      </c>
      <c r="AK256" s="39">
        <f>+IFERROR((FT_RF_26[[#This Row],[Block]]/FT_RF_26[[#This Row],[Muestra]]),"0")</f>
        <v>0</v>
      </c>
      <c r="AL256" s="41">
        <v>0</v>
      </c>
      <c r="AM256" s="42">
        <v>0</v>
      </c>
      <c r="AN256" s="38">
        <v>0</v>
      </c>
      <c r="AO256" s="39">
        <f>+IFERROR((FT_RF_26[[#This Row],[Fuera de calibre &lt;12mm]]/FT_RF_26[[#This Row],[Muestra]]),"0")</f>
        <v>0</v>
      </c>
      <c r="AP256" s="38">
        <v>0</v>
      </c>
      <c r="AQ256" s="39">
        <f>+IFERROR((FT_RF_26[[#This Row],[Calibre &lt;25]]/FT_RF_26[[#This Row],[Muestra]]),"0")</f>
        <v>0</v>
      </c>
      <c r="AR256" s="38">
        <v>0</v>
      </c>
      <c r="AS256" s="39">
        <f>+IFERROR((FT_RF_26[[#This Row],[Calibre &gt;12]]/FT_RF_26[[#This Row],[Muestra]]),"0")</f>
        <v>0</v>
      </c>
      <c r="AT256" s="38">
        <v>0</v>
      </c>
      <c r="AU256" s="39">
        <f>+IFERROR((FT_RF_26[[#This Row],[Calibre &lt;14]]/FT_RF_26[[#This Row],[Muestra]]),"0")</f>
        <v>0</v>
      </c>
      <c r="AV256" s="38">
        <v>0</v>
      </c>
      <c r="AW256" s="39">
        <f>+IFERROR((FT_RF_26[[#This Row],[Calibre &gt;14]]/FT_RF_26[[#This Row],[Muestra]]),"0")</f>
        <v>0</v>
      </c>
      <c r="AX256" s="38">
        <v>0</v>
      </c>
      <c r="AY256" s="39">
        <f>+IFERROR((FT_RF_26[[#This Row],[Calibre &lt;10]]/FT_RF_26[[#This Row],[Muestra]]),"0")</f>
        <v>0</v>
      </c>
      <c r="AZ256" s="38">
        <v>0</v>
      </c>
      <c r="BA256" s="39">
        <f>+IFERROR((FT_RF_26[[#This Row],[Calibre &gt;13]]/FT_RF_26[[#This Row],[Muestra]]),"0")</f>
        <v>0</v>
      </c>
      <c r="BB256" s="41"/>
      <c r="BG256" s="42"/>
      <c r="BH256" s="43">
        <v>0</v>
      </c>
      <c r="BI256" s="29" t="s">
        <v>894</v>
      </c>
      <c r="BJ256" s="29" t="s">
        <v>894</v>
      </c>
      <c r="BK25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5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56" s="45">
        <f>1-FT_RF_26[[#This Row],[% Defectos]]</f>
        <v>1</v>
      </c>
      <c r="BO256" s="60"/>
      <c r="BP256" s="12">
        <f>SUM(FT_RF_26[[#This Row],[Hoja (Un.)]:[Larvas Caja]])</f>
        <v>0</v>
      </c>
      <c r="BQ256" s="12">
        <f>SUM(FT_RF_26[[#This Row],[Vidrios]:[Plástico]])</f>
        <v>0</v>
      </c>
      <c r="BR256" s="12" t="str">
        <f>IF(ISBLANK(FT_RF_26[[#This Row],[Descripción del producto]]),"",FT_RF_26[[#This Row],[Descripción del producto]])</f>
        <v/>
      </c>
      <c r="BS256" s="29" t="str">
        <f>IF(ISBLANK(FT_RF_26[[#This Row],[N° de Lote]]),"",FT_RF_26[[#This Row],[N° de Lote]])</f>
        <v/>
      </c>
      <c r="BT256" s="29" t="str">
        <f>IF(ISBLANK(FT_RF_26[[#This Row],[N° de Pallet]]),"",FT_RF_26[[#This Row],[N° de Pallet]])</f>
        <v/>
      </c>
    </row>
    <row r="257" spans="2:72">
      <c r="B257" s="29">
        <f>+_xlfn.ISOWEEKNUM(FT_RF_26[[#This Row],[Fecha]])</f>
        <v>52</v>
      </c>
      <c r="E257" s="31"/>
      <c r="F257" s="12" t="str">
        <f>IFERROR(""&amp;_xlfn.XLOOKUP(FT_RF_26[[#This Row],[Código]],BD_Cod[SKU],BD_Cod[Descripción]),"")</f>
        <v/>
      </c>
      <c r="G257" s="32" t="str">
        <f>IFERROR(""&amp;_xlfn.XLOOKUP(FT_RF_26[[#This Row],[Código]],BD_Cod[SKU],BD_Cod[Familia Calidad]),"")</f>
        <v/>
      </c>
      <c r="J257" s="33">
        <v>1000</v>
      </c>
      <c r="L257" s="30" t="s">
        <v>244</v>
      </c>
      <c r="O257" s="30" t="s">
        <v>894</v>
      </c>
      <c r="P257" s="29" t="s">
        <v>894</v>
      </c>
      <c r="Q257" s="37">
        <f>1-FT_RF_26[[#This Row],[% Defectos]]</f>
        <v>1</v>
      </c>
      <c r="R257" s="38">
        <v>0</v>
      </c>
      <c r="S257" s="39">
        <f>+IFERROR((FT_RF_26[[#This Row],[Inmadura]]/FT_RF_26[[#This Row],[Muestra]]),"0")</f>
        <v>0</v>
      </c>
      <c r="T257" s="38">
        <v>0</v>
      </c>
      <c r="U257" s="39">
        <f>+IFERROR((FT_RF_26[[#This Row],[Partidas]]/FT_RF_26[[#This Row],[Muestra]]),"0")</f>
        <v>0</v>
      </c>
      <c r="V257" s="38">
        <v>0</v>
      </c>
      <c r="W257" s="39">
        <f>+IFERROR((FT_RF_26[[#This Row],[Daño Insecto]]/FT_RF_26[[#This Row],[Muestra]]),"0")</f>
        <v>0</v>
      </c>
      <c r="X257" s="38">
        <v>0</v>
      </c>
      <c r="Y257" s="39">
        <f>+IFERROR((FT_RF_26[[#This Row],[Sobremadura]]/FT_RF_26[[#This Row],[Muestra]]),"0")</f>
        <v>0</v>
      </c>
      <c r="Z257" s="38">
        <v>0</v>
      </c>
      <c r="AA257" s="39">
        <f>+IFERROR((FT_RF_26[[#This Row],[Deforme]]/FT_RF_26[[#This Row],[Muestra]]),"0")</f>
        <v>0</v>
      </c>
      <c r="AB257" s="27"/>
      <c r="AC257" s="38">
        <v>0</v>
      </c>
      <c r="AD257" s="39">
        <f>+IFERROR((FT_RF_26[[#This Row],[Valor Extra 1]]/FT_RF_26[[#This Row],[Muestra]]),"0")</f>
        <v>0</v>
      </c>
      <c r="AF257" s="38">
        <v>0</v>
      </c>
      <c r="AG257" s="39">
        <f>+IFERROR((FT_RF_26[[#This Row],[Valor Extra 2]]/FT_RF_26[[#This Row],[Muestra]]),"0")</f>
        <v>0</v>
      </c>
      <c r="AH257" s="40">
        <v>0</v>
      </c>
      <c r="AI257" s="39">
        <f>+IFERROR((FT_RF_26[[#This Row],[Hongos]]/FT_RF_26[[#This Row],[Muestra]]),"0")</f>
        <v>0</v>
      </c>
      <c r="AJ257" s="38">
        <v>0</v>
      </c>
      <c r="AK257" s="39">
        <f>+IFERROR((FT_RF_26[[#This Row],[Block]]/FT_RF_26[[#This Row],[Muestra]]),"0")</f>
        <v>0</v>
      </c>
      <c r="AL257" s="41">
        <v>0</v>
      </c>
      <c r="AM257" s="42">
        <v>0</v>
      </c>
      <c r="AN257" s="38">
        <v>0</v>
      </c>
      <c r="AO257" s="39">
        <f>+IFERROR((FT_RF_26[[#This Row],[Fuera de calibre &lt;12mm]]/FT_RF_26[[#This Row],[Muestra]]),"0")</f>
        <v>0</v>
      </c>
      <c r="AP257" s="38">
        <v>0</v>
      </c>
      <c r="AQ257" s="39">
        <f>+IFERROR((FT_RF_26[[#This Row],[Calibre &lt;25]]/FT_RF_26[[#This Row],[Muestra]]),"0")</f>
        <v>0</v>
      </c>
      <c r="AR257" s="38">
        <v>0</v>
      </c>
      <c r="AS257" s="39">
        <f>+IFERROR((FT_RF_26[[#This Row],[Calibre &gt;12]]/FT_RF_26[[#This Row],[Muestra]]),"0")</f>
        <v>0</v>
      </c>
      <c r="AT257" s="38">
        <v>0</v>
      </c>
      <c r="AU257" s="39">
        <f>+IFERROR((FT_RF_26[[#This Row],[Calibre &lt;14]]/FT_RF_26[[#This Row],[Muestra]]),"0")</f>
        <v>0</v>
      </c>
      <c r="AV257" s="38">
        <v>0</v>
      </c>
      <c r="AW257" s="39">
        <f>+IFERROR((FT_RF_26[[#This Row],[Calibre &gt;14]]/FT_RF_26[[#This Row],[Muestra]]),"0")</f>
        <v>0</v>
      </c>
      <c r="AX257" s="38">
        <v>0</v>
      </c>
      <c r="AY257" s="39">
        <f>+IFERROR((FT_RF_26[[#This Row],[Calibre &lt;10]]/FT_RF_26[[#This Row],[Muestra]]),"0")</f>
        <v>0</v>
      </c>
      <c r="AZ257" s="38">
        <v>0</v>
      </c>
      <c r="BA257" s="39">
        <f>+IFERROR((FT_RF_26[[#This Row],[Calibre &gt;13]]/FT_RF_26[[#This Row],[Muestra]]),"0")</f>
        <v>0</v>
      </c>
      <c r="BB257" s="41"/>
      <c r="BG257" s="42"/>
      <c r="BH257" s="43">
        <v>0</v>
      </c>
      <c r="BI257" s="29" t="s">
        <v>894</v>
      </c>
      <c r="BJ257" s="29" t="s">
        <v>894</v>
      </c>
      <c r="BK25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5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57" s="45">
        <f>1-FT_RF_26[[#This Row],[% Defectos]]</f>
        <v>1</v>
      </c>
      <c r="BO257" s="60"/>
      <c r="BP257" s="12">
        <f>SUM(FT_RF_26[[#This Row],[Hoja (Un.)]:[Larvas Caja]])</f>
        <v>0</v>
      </c>
      <c r="BQ257" s="12">
        <f>SUM(FT_RF_26[[#This Row],[Vidrios]:[Plástico]])</f>
        <v>0</v>
      </c>
      <c r="BR257" s="12" t="str">
        <f>IF(ISBLANK(FT_RF_26[[#This Row],[Descripción del producto]]),"",FT_RF_26[[#This Row],[Descripción del producto]])</f>
        <v/>
      </c>
      <c r="BS257" s="29" t="str">
        <f>IF(ISBLANK(FT_RF_26[[#This Row],[N° de Lote]]),"",FT_RF_26[[#This Row],[N° de Lote]])</f>
        <v/>
      </c>
      <c r="BT257" s="29" t="str">
        <f>IF(ISBLANK(FT_RF_26[[#This Row],[N° de Pallet]]),"",FT_RF_26[[#This Row],[N° de Pallet]])</f>
        <v/>
      </c>
    </row>
    <row r="258" spans="2:72">
      <c r="B258" s="29">
        <f>+_xlfn.ISOWEEKNUM(FT_RF_26[[#This Row],[Fecha]])</f>
        <v>52</v>
      </c>
      <c r="E258" s="31"/>
      <c r="F258" s="12" t="str">
        <f>IFERROR(""&amp;_xlfn.XLOOKUP(FT_RF_26[[#This Row],[Código]],BD_Cod[SKU],BD_Cod[Descripción]),"")</f>
        <v/>
      </c>
      <c r="G258" s="32" t="str">
        <f>IFERROR(""&amp;_xlfn.XLOOKUP(FT_RF_26[[#This Row],[Código]],BD_Cod[SKU],BD_Cod[Familia Calidad]),"")</f>
        <v/>
      </c>
      <c r="J258" s="33">
        <v>1000</v>
      </c>
      <c r="L258" s="30" t="s">
        <v>244</v>
      </c>
      <c r="O258" s="30" t="s">
        <v>894</v>
      </c>
      <c r="P258" s="29" t="s">
        <v>894</v>
      </c>
      <c r="Q258" s="37">
        <f>1-FT_RF_26[[#This Row],[% Defectos]]</f>
        <v>1</v>
      </c>
      <c r="R258" s="38">
        <v>0</v>
      </c>
      <c r="S258" s="39">
        <f>+IFERROR((FT_RF_26[[#This Row],[Inmadura]]/FT_RF_26[[#This Row],[Muestra]]),"0")</f>
        <v>0</v>
      </c>
      <c r="T258" s="38">
        <v>0</v>
      </c>
      <c r="U258" s="39">
        <f>+IFERROR((FT_RF_26[[#This Row],[Partidas]]/FT_RF_26[[#This Row],[Muestra]]),"0")</f>
        <v>0</v>
      </c>
      <c r="V258" s="38">
        <v>0</v>
      </c>
      <c r="W258" s="39">
        <f>+IFERROR((FT_RF_26[[#This Row],[Daño Insecto]]/FT_RF_26[[#This Row],[Muestra]]),"0")</f>
        <v>0</v>
      </c>
      <c r="X258" s="38">
        <v>0</v>
      </c>
      <c r="Y258" s="39">
        <f>+IFERROR((FT_RF_26[[#This Row],[Sobremadura]]/FT_RF_26[[#This Row],[Muestra]]),"0")</f>
        <v>0</v>
      </c>
      <c r="Z258" s="38">
        <v>0</v>
      </c>
      <c r="AA258" s="39">
        <f>+IFERROR((FT_RF_26[[#This Row],[Deforme]]/FT_RF_26[[#This Row],[Muestra]]),"0")</f>
        <v>0</v>
      </c>
      <c r="AB258" s="27"/>
      <c r="AC258" s="38">
        <v>0</v>
      </c>
      <c r="AD258" s="39">
        <f>+IFERROR((FT_RF_26[[#This Row],[Valor Extra 1]]/FT_RF_26[[#This Row],[Muestra]]),"0")</f>
        <v>0</v>
      </c>
      <c r="AF258" s="38">
        <v>0</v>
      </c>
      <c r="AG258" s="39">
        <f>+IFERROR((FT_RF_26[[#This Row],[Valor Extra 2]]/FT_RF_26[[#This Row],[Muestra]]),"0")</f>
        <v>0</v>
      </c>
      <c r="AH258" s="40">
        <v>0</v>
      </c>
      <c r="AI258" s="39">
        <f>+IFERROR((FT_RF_26[[#This Row],[Hongos]]/FT_RF_26[[#This Row],[Muestra]]),"0")</f>
        <v>0</v>
      </c>
      <c r="AJ258" s="38">
        <v>0</v>
      </c>
      <c r="AK258" s="39">
        <f>+IFERROR((FT_RF_26[[#This Row],[Block]]/FT_RF_26[[#This Row],[Muestra]]),"0")</f>
        <v>0</v>
      </c>
      <c r="AL258" s="41">
        <v>0</v>
      </c>
      <c r="AM258" s="42">
        <v>0</v>
      </c>
      <c r="AN258" s="38">
        <v>0</v>
      </c>
      <c r="AO258" s="39">
        <f>+IFERROR((FT_RF_26[[#This Row],[Fuera de calibre &lt;12mm]]/FT_RF_26[[#This Row],[Muestra]]),"0")</f>
        <v>0</v>
      </c>
      <c r="AP258" s="38">
        <v>0</v>
      </c>
      <c r="AQ258" s="39">
        <f>+IFERROR((FT_RF_26[[#This Row],[Calibre &lt;25]]/FT_RF_26[[#This Row],[Muestra]]),"0")</f>
        <v>0</v>
      </c>
      <c r="AR258" s="38">
        <v>0</v>
      </c>
      <c r="AS258" s="39">
        <f>+IFERROR((FT_RF_26[[#This Row],[Calibre &gt;12]]/FT_RF_26[[#This Row],[Muestra]]),"0")</f>
        <v>0</v>
      </c>
      <c r="AT258" s="38">
        <v>0</v>
      </c>
      <c r="AU258" s="39">
        <f>+IFERROR((FT_RF_26[[#This Row],[Calibre &lt;14]]/FT_RF_26[[#This Row],[Muestra]]),"0")</f>
        <v>0</v>
      </c>
      <c r="AV258" s="38">
        <v>0</v>
      </c>
      <c r="AW258" s="39">
        <f>+IFERROR((FT_RF_26[[#This Row],[Calibre &gt;14]]/FT_RF_26[[#This Row],[Muestra]]),"0")</f>
        <v>0</v>
      </c>
      <c r="AX258" s="38">
        <v>0</v>
      </c>
      <c r="AY258" s="39">
        <f>+IFERROR((FT_RF_26[[#This Row],[Calibre &lt;10]]/FT_RF_26[[#This Row],[Muestra]]),"0")</f>
        <v>0</v>
      </c>
      <c r="AZ258" s="38">
        <v>0</v>
      </c>
      <c r="BA258" s="39">
        <f>+IFERROR((FT_RF_26[[#This Row],[Calibre &gt;13]]/FT_RF_26[[#This Row],[Muestra]]),"0")</f>
        <v>0</v>
      </c>
      <c r="BB258" s="41"/>
      <c r="BG258" s="42"/>
      <c r="BH258" s="43">
        <v>0</v>
      </c>
      <c r="BI258" s="29" t="s">
        <v>894</v>
      </c>
      <c r="BJ258" s="29" t="s">
        <v>894</v>
      </c>
      <c r="BK25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5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58" s="45">
        <f>1-FT_RF_26[[#This Row],[% Defectos]]</f>
        <v>1</v>
      </c>
      <c r="BO258" s="60"/>
      <c r="BP258" s="12">
        <f>SUM(FT_RF_26[[#This Row],[Hoja (Un.)]:[Larvas Caja]])</f>
        <v>0</v>
      </c>
      <c r="BQ258" s="12">
        <f>SUM(FT_RF_26[[#This Row],[Vidrios]:[Plástico]])</f>
        <v>0</v>
      </c>
      <c r="BR258" s="12" t="str">
        <f>IF(ISBLANK(FT_RF_26[[#This Row],[Descripción del producto]]),"",FT_RF_26[[#This Row],[Descripción del producto]])</f>
        <v/>
      </c>
      <c r="BS258" s="29" t="str">
        <f>IF(ISBLANK(FT_RF_26[[#This Row],[N° de Lote]]),"",FT_RF_26[[#This Row],[N° de Lote]])</f>
        <v/>
      </c>
      <c r="BT258" s="29" t="str">
        <f>IF(ISBLANK(FT_RF_26[[#This Row],[N° de Pallet]]),"",FT_RF_26[[#This Row],[N° de Pallet]])</f>
        <v/>
      </c>
    </row>
    <row r="259" spans="2:72">
      <c r="B259" s="29">
        <f>+_xlfn.ISOWEEKNUM(FT_RF_26[[#This Row],[Fecha]])</f>
        <v>52</v>
      </c>
      <c r="E259" s="31"/>
      <c r="F259" s="12" t="str">
        <f>IFERROR(""&amp;_xlfn.XLOOKUP(FT_RF_26[[#This Row],[Código]],BD_Cod[SKU],BD_Cod[Descripción]),"")</f>
        <v/>
      </c>
      <c r="G259" s="32" t="str">
        <f>IFERROR(""&amp;_xlfn.XLOOKUP(FT_RF_26[[#This Row],[Código]],BD_Cod[SKU],BD_Cod[Familia Calidad]),"")</f>
        <v/>
      </c>
      <c r="J259" s="33">
        <v>1000</v>
      </c>
      <c r="L259" s="30" t="s">
        <v>244</v>
      </c>
      <c r="O259" s="30" t="s">
        <v>894</v>
      </c>
      <c r="P259" s="29" t="s">
        <v>894</v>
      </c>
      <c r="Q259" s="37">
        <f>1-FT_RF_26[[#This Row],[% Defectos]]</f>
        <v>1</v>
      </c>
      <c r="R259" s="38">
        <v>0</v>
      </c>
      <c r="S259" s="39">
        <f>+IFERROR((FT_RF_26[[#This Row],[Inmadura]]/FT_RF_26[[#This Row],[Muestra]]),"0")</f>
        <v>0</v>
      </c>
      <c r="T259" s="38">
        <v>0</v>
      </c>
      <c r="U259" s="39">
        <f>+IFERROR((FT_RF_26[[#This Row],[Partidas]]/FT_RF_26[[#This Row],[Muestra]]),"0")</f>
        <v>0</v>
      </c>
      <c r="V259" s="38">
        <v>0</v>
      </c>
      <c r="W259" s="39">
        <f>+IFERROR((FT_RF_26[[#This Row],[Daño Insecto]]/FT_RF_26[[#This Row],[Muestra]]),"0")</f>
        <v>0</v>
      </c>
      <c r="X259" s="38">
        <v>0</v>
      </c>
      <c r="Y259" s="39">
        <f>+IFERROR((FT_RF_26[[#This Row],[Sobremadura]]/FT_RF_26[[#This Row],[Muestra]]),"0")</f>
        <v>0</v>
      </c>
      <c r="Z259" s="38">
        <v>0</v>
      </c>
      <c r="AA259" s="39">
        <f>+IFERROR((FT_RF_26[[#This Row],[Deforme]]/FT_RF_26[[#This Row],[Muestra]]),"0")</f>
        <v>0</v>
      </c>
      <c r="AB259" s="27"/>
      <c r="AC259" s="38">
        <v>0</v>
      </c>
      <c r="AD259" s="39">
        <f>+IFERROR((FT_RF_26[[#This Row],[Valor Extra 1]]/FT_RF_26[[#This Row],[Muestra]]),"0")</f>
        <v>0</v>
      </c>
      <c r="AF259" s="38">
        <v>0</v>
      </c>
      <c r="AG259" s="39">
        <f>+IFERROR((FT_RF_26[[#This Row],[Valor Extra 2]]/FT_RF_26[[#This Row],[Muestra]]),"0")</f>
        <v>0</v>
      </c>
      <c r="AH259" s="40">
        <v>0</v>
      </c>
      <c r="AI259" s="39">
        <f>+IFERROR((FT_RF_26[[#This Row],[Hongos]]/FT_RF_26[[#This Row],[Muestra]]),"0")</f>
        <v>0</v>
      </c>
      <c r="AJ259" s="38">
        <v>0</v>
      </c>
      <c r="AK259" s="39">
        <f>+IFERROR((FT_RF_26[[#This Row],[Block]]/FT_RF_26[[#This Row],[Muestra]]),"0")</f>
        <v>0</v>
      </c>
      <c r="AL259" s="41">
        <v>0</v>
      </c>
      <c r="AM259" s="42">
        <v>0</v>
      </c>
      <c r="AN259" s="38">
        <v>0</v>
      </c>
      <c r="AO259" s="39">
        <f>+IFERROR((FT_RF_26[[#This Row],[Fuera de calibre &lt;12mm]]/FT_RF_26[[#This Row],[Muestra]]),"0")</f>
        <v>0</v>
      </c>
      <c r="AP259" s="38">
        <v>0</v>
      </c>
      <c r="AQ259" s="39">
        <f>+IFERROR((FT_RF_26[[#This Row],[Calibre &lt;25]]/FT_RF_26[[#This Row],[Muestra]]),"0")</f>
        <v>0</v>
      </c>
      <c r="AR259" s="38">
        <v>0</v>
      </c>
      <c r="AS259" s="39">
        <f>+IFERROR((FT_RF_26[[#This Row],[Calibre &gt;12]]/FT_RF_26[[#This Row],[Muestra]]),"0")</f>
        <v>0</v>
      </c>
      <c r="AT259" s="38">
        <v>0</v>
      </c>
      <c r="AU259" s="39">
        <f>+IFERROR((FT_RF_26[[#This Row],[Calibre &lt;14]]/FT_RF_26[[#This Row],[Muestra]]),"0")</f>
        <v>0</v>
      </c>
      <c r="AV259" s="38">
        <v>0</v>
      </c>
      <c r="AW259" s="39">
        <f>+IFERROR((FT_RF_26[[#This Row],[Calibre &gt;14]]/FT_RF_26[[#This Row],[Muestra]]),"0")</f>
        <v>0</v>
      </c>
      <c r="AX259" s="38">
        <v>0</v>
      </c>
      <c r="AY259" s="39">
        <f>+IFERROR((FT_RF_26[[#This Row],[Calibre &lt;10]]/FT_RF_26[[#This Row],[Muestra]]),"0")</f>
        <v>0</v>
      </c>
      <c r="AZ259" s="38">
        <v>0</v>
      </c>
      <c r="BA259" s="39">
        <f>+IFERROR((FT_RF_26[[#This Row],[Calibre &gt;13]]/FT_RF_26[[#This Row],[Muestra]]),"0")</f>
        <v>0</v>
      </c>
      <c r="BB259" s="41"/>
      <c r="BG259" s="42"/>
      <c r="BH259" s="43">
        <v>0</v>
      </c>
      <c r="BI259" s="29" t="s">
        <v>894</v>
      </c>
      <c r="BJ259" s="29" t="s">
        <v>894</v>
      </c>
      <c r="BK25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5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59" s="45">
        <f>1-FT_RF_26[[#This Row],[% Defectos]]</f>
        <v>1</v>
      </c>
      <c r="BO259" s="60"/>
      <c r="BP259" s="12">
        <f>SUM(FT_RF_26[[#This Row],[Hoja (Un.)]:[Larvas Caja]])</f>
        <v>0</v>
      </c>
      <c r="BQ259" s="12">
        <f>SUM(FT_RF_26[[#This Row],[Vidrios]:[Plástico]])</f>
        <v>0</v>
      </c>
      <c r="BR259" s="12" t="str">
        <f>IF(ISBLANK(FT_RF_26[[#This Row],[Descripción del producto]]),"",FT_RF_26[[#This Row],[Descripción del producto]])</f>
        <v/>
      </c>
      <c r="BS259" s="29" t="str">
        <f>IF(ISBLANK(FT_RF_26[[#This Row],[N° de Lote]]),"",FT_RF_26[[#This Row],[N° de Lote]])</f>
        <v/>
      </c>
      <c r="BT259" s="29" t="str">
        <f>IF(ISBLANK(FT_RF_26[[#This Row],[N° de Pallet]]),"",FT_RF_26[[#This Row],[N° de Pallet]])</f>
        <v/>
      </c>
    </row>
    <row r="260" spans="2:72">
      <c r="B260" s="29">
        <f>+_xlfn.ISOWEEKNUM(FT_RF_26[[#This Row],[Fecha]])</f>
        <v>52</v>
      </c>
      <c r="E260" s="31"/>
      <c r="F260" s="12" t="str">
        <f>IFERROR(""&amp;_xlfn.XLOOKUP(FT_RF_26[[#This Row],[Código]],BD_Cod[SKU],BD_Cod[Descripción]),"")</f>
        <v/>
      </c>
      <c r="G260" s="32" t="str">
        <f>IFERROR(""&amp;_xlfn.XLOOKUP(FT_RF_26[[#This Row],[Código]],BD_Cod[SKU],BD_Cod[Familia Calidad]),"")</f>
        <v/>
      </c>
      <c r="J260" s="33">
        <v>1000</v>
      </c>
      <c r="L260" s="30" t="s">
        <v>244</v>
      </c>
      <c r="O260" s="30" t="s">
        <v>894</v>
      </c>
      <c r="P260" s="29" t="s">
        <v>894</v>
      </c>
      <c r="Q260" s="37">
        <f>1-FT_RF_26[[#This Row],[% Defectos]]</f>
        <v>1</v>
      </c>
      <c r="R260" s="38">
        <v>0</v>
      </c>
      <c r="S260" s="39">
        <f>+IFERROR((FT_RF_26[[#This Row],[Inmadura]]/FT_RF_26[[#This Row],[Muestra]]),"0")</f>
        <v>0</v>
      </c>
      <c r="T260" s="38">
        <v>0</v>
      </c>
      <c r="U260" s="39">
        <f>+IFERROR((FT_RF_26[[#This Row],[Partidas]]/FT_RF_26[[#This Row],[Muestra]]),"0")</f>
        <v>0</v>
      </c>
      <c r="V260" s="38">
        <v>0</v>
      </c>
      <c r="W260" s="39">
        <f>+IFERROR((FT_RF_26[[#This Row],[Daño Insecto]]/FT_RF_26[[#This Row],[Muestra]]),"0")</f>
        <v>0</v>
      </c>
      <c r="X260" s="38">
        <v>0</v>
      </c>
      <c r="Y260" s="39">
        <f>+IFERROR((FT_RF_26[[#This Row],[Sobremadura]]/FT_RF_26[[#This Row],[Muestra]]),"0")</f>
        <v>0</v>
      </c>
      <c r="Z260" s="38">
        <v>0</v>
      </c>
      <c r="AA260" s="39">
        <f>+IFERROR((FT_RF_26[[#This Row],[Deforme]]/FT_RF_26[[#This Row],[Muestra]]),"0")</f>
        <v>0</v>
      </c>
      <c r="AB260" s="27"/>
      <c r="AC260" s="38">
        <v>0</v>
      </c>
      <c r="AD260" s="39">
        <f>+IFERROR((FT_RF_26[[#This Row],[Valor Extra 1]]/FT_RF_26[[#This Row],[Muestra]]),"0")</f>
        <v>0</v>
      </c>
      <c r="AF260" s="38">
        <v>0</v>
      </c>
      <c r="AG260" s="39">
        <f>+IFERROR((FT_RF_26[[#This Row],[Valor Extra 2]]/FT_RF_26[[#This Row],[Muestra]]),"0")</f>
        <v>0</v>
      </c>
      <c r="AH260" s="40">
        <v>0</v>
      </c>
      <c r="AI260" s="39">
        <f>+IFERROR((FT_RF_26[[#This Row],[Hongos]]/FT_RF_26[[#This Row],[Muestra]]),"0")</f>
        <v>0</v>
      </c>
      <c r="AJ260" s="38">
        <v>0</v>
      </c>
      <c r="AK260" s="39">
        <f>+IFERROR((FT_RF_26[[#This Row],[Block]]/FT_RF_26[[#This Row],[Muestra]]),"0")</f>
        <v>0</v>
      </c>
      <c r="AL260" s="41">
        <v>0</v>
      </c>
      <c r="AM260" s="42">
        <v>0</v>
      </c>
      <c r="AN260" s="38">
        <v>0</v>
      </c>
      <c r="AO260" s="39">
        <f>+IFERROR((FT_RF_26[[#This Row],[Fuera de calibre &lt;12mm]]/FT_RF_26[[#This Row],[Muestra]]),"0")</f>
        <v>0</v>
      </c>
      <c r="AP260" s="38">
        <v>0</v>
      </c>
      <c r="AQ260" s="39">
        <f>+IFERROR((FT_RF_26[[#This Row],[Calibre &lt;25]]/FT_RF_26[[#This Row],[Muestra]]),"0")</f>
        <v>0</v>
      </c>
      <c r="AR260" s="38">
        <v>0</v>
      </c>
      <c r="AS260" s="39">
        <f>+IFERROR((FT_RF_26[[#This Row],[Calibre &gt;12]]/FT_RF_26[[#This Row],[Muestra]]),"0")</f>
        <v>0</v>
      </c>
      <c r="AT260" s="38">
        <v>0</v>
      </c>
      <c r="AU260" s="39">
        <f>+IFERROR((FT_RF_26[[#This Row],[Calibre &lt;14]]/FT_RF_26[[#This Row],[Muestra]]),"0")</f>
        <v>0</v>
      </c>
      <c r="AV260" s="38">
        <v>0</v>
      </c>
      <c r="AW260" s="39">
        <f>+IFERROR((FT_RF_26[[#This Row],[Calibre &gt;14]]/FT_RF_26[[#This Row],[Muestra]]),"0")</f>
        <v>0</v>
      </c>
      <c r="AX260" s="38">
        <v>0</v>
      </c>
      <c r="AY260" s="39">
        <f>+IFERROR((FT_RF_26[[#This Row],[Calibre &lt;10]]/FT_RF_26[[#This Row],[Muestra]]),"0")</f>
        <v>0</v>
      </c>
      <c r="AZ260" s="38">
        <v>0</v>
      </c>
      <c r="BA260" s="39">
        <f>+IFERROR((FT_RF_26[[#This Row],[Calibre &gt;13]]/FT_RF_26[[#This Row],[Muestra]]),"0")</f>
        <v>0</v>
      </c>
      <c r="BB260" s="41"/>
      <c r="BG260" s="42"/>
      <c r="BH260" s="43">
        <v>0</v>
      </c>
      <c r="BI260" s="29" t="s">
        <v>894</v>
      </c>
      <c r="BJ260" s="29" t="s">
        <v>894</v>
      </c>
      <c r="BK26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6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60" s="45">
        <f>1-FT_RF_26[[#This Row],[% Defectos]]</f>
        <v>1</v>
      </c>
      <c r="BO260" s="60"/>
      <c r="BP260" s="12">
        <f>SUM(FT_RF_26[[#This Row],[Hoja (Un.)]:[Larvas Caja]])</f>
        <v>0</v>
      </c>
      <c r="BQ260" s="12">
        <f>SUM(FT_RF_26[[#This Row],[Vidrios]:[Plástico]])</f>
        <v>0</v>
      </c>
      <c r="BR260" s="12" t="str">
        <f>IF(ISBLANK(FT_RF_26[[#This Row],[Descripción del producto]]),"",FT_RF_26[[#This Row],[Descripción del producto]])</f>
        <v/>
      </c>
      <c r="BS260" s="29" t="str">
        <f>IF(ISBLANK(FT_RF_26[[#This Row],[N° de Lote]]),"",FT_RF_26[[#This Row],[N° de Lote]])</f>
        <v/>
      </c>
      <c r="BT260" s="29" t="str">
        <f>IF(ISBLANK(FT_RF_26[[#This Row],[N° de Pallet]]),"",FT_RF_26[[#This Row],[N° de Pallet]])</f>
        <v/>
      </c>
    </row>
    <row r="261" spans="2:72">
      <c r="B261" s="29">
        <f>+_xlfn.ISOWEEKNUM(FT_RF_26[[#This Row],[Fecha]])</f>
        <v>52</v>
      </c>
      <c r="E261" s="31"/>
      <c r="F261" s="12" t="str">
        <f>IFERROR(""&amp;_xlfn.XLOOKUP(FT_RF_26[[#This Row],[Código]],BD_Cod[SKU],BD_Cod[Descripción]),"")</f>
        <v/>
      </c>
      <c r="G261" s="32" t="str">
        <f>IFERROR(""&amp;_xlfn.XLOOKUP(FT_RF_26[[#This Row],[Código]],BD_Cod[SKU],BD_Cod[Familia Calidad]),"")</f>
        <v/>
      </c>
      <c r="J261" s="33">
        <v>1000</v>
      </c>
      <c r="L261" s="30" t="s">
        <v>244</v>
      </c>
      <c r="O261" s="30" t="s">
        <v>894</v>
      </c>
      <c r="P261" s="29" t="s">
        <v>894</v>
      </c>
      <c r="Q261" s="37">
        <f>1-FT_RF_26[[#This Row],[% Defectos]]</f>
        <v>1</v>
      </c>
      <c r="R261" s="38">
        <v>0</v>
      </c>
      <c r="S261" s="39">
        <f>+IFERROR((FT_RF_26[[#This Row],[Inmadura]]/FT_RF_26[[#This Row],[Muestra]]),"0")</f>
        <v>0</v>
      </c>
      <c r="T261" s="38">
        <v>0</v>
      </c>
      <c r="U261" s="39">
        <f>+IFERROR((FT_RF_26[[#This Row],[Partidas]]/FT_RF_26[[#This Row],[Muestra]]),"0")</f>
        <v>0</v>
      </c>
      <c r="V261" s="38">
        <v>0</v>
      </c>
      <c r="W261" s="39">
        <f>+IFERROR((FT_RF_26[[#This Row],[Daño Insecto]]/FT_RF_26[[#This Row],[Muestra]]),"0")</f>
        <v>0</v>
      </c>
      <c r="X261" s="38">
        <v>0</v>
      </c>
      <c r="Y261" s="39">
        <f>+IFERROR((FT_RF_26[[#This Row],[Sobremadura]]/FT_RF_26[[#This Row],[Muestra]]),"0")</f>
        <v>0</v>
      </c>
      <c r="Z261" s="38">
        <v>0</v>
      </c>
      <c r="AA261" s="39">
        <f>+IFERROR((FT_RF_26[[#This Row],[Deforme]]/FT_RF_26[[#This Row],[Muestra]]),"0")</f>
        <v>0</v>
      </c>
      <c r="AB261" s="27"/>
      <c r="AC261" s="38">
        <v>0</v>
      </c>
      <c r="AD261" s="39">
        <f>+IFERROR((FT_RF_26[[#This Row],[Valor Extra 1]]/FT_RF_26[[#This Row],[Muestra]]),"0")</f>
        <v>0</v>
      </c>
      <c r="AF261" s="38">
        <v>0</v>
      </c>
      <c r="AG261" s="39">
        <f>+IFERROR((FT_RF_26[[#This Row],[Valor Extra 2]]/FT_RF_26[[#This Row],[Muestra]]),"0")</f>
        <v>0</v>
      </c>
      <c r="AH261" s="40">
        <v>0</v>
      </c>
      <c r="AI261" s="39">
        <f>+IFERROR((FT_RF_26[[#This Row],[Hongos]]/FT_RF_26[[#This Row],[Muestra]]),"0")</f>
        <v>0</v>
      </c>
      <c r="AJ261" s="38">
        <v>0</v>
      </c>
      <c r="AK261" s="39">
        <f>+IFERROR((FT_RF_26[[#This Row],[Block]]/FT_RF_26[[#This Row],[Muestra]]),"0")</f>
        <v>0</v>
      </c>
      <c r="AL261" s="41">
        <v>0</v>
      </c>
      <c r="AM261" s="42">
        <v>0</v>
      </c>
      <c r="AN261" s="38">
        <v>0</v>
      </c>
      <c r="AO261" s="39">
        <f>+IFERROR((FT_RF_26[[#This Row],[Fuera de calibre &lt;12mm]]/FT_RF_26[[#This Row],[Muestra]]),"0")</f>
        <v>0</v>
      </c>
      <c r="AP261" s="38">
        <v>0</v>
      </c>
      <c r="AQ261" s="39">
        <f>+IFERROR((FT_RF_26[[#This Row],[Calibre &lt;25]]/FT_RF_26[[#This Row],[Muestra]]),"0")</f>
        <v>0</v>
      </c>
      <c r="AR261" s="38">
        <v>0</v>
      </c>
      <c r="AS261" s="39">
        <f>+IFERROR((FT_RF_26[[#This Row],[Calibre &gt;12]]/FT_RF_26[[#This Row],[Muestra]]),"0")</f>
        <v>0</v>
      </c>
      <c r="AT261" s="38">
        <v>0</v>
      </c>
      <c r="AU261" s="39">
        <f>+IFERROR((FT_RF_26[[#This Row],[Calibre &lt;14]]/FT_RF_26[[#This Row],[Muestra]]),"0")</f>
        <v>0</v>
      </c>
      <c r="AV261" s="38">
        <v>0</v>
      </c>
      <c r="AW261" s="39">
        <f>+IFERROR((FT_RF_26[[#This Row],[Calibre &gt;14]]/FT_RF_26[[#This Row],[Muestra]]),"0")</f>
        <v>0</v>
      </c>
      <c r="AX261" s="38">
        <v>0</v>
      </c>
      <c r="AY261" s="39">
        <f>+IFERROR((FT_RF_26[[#This Row],[Calibre &lt;10]]/FT_RF_26[[#This Row],[Muestra]]),"0")</f>
        <v>0</v>
      </c>
      <c r="AZ261" s="38">
        <v>0</v>
      </c>
      <c r="BA261" s="39">
        <f>+IFERROR((FT_RF_26[[#This Row],[Calibre &gt;13]]/FT_RF_26[[#This Row],[Muestra]]),"0")</f>
        <v>0</v>
      </c>
      <c r="BB261" s="41"/>
      <c r="BG261" s="42"/>
      <c r="BH261" s="43">
        <v>0</v>
      </c>
      <c r="BI261" s="29" t="s">
        <v>894</v>
      </c>
      <c r="BJ261" s="29" t="s">
        <v>894</v>
      </c>
      <c r="BK26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6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61" s="45">
        <f>1-FT_RF_26[[#This Row],[% Defectos]]</f>
        <v>1</v>
      </c>
      <c r="BO261" s="60"/>
      <c r="BP261" s="12">
        <f>SUM(FT_RF_26[[#This Row],[Hoja (Un.)]:[Larvas Caja]])</f>
        <v>0</v>
      </c>
      <c r="BQ261" s="12">
        <f>SUM(FT_RF_26[[#This Row],[Vidrios]:[Plástico]])</f>
        <v>0</v>
      </c>
      <c r="BR261" s="12" t="str">
        <f>IF(ISBLANK(FT_RF_26[[#This Row],[Descripción del producto]]),"",FT_RF_26[[#This Row],[Descripción del producto]])</f>
        <v/>
      </c>
      <c r="BS261" s="29" t="str">
        <f>IF(ISBLANK(FT_RF_26[[#This Row],[N° de Lote]]),"",FT_RF_26[[#This Row],[N° de Lote]])</f>
        <v/>
      </c>
      <c r="BT261" s="29" t="str">
        <f>IF(ISBLANK(FT_RF_26[[#This Row],[N° de Pallet]]),"",FT_RF_26[[#This Row],[N° de Pallet]])</f>
        <v/>
      </c>
    </row>
    <row r="262" spans="2:72">
      <c r="B262" s="29">
        <f>+_xlfn.ISOWEEKNUM(FT_RF_26[[#This Row],[Fecha]])</f>
        <v>52</v>
      </c>
      <c r="E262" s="31"/>
      <c r="F262" s="12" t="str">
        <f>IFERROR(""&amp;_xlfn.XLOOKUP(FT_RF_26[[#This Row],[Código]],BD_Cod[SKU],BD_Cod[Descripción]),"")</f>
        <v/>
      </c>
      <c r="G262" s="32" t="str">
        <f>IFERROR(""&amp;_xlfn.XLOOKUP(FT_RF_26[[#This Row],[Código]],BD_Cod[SKU],BD_Cod[Familia Calidad]),"")</f>
        <v/>
      </c>
      <c r="J262" s="33">
        <v>1000</v>
      </c>
      <c r="L262" s="30" t="s">
        <v>244</v>
      </c>
      <c r="O262" s="30" t="s">
        <v>894</v>
      </c>
      <c r="P262" s="29" t="s">
        <v>894</v>
      </c>
      <c r="Q262" s="37">
        <f>1-FT_RF_26[[#This Row],[% Defectos]]</f>
        <v>1</v>
      </c>
      <c r="R262" s="38">
        <v>0</v>
      </c>
      <c r="S262" s="39">
        <f>+IFERROR((FT_RF_26[[#This Row],[Inmadura]]/FT_RF_26[[#This Row],[Muestra]]),"0")</f>
        <v>0</v>
      </c>
      <c r="T262" s="38">
        <v>0</v>
      </c>
      <c r="U262" s="39">
        <f>+IFERROR((FT_RF_26[[#This Row],[Partidas]]/FT_RF_26[[#This Row],[Muestra]]),"0")</f>
        <v>0</v>
      </c>
      <c r="V262" s="38">
        <v>0</v>
      </c>
      <c r="W262" s="39">
        <f>+IFERROR((FT_RF_26[[#This Row],[Daño Insecto]]/FT_RF_26[[#This Row],[Muestra]]),"0")</f>
        <v>0</v>
      </c>
      <c r="X262" s="38">
        <v>0</v>
      </c>
      <c r="Y262" s="39">
        <f>+IFERROR((FT_RF_26[[#This Row],[Sobremadura]]/FT_RF_26[[#This Row],[Muestra]]),"0")</f>
        <v>0</v>
      </c>
      <c r="Z262" s="38">
        <v>0</v>
      </c>
      <c r="AA262" s="39">
        <f>+IFERROR((FT_RF_26[[#This Row],[Deforme]]/FT_RF_26[[#This Row],[Muestra]]),"0")</f>
        <v>0</v>
      </c>
      <c r="AB262" s="27"/>
      <c r="AC262" s="38">
        <v>0</v>
      </c>
      <c r="AD262" s="39">
        <f>+IFERROR((FT_RF_26[[#This Row],[Valor Extra 1]]/FT_RF_26[[#This Row],[Muestra]]),"0")</f>
        <v>0</v>
      </c>
      <c r="AF262" s="38">
        <v>0</v>
      </c>
      <c r="AG262" s="39">
        <f>+IFERROR((FT_RF_26[[#This Row],[Valor Extra 2]]/FT_RF_26[[#This Row],[Muestra]]),"0")</f>
        <v>0</v>
      </c>
      <c r="AH262" s="40">
        <v>0</v>
      </c>
      <c r="AI262" s="39">
        <f>+IFERROR((FT_RF_26[[#This Row],[Hongos]]/FT_RF_26[[#This Row],[Muestra]]),"0")</f>
        <v>0</v>
      </c>
      <c r="AJ262" s="38">
        <v>0</v>
      </c>
      <c r="AK262" s="39">
        <f>+IFERROR((FT_RF_26[[#This Row],[Block]]/FT_RF_26[[#This Row],[Muestra]]),"0")</f>
        <v>0</v>
      </c>
      <c r="AL262" s="41">
        <v>0</v>
      </c>
      <c r="AM262" s="42">
        <v>0</v>
      </c>
      <c r="AN262" s="38">
        <v>0</v>
      </c>
      <c r="AO262" s="39">
        <f>+IFERROR((FT_RF_26[[#This Row],[Fuera de calibre &lt;12mm]]/FT_RF_26[[#This Row],[Muestra]]),"0")</f>
        <v>0</v>
      </c>
      <c r="AP262" s="38">
        <v>0</v>
      </c>
      <c r="AQ262" s="39">
        <f>+IFERROR((FT_RF_26[[#This Row],[Calibre &lt;25]]/FT_RF_26[[#This Row],[Muestra]]),"0")</f>
        <v>0</v>
      </c>
      <c r="AR262" s="38">
        <v>0</v>
      </c>
      <c r="AS262" s="39">
        <f>+IFERROR((FT_RF_26[[#This Row],[Calibre &gt;12]]/FT_RF_26[[#This Row],[Muestra]]),"0")</f>
        <v>0</v>
      </c>
      <c r="AT262" s="38">
        <v>0</v>
      </c>
      <c r="AU262" s="39">
        <f>+IFERROR((FT_RF_26[[#This Row],[Calibre &lt;14]]/FT_RF_26[[#This Row],[Muestra]]),"0")</f>
        <v>0</v>
      </c>
      <c r="AV262" s="38">
        <v>0</v>
      </c>
      <c r="AW262" s="39">
        <f>+IFERROR((FT_RF_26[[#This Row],[Calibre &gt;14]]/FT_RF_26[[#This Row],[Muestra]]),"0")</f>
        <v>0</v>
      </c>
      <c r="AX262" s="38">
        <v>0</v>
      </c>
      <c r="AY262" s="39">
        <f>+IFERROR((FT_RF_26[[#This Row],[Calibre &lt;10]]/FT_RF_26[[#This Row],[Muestra]]),"0")</f>
        <v>0</v>
      </c>
      <c r="AZ262" s="38">
        <v>0</v>
      </c>
      <c r="BA262" s="39">
        <f>+IFERROR((FT_RF_26[[#This Row],[Calibre &gt;13]]/FT_RF_26[[#This Row],[Muestra]]),"0")</f>
        <v>0</v>
      </c>
      <c r="BB262" s="41"/>
      <c r="BG262" s="42"/>
      <c r="BH262" s="43">
        <v>0</v>
      </c>
      <c r="BI262" s="29" t="s">
        <v>894</v>
      </c>
      <c r="BJ262" s="29" t="s">
        <v>894</v>
      </c>
      <c r="BK26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6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62" s="45">
        <f>1-FT_RF_26[[#This Row],[% Defectos]]</f>
        <v>1</v>
      </c>
      <c r="BO262" s="60"/>
      <c r="BP262" s="12">
        <f>SUM(FT_RF_26[[#This Row],[Hoja (Un.)]:[Larvas Caja]])</f>
        <v>0</v>
      </c>
      <c r="BQ262" s="12">
        <f>SUM(FT_RF_26[[#This Row],[Vidrios]:[Plástico]])</f>
        <v>0</v>
      </c>
      <c r="BR262" s="12" t="str">
        <f>IF(ISBLANK(FT_RF_26[[#This Row],[Descripción del producto]]),"",FT_RF_26[[#This Row],[Descripción del producto]])</f>
        <v/>
      </c>
      <c r="BS262" s="29" t="str">
        <f>IF(ISBLANK(FT_RF_26[[#This Row],[N° de Lote]]),"",FT_RF_26[[#This Row],[N° de Lote]])</f>
        <v/>
      </c>
      <c r="BT262" s="29" t="str">
        <f>IF(ISBLANK(FT_RF_26[[#This Row],[N° de Pallet]]),"",FT_RF_26[[#This Row],[N° de Pallet]])</f>
        <v/>
      </c>
    </row>
    <row r="263" spans="2:72">
      <c r="B263" s="29">
        <f>+_xlfn.ISOWEEKNUM(FT_RF_26[[#This Row],[Fecha]])</f>
        <v>52</v>
      </c>
      <c r="E263" s="31"/>
      <c r="F263" s="12" t="str">
        <f>IFERROR(""&amp;_xlfn.XLOOKUP(FT_RF_26[[#This Row],[Código]],BD_Cod[SKU],BD_Cod[Descripción]),"")</f>
        <v/>
      </c>
      <c r="G263" s="32" t="str">
        <f>IFERROR(""&amp;_xlfn.XLOOKUP(FT_RF_26[[#This Row],[Código]],BD_Cod[SKU],BD_Cod[Familia Calidad]),"")</f>
        <v/>
      </c>
      <c r="J263" s="33">
        <v>1000</v>
      </c>
      <c r="L263" s="30" t="s">
        <v>244</v>
      </c>
      <c r="O263" s="30" t="s">
        <v>894</v>
      </c>
      <c r="P263" s="29" t="s">
        <v>894</v>
      </c>
      <c r="Q263" s="37">
        <f>1-FT_RF_26[[#This Row],[% Defectos]]</f>
        <v>1</v>
      </c>
      <c r="R263" s="38">
        <v>0</v>
      </c>
      <c r="S263" s="39">
        <f>+IFERROR((FT_RF_26[[#This Row],[Inmadura]]/FT_RF_26[[#This Row],[Muestra]]),"0")</f>
        <v>0</v>
      </c>
      <c r="T263" s="38">
        <v>0</v>
      </c>
      <c r="U263" s="39">
        <f>+IFERROR((FT_RF_26[[#This Row],[Partidas]]/FT_RF_26[[#This Row],[Muestra]]),"0")</f>
        <v>0</v>
      </c>
      <c r="V263" s="38">
        <v>0</v>
      </c>
      <c r="W263" s="39">
        <f>+IFERROR((FT_RF_26[[#This Row],[Daño Insecto]]/FT_RF_26[[#This Row],[Muestra]]),"0")</f>
        <v>0</v>
      </c>
      <c r="X263" s="38">
        <v>0</v>
      </c>
      <c r="Y263" s="39">
        <f>+IFERROR((FT_RF_26[[#This Row],[Sobremadura]]/FT_RF_26[[#This Row],[Muestra]]),"0")</f>
        <v>0</v>
      </c>
      <c r="Z263" s="38">
        <v>0</v>
      </c>
      <c r="AA263" s="39">
        <f>+IFERROR((FT_RF_26[[#This Row],[Deforme]]/FT_RF_26[[#This Row],[Muestra]]),"0")</f>
        <v>0</v>
      </c>
      <c r="AB263" s="27"/>
      <c r="AC263" s="38">
        <v>0</v>
      </c>
      <c r="AD263" s="39">
        <f>+IFERROR((FT_RF_26[[#This Row],[Valor Extra 1]]/FT_RF_26[[#This Row],[Muestra]]),"0")</f>
        <v>0</v>
      </c>
      <c r="AF263" s="38">
        <v>0</v>
      </c>
      <c r="AG263" s="39">
        <f>+IFERROR((FT_RF_26[[#This Row],[Valor Extra 2]]/FT_RF_26[[#This Row],[Muestra]]),"0")</f>
        <v>0</v>
      </c>
      <c r="AH263" s="40">
        <v>0</v>
      </c>
      <c r="AI263" s="39">
        <f>+IFERROR((FT_RF_26[[#This Row],[Hongos]]/FT_RF_26[[#This Row],[Muestra]]),"0")</f>
        <v>0</v>
      </c>
      <c r="AJ263" s="38">
        <v>0</v>
      </c>
      <c r="AK263" s="39">
        <f>+IFERROR((FT_RF_26[[#This Row],[Block]]/FT_RF_26[[#This Row],[Muestra]]),"0")</f>
        <v>0</v>
      </c>
      <c r="AL263" s="41">
        <v>0</v>
      </c>
      <c r="AM263" s="42">
        <v>0</v>
      </c>
      <c r="AN263" s="38">
        <v>0</v>
      </c>
      <c r="AO263" s="39">
        <f>+IFERROR((FT_RF_26[[#This Row],[Fuera de calibre &lt;12mm]]/FT_RF_26[[#This Row],[Muestra]]),"0")</f>
        <v>0</v>
      </c>
      <c r="AP263" s="38">
        <v>0</v>
      </c>
      <c r="AQ263" s="39">
        <f>+IFERROR((FT_RF_26[[#This Row],[Calibre &lt;25]]/FT_RF_26[[#This Row],[Muestra]]),"0")</f>
        <v>0</v>
      </c>
      <c r="AR263" s="38">
        <v>0</v>
      </c>
      <c r="AS263" s="39">
        <f>+IFERROR((FT_RF_26[[#This Row],[Calibre &gt;12]]/FT_RF_26[[#This Row],[Muestra]]),"0")</f>
        <v>0</v>
      </c>
      <c r="AT263" s="38">
        <v>0</v>
      </c>
      <c r="AU263" s="39">
        <f>+IFERROR((FT_RF_26[[#This Row],[Calibre &lt;14]]/FT_RF_26[[#This Row],[Muestra]]),"0")</f>
        <v>0</v>
      </c>
      <c r="AV263" s="38">
        <v>0</v>
      </c>
      <c r="AW263" s="39">
        <f>+IFERROR((FT_RF_26[[#This Row],[Calibre &gt;14]]/FT_RF_26[[#This Row],[Muestra]]),"0")</f>
        <v>0</v>
      </c>
      <c r="AX263" s="38">
        <v>0</v>
      </c>
      <c r="AY263" s="39">
        <f>+IFERROR((FT_RF_26[[#This Row],[Calibre &lt;10]]/FT_RF_26[[#This Row],[Muestra]]),"0")</f>
        <v>0</v>
      </c>
      <c r="AZ263" s="38">
        <v>0</v>
      </c>
      <c r="BA263" s="39">
        <f>+IFERROR((FT_RF_26[[#This Row],[Calibre &gt;13]]/FT_RF_26[[#This Row],[Muestra]]),"0")</f>
        <v>0</v>
      </c>
      <c r="BB263" s="41"/>
      <c r="BG263" s="42"/>
      <c r="BH263" s="43">
        <v>0</v>
      </c>
      <c r="BI263" s="29" t="s">
        <v>894</v>
      </c>
      <c r="BJ263" s="29" t="s">
        <v>894</v>
      </c>
      <c r="BK26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6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63" s="45">
        <f>1-FT_RF_26[[#This Row],[% Defectos]]</f>
        <v>1</v>
      </c>
      <c r="BO263" s="60"/>
      <c r="BP263" s="12">
        <f>SUM(FT_RF_26[[#This Row],[Hoja (Un.)]:[Larvas Caja]])</f>
        <v>0</v>
      </c>
      <c r="BQ263" s="12">
        <f>SUM(FT_RF_26[[#This Row],[Vidrios]:[Plástico]])</f>
        <v>0</v>
      </c>
      <c r="BR263" s="12" t="str">
        <f>IF(ISBLANK(FT_RF_26[[#This Row],[Descripción del producto]]),"",FT_RF_26[[#This Row],[Descripción del producto]])</f>
        <v/>
      </c>
      <c r="BS263" s="29" t="str">
        <f>IF(ISBLANK(FT_RF_26[[#This Row],[N° de Lote]]),"",FT_RF_26[[#This Row],[N° de Lote]])</f>
        <v/>
      </c>
      <c r="BT263" s="29" t="str">
        <f>IF(ISBLANK(FT_RF_26[[#This Row],[N° de Pallet]]),"",FT_RF_26[[#This Row],[N° de Pallet]])</f>
        <v/>
      </c>
    </row>
    <row r="264" spans="2:72">
      <c r="B264" s="29">
        <f>+_xlfn.ISOWEEKNUM(FT_RF_26[[#This Row],[Fecha]])</f>
        <v>52</v>
      </c>
      <c r="E264" s="31"/>
      <c r="F264" s="12" t="str">
        <f>IFERROR(""&amp;_xlfn.XLOOKUP(FT_RF_26[[#This Row],[Código]],BD_Cod[SKU],BD_Cod[Descripción]),"")</f>
        <v/>
      </c>
      <c r="G264" s="32" t="str">
        <f>IFERROR(""&amp;_xlfn.XLOOKUP(FT_RF_26[[#This Row],[Código]],BD_Cod[SKU],BD_Cod[Familia Calidad]),"")</f>
        <v/>
      </c>
      <c r="J264" s="33">
        <v>1000</v>
      </c>
      <c r="L264" s="30" t="s">
        <v>244</v>
      </c>
      <c r="O264" s="30" t="s">
        <v>894</v>
      </c>
      <c r="P264" s="29" t="s">
        <v>894</v>
      </c>
      <c r="Q264" s="37">
        <f>1-FT_RF_26[[#This Row],[% Defectos]]</f>
        <v>1</v>
      </c>
      <c r="R264" s="38">
        <v>0</v>
      </c>
      <c r="S264" s="39">
        <f>+IFERROR((FT_RF_26[[#This Row],[Inmadura]]/FT_RF_26[[#This Row],[Muestra]]),"0")</f>
        <v>0</v>
      </c>
      <c r="T264" s="38">
        <v>0</v>
      </c>
      <c r="U264" s="39">
        <f>+IFERROR((FT_RF_26[[#This Row],[Partidas]]/FT_RF_26[[#This Row],[Muestra]]),"0")</f>
        <v>0</v>
      </c>
      <c r="V264" s="38">
        <v>0</v>
      </c>
      <c r="W264" s="39">
        <f>+IFERROR((FT_RF_26[[#This Row],[Daño Insecto]]/FT_RF_26[[#This Row],[Muestra]]),"0")</f>
        <v>0</v>
      </c>
      <c r="X264" s="38">
        <v>0</v>
      </c>
      <c r="Y264" s="39">
        <f>+IFERROR((FT_RF_26[[#This Row],[Sobremadura]]/FT_RF_26[[#This Row],[Muestra]]),"0")</f>
        <v>0</v>
      </c>
      <c r="Z264" s="38">
        <v>0</v>
      </c>
      <c r="AA264" s="39">
        <f>+IFERROR((FT_RF_26[[#This Row],[Deforme]]/FT_RF_26[[#This Row],[Muestra]]),"0")</f>
        <v>0</v>
      </c>
      <c r="AB264" s="27"/>
      <c r="AC264" s="38">
        <v>0</v>
      </c>
      <c r="AD264" s="39">
        <f>+IFERROR((FT_RF_26[[#This Row],[Valor Extra 1]]/FT_RF_26[[#This Row],[Muestra]]),"0")</f>
        <v>0</v>
      </c>
      <c r="AF264" s="38">
        <v>0</v>
      </c>
      <c r="AG264" s="39">
        <f>+IFERROR((FT_RF_26[[#This Row],[Valor Extra 2]]/FT_RF_26[[#This Row],[Muestra]]),"0")</f>
        <v>0</v>
      </c>
      <c r="AH264" s="40">
        <v>0</v>
      </c>
      <c r="AI264" s="39">
        <f>+IFERROR((FT_RF_26[[#This Row],[Hongos]]/FT_RF_26[[#This Row],[Muestra]]),"0")</f>
        <v>0</v>
      </c>
      <c r="AJ264" s="38">
        <v>0</v>
      </c>
      <c r="AK264" s="39">
        <f>+IFERROR((FT_RF_26[[#This Row],[Block]]/FT_RF_26[[#This Row],[Muestra]]),"0")</f>
        <v>0</v>
      </c>
      <c r="AL264" s="41">
        <v>0</v>
      </c>
      <c r="AM264" s="42">
        <v>0</v>
      </c>
      <c r="AN264" s="38">
        <v>0</v>
      </c>
      <c r="AO264" s="39">
        <f>+IFERROR((FT_RF_26[[#This Row],[Fuera de calibre &lt;12mm]]/FT_RF_26[[#This Row],[Muestra]]),"0")</f>
        <v>0</v>
      </c>
      <c r="AP264" s="38">
        <v>0</v>
      </c>
      <c r="AQ264" s="39">
        <f>+IFERROR((FT_RF_26[[#This Row],[Calibre &lt;25]]/FT_RF_26[[#This Row],[Muestra]]),"0")</f>
        <v>0</v>
      </c>
      <c r="AR264" s="38">
        <v>0</v>
      </c>
      <c r="AS264" s="39">
        <f>+IFERROR((FT_RF_26[[#This Row],[Calibre &gt;12]]/FT_RF_26[[#This Row],[Muestra]]),"0")</f>
        <v>0</v>
      </c>
      <c r="AT264" s="38">
        <v>0</v>
      </c>
      <c r="AU264" s="39">
        <f>+IFERROR((FT_RF_26[[#This Row],[Calibre &lt;14]]/FT_RF_26[[#This Row],[Muestra]]),"0")</f>
        <v>0</v>
      </c>
      <c r="AV264" s="38">
        <v>0</v>
      </c>
      <c r="AW264" s="39">
        <f>+IFERROR((FT_RF_26[[#This Row],[Calibre &gt;14]]/FT_RF_26[[#This Row],[Muestra]]),"0")</f>
        <v>0</v>
      </c>
      <c r="AX264" s="38">
        <v>0</v>
      </c>
      <c r="AY264" s="39">
        <f>+IFERROR((FT_RF_26[[#This Row],[Calibre &lt;10]]/FT_RF_26[[#This Row],[Muestra]]),"0")</f>
        <v>0</v>
      </c>
      <c r="AZ264" s="38">
        <v>0</v>
      </c>
      <c r="BA264" s="39">
        <f>+IFERROR((FT_RF_26[[#This Row],[Calibre &gt;13]]/FT_RF_26[[#This Row],[Muestra]]),"0")</f>
        <v>0</v>
      </c>
      <c r="BB264" s="41"/>
      <c r="BG264" s="42"/>
      <c r="BH264" s="43">
        <v>0</v>
      </c>
      <c r="BI264" s="29" t="s">
        <v>894</v>
      </c>
      <c r="BJ264" s="29" t="s">
        <v>894</v>
      </c>
      <c r="BK26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6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64" s="45">
        <f>1-FT_RF_26[[#This Row],[% Defectos]]</f>
        <v>1</v>
      </c>
      <c r="BO264" s="60"/>
      <c r="BP264" s="12">
        <f>SUM(FT_RF_26[[#This Row],[Hoja (Un.)]:[Larvas Caja]])</f>
        <v>0</v>
      </c>
      <c r="BQ264" s="12">
        <f>SUM(FT_RF_26[[#This Row],[Vidrios]:[Plástico]])</f>
        <v>0</v>
      </c>
      <c r="BR264" s="12" t="str">
        <f>IF(ISBLANK(FT_RF_26[[#This Row],[Descripción del producto]]),"",FT_RF_26[[#This Row],[Descripción del producto]])</f>
        <v/>
      </c>
      <c r="BS264" s="29" t="str">
        <f>IF(ISBLANK(FT_RF_26[[#This Row],[N° de Lote]]),"",FT_RF_26[[#This Row],[N° de Lote]])</f>
        <v/>
      </c>
      <c r="BT264" s="29" t="str">
        <f>IF(ISBLANK(FT_RF_26[[#This Row],[N° de Pallet]]),"",FT_RF_26[[#This Row],[N° de Pallet]])</f>
        <v/>
      </c>
    </row>
    <row r="265" spans="2:72">
      <c r="B265" s="29">
        <f>+_xlfn.ISOWEEKNUM(FT_RF_26[[#This Row],[Fecha]])</f>
        <v>52</v>
      </c>
      <c r="E265" s="31"/>
      <c r="F265" s="12" t="str">
        <f>IFERROR(""&amp;_xlfn.XLOOKUP(FT_RF_26[[#This Row],[Código]],BD_Cod[SKU],BD_Cod[Descripción]),"")</f>
        <v/>
      </c>
      <c r="G265" s="32" t="str">
        <f>IFERROR(""&amp;_xlfn.XLOOKUP(FT_RF_26[[#This Row],[Código]],BD_Cod[SKU],BD_Cod[Familia Calidad]),"")</f>
        <v/>
      </c>
      <c r="J265" s="33">
        <v>1000</v>
      </c>
      <c r="L265" s="30" t="s">
        <v>244</v>
      </c>
      <c r="O265" s="30" t="s">
        <v>894</v>
      </c>
      <c r="P265" s="29" t="s">
        <v>894</v>
      </c>
      <c r="Q265" s="37">
        <f>1-FT_RF_26[[#This Row],[% Defectos]]</f>
        <v>1</v>
      </c>
      <c r="R265" s="38">
        <v>0</v>
      </c>
      <c r="S265" s="39">
        <f>+IFERROR((FT_RF_26[[#This Row],[Inmadura]]/FT_RF_26[[#This Row],[Muestra]]),"0")</f>
        <v>0</v>
      </c>
      <c r="T265" s="38">
        <v>0</v>
      </c>
      <c r="U265" s="39">
        <f>+IFERROR((FT_RF_26[[#This Row],[Partidas]]/FT_RF_26[[#This Row],[Muestra]]),"0")</f>
        <v>0</v>
      </c>
      <c r="V265" s="38">
        <v>0</v>
      </c>
      <c r="W265" s="39">
        <f>+IFERROR((FT_RF_26[[#This Row],[Daño Insecto]]/FT_RF_26[[#This Row],[Muestra]]),"0")</f>
        <v>0</v>
      </c>
      <c r="X265" s="38">
        <v>0</v>
      </c>
      <c r="Y265" s="39">
        <f>+IFERROR((FT_RF_26[[#This Row],[Sobremadura]]/FT_RF_26[[#This Row],[Muestra]]),"0")</f>
        <v>0</v>
      </c>
      <c r="Z265" s="38">
        <v>0</v>
      </c>
      <c r="AA265" s="39">
        <f>+IFERROR((FT_RF_26[[#This Row],[Deforme]]/FT_RF_26[[#This Row],[Muestra]]),"0")</f>
        <v>0</v>
      </c>
      <c r="AB265" s="27"/>
      <c r="AC265" s="38">
        <v>0</v>
      </c>
      <c r="AD265" s="39">
        <f>+IFERROR((FT_RF_26[[#This Row],[Valor Extra 1]]/FT_RF_26[[#This Row],[Muestra]]),"0")</f>
        <v>0</v>
      </c>
      <c r="AF265" s="38">
        <v>0</v>
      </c>
      <c r="AG265" s="39">
        <f>+IFERROR((FT_RF_26[[#This Row],[Valor Extra 2]]/FT_RF_26[[#This Row],[Muestra]]),"0")</f>
        <v>0</v>
      </c>
      <c r="AH265" s="40">
        <v>0</v>
      </c>
      <c r="AI265" s="39">
        <f>+IFERROR((FT_RF_26[[#This Row],[Hongos]]/FT_RF_26[[#This Row],[Muestra]]),"0")</f>
        <v>0</v>
      </c>
      <c r="AJ265" s="38">
        <v>0</v>
      </c>
      <c r="AK265" s="39">
        <f>+IFERROR((FT_RF_26[[#This Row],[Block]]/FT_RF_26[[#This Row],[Muestra]]),"0")</f>
        <v>0</v>
      </c>
      <c r="AL265" s="41">
        <v>0</v>
      </c>
      <c r="AM265" s="42">
        <v>0</v>
      </c>
      <c r="AN265" s="38">
        <v>0</v>
      </c>
      <c r="AO265" s="39">
        <f>+IFERROR((FT_RF_26[[#This Row],[Fuera de calibre &lt;12mm]]/FT_RF_26[[#This Row],[Muestra]]),"0")</f>
        <v>0</v>
      </c>
      <c r="AP265" s="38">
        <v>0</v>
      </c>
      <c r="AQ265" s="39">
        <f>+IFERROR((FT_RF_26[[#This Row],[Calibre &lt;25]]/FT_RF_26[[#This Row],[Muestra]]),"0")</f>
        <v>0</v>
      </c>
      <c r="AR265" s="38">
        <v>0</v>
      </c>
      <c r="AS265" s="39">
        <f>+IFERROR((FT_RF_26[[#This Row],[Calibre &gt;12]]/FT_RF_26[[#This Row],[Muestra]]),"0")</f>
        <v>0</v>
      </c>
      <c r="AT265" s="38">
        <v>0</v>
      </c>
      <c r="AU265" s="39">
        <f>+IFERROR((FT_RF_26[[#This Row],[Calibre &lt;14]]/FT_RF_26[[#This Row],[Muestra]]),"0")</f>
        <v>0</v>
      </c>
      <c r="AV265" s="38">
        <v>0</v>
      </c>
      <c r="AW265" s="39">
        <f>+IFERROR((FT_RF_26[[#This Row],[Calibre &gt;14]]/FT_RF_26[[#This Row],[Muestra]]),"0")</f>
        <v>0</v>
      </c>
      <c r="AX265" s="38">
        <v>0</v>
      </c>
      <c r="AY265" s="39">
        <f>+IFERROR((FT_RF_26[[#This Row],[Calibre &lt;10]]/FT_RF_26[[#This Row],[Muestra]]),"0")</f>
        <v>0</v>
      </c>
      <c r="AZ265" s="38">
        <v>0</v>
      </c>
      <c r="BA265" s="39">
        <f>+IFERROR((FT_RF_26[[#This Row],[Calibre &gt;13]]/FT_RF_26[[#This Row],[Muestra]]),"0")</f>
        <v>0</v>
      </c>
      <c r="BB265" s="41"/>
      <c r="BG265" s="42"/>
      <c r="BH265" s="43">
        <v>0</v>
      </c>
      <c r="BI265" s="29" t="s">
        <v>894</v>
      </c>
      <c r="BJ265" s="29" t="s">
        <v>894</v>
      </c>
      <c r="BK26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6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65" s="45">
        <f>1-FT_RF_26[[#This Row],[% Defectos]]</f>
        <v>1</v>
      </c>
      <c r="BO265" s="60"/>
      <c r="BP265" s="12">
        <f>SUM(FT_RF_26[[#This Row],[Hoja (Un.)]:[Larvas Caja]])</f>
        <v>0</v>
      </c>
      <c r="BQ265" s="12">
        <f>SUM(FT_RF_26[[#This Row],[Vidrios]:[Plástico]])</f>
        <v>0</v>
      </c>
      <c r="BR265" s="12" t="str">
        <f>IF(ISBLANK(FT_RF_26[[#This Row],[Descripción del producto]]),"",FT_RF_26[[#This Row],[Descripción del producto]])</f>
        <v/>
      </c>
      <c r="BS265" s="29" t="str">
        <f>IF(ISBLANK(FT_RF_26[[#This Row],[N° de Lote]]),"",FT_RF_26[[#This Row],[N° de Lote]])</f>
        <v/>
      </c>
      <c r="BT265" s="29" t="str">
        <f>IF(ISBLANK(FT_RF_26[[#This Row],[N° de Pallet]]),"",FT_RF_26[[#This Row],[N° de Pallet]])</f>
        <v/>
      </c>
    </row>
    <row r="266" spans="2:72">
      <c r="B266" s="29">
        <f>+_xlfn.ISOWEEKNUM(FT_RF_26[[#This Row],[Fecha]])</f>
        <v>52</v>
      </c>
      <c r="E266" s="31"/>
      <c r="F266" s="12" t="str">
        <f>IFERROR(""&amp;_xlfn.XLOOKUP(FT_RF_26[[#This Row],[Código]],BD_Cod[SKU],BD_Cod[Descripción]),"")</f>
        <v/>
      </c>
      <c r="G266" s="32" t="str">
        <f>IFERROR(""&amp;_xlfn.XLOOKUP(FT_RF_26[[#This Row],[Código]],BD_Cod[SKU],BD_Cod[Familia Calidad]),"")</f>
        <v/>
      </c>
      <c r="J266" s="33">
        <v>1000</v>
      </c>
      <c r="L266" s="30" t="s">
        <v>244</v>
      </c>
      <c r="O266" s="30" t="s">
        <v>894</v>
      </c>
      <c r="P266" s="29" t="s">
        <v>894</v>
      </c>
      <c r="Q266" s="37">
        <f>1-FT_RF_26[[#This Row],[% Defectos]]</f>
        <v>1</v>
      </c>
      <c r="R266" s="38">
        <v>0</v>
      </c>
      <c r="S266" s="39">
        <f>+IFERROR((FT_RF_26[[#This Row],[Inmadura]]/FT_RF_26[[#This Row],[Muestra]]),"0")</f>
        <v>0</v>
      </c>
      <c r="T266" s="38">
        <v>0</v>
      </c>
      <c r="U266" s="39">
        <f>+IFERROR((FT_RF_26[[#This Row],[Partidas]]/FT_RF_26[[#This Row],[Muestra]]),"0")</f>
        <v>0</v>
      </c>
      <c r="V266" s="38">
        <v>0</v>
      </c>
      <c r="W266" s="39">
        <f>+IFERROR((FT_RF_26[[#This Row],[Daño Insecto]]/FT_RF_26[[#This Row],[Muestra]]),"0")</f>
        <v>0</v>
      </c>
      <c r="X266" s="38">
        <v>0</v>
      </c>
      <c r="Y266" s="39">
        <f>+IFERROR((FT_RF_26[[#This Row],[Sobremadura]]/FT_RF_26[[#This Row],[Muestra]]),"0")</f>
        <v>0</v>
      </c>
      <c r="Z266" s="38">
        <v>0</v>
      </c>
      <c r="AA266" s="39">
        <f>+IFERROR((FT_RF_26[[#This Row],[Deforme]]/FT_RF_26[[#This Row],[Muestra]]),"0")</f>
        <v>0</v>
      </c>
      <c r="AB266" s="27"/>
      <c r="AC266" s="38">
        <v>0</v>
      </c>
      <c r="AD266" s="39">
        <f>+IFERROR((FT_RF_26[[#This Row],[Valor Extra 1]]/FT_RF_26[[#This Row],[Muestra]]),"0")</f>
        <v>0</v>
      </c>
      <c r="AF266" s="38">
        <v>0</v>
      </c>
      <c r="AG266" s="39">
        <f>+IFERROR((FT_RF_26[[#This Row],[Valor Extra 2]]/FT_RF_26[[#This Row],[Muestra]]),"0")</f>
        <v>0</v>
      </c>
      <c r="AH266" s="40">
        <v>0</v>
      </c>
      <c r="AI266" s="39">
        <f>+IFERROR((FT_RF_26[[#This Row],[Hongos]]/FT_RF_26[[#This Row],[Muestra]]),"0")</f>
        <v>0</v>
      </c>
      <c r="AJ266" s="38">
        <v>0</v>
      </c>
      <c r="AK266" s="39">
        <f>+IFERROR((FT_RF_26[[#This Row],[Block]]/FT_RF_26[[#This Row],[Muestra]]),"0")</f>
        <v>0</v>
      </c>
      <c r="AL266" s="41">
        <v>0</v>
      </c>
      <c r="AM266" s="42">
        <v>0</v>
      </c>
      <c r="AN266" s="38">
        <v>0</v>
      </c>
      <c r="AO266" s="39">
        <f>+IFERROR((FT_RF_26[[#This Row],[Fuera de calibre &lt;12mm]]/FT_RF_26[[#This Row],[Muestra]]),"0")</f>
        <v>0</v>
      </c>
      <c r="AP266" s="38">
        <v>0</v>
      </c>
      <c r="AQ266" s="39">
        <f>+IFERROR((FT_RF_26[[#This Row],[Calibre &lt;25]]/FT_RF_26[[#This Row],[Muestra]]),"0")</f>
        <v>0</v>
      </c>
      <c r="AR266" s="38">
        <v>0</v>
      </c>
      <c r="AS266" s="39">
        <f>+IFERROR((FT_RF_26[[#This Row],[Calibre &gt;12]]/FT_RF_26[[#This Row],[Muestra]]),"0")</f>
        <v>0</v>
      </c>
      <c r="AT266" s="38">
        <v>0</v>
      </c>
      <c r="AU266" s="39">
        <f>+IFERROR((FT_RF_26[[#This Row],[Calibre &lt;14]]/FT_RF_26[[#This Row],[Muestra]]),"0")</f>
        <v>0</v>
      </c>
      <c r="AV266" s="38">
        <v>0</v>
      </c>
      <c r="AW266" s="39">
        <f>+IFERROR((FT_RF_26[[#This Row],[Calibre &gt;14]]/FT_RF_26[[#This Row],[Muestra]]),"0")</f>
        <v>0</v>
      </c>
      <c r="AX266" s="38">
        <v>0</v>
      </c>
      <c r="AY266" s="39">
        <f>+IFERROR((FT_RF_26[[#This Row],[Calibre &lt;10]]/FT_RF_26[[#This Row],[Muestra]]),"0")</f>
        <v>0</v>
      </c>
      <c r="AZ266" s="38">
        <v>0</v>
      </c>
      <c r="BA266" s="39">
        <f>+IFERROR((FT_RF_26[[#This Row],[Calibre &gt;13]]/FT_RF_26[[#This Row],[Muestra]]),"0")</f>
        <v>0</v>
      </c>
      <c r="BB266" s="41"/>
      <c r="BG266" s="42"/>
      <c r="BH266" s="43">
        <v>0</v>
      </c>
      <c r="BI266" s="29" t="s">
        <v>894</v>
      </c>
      <c r="BJ266" s="29" t="s">
        <v>894</v>
      </c>
      <c r="BK26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6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66" s="45">
        <f>1-FT_RF_26[[#This Row],[% Defectos]]</f>
        <v>1</v>
      </c>
      <c r="BO266" s="60"/>
      <c r="BP266" s="12">
        <f>SUM(FT_RF_26[[#This Row],[Hoja (Un.)]:[Larvas Caja]])</f>
        <v>0</v>
      </c>
      <c r="BQ266" s="12">
        <f>SUM(FT_RF_26[[#This Row],[Vidrios]:[Plástico]])</f>
        <v>0</v>
      </c>
      <c r="BR266" s="12" t="str">
        <f>IF(ISBLANK(FT_RF_26[[#This Row],[Descripción del producto]]),"",FT_RF_26[[#This Row],[Descripción del producto]])</f>
        <v/>
      </c>
      <c r="BS266" s="29" t="str">
        <f>IF(ISBLANK(FT_RF_26[[#This Row],[N° de Lote]]),"",FT_RF_26[[#This Row],[N° de Lote]])</f>
        <v/>
      </c>
      <c r="BT266" s="29" t="str">
        <f>IF(ISBLANK(FT_RF_26[[#This Row],[N° de Pallet]]),"",FT_RF_26[[#This Row],[N° de Pallet]])</f>
        <v/>
      </c>
    </row>
    <row r="267" spans="2:72">
      <c r="B267" s="29">
        <f>+_xlfn.ISOWEEKNUM(FT_RF_26[[#This Row],[Fecha]])</f>
        <v>52</v>
      </c>
      <c r="E267" s="31"/>
      <c r="F267" s="12" t="str">
        <f>IFERROR(""&amp;_xlfn.XLOOKUP(FT_RF_26[[#This Row],[Código]],BD_Cod[SKU],BD_Cod[Descripción]),"")</f>
        <v/>
      </c>
      <c r="G267" s="32" t="str">
        <f>IFERROR(""&amp;_xlfn.XLOOKUP(FT_RF_26[[#This Row],[Código]],BD_Cod[SKU],BD_Cod[Familia Calidad]),"")</f>
        <v/>
      </c>
      <c r="J267" s="33">
        <v>1000</v>
      </c>
      <c r="L267" s="30" t="s">
        <v>244</v>
      </c>
      <c r="O267" s="30" t="s">
        <v>894</v>
      </c>
      <c r="P267" s="29" t="s">
        <v>894</v>
      </c>
      <c r="Q267" s="37">
        <f>1-FT_RF_26[[#This Row],[% Defectos]]</f>
        <v>1</v>
      </c>
      <c r="R267" s="38">
        <v>0</v>
      </c>
      <c r="S267" s="39">
        <f>+IFERROR((FT_RF_26[[#This Row],[Inmadura]]/FT_RF_26[[#This Row],[Muestra]]),"0")</f>
        <v>0</v>
      </c>
      <c r="T267" s="38">
        <v>0</v>
      </c>
      <c r="U267" s="39">
        <f>+IFERROR((FT_RF_26[[#This Row],[Partidas]]/FT_RF_26[[#This Row],[Muestra]]),"0")</f>
        <v>0</v>
      </c>
      <c r="V267" s="38">
        <v>0</v>
      </c>
      <c r="W267" s="39">
        <f>+IFERROR((FT_RF_26[[#This Row],[Daño Insecto]]/FT_RF_26[[#This Row],[Muestra]]),"0")</f>
        <v>0</v>
      </c>
      <c r="X267" s="38">
        <v>0</v>
      </c>
      <c r="Y267" s="39">
        <f>+IFERROR((FT_RF_26[[#This Row],[Sobremadura]]/FT_RF_26[[#This Row],[Muestra]]),"0")</f>
        <v>0</v>
      </c>
      <c r="Z267" s="38">
        <v>0</v>
      </c>
      <c r="AA267" s="39">
        <f>+IFERROR((FT_RF_26[[#This Row],[Deforme]]/FT_RF_26[[#This Row],[Muestra]]),"0")</f>
        <v>0</v>
      </c>
      <c r="AB267" s="27"/>
      <c r="AC267" s="38">
        <v>0</v>
      </c>
      <c r="AD267" s="39">
        <f>+IFERROR((FT_RF_26[[#This Row],[Valor Extra 1]]/FT_RF_26[[#This Row],[Muestra]]),"0")</f>
        <v>0</v>
      </c>
      <c r="AF267" s="38">
        <v>0</v>
      </c>
      <c r="AG267" s="39">
        <f>+IFERROR((FT_RF_26[[#This Row],[Valor Extra 2]]/FT_RF_26[[#This Row],[Muestra]]),"0")</f>
        <v>0</v>
      </c>
      <c r="AH267" s="40">
        <v>0</v>
      </c>
      <c r="AI267" s="39">
        <f>+IFERROR((FT_RF_26[[#This Row],[Hongos]]/FT_RF_26[[#This Row],[Muestra]]),"0")</f>
        <v>0</v>
      </c>
      <c r="AJ267" s="38">
        <v>0</v>
      </c>
      <c r="AK267" s="39">
        <f>+IFERROR((FT_RF_26[[#This Row],[Block]]/FT_RF_26[[#This Row],[Muestra]]),"0")</f>
        <v>0</v>
      </c>
      <c r="AL267" s="41">
        <v>0</v>
      </c>
      <c r="AM267" s="42">
        <v>0</v>
      </c>
      <c r="AN267" s="38">
        <v>0</v>
      </c>
      <c r="AO267" s="39">
        <f>+IFERROR((FT_RF_26[[#This Row],[Fuera de calibre &lt;12mm]]/FT_RF_26[[#This Row],[Muestra]]),"0")</f>
        <v>0</v>
      </c>
      <c r="AP267" s="38">
        <v>0</v>
      </c>
      <c r="AQ267" s="39">
        <f>+IFERROR((FT_RF_26[[#This Row],[Calibre &lt;25]]/FT_RF_26[[#This Row],[Muestra]]),"0")</f>
        <v>0</v>
      </c>
      <c r="AR267" s="38">
        <v>0</v>
      </c>
      <c r="AS267" s="39">
        <f>+IFERROR((FT_RF_26[[#This Row],[Calibre &gt;12]]/FT_RF_26[[#This Row],[Muestra]]),"0")</f>
        <v>0</v>
      </c>
      <c r="AT267" s="38">
        <v>0</v>
      </c>
      <c r="AU267" s="39">
        <f>+IFERROR((FT_RF_26[[#This Row],[Calibre &lt;14]]/FT_RF_26[[#This Row],[Muestra]]),"0")</f>
        <v>0</v>
      </c>
      <c r="AV267" s="38">
        <v>0</v>
      </c>
      <c r="AW267" s="39">
        <f>+IFERROR((FT_RF_26[[#This Row],[Calibre &gt;14]]/FT_RF_26[[#This Row],[Muestra]]),"0")</f>
        <v>0</v>
      </c>
      <c r="AX267" s="38">
        <v>0</v>
      </c>
      <c r="AY267" s="39">
        <f>+IFERROR((FT_RF_26[[#This Row],[Calibre &lt;10]]/FT_RF_26[[#This Row],[Muestra]]),"0")</f>
        <v>0</v>
      </c>
      <c r="AZ267" s="38">
        <v>0</v>
      </c>
      <c r="BA267" s="39">
        <f>+IFERROR((FT_RF_26[[#This Row],[Calibre &gt;13]]/FT_RF_26[[#This Row],[Muestra]]),"0")</f>
        <v>0</v>
      </c>
      <c r="BB267" s="41"/>
      <c r="BG267" s="42"/>
      <c r="BH267" s="43">
        <v>0</v>
      </c>
      <c r="BI267" s="29" t="s">
        <v>894</v>
      </c>
      <c r="BJ267" s="29" t="s">
        <v>894</v>
      </c>
      <c r="BK26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6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67" s="45">
        <f>1-FT_RF_26[[#This Row],[% Defectos]]</f>
        <v>1</v>
      </c>
      <c r="BO267" s="60"/>
      <c r="BP267" s="12">
        <f>SUM(FT_RF_26[[#This Row],[Hoja (Un.)]:[Larvas Caja]])</f>
        <v>0</v>
      </c>
      <c r="BQ267" s="12">
        <f>SUM(FT_RF_26[[#This Row],[Vidrios]:[Plástico]])</f>
        <v>0</v>
      </c>
      <c r="BR267" s="12" t="str">
        <f>IF(ISBLANK(FT_RF_26[[#This Row],[Descripción del producto]]),"",FT_RF_26[[#This Row],[Descripción del producto]])</f>
        <v/>
      </c>
      <c r="BS267" s="29" t="str">
        <f>IF(ISBLANK(FT_RF_26[[#This Row],[N° de Lote]]),"",FT_RF_26[[#This Row],[N° de Lote]])</f>
        <v/>
      </c>
      <c r="BT267" s="29" t="str">
        <f>IF(ISBLANK(FT_RF_26[[#This Row],[N° de Pallet]]),"",FT_RF_26[[#This Row],[N° de Pallet]])</f>
        <v/>
      </c>
    </row>
    <row r="268" spans="2:72">
      <c r="B268" s="29">
        <f>+_xlfn.ISOWEEKNUM(FT_RF_26[[#This Row],[Fecha]])</f>
        <v>52</v>
      </c>
      <c r="E268" s="31"/>
      <c r="F268" s="12" t="str">
        <f>IFERROR(""&amp;_xlfn.XLOOKUP(FT_RF_26[[#This Row],[Código]],BD_Cod[SKU],BD_Cod[Descripción]),"")</f>
        <v/>
      </c>
      <c r="G268" s="32" t="str">
        <f>IFERROR(""&amp;_xlfn.XLOOKUP(FT_RF_26[[#This Row],[Código]],BD_Cod[SKU],BD_Cod[Familia Calidad]),"")</f>
        <v/>
      </c>
      <c r="J268" s="33">
        <v>1000</v>
      </c>
      <c r="L268" s="30" t="s">
        <v>244</v>
      </c>
      <c r="O268" s="30" t="s">
        <v>894</v>
      </c>
      <c r="P268" s="29" t="s">
        <v>894</v>
      </c>
      <c r="Q268" s="37">
        <f>1-FT_RF_26[[#This Row],[% Defectos]]</f>
        <v>1</v>
      </c>
      <c r="R268" s="38">
        <v>0</v>
      </c>
      <c r="S268" s="39">
        <f>+IFERROR((FT_RF_26[[#This Row],[Inmadura]]/FT_RF_26[[#This Row],[Muestra]]),"0")</f>
        <v>0</v>
      </c>
      <c r="T268" s="38">
        <v>0</v>
      </c>
      <c r="U268" s="39">
        <f>+IFERROR((FT_RF_26[[#This Row],[Partidas]]/FT_RF_26[[#This Row],[Muestra]]),"0")</f>
        <v>0</v>
      </c>
      <c r="V268" s="38">
        <v>0</v>
      </c>
      <c r="W268" s="39">
        <f>+IFERROR((FT_RF_26[[#This Row],[Daño Insecto]]/FT_RF_26[[#This Row],[Muestra]]),"0")</f>
        <v>0</v>
      </c>
      <c r="X268" s="38">
        <v>0</v>
      </c>
      <c r="Y268" s="39">
        <f>+IFERROR((FT_RF_26[[#This Row],[Sobremadura]]/FT_RF_26[[#This Row],[Muestra]]),"0")</f>
        <v>0</v>
      </c>
      <c r="Z268" s="38">
        <v>0</v>
      </c>
      <c r="AA268" s="39">
        <f>+IFERROR((FT_RF_26[[#This Row],[Deforme]]/FT_RF_26[[#This Row],[Muestra]]),"0")</f>
        <v>0</v>
      </c>
      <c r="AB268" s="27"/>
      <c r="AC268" s="38">
        <v>0</v>
      </c>
      <c r="AD268" s="39">
        <f>+IFERROR((FT_RF_26[[#This Row],[Valor Extra 1]]/FT_RF_26[[#This Row],[Muestra]]),"0")</f>
        <v>0</v>
      </c>
      <c r="AF268" s="38">
        <v>0</v>
      </c>
      <c r="AG268" s="39">
        <f>+IFERROR((FT_RF_26[[#This Row],[Valor Extra 2]]/FT_RF_26[[#This Row],[Muestra]]),"0")</f>
        <v>0</v>
      </c>
      <c r="AH268" s="40">
        <v>0</v>
      </c>
      <c r="AI268" s="39">
        <f>+IFERROR((FT_RF_26[[#This Row],[Hongos]]/FT_RF_26[[#This Row],[Muestra]]),"0")</f>
        <v>0</v>
      </c>
      <c r="AJ268" s="38">
        <v>0</v>
      </c>
      <c r="AK268" s="39">
        <f>+IFERROR((FT_RF_26[[#This Row],[Block]]/FT_RF_26[[#This Row],[Muestra]]),"0")</f>
        <v>0</v>
      </c>
      <c r="AL268" s="41">
        <v>0</v>
      </c>
      <c r="AM268" s="42">
        <v>0</v>
      </c>
      <c r="AN268" s="38">
        <v>0</v>
      </c>
      <c r="AO268" s="39">
        <f>+IFERROR((FT_RF_26[[#This Row],[Fuera de calibre &lt;12mm]]/FT_RF_26[[#This Row],[Muestra]]),"0")</f>
        <v>0</v>
      </c>
      <c r="AP268" s="38">
        <v>0</v>
      </c>
      <c r="AQ268" s="39">
        <f>+IFERROR((FT_RF_26[[#This Row],[Calibre &lt;25]]/FT_RF_26[[#This Row],[Muestra]]),"0")</f>
        <v>0</v>
      </c>
      <c r="AR268" s="38">
        <v>0</v>
      </c>
      <c r="AS268" s="39">
        <f>+IFERROR((FT_RF_26[[#This Row],[Calibre &gt;12]]/FT_RF_26[[#This Row],[Muestra]]),"0")</f>
        <v>0</v>
      </c>
      <c r="AT268" s="38">
        <v>0</v>
      </c>
      <c r="AU268" s="39">
        <f>+IFERROR((FT_RF_26[[#This Row],[Calibre &lt;14]]/FT_RF_26[[#This Row],[Muestra]]),"0")</f>
        <v>0</v>
      </c>
      <c r="AV268" s="38">
        <v>0</v>
      </c>
      <c r="AW268" s="39">
        <f>+IFERROR((FT_RF_26[[#This Row],[Calibre &gt;14]]/FT_RF_26[[#This Row],[Muestra]]),"0")</f>
        <v>0</v>
      </c>
      <c r="AX268" s="38">
        <v>0</v>
      </c>
      <c r="AY268" s="39">
        <f>+IFERROR((FT_RF_26[[#This Row],[Calibre &lt;10]]/FT_RF_26[[#This Row],[Muestra]]),"0")</f>
        <v>0</v>
      </c>
      <c r="AZ268" s="38">
        <v>0</v>
      </c>
      <c r="BA268" s="39">
        <f>+IFERROR((FT_RF_26[[#This Row],[Calibre &gt;13]]/FT_RF_26[[#This Row],[Muestra]]),"0")</f>
        <v>0</v>
      </c>
      <c r="BB268" s="41"/>
      <c r="BG268" s="42"/>
      <c r="BH268" s="43">
        <v>0</v>
      </c>
      <c r="BI268" s="29" t="s">
        <v>894</v>
      </c>
      <c r="BJ268" s="29" t="s">
        <v>894</v>
      </c>
      <c r="BK26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6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68" s="45">
        <f>1-FT_RF_26[[#This Row],[% Defectos]]</f>
        <v>1</v>
      </c>
      <c r="BO268" s="60"/>
      <c r="BP268" s="12">
        <f>SUM(FT_RF_26[[#This Row],[Hoja (Un.)]:[Larvas Caja]])</f>
        <v>0</v>
      </c>
      <c r="BQ268" s="12">
        <f>SUM(FT_RF_26[[#This Row],[Vidrios]:[Plástico]])</f>
        <v>0</v>
      </c>
      <c r="BR268" s="12" t="str">
        <f>IF(ISBLANK(FT_RF_26[[#This Row],[Descripción del producto]]),"",FT_RF_26[[#This Row],[Descripción del producto]])</f>
        <v/>
      </c>
      <c r="BS268" s="29" t="str">
        <f>IF(ISBLANK(FT_RF_26[[#This Row],[N° de Lote]]),"",FT_RF_26[[#This Row],[N° de Lote]])</f>
        <v/>
      </c>
      <c r="BT268" s="29" t="str">
        <f>IF(ISBLANK(FT_RF_26[[#This Row],[N° de Pallet]]),"",FT_RF_26[[#This Row],[N° de Pallet]])</f>
        <v/>
      </c>
    </row>
    <row r="269" spans="2:72">
      <c r="B269" s="29">
        <f>+_xlfn.ISOWEEKNUM(FT_RF_26[[#This Row],[Fecha]])</f>
        <v>52</v>
      </c>
      <c r="E269" s="31"/>
      <c r="F269" s="12" t="str">
        <f>IFERROR(""&amp;_xlfn.XLOOKUP(FT_RF_26[[#This Row],[Código]],BD_Cod[SKU],BD_Cod[Descripción]),"")</f>
        <v/>
      </c>
      <c r="G269" s="32" t="str">
        <f>IFERROR(""&amp;_xlfn.XLOOKUP(FT_RF_26[[#This Row],[Código]],BD_Cod[SKU],BD_Cod[Familia Calidad]),"")</f>
        <v/>
      </c>
      <c r="J269" s="33">
        <v>1000</v>
      </c>
      <c r="L269" s="30" t="s">
        <v>244</v>
      </c>
      <c r="O269" s="30" t="s">
        <v>894</v>
      </c>
      <c r="P269" s="29" t="s">
        <v>894</v>
      </c>
      <c r="Q269" s="37">
        <f>1-FT_RF_26[[#This Row],[% Defectos]]</f>
        <v>1</v>
      </c>
      <c r="R269" s="38">
        <v>0</v>
      </c>
      <c r="S269" s="39">
        <f>+IFERROR((FT_RF_26[[#This Row],[Inmadura]]/FT_RF_26[[#This Row],[Muestra]]),"0")</f>
        <v>0</v>
      </c>
      <c r="T269" s="38">
        <v>0</v>
      </c>
      <c r="U269" s="39">
        <f>+IFERROR((FT_RF_26[[#This Row],[Partidas]]/FT_RF_26[[#This Row],[Muestra]]),"0")</f>
        <v>0</v>
      </c>
      <c r="V269" s="38">
        <v>0</v>
      </c>
      <c r="W269" s="39">
        <f>+IFERROR((FT_RF_26[[#This Row],[Daño Insecto]]/FT_RF_26[[#This Row],[Muestra]]),"0")</f>
        <v>0</v>
      </c>
      <c r="X269" s="38">
        <v>0</v>
      </c>
      <c r="Y269" s="39">
        <f>+IFERROR((FT_RF_26[[#This Row],[Sobremadura]]/FT_RF_26[[#This Row],[Muestra]]),"0")</f>
        <v>0</v>
      </c>
      <c r="Z269" s="38">
        <v>0</v>
      </c>
      <c r="AA269" s="39">
        <f>+IFERROR((FT_RF_26[[#This Row],[Deforme]]/FT_RF_26[[#This Row],[Muestra]]),"0")</f>
        <v>0</v>
      </c>
      <c r="AB269" s="27"/>
      <c r="AC269" s="38">
        <v>0</v>
      </c>
      <c r="AD269" s="39">
        <f>+IFERROR((FT_RF_26[[#This Row],[Valor Extra 1]]/FT_RF_26[[#This Row],[Muestra]]),"0")</f>
        <v>0</v>
      </c>
      <c r="AF269" s="38">
        <v>0</v>
      </c>
      <c r="AG269" s="39">
        <f>+IFERROR((FT_RF_26[[#This Row],[Valor Extra 2]]/FT_RF_26[[#This Row],[Muestra]]),"0")</f>
        <v>0</v>
      </c>
      <c r="AH269" s="40">
        <v>0</v>
      </c>
      <c r="AI269" s="39">
        <f>+IFERROR((FT_RF_26[[#This Row],[Hongos]]/FT_RF_26[[#This Row],[Muestra]]),"0")</f>
        <v>0</v>
      </c>
      <c r="AJ269" s="38">
        <v>0</v>
      </c>
      <c r="AK269" s="39">
        <f>+IFERROR((FT_RF_26[[#This Row],[Block]]/FT_RF_26[[#This Row],[Muestra]]),"0")</f>
        <v>0</v>
      </c>
      <c r="AL269" s="41">
        <v>0</v>
      </c>
      <c r="AM269" s="42">
        <v>0</v>
      </c>
      <c r="AN269" s="38">
        <v>0</v>
      </c>
      <c r="AO269" s="39">
        <f>+IFERROR((FT_RF_26[[#This Row],[Fuera de calibre &lt;12mm]]/FT_RF_26[[#This Row],[Muestra]]),"0")</f>
        <v>0</v>
      </c>
      <c r="AP269" s="38">
        <v>0</v>
      </c>
      <c r="AQ269" s="39">
        <f>+IFERROR((FT_RF_26[[#This Row],[Calibre &lt;25]]/FT_RF_26[[#This Row],[Muestra]]),"0")</f>
        <v>0</v>
      </c>
      <c r="AR269" s="38">
        <v>0</v>
      </c>
      <c r="AS269" s="39">
        <f>+IFERROR((FT_RF_26[[#This Row],[Calibre &gt;12]]/FT_RF_26[[#This Row],[Muestra]]),"0")</f>
        <v>0</v>
      </c>
      <c r="AT269" s="38">
        <v>0</v>
      </c>
      <c r="AU269" s="39">
        <f>+IFERROR((FT_RF_26[[#This Row],[Calibre &lt;14]]/FT_RF_26[[#This Row],[Muestra]]),"0")</f>
        <v>0</v>
      </c>
      <c r="AV269" s="38">
        <v>0</v>
      </c>
      <c r="AW269" s="39">
        <f>+IFERROR((FT_RF_26[[#This Row],[Calibre &gt;14]]/FT_RF_26[[#This Row],[Muestra]]),"0")</f>
        <v>0</v>
      </c>
      <c r="AX269" s="38">
        <v>0</v>
      </c>
      <c r="AY269" s="39">
        <f>+IFERROR((FT_RF_26[[#This Row],[Calibre &lt;10]]/FT_RF_26[[#This Row],[Muestra]]),"0")</f>
        <v>0</v>
      </c>
      <c r="AZ269" s="38">
        <v>0</v>
      </c>
      <c r="BA269" s="39">
        <f>+IFERROR((FT_RF_26[[#This Row],[Calibre &gt;13]]/FT_RF_26[[#This Row],[Muestra]]),"0")</f>
        <v>0</v>
      </c>
      <c r="BB269" s="41"/>
      <c r="BG269" s="42"/>
      <c r="BH269" s="43">
        <v>0</v>
      </c>
      <c r="BI269" s="29" t="s">
        <v>894</v>
      </c>
      <c r="BJ269" s="29" t="s">
        <v>894</v>
      </c>
      <c r="BK26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6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69" s="45">
        <f>1-FT_RF_26[[#This Row],[% Defectos]]</f>
        <v>1</v>
      </c>
      <c r="BO269" s="60"/>
      <c r="BP269" s="12">
        <f>SUM(FT_RF_26[[#This Row],[Hoja (Un.)]:[Larvas Caja]])</f>
        <v>0</v>
      </c>
      <c r="BQ269" s="12">
        <f>SUM(FT_RF_26[[#This Row],[Vidrios]:[Plástico]])</f>
        <v>0</v>
      </c>
      <c r="BR269" s="12" t="str">
        <f>IF(ISBLANK(FT_RF_26[[#This Row],[Descripción del producto]]),"",FT_RF_26[[#This Row],[Descripción del producto]])</f>
        <v/>
      </c>
      <c r="BS269" s="29" t="str">
        <f>IF(ISBLANK(FT_RF_26[[#This Row],[N° de Lote]]),"",FT_RF_26[[#This Row],[N° de Lote]])</f>
        <v/>
      </c>
      <c r="BT269" s="29" t="str">
        <f>IF(ISBLANK(FT_RF_26[[#This Row],[N° de Pallet]]),"",FT_RF_26[[#This Row],[N° de Pallet]])</f>
        <v/>
      </c>
    </row>
    <row r="270" spans="2:72">
      <c r="B270" s="29">
        <f>+_xlfn.ISOWEEKNUM(FT_RF_26[[#This Row],[Fecha]])</f>
        <v>52</v>
      </c>
      <c r="E270" s="31"/>
      <c r="F270" s="12" t="str">
        <f>IFERROR(""&amp;_xlfn.XLOOKUP(FT_RF_26[[#This Row],[Código]],BD_Cod[SKU],BD_Cod[Descripción]),"")</f>
        <v/>
      </c>
      <c r="G270" s="32" t="str">
        <f>IFERROR(""&amp;_xlfn.XLOOKUP(FT_RF_26[[#This Row],[Código]],BD_Cod[SKU],BD_Cod[Familia Calidad]),"")</f>
        <v/>
      </c>
      <c r="J270" s="33">
        <v>1000</v>
      </c>
      <c r="L270" s="30" t="s">
        <v>244</v>
      </c>
      <c r="O270" s="30" t="s">
        <v>894</v>
      </c>
      <c r="P270" s="29" t="s">
        <v>894</v>
      </c>
      <c r="Q270" s="37">
        <f>1-FT_RF_26[[#This Row],[% Defectos]]</f>
        <v>1</v>
      </c>
      <c r="R270" s="38">
        <v>0</v>
      </c>
      <c r="S270" s="39">
        <f>+IFERROR((FT_RF_26[[#This Row],[Inmadura]]/FT_RF_26[[#This Row],[Muestra]]),"0")</f>
        <v>0</v>
      </c>
      <c r="T270" s="38">
        <v>0</v>
      </c>
      <c r="U270" s="39">
        <f>+IFERROR((FT_RF_26[[#This Row],[Partidas]]/FT_RF_26[[#This Row],[Muestra]]),"0")</f>
        <v>0</v>
      </c>
      <c r="V270" s="38">
        <v>0</v>
      </c>
      <c r="W270" s="39">
        <f>+IFERROR((FT_RF_26[[#This Row],[Daño Insecto]]/FT_RF_26[[#This Row],[Muestra]]),"0")</f>
        <v>0</v>
      </c>
      <c r="X270" s="38">
        <v>0</v>
      </c>
      <c r="Y270" s="39">
        <f>+IFERROR((FT_RF_26[[#This Row],[Sobremadura]]/FT_RF_26[[#This Row],[Muestra]]),"0")</f>
        <v>0</v>
      </c>
      <c r="Z270" s="38">
        <v>0</v>
      </c>
      <c r="AA270" s="39">
        <f>+IFERROR((FT_RF_26[[#This Row],[Deforme]]/FT_RF_26[[#This Row],[Muestra]]),"0")</f>
        <v>0</v>
      </c>
      <c r="AB270" s="27"/>
      <c r="AC270" s="38">
        <v>0</v>
      </c>
      <c r="AD270" s="39">
        <f>+IFERROR((FT_RF_26[[#This Row],[Valor Extra 1]]/FT_RF_26[[#This Row],[Muestra]]),"0")</f>
        <v>0</v>
      </c>
      <c r="AF270" s="38">
        <v>0</v>
      </c>
      <c r="AG270" s="39">
        <f>+IFERROR((FT_RF_26[[#This Row],[Valor Extra 2]]/FT_RF_26[[#This Row],[Muestra]]),"0")</f>
        <v>0</v>
      </c>
      <c r="AH270" s="40">
        <v>0</v>
      </c>
      <c r="AI270" s="39">
        <f>+IFERROR((FT_RF_26[[#This Row],[Hongos]]/FT_RF_26[[#This Row],[Muestra]]),"0")</f>
        <v>0</v>
      </c>
      <c r="AJ270" s="38">
        <v>0</v>
      </c>
      <c r="AK270" s="39">
        <f>+IFERROR((FT_RF_26[[#This Row],[Block]]/FT_RF_26[[#This Row],[Muestra]]),"0")</f>
        <v>0</v>
      </c>
      <c r="AL270" s="41">
        <v>0</v>
      </c>
      <c r="AM270" s="42">
        <v>0</v>
      </c>
      <c r="AN270" s="38">
        <v>0</v>
      </c>
      <c r="AO270" s="39">
        <f>+IFERROR((FT_RF_26[[#This Row],[Fuera de calibre &lt;12mm]]/FT_RF_26[[#This Row],[Muestra]]),"0")</f>
        <v>0</v>
      </c>
      <c r="AP270" s="38">
        <v>0</v>
      </c>
      <c r="AQ270" s="39">
        <f>+IFERROR((FT_RF_26[[#This Row],[Calibre &lt;25]]/FT_RF_26[[#This Row],[Muestra]]),"0")</f>
        <v>0</v>
      </c>
      <c r="AR270" s="38">
        <v>0</v>
      </c>
      <c r="AS270" s="39">
        <f>+IFERROR((FT_RF_26[[#This Row],[Calibre &gt;12]]/FT_RF_26[[#This Row],[Muestra]]),"0")</f>
        <v>0</v>
      </c>
      <c r="AT270" s="38">
        <v>0</v>
      </c>
      <c r="AU270" s="39">
        <f>+IFERROR((FT_RF_26[[#This Row],[Calibre &lt;14]]/FT_RF_26[[#This Row],[Muestra]]),"0")</f>
        <v>0</v>
      </c>
      <c r="AV270" s="38">
        <v>0</v>
      </c>
      <c r="AW270" s="39">
        <f>+IFERROR((FT_RF_26[[#This Row],[Calibre &gt;14]]/FT_RF_26[[#This Row],[Muestra]]),"0")</f>
        <v>0</v>
      </c>
      <c r="AX270" s="38">
        <v>0</v>
      </c>
      <c r="AY270" s="39">
        <f>+IFERROR((FT_RF_26[[#This Row],[Calibre &lt;10]]/FT_RF_26[[#This Row],[Muestra]]),"0")</f>
        <v>0</v>
      </c>
      <c r="AZ270" s="38">
        <v>0</v>
      </c>
      <c r="BA270" s="39">
        <f>+IFERROR((FT_RF_26[[#This Row],[Calibre &gt;13]]/FT_RF_26[[#This Row],[Muestra]]),"0")</f>
        <v>0</v>
      </c>
      <c r="BB270" s="41"/>
      <c r="BG270" s="42"/>
      <c r="BH270" s="43">
        <v>0</v>
      </c>
      <c r="BI270" s="29" t="s">
        <v>894</v>
      </c>
      <c r="BJ270" s="29" t="s">
        <v>894</v>
      </c>
      <c r="BK27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7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70" s="45">
        <f>1-FT_RF_26[[#This Row],[% Defectos]]</f>
        <v>1</v>
      </c>
      <c r="BO270" s="60"/>
      <c r="BP270" s="12">
        <f>SUM(FT_RF_26[[#This Row],[Hoja (Un.)]:[Larvas Caja]])</f>
        <v>0</v>
      </c>
      <c r="BQ270" s="12">
        <f>SUM(FT_RF_26[[#This Row],[Vidrios]:[Plástico]])</f>
        <v>0</v>
      </c>
      <c r="BR270" s="12" t="str">
        <f>IF(ISBLANK(FT_RF_26[[#This Row],[Descripción del producto]]),"",FT_RF_26[[#This Row],[Descripción del producto]])</f>
        <v/>
      </c>
      <c r="BS270" s="29" t="str">
        <f>IF(ISBLANK(FT_RF_26[[#This Row],[N° de Lote]]),"",FT_RF_26[[#This Row],[N° de Lote]])</f>
        <v/>
      </c>
      <c r="BT270" s="29" t="str">
        <f>IF(ISBLANK(FT_RF_26[[#This Row],[N° de Pallet]]),"",FT_RF_26[[#This Row],[N° de Pallet]])</f>
        <v/>
      </c>
    </row>
    <row r="271" spans="2:72">
      <c r="B271" s="29">
        <f>+_xlfn.ISOWEEKNUM(FT_RF_26[[#This Row],[Fecha]])</f>
        <v>52</v>
      </c>
      <c r="E271" s="31"/>
      <c r="F271" s="12" t="str">
        <f>IFERROR(""&amp;_xlfn.XLOOKUP(FT_RF_26[[#This Row],[Código]],BD_Cod[SKU],BD_Cod[Descripción]),"")</f>
        <v/>
      </c>
      <c r="G271" s="32" t="str">
        <f>IFERROR(""&amp;_xlfn.XLOOKUP(FT_RF_26[[#This Row],[Código]],BD_Cod[SKU],BD_Cod[Familia Calidad]),"")</f>
        <v/>
      </c>
      <c r="J271" s="33">
        <v>1000</v>
      </c>
      <c r="L271" s="30" t="s">
        <v>244</v>
      </c>
      <c r="O271" s="30" t="s">
        <v>894</v>
      </c>
      <c r="P271" s="29" t="s">
        <v>894</v>
      </c>
      <c r="Q271" s="37">
        <f>1-FT_RF_26[[#This Row],[% Defectos]]</f>
        <v>1</v>
      </c>
      <c r="R271" s="38">
        <v>0</v>
      </c>
      <c r="S271" s="39">
        <f>+IFERROR((FT_RF_26[[#This Row],[Inmadura]]/FT_RF_26[[#This Row],[Muestra]]),"0")</f>
        <v>0</v>
      </c>
      <c r="T271" s="38">
        <v>0</v>
      </c>
      <c r="U271" s="39">
        <f>+IFERROR((FT_RF_26[[#This Row],[Partidas]]/FT_RF_26[[#This Row],[Muestra]]),"0")</f>
        <v>0</v>
      </c>
      <c r="V271" s="38">
        <v>0</v>
      </c>
      <c r="W271" s="39">
        <f>+IFERROR((FT_RF_26[[#This Row],[Daño Insecto]]/FT_RF_26[[#This Row],[Muestra]]),"0")</f>
        <v>0</v>
      </c>
      <c r="X271" s="38">
        <v>0</v>
      </c>
      <c r="Y271" s="39">
        <f>+IFERROR((FT_RF_26[[#This Row],[Sobremadura]]/FT_RF_26[[#This Row],[Muestra]]),"0")</f>
        <v>0</v>
      </c>
      <c r="Z271" s="38">
        <v>0</v>
      </c>
      <c r="AA271" s="39">
        <f>+IFERROR((FT_RF_26[[#This Row],[Deforme]]/FT_RF_26[[#This Row],[Muestra]]),"0")</f>
        <v>0</v>
      </c>
      <c r="AB271" s="27"/>
      <c r="AC271" s="38">
        <v>0</v>
      </c>
      <c r="AD271" s="39">
        <f>+IFERROR((FT_RF_26[[#This Row],[Valor Extra 1]]/FT_RF_26[[#This Row],[Muestra]]),"0")</f>
        <v>0</v>
      </c>
      <c r="AF271" s="38">
        <v>0</v>
      </c>
      <c r="AG271" s="39">
        <f>+IFERROR((FT_RF_26[[#This Row],[Valor Extra 2]]/FT_RF_26[[#This Row],[Muestra]]),"0")</f>
        <v>0</v>
      </c>
      <c r="AH271" s="40">
        <v>0</v>
      </c>
      <c r="AI271" s="39">
        <f>+IFERROR((FT_RF_26[[#This Row],[Hongos]]/FT_RF_26[[#This Row],[Muestra]]),"0")</f>
        <v>0</v>
      </c>
      <c r="AJ271" s="38">
        <v>0</v>
      </c>
      <c r="AK271" s="39">
        <f>+IFERROR((FT_RF_26[[#This Row],[Block]]/FT_RF_26[[#This Row],[Muestra]]),"0")</f>
        <v>0</v>
      </c>
      <c r="AL271" s="41">
        <v>0</v>
      </c>
      <c r="AM271" s="42">
        <v>0</v>
      </c>
      <c r="AN271" s="38">
        <v>0</v>
      </c>
      <c r="AO271" s="39">
        <f>+IFERROR((FT_RF_26[[#This Row],[Fuera de calibre &lt;12mm]]/FT_RF_26[[#This Row],[Muestra]]),"0")</f>
        <v>0</v>
      </c>
      <c r="AP271" s="38">
        <v>0</v>
      </c>
      <c r="AQ271" s="39">
        <f>+IFERROR((FT_RF_26[[#This Row],[Calibre &lt;25]]/FT_RF_26[[#This Row],[Muestra]]),"0")</f>
        <v>0</v>
      </c>
      <c r="AR271" s="38">
        <v>0</v>
      </c>
      <c r="AS271" s="39">
        <f>+IFERROR((FT_RF_26[[#This Row],[Calibre &gt;12]]/FT_RF_26[[#This Row],[Muestra]]),"0")</f>
        <v>0</v>
      </c>
      <c r="AT271" s="38">
        <v>0</v>
      </c>
      <c r="AU271" s="39">
        <f>+IFERROR((FT_RF_26[[#This Row],[Calibre &lt;14]]/FT_RF_26[[#This Row],[Muestra]]),"0")</f>
        <v>0</v>
      </c>
      <c r="AV271" s="38">
        <v>0</v>
      </c>
      <c r="AW271" s="39">
        <f>+IFERROR((FT_RF_26[[#This Row],[Calibre &gt;14]]/FT_RF_26[[#This Row],[Muestra]]),"0")</f>
        <v>0</v>
      </c>
      <c r="AX271" s="38">
        <v>0</v>
      </c>
      <c r="AY271" s="39">
        <f>+IFERROR((FT_RF_26[[#This Row],[Calibre &lt;10]]/FT_RF_26[[#This Row],[Muestra]]),"0")</f>
        <v>0</v>
      </c>
      <c r="AZ271" s="38">
        <v>0</v>
      </c>
      <c r="BA271" s="39">
        <f>+IFERROR((FT_RF_26[[#This Row],[Calibre &gt;13]]/FT_RF_26[[#This Row],[Muestra]]),"0")</f>
        <v>0</v>
      </c>
      <c r="BB271" s="41"/>
      <c r="BG271" s="42"/>
      <c r="BH271" s="43">
        <v>0</v>
      </c>
      <c r="BI271" s="29" t="s">
        <v>894</v>
      </c>
      <c r="BJ271" s="29" t="s">
        <v>894</v>
      </c>
      <c r="BK27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7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71" s="45">
        <f>1-FT_RF_26[[#This Row],[% Defectos]]</f>
        <v>1</v>
      </c>
      <c r="BO271" s="60"/>
      <c r="BP271" s="12">
        <f>SUM(FT_RF_26[[#This Row],[Hoja (Un.)]:[Larvas Caja]])</f>
        <v>0</v>
      </c>
      <c r="BQ271" s="12">
        <f>SUM(FT_RF_26[[#This Row],[Vidrios]:[Plástico]])</f>
        <v>0</v>
      </c>
      <c r="BR271" s="12" t="str">
        <f>IF(ISBLANK(FT_RF_26[[#This Row],[Descripción del producto]]),"",FT_RF_26[[#This Row],[Descripción del producto]])</f>
        <v/>
      </c>
      <c r="BS271" s="29" t="str">
        <f>IF(ISBLANK(FT_RF_26[[#This Row],[N° de Lote]]),"",FT_RF_26[[#This Row],[N° de Lote]])</f>
        <v/>
      </c>
      <c r="BT271" s="29" t="str">
        <f>IF(ISBLANK(FT_RF_26[[#This Row],[N° de Pallet]]),"",FT_RF_26[[#This Row],[N° de Pallet]])</f>
        <v/>
      </c>
    </row>
    <row r="272" spans="2:72">
      <c r="B272" s="29">
        <f>+_xlfn.ISOWEEKNUM(FT_RF_26[[#This Row],[Fecha]])</f>
        <v>52</v>
      </c>
      <c r="E272" s="31"/>
      <c r="F272" s="12" t="str">
        <f>IFERROR(""&amp;_xlfn.XLOOKUP(FT_RF_26[[#This Row],[Código]],BD_Cod[SKU],BD_Cod[Descripción]),"")</f>
        <v/>
      </c>
      <c r="G272" s="32" t="str">
        <f>IFERROR(""&amp;_xlfn.XLOOKUP(FT_RF_26[[#This Row],[Código]],BD_Cod[SKU],BD_Cod[Familia Calidad]),"")</f>
        <v/>
      </c>
      <c r="J272" s="33">
        <v>1000</v>
      </c>
      <c r="L272" s="30" t="s">
        <v>244</v>
      </c>
      <c r="O272" s="30" t="s">
        <v>894</v>
      </c>
      <c r="P272" s="29" t="s">
        <v>894</v>
      </c>
      <c r="Q272" s="37">
        <f>1-FT_RF_26[[#This Row],[% Defectos]]</f>
        <v>1</v>
      </c>
      <c r="R272" s="38">
        <v>0</v>
      </c>
      <c r="S272" s="39">
        <f>+IFERROR((FT_RF_26[[#This Row],[Inmadura]]/FT_RF_26[[#This Row],[Muestra]]),"0")</f>
        <v>0</v>
      </c>
      <c r="T272" s="38">
        <v>0</v>
      </c>
      <c r="U272" s="39">
        <f>+IFERROR((FT_RF_26[[#This Row],[Partidas]]/FT_RF_26[[#This Row],[Muestra]]),"0")</f>
        <v>0</v>
      </c>
      <c r="V272" s="38">
        <v>0</v>
      </c>
      <c r="W272" s="39">
        <f>+IFERROR((FT_RF_26[[#This Row],[Daño Insecto]]/FT_RF_26[[#This Row],[Muestra]]),"0")</f>
        <v>0</v>
      </c>
      <c r="X272" s="38">
        <v>0</v>
      </c>
      <c r="Y272" s="39">
        <f>+IFERROR((FT_RF_26[[#This Row],[Sobremadura]]/FT_RF_26[[#This Row],[Muestra]]),"0")</f>
        <v>0</v>
      </c>
      <c r="Z272" s="38">
        <v>0</v>
      </c>
      <c r="AA272" s="39">
        <f>+IFERROR((FT_RF_26[[#This Row],[Deforme]]/FT_RF_26[[#This Row],[Muestra]]),"0")</f>
        <v>0</v>
      </c>
      <c r="AB272" s="27"/>
      <c r="AC272" s="38">
        <v>0</v>
      </c>
      <c r="AD272" s="39">
        <f>+IFERROR((FT_RF_26[[#This Row],[Valor Extra 1]]/FT_RF_26[[#This Row],[Muestra]]),"0")</f>
        <v>0</v>
      </c>
      <c r="AF272" s="38">
        <v>0</v>
      </c>
      <c r="AG272" s="39">
        <f>+IFERROR((FT_RF_26[[#This Row],[Valor Extra 2]]/FT_RF_26[[#This Row],[Muestra]]),"0")</f>
        <v>0</v>
      </c>
      <c r="AH272" s="40">
        <v>0</v>
      </c>
      <c r="AI272" s="39">
        <f>+IFERROR((FT_RF_26[[#This Row],[Hongos]]/FT_RF_26[[#This Row],[Muestra]]),"0")</f>
        <v>0</v>
      </c>
      <c r="AJ272" s="38">
        <v>0</v>
      </c>
      <c r="AK272" s="39">
        <f>+IFERROR((FT_RF_26[[#This Row],[Block]]/FT_RF_26[[#This Row],[Muestra]]),"0")</f>
        <v>0</v>
      </c>
      <c r="AL272" s="41">
        <v>0</v>
      </c>
      <c r="AM272" s="42">
        <v>0</v>
      </c>
      <c r="AN272" s="38">
        <v>0</v>
      </c>
      <c r="AO272" s="39">
        <f>+IFERROR((FT_RF_26[[#This Row],[Fuera de calibre &lt;12mm]]/FT_RF_26[[#This Row],[Muestra]]),"0")</f>
        <v>0</v>
      </c>
      <c r="AP272" s="38">
        <v>0</v>
      </c>
      <c r="AQ272" s="39">
        <f>+IFERROR((FT_RF_26[[#This Row],[Calibre &lt;25]]/FT_RF_26[[#This Row],[Muestra]]),"0")</f>
        <v>0</v>
      </c>
      <c r="AR272" s="38">
        <v>0</v>
      </c>
      <c r="AS272" s="39">
        <f>+IFERROR((FT_RF_26[[#This Row],[Calibre &gt;12]]/FT_RF_26[[#This Row],[Muestra]]),"0")</f>
        <v>0</v>
      </c>
      <c r="AT272" s="38">
        <v>0</v>
      </c>
      <c r="AU272" s="39">
        <f>+IFERROR((FT_RF_26[[#This Row],[Calibre &lt;14]]/FT_RF_26[[#This Row],[Muestra]]),"0")</f>
        <v>0</v>
      </c>
      <c r="AV272" s="38">
        <v>0</v>
      </c>
      <c r="AW272" s="39">
        <f>+IFERROR((FT_RF_26[[#This Row],[Calibre &gt;14]]/FT_RF_26[[#This Row],[Muestra]]),"0")</f>
        <v>0</v>
      </c>
      <c r="AX272" s="38">
        <v>0</v>
      </c>
      <c r="AY272" s="39">
        <f>+IFERROR((FT_RF_26[[#This Row],[Calibre &lt;10]]/FT_RF_26[[#This Row],[Muestra]]),"0")</f>
        <v>0</v>
      </c>
      <c r="AZ272" s="38">
        <v>0</v>
      </c>
      <c r="BA272" s="39">
        <f>+IFERROR((FT_RF_26[[#This Row],[Calibre &gt;13]]/FT_RF_26[[#This Row],[Muestra]]),"0")</f>
        <v>0</v>
      </c>
      <c r="BB272" s="41"/>
      <c r="BG272" s="42"/>
      <c r="BH272" s="43">
        <v>0</v>
      </c>
      <c r="BI272" s="29" t="s">
        <v>894</v>
      </c>
      <c r="BJ272" s="29" t="s">
        <v>894</v>
      </c>
      <c r="BK27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7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72" s="45">
        <f>1-FT_RF_26[[#This Row],[% Defectos]]</f>
        <v>1</v>
      </c>
      <c r="BO272" s="60"/>
      <c r="BP272" s="12">
        <f>SUM(FT_RF_26[[#This Row],[Hoja (Un.)]:[Larvas Caja]])</f>
        <v>0</v>
      </c>
      <c r="BQ272" s="12">
        <f>SUM(FT_RF_26[[#This Row],[Vidrios]:[Plástico]])</f>
        <v>0</v>
      </c>
      <c r="BR272" s="12" t="str">
        <f>IF(ISBLANK(FT_RF_26[[#This Row],[Descripción del producto]]),"",FT_RF_26[[#This Row],[Descripción del producto]])</f>
        <v/>
      </c>
      <c r="BS272" s="29" t="str">
        <f>IF(ISBLANK(FT_RF_26[[#This Row],[N° de Lote]]),"",FT_RF_26[[#This Row],[N° de Lote]])</f>
        <v/>
      </c>
      <c r="BT272" s="29" t="str">
        <f>IF(ISBLANK(FT_RF_26[[#This Row],[N° de Pallet]]),"",FT_RF_26[[#This Row],[N° de Pallet]])</f>
        <v/>
      </c>
    </row>
    <row r="273" spans="2:72">
      <c r="B273" s="29">
        <f>+_xlfn.ISOWEEKNUM(FT_RF_26[[#This Row],[Fecha]])</f>
        <v>52</v>
      </c>
      <c r="E273" s="31"/>
      <c r="F273" s="12" t="str">
        <f>IFERROR(""&amp;_xlfn.XLOOKUP(FT_RF_26[[#This Row],[Código]],BD_Cod[SKU],BD_Cod[Descripción]),"")</f>
        <v/>
      </c>
      <c r="G273" s="32" t="str">
        <f>IFERROR(""&amp;_xlfn.XLOOKUP(FT_RF_26[[#This Row],[Código]],BD_Cod[SKU],BD_Cod[Familia Calidad]),"")</f>
        <v/>
      </c>
      <c r="J273" s="33">
        <v>1000</v>
      </c>
      <c r="L273" s="30" t="s">
        <v>244</v>
      </c>
      <c r="O273" s="30" t="s">
        <v>894</v>
      </c>
      <c r="P273" s="29" t="s">
        <v>894</v>
      </c>
      <c r="Q273" s="37">
        <f>1-FT_RF_26[[#This Row],[% Defectos]]</f>
        <v>1</v>
      </c>
      <c r="R273" s="38">
        <v>0</v>
      </c>
      <c r="S273" s="39">
        <f>+IFERROR((FT_RF_26[[#This Row],[Inmadura]]/FT_RF_26[[#This Row],[Muestra]]),"0")</f>
        <v>0</v>
      </c>
      <c r="T273" s="38">
        <v>0</v>
      </c>
      <c r="U273" s="39">
        <f>+IFERROR((FT_RF_26[[#This Row],[Partidas]]/FT_RF_26[[#This Row],[Muestra]]),"0")</f>
        <v>0</v>
      </c>
      <c r="V273" s="38">
        <v>0</v>
      </c>
      <c r="W273" s="39">
        <f>+IFERROR((FT_RF_26[[#This Row],[Daño Insecto]]/FT_RF_26[[#This Row],[Muestra]]),"0")</f>
        <v>0</v>
      </c>
      <c r="X273" s="38">
        <v>0</v>
      </c>
      <c r="Y273" s="39">
        <f>+IFERROR((FT_RF_26[[#This Row],[Sobremadura]]/FT_RF_26[[#This Row],[Muestra]]),"0")</f>
        <v>0</v>
      </c>
      <c r="Z273" s="38">
        <v>0</v>
      </c>
      <c r="AA273" s="39">
        <f>+IFERROR((FT_RF_26[[#This Row],[Deforme]]/FT_RF_26[[#This Row],[Muestra]]),"0")</f>
        <v>0</v>
      </c>
      <c r="AB273" s="27"/>
      <c r="AC273" s="38">
        <v>0</v>
      </c>
      <c r="AD273" s="39">
        <f>+IFERROR((FT_RF_26[[#This Row],[Valor Extra 1]]/FT_RF_26[[#This Row],[Muestra]]),"0")</f>
        <v>0</v>
      </c>
      <c r="AF273" s="38">
        <v>0</v>
      </c>
      <c r="AG273" s="39">
        <f>+IFERROR((FT_RF_26[[#This Row],[Valor Extra 2]]/FT_RF_26[[#This Row],[Muestra]]),"0")</f>
        <v>0</v>
      </c>
      <c r="AH273" s="40">
        <v>0</v>
      </c>
      <c r="AI273" s="39">
        <f>+IFERROR((FT_RF_26[[#This Row],[Hongos]]/FT_RF_26[[#This Row],[Muestra]]),"0")</f>
        <v>0</v>
      </c>
      <c r="AJ273" s="38">
        <v>0</v>
      </c>
      <c r="AK273" s="39">
        <f>+IFERROR((FT_RF_26[[#This Row],[Block]]/FT_RF_26[[#This Row],[Muestra]]),"0")</f>
        <v>0</v>
      </c>
      <c r="AL273" s="41">
        <v>0</v>
      </c>
      <c r="AM273" s="42">
        <v>0</v>
      </c>
      <c r="AN273" s="38">
        <v>0</v>
      </c>
      <c r="AO273" s="39">
        <f>+IFERROR((FT_RF_26[[#This Row],[Fuera de calibre &lt;12mm]]/FT_RF_26[[#This Row],[Muestra]]),"0")</f>
        <v>0</v>
      </c>
      <c r="AP273" s="38">
        <v>0</v>
      </c>
      <c r="AQ273" s="39">
        <f>+IFERROR((FT_RF_26[[#This Row],[Calibre &lt;25]]/FT_RF_26[[#This Row],[Muestra]]),"0")</f>
        <v>0</v>
      </c>
      <c r="AR273" s="38">
        <v>0</v>
      </c>
      <c r="AS273" s="39">
        <f>+IFERROR((FT_RF_26[[#This Row],[Calibre &gt;12]]/FT_RF_26[[#This Row],[Muestra]]),"0")</f>
        <v>0</v>
      </c>
      <c r="AT273" s="38">
        <v>0</v>
      </c>
      <c r="AU273" s="39">
        <f>+IFERROR((FT_RF_26[[#This Row],[Calibre &lt;14]]/FT_RF_26[[#This Row],[Muestra]]),"0")</f>
        <v>0</v>
      </c>
      <c r="AV273" s="38">
        <v>0</v>
      </c>
      <c r="AW273" s="39">
        <f>+IFERROR((FT_RF_26[[#This Row],[Calibre &gt;14]]/FT_RF_26[[#This Row],[Muestra]]),"0")</f>
        <v>0</v>
      </c>
      <c r="AX273" s="38">
        <v>0</v>
      </c>
      <c r="AY273" s="39">
        <f>+IFERROR((FT_RF_26[[#This Row],[Calibre &lt;10]]/FT_RF_26[[#This Row],[Muestra]]),"0")</f>
        <v>0</v>
      </c>
      <c r="AZ273" s="38">
        <v>0</v>
      </c>
      <c r="BA273" s="39">
        <f>+IFERROR((FT_RF_26[[#This Row],[Calibre &gt;13]]/FT_RF_26[[#This Row],[Muestra]]),"0")</f>
        <v>0</v>
      </c>
      <c r="BB273" s="41"/>
      <c r="BG273" s="42"/>
      <c r="BH273" s="43">
        <v>0</v>
      </c>
      <c r="BI273" s="29" t="s">
        <v>894</v>
      </c>
      <c r="BJ273" s="29" t="s">
        <v>894</v>
      </c>
      <c r="BK27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7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73" s="45">
        <f>1-FT_RF_26[[#This Row],[% Defectos]]</f>
        <v>1</v>
      </c>
      <c r="BO273" s="60"/>
      <c r="BP273" s="12">
        <f>SUM(FT_RF_26[[#This Row],[Hoja (Un.)]:[Larvas Caja]])</f>
        <v>0</v>
      </c>
      <c r="BQ273" s="12">
        <f>SUM(FT_RF_26[[#This Row],[Vidrios]:[Plástico]])</f>
        <v>0</v>
      </c>
      <c r="BR273" s="12" t="str">
        <f>IF(ISBLANK(FT_RF_26[[#This Row],[Descripción del producto]]),"",FT_RF_26[[#This Row],[Descripción del producto]])</f>
        <v/>
      </c>
      <c r="BS273" s="29" t="str">
        <f>IF(ISBLANK(FT_RF_26[[#This Row],[N° de Lote]]),"",FT_RF_26[[#This Row],[N° de Lote]])</f>
        <v/>
      </c>
      <c r="BT273" s="29" t="str">
        <f>IF(ISBLANK(FT_RF_26[[#This Row],[N° de Pallet]]),"",FT_RF_26[[#This Row],[N° de Pallet]])</f>
        <v/>
      </c>
    </row>
    <row r="274" spans="2:72">
      <c r="B274" s="29">
        <f>+_xlfn.ISOWEEKNUM(FT_RF_26[[#This Row],[Fecha]])</f>
        <v>52</v>
      </c>
      <c r="E274" s="31"/>
      <c r="F274" s="12" t="str">
        <f>IFERROR(""&amp;_xlfn.XLOOKUP(FT_RF_26[[#This Row],[Código]],BD_Cod[SKU],BD_Cod[Descripción]),"")</f>
        <v/>
      </c>
      <c r="G274" s="32" t="str">
        <f>IFERROR(""&amp;_xlfn.XLOOKUP(FT_RF_26[[#This Row],[Código]],BD_Cod[SKU],BD_Cod[Familia Calidad]),"")</f>
        <v/>
      </c>
      <c r="J274" s="33">
        <v>1000</v>
      </c>
      <c r="L274" s="30" t="s">
        <v>244</v>
      </c>
      <c r="O274" s="30" t="s">
        <v>894</v>
      </c>
      <c r="P274" s="29" t="s">
        <v>894</v>
      </c>
      <c r="Q274" s="37">
        <f>1-FT_RF_26[[#This Row],[% Defectos]]</f>
        <v>1</v>
      </c>
      <c r="R274" s="38">
        <v>0</v>
      </c>
      <c r="S274" s="39">
        <f>+IFERROR((FT_RF_26[[#This Row],[Inmadura]]/FT_RF_26[[#This Row],[Muestra]]),"0")</f>
        <v>0</v>
      </c>
      <c r="T274" s="38">
        <v>0</v>
      </c>
      <c r="U274" s="39">
        <f>+IFERROR((FT_RF_26[[#This Row],[Partidas]]/FT_RF_26[[#This Row],[Muestra]]),"0")</f>
        <v>0</v>
      </c>
      <c r="V274" s="38">
        <v>0</v>
      </c>
      <c r="W274" s="39">
        <f>+IFERROR((FT_RF_26[[#This Row],[Daño Insecto]]/FT_RF_26[[#This Row],[Muestra]]),"0")</f>
        <v>0</v>
      </c>
      <c r="X274" s="38">
        <v>0</v>
      </c>
      <c r="Y274" s="39">
        <f>+IFERROR((FT_RF_26[[#This Row],[Sobremadura]]/FT_RF_26[[#This Row],[Muestra]]),"0")</f>
        <v>0</v>
      </c>
      <c r="Z274" s="38">
        <v>0</v>
      </c>
      <c r="AA274" s="39">
        <f>+IFERROR((FT_RF_26[[#This Row],[Deforme]]/FT_RF_26[[#This Row],[Muestra]]),"0")</f>
        <v>0</v>
      </c>
      <c r="AB274" s="27"/>
      <c r="AC274" s="38">
        <v>0</v>
      </c>
      <c r="AD274" s="39">
        <f>+IFERROR((FT_RF_26[[#This Row],[Valor Extra 1]]/FT_RF_26[[#This Row],[Muestra]]),"0")</f>
        <v>0</v>
      </c>
      <c r="AF274" s="38">
        <v>0</v>
      </c>
      <c r="AG274" s="39">
        <f>+IFERROR((FT_RF_26[[#This Row],[Valor Extra 2]]/FT_RF_26[[#This Row],[Muestra]]),"0")</f>
        <v>0</v>
      </c>
      <c r="AH274" s="40">
        <v>0</v>
      </c>
      <c r="AI274" s="39">
        <f>+IFERROR((FT_RF_26[[#This Row],[Hongos]]/FT_RF_26[[#This Row],[Muestra]]),"0")</f>
        <v>0</v>
      </c>
      <c r="AJ274" s="38">
        <v>0</v>
      </c>
      <c r="AK274" s="39">
        <f>+IFERROR((FT_RF_26[[#This Row],[Block]]/FT_RF_26[[#This Row],[Muestra]]),"0")</f>
        <v>0</v>
      </c>
      <c r="AL274" s="41">
        <v>0</v>
      </c>
      <c r="AM274" s="42">
        <v>0</v>
      </c>
      <c r="AN274" s="38">
        <v>0</v>
      </c>
      <c r="AO274" s="39">
        <f>+IFERROR((FT_RF_26[[#This Row],[Fuera de calibre &lt;12mm]]/FT_RF_26[[#This Row],[Muestra]]),"0")</f>
        <v>0</v>
      </c>
      <c r="AP274" s="38">
        <v>0</v>
      </c>
      <c r="AQ274" s="39">
        <f>+IFERROR((FT_RF_26[[#This Row],[Calibre &lt;25]]/FT_RF_26[[#This Row],[Muestra]]),"0")</f>
        <v>0</v>
      </c>
      <c r="AR274" s="38">
        <v>0</v>
      </c>
      <c r="AS274" s="39">
        <f>+IFERROR((FT_RF_26[[#This Row],[Calibre &gt;12]]/FT_RF_26[[#This Row],[Muestra]]),"0")</f>
        <v>0</v>
      </c>
      <c r="AT274" s="38">
        <v>0</v>
      </c>
      <c r="AU274" s="39">
        <f>+IFERROR((FT_RF_26[[#This Row],[Calibre &lt;14]]/FT_RF_26[[#This Row],[Muestra]]),"0")</f>
        <v>0</v>
      </c>
      <c r="AV274" s="38">
        <v>0</v>
      </c>
      <c r="AW274" s="39">
        <f>+IFERROR((FT_RF_26[[#This Row],[Calibre &gt;14]]/FT_RF_26[[#This Row],[Muestra]]),"0")</f>
        <v>0</v>
      </c>
      <c r="AX274" s="38">
        <v>0</v>
      </c>
      <c r="AY274" s="39">
        <f>+IFERROR((FT_RF_26[[#This Row],[Calibre &lt;10]]/FT_RF_26[[#This Row],[Muestra]]),"0")</f>
        <v>0</v>
      </c>
      <c r="AZ274" s="38">
        <v>0</v>
      </c>
      <c r="BA274" s="39">
        <f>+IFERROR((FT_RF_26[[#This Row],[Calibre &gt;13]]/FT_RF_26[[#This Row],[Muestra]]),"0")</f>
        <v>0</v>
      </c>
      <c r="BB274" s="41"/>
      <c r="BG274" s="42"/>
      <c r="BH274" s="43">
        <v>0</v>
      </c>
      <c r="BI274" s="29" t="s">
        <v>894</v>
      </c>
      <c r="BJ274" s="29" t="s">
        <v>894</v>
      </c>
      <c r="BK27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7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74" s="45">
        <f>1-FT_RF_26[[#This Row],[% Defectos]]</f>
        <v>1</v>
      </c>
      <c r="BO274" s="60"/>
      <c r="BP274" s="12">
        <f>SUM(FT_RF_26[[#This Row],[Hoja (Un.)]:[Larvas Caja]])</f>
        <v>0</v>
      </c>
      <c r="BQ274" s="12">
        <f>SUM(FT_RF_26[[#This Row],[Vidrios]:[Plástico]])</f>
        <v>0</v>
      </c>
      <c r="BR274" s="12" t="str">
        <f>IF(ISBLANK(FT_RF_26[[#This Row],[Descripción del producto]]),"",FT_RF_26[[#This Row],[Descripción del producto]])</f>
        <v/>
      </c>
      <c r="BS274" s="29" t="str">
        <f>IF(ISBLANK(FT_RF_26[[#This Row],[N° de Lote]]),"",FT_RF_26[[#This Row],[N° de Lote]])</f>
        <v/>
      </c>
      <c r="BT274" s="29" t="str">
        <f>IF(ISBLANK(FT_RF_26[[#This Row],[N° de Pallet]]),"",FT_RF_26[[#This Row],[N° de Pallet]])</f>
        <v/>
      </c>
    </row>
    <row r="275" spans="2:72">
      <c r="B275" s="29">
        <f>+_xlfn.ISOWEEKNUM(FT_RF_26[[#This Row],[Fecha]])</f>
        <v>52</v>
      </c>
      <c r="E275" s="31"/>
      <c r="F275" s="12" t="str">
        <f>IFERROR(""&amp;_xlfn.XLOOKUP(FT_RF_26[[#This Row],[Código]],BD_Cod[SKU],BD_Cod[Descripción]),"")</f>
        <v/>
      </c>
      <c r="G275" s="32" t="str">
        <f>IFERROR(""&amp;_xlfn.XLOOKUP(FT_RF_26[[#This Row],[Código]],BD_Cod[SKU],BD_Cod[Familia Calidad]),"")</f>
        <v/>
      </c>
      <c r="J275" s="33">
        <v>1000</v>
      </c>
      <c r="L275" s="30" t="s">
        <v>244</v>
      </c>
      <c r="O275" s="30" t="s">
        <v>894</v>
      </c>
      <c r="P275" s="29" t="s">
        <v>894</v>
      </c>
      <c r="Q275" s="37">
        <f>1-FT_RF_26[[#This Row],[% Defectos]]</f>
        <v>1</v>
      </c>
      <c r="R275" s="38">
        <v>0</v>
      </c>
      <c r="S275" s="39">
        <f>+IFERROR((FT_RF_26[[#This Row],[Inmadura]]/FT_RF_26[[#This Row],[Muestra]]),"0")</f>
        <v>0</v>
      </c>
      <c r="T275" s="38">
        <v>0</v>
      </c>
      <c r="U275" s="39">
        <f>+IFERROR((FT_RF_26[[#This Row],[Partidas]]/FT_RF_26[[#This Row],[Muestra]]),"0")</f>
        <v>0</v>
      </c>
      <c r="V275" s="38">
        <v>0</v>
      </c>
      <c r="W275" s="39">
        <f>+IFERROR((FT_RF_26[[#This Row],[Daño Insecto]]/FT_RF_26[[#This Row],[Muestra]]),"0")</f>
        <v>0</v>
      </c>
      <c r="X275" s="38">
        <v>0</v>
      </c>
      <c r="Y275" s="39">
        <f>+IFERROR((FT_RF_26[[#This Row],[Sobremadura]]/FT_RF_26[[#This Row],[Muestra]]),"0")</f>
        <v>0</v>
      </c>
      <c r="Z275" s="38">
        <v>0</v>
      </c>
      <c r="AA275" s="39">
        <f>+IFERROR((FT_RF_26[[#This Row],[Deforme]]/FT_RF_26[[#This Row],[Muestra]]),"0")</f>
        <v>0</v>
      </c>
      <c r="AB275" s="27"/>
      <c r="AC275" s="38">
        <v>0</v>
      </c>
      <c r="AD275" s="39">
        <f>+IFERROR((FT_RF_26[[#This Row],[Valor Extra 1]]/FT_RF_26[[#This Row],[Muestra]]),"0")</f>
        <v>0</v>
      </c>
      <c r="AF275" s="38">
        <v>0</v>
      </c>
      <c r="AG275" s="39">
        <f>+IFERROR((FT_RF_26[[#This Row],[Valor Extra 2]]/FT_RF_26[[#This Row],[Muestra]]),"0")</f>
        <v>0</v>
      </c>
      <c r="AH275" s="40">
        <v>0</v>
      </c>
      <c r="AI275" s="39">
        <f>+IFERROR((FT_RF_26[[#This Row],[Hongos]]/FT_RF_26[[#This Row],[Muestra]]),"0")</f>
        <v>0</v>
      </c>
      <c r="AJ275" s="38">
        <v>0</v>
      </c>
      <c r="AK275" s="39">
        <f>+IFERROR((FT_RF_26[[#This Row],[Block]]/FT_RF_26[[#This Row],[Muestra]]),"0")</f>
        <v>0</v>
      </c>
      <c r="AL275" s="41">
        <v>0</v>
      </c>
      <c r="AM275" s="42">
        <v>0</v>
      </c>
      <c r="AN275" s="38">
        <v>0</v>
      </c>
      <c r="AO275" s="39">
        <f>+IFERROR((FT_RF_26[[#This Row],[Fuera de calibre &lt;12mm]]/FT_RF_26[[#This Row],[Muestra]]),"0")</f>
        <v>0</v>
      </c>
      <c r="AP275" s="38">
        <v>0</v>
      </c>
      <c r="AQ275" s="39">
        <f>+IFERROR((FT_RF_26[[#This Row],[Calibre &lt;25]]/FT_RF_26[[#This Row],[Muestra]]),"0")</f>
        <v>0</v>
      </c>
      <c r="AR275" s="38">
        <v>0</v>
      </c>
      <c r="AS275" s="39">
        <f>+IFERROR((FT_RF_26[[#This Row],[Calibre &gt;12]]/FT_RF_26[[#This Row],[Muestra]]),"0")</f>
        <v>0</v>
      </c>
      <c r="AT275" s="38">
        <v>0</v>
      </c>
      <c r="AU275" s="39">
        <f>+IFERROR((FT_RF_26[[#This Row],[Calibre &lt;14]]/FT_RF_26[[#This Row],[Muestra]]),"0")</f>
        <v>0</v>
      </c>
      <c r="AV275" s="38">
        <v>0</v>
      </c>
      <c r="AW275" s="39">
        <f>+IFERROR((FT_RF_26[[#This Row],[Calibre &gt;14]]/FT_RF_26[[#This Row],[Muestra]]),"0")</f>
        <v>0</v>
      </c>
      <c r="AX275" s="38">
        <v>0</v>
      </c>
      <c r="AY275" s="39">
        <f>+IFERROR((FT_RF_26[[#This Row],[Calibre &lt;10]]/FT_RF_26[[#This Row],[Muestra]]),"0")</f>
        <v>0</v>
      </c>
      <c r="AZ275" s="38">
        <v>0</v>
      </c>
      <c r="BA275" s="39">
        <f>+IFERROR((FT_RF_26[[#This Row],[Calibre &gt;13]]/FT_RF_26[[#This Row],[Muestra]]),"0")</f>
        <v>0</v>
      </c>
      <c r="BB275" s="41"/>
      <c r="BG275" s="42"/>
      <c r="BH275" s="43">
        <v>0</v>
      </c>
      <c r="BI275" s="29" t="s">
        <v>894</v>
      </c>
      <c r="BJ275" s="29" t="s">
        <v>894</v>
      </c>
      <c r="BK27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7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75" s="45">
        <f>1-FT_RF_26[[#This Row],[% Defectos]]</f>
        <v>1</v>
      </c>
      <c r="BO275" s="60"/>
      <c r="BP275" s="12">
        <f>SUM(FT_RF_26[[#This Row],[Hoja (Un.)]:[Larvas Caja]])</f>
        <v>0</v>
      </c>
      <c r="BQ275" s="12">
        <f>SUM(FT_RF_26[[#This Row],[Vidrios]:[Plástico]])</f>
        <v>0</v>
      </c>
      <c r="BR275" s="12" t="str">
        <f>IF(ISBLANK(FT_RF_26[[#This Row],[Descripción del producto]]),"",FT_RF_26[[#This Row],[Descripción del producto]])</f>
        <v/>
      </c>
      <c r="BS275" s="29" t="str">
        <f>IF(ISBLANK(FT_RF_26[[#This Row],[N° de Lote]]),"",FT_RF_26[[#This Row],[N° de Lote]])</f>
        <v/>
      </c>
      <c r="BT275" s="29" t="str">
        <f>IF(ISBLANK(FT_RF_26[[#This Row],[N° de Pallet]]),"",FT_RF_26[[#This Row],[N° de Pallet]])</f>
        <v/>
      </c>
    </row>
    <row r="276" spans="2:72">
      <c r="B276" s="29">
        <f>+_xlfn.ISOWEEKNUM(FT_RF_26[[#This Row],[Fecha]])</f>
        <v>52</v>
      </c>
      <c r="E276" s="31"/>
      <c r="F276" s="12" t="str">
        <f>IFERROR(""&amp;_xlfn.XLOOKUP(FT_RF_26[[#This Row],[Código]],BD_Cod[SKU],BD_Cod[Descripción]),"")</f>
        <v/>
      </c>
      <c r="G276" s="32" t="str">
        <f>IFERROR(""&amp;_xlfn.XLOOKUP(FT_RF_26[[#This Row],[Código]],BD_Cod[SKU],BD_Cod[Familia Calidad]),"")</f>
        <v/>
      </c>
      <c r="J276" s="33">
        <v>1000</v>
      </c>
      <c r="L276" s="30" t="s">
        <v>244</v>
      </c>
      <c r="O276" s="30" t="s">
        <v>894</v>
      </c>
      <c r="P276" s="29" t="s">
        <v>894</v>
      </c>
      <c r="Q276" s="37">
        <f>1-FT_RF_26[[#This Row],[% Defectos]]</f>
        <v>1</v>
      </c>
      <c r="R276" s="38">
        <v>0</v>
      </c>
      <c r="S276" s="39">
        <f>+IFERROR((FT_RF_26[[#This Row],[Inmadura]]/FT_RF_26[[#This Row],[Muestra]]),"0")</f>
        <v>0</v>
      </c>
      <c r="T276" s="38">
        <v>0</v>
      </c>
      <c r="U276" s="39">
        <f>+IFERROR((FT_RF_26[[#This Row],[Partidas]]/FT_RF_26[[#This Row],[Muestra]]),"0")</f>
        <v>0</v>
      </c>
      <c r="V276" s="38">
        <v>0</v>
      </c>
      <c r="W276" s="39">
        <f>+IFERROR((FT_RF_26[[#This Row],[Daño Insecto]]/FT_RF_26[[#This Row],[Muestra]]),"0")</f>
        <v>0</v>
      </c>
      <c r="X276" s="38">
        <v>0</v>
      </c>
      <c r="Y276" s="39">
        <f>+IFERROR((FT_RF_26[[#This Row],[Sobremadura]]/FT_RF_26[[#This Row],[Muestra]]),"0")</f>
        <v>0</v>
      </c>
      <c r="Z276" s="38">
        <v>0</v>
      </c>
      <c r="AA276" s="39">
        <f>+IFERROR((FT_RF_26[[#This Row],[Deforme]]/FT_RF_26[[#This Row],[Muestra]]),"0")</f>
        <v>0</v>
      </c>
      <c r="AB276" s="27"/>
      <c r="AC276" s="38">
        <v>0</v>
      </c>
      <c r="AD276" s="39">
        <f>+IFERROR((FT_RF_26[[#This Row],[Valor Extra 1]]/FT_RF_26[[#This Row],[Muestra]]),"0")</f>
        <v>0</v>
      </c>
      <c r="AF276" s="38">
        <v>0</v>
      </c>
      <c r="AG276" s="39">
        <f>+IFERROR((FT_RF_26[[#This Row],[Valor Extra 2]]/FT_RF_26[[#This Row],[Muestra]]),"0")</f>
        <v>0</v>
      </c>
      <c r="AH276" s="40">
        <v>0</v>
      </c>
      <c r="AI276" s="39">
        <f>+IFERROR((FT_RF_26[[#This Row],[Hongos]]/FT_RF_26[[#This Row],[Muestra]]),"0")</f>
        <v>0</v>
      </c>
      <c r="AJ276" s="38">
        <v>0</v>
      </c>
      <c r="AK276" s="39">
        <f>+IFERROR((FT_RF_26[[#This Row],[Block]]/FT_RF_26[[#This Row],[Muestra]]),"0")</f>
        <v>0</v>
      </c>
      <c r="AL276" s="41">
        <v>0</v>
      </c>
      <c r="AM276" s="42">
        <v>0</v>
      </c>
      <c r="AN276" s="38">
        <v>0</v>
      </c>
      <c r="AO276" s="39">
        <f>+IFERROR((FT_RF_26[[#This Row],[Fuera de calibre &lt;12mm]]/FT_RF_26[[#This Row],[Muestra]]),"0")</f>
        <v>0</v>
      </c>
      <c r="AP276" s="38">
        <v>0</v>
      </c>
      <c r="AQ276" s="39">
        <f>+IFERROR((FT_RF_26[[#This Row],[Calibre &lt;25]]/FT_RF_26[[#This Row],[Muestra]]),"0")</f>
        <v>0</v>
      </c>
      <c r="AR276" s="38">
        <v>0</v>
      </c>
      <c r="AS276" s="39">
        <f>+IFERROR((FT_RF_26[[#This Row],[Calibre &gt;12]]/FT_RF_26[[#This Row],[Muestra]]),"0")</f>
        <v>0</v>
      </c>
      <c r="AT276" s="38">
        <v>0</v>
      </c>
      <c r="AU276" s="39">
        <f>+IFERROR((FT_RF_26[[#This Row],[Calibre &lt;14]]/FT_RF_26[[#This Row],[Muestra]]),"0")</f>
        <v>0</v>
      </c>
      <c r="AV276" s="38">
        <v>0</v>
      </c>
      <c r="AW276" s="39">
        <f>+IFERROR((FT_RF_26[[#This Row],[Calibre &gt;14]]/FT_RF_26[[#This Row],[Muestra]]),"0")</f>
        <v>0</v>
      </c>
      <c r="AX276" s="38">
        <v>0</v>
      </c>
      <c r="AY276" s="39">
        <f>+IFERROR((FT_RF_26[[#This Row],[Calibre &lt;10]]/FT_RF_26[[#This Row],[Muestra]]),"0")</f>
        <v>0</v>
      </c>
      <c r="AZ276" s="38">
        <v>0</v>
      </c>
      <c r="BA276" s="39">
        <f>+IFERROR((FT_RF_26[[#This Row],[Calibre &gt;13]]/FT_RF_26[[#This Row],[Muestra]]),"0")</f>
        <v>0</v>
      </c>
      <c r="BB276" s="41"/>
      <c r="BG276" s="42"/>
      <c r="BH276" s="43">
        <v>0</v>
      </c>
      <c r="BI276" s="29" t="s">
        <v>894</v>
      </c>
      <c r="BJ276" s="29" t="s">
        <v>894</v>
      </c>
      <c r="BK27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7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76" s="45">
        <f>1-FT_RF_26[[#This Row],[% Defectos]]</f>
        <v>1</v>
      </c>
      <c r="BO276" s="60"/>
      <c r="BP276" s="12">
        <f>SUM(FT_RF_26[[#This Row],[Hoja (Un.)]:[Larvas Caja]])</f>
        <v>0</v>
      </c>
      <c r="BQ276" s="12">
        <f>SUM(FT_RF_26[[#This Row],[Vidrios]:[Plástico]])</f>
        <v>0</v>
      </c>
      <c r="BR276" s="12" t="str">
        <f>IF(ISBLANK(FT_RF_26[[#This Row],[Descripción del producto]]),"",FT_RF_26[[#This Row],[Descripción del producto]])</f>
        <v/>
      </c>
      <c r="BS276" s="29" t="str">
        <f>IF(ISBLANK(FT_RF_26[[#This Row],[N° de Lote]]),"",FT_RF_26[[#This Row],[N° de Lote]])</f>
        <v/>
      </c>
      <c r="BT276" s="29" t="str">
        <f>IF(ISBLANK(FT_RF_26[[#This Row],[N° de Pallet]]),"",FT_RF_26[[#This Row],[N° de Pallet]])</f>
        <v/>
      </c>
    </row>
    <row r="277" spans="2:72">
      <c r="B277" s="29">
        <f>+_xlfn.ISOWEEKNUM(FT_RF_26[[#This Row],[Fecha]])</f>
        <v>52</v>
      </c>
      <c r="E277" s="31"/>
      <c r="F277" s="12" t="str">
        <f>IFERROR(""&amp;_xlfn.XLOOKUP(FT_RF_26[[#This Row],[Código]],BD_Cod[SKU],BD_Cod[Descripción]),"")</f>
        <v/>
      </c>
      <c r="G277" s="32" t="str">
        <f>IFERROR(""&amp;_xlfn.XLOOKUP(FT_RF_26[[#This Row],[Código]],BD_Cod[SKU],BD_Cod[Familia Calidad]),"")</f>
        <v/>
      </c>
      <c r="J277" s="33">
        <v>1000</v>
      </c>
      <c r="L277" s="30" t="s">
        <v>244</v>
      </c>
      <c r="O277" s="30" t="s">
        <v>894</v>
      </c>
      <c r="P277" s="29" t="s">
        <v>894</v>
      </c>
      <c r="Q277" s="37">
        <f>1-FT_RF_26[[#This Row],[% Defectos]]</f>
        <v>1</v>
      </c>
      <c r="R277" s="38">
        <v>0</v>
      </c>
      <c r="S277" s="39">
        <f>+IFERROR((FT_RF_26[[#This Row],[Inmadura]]/FT_RF_26[[#This Row],[Muestra]]),"0")</f>
        <v>0</v>
      </c>
      <c r="T277" s="38">
        <v>0</v>
      </c>
      <c r="U277" s="39">
        <f>+IFERROR((FT_RF_26[[#This Row],[Partidas]]/FT_RF_26[[#This Row],[Muestra]]),"0")</f>
        <v>0</v>
      </c>
      <c r="V277" s="38">
        <v>0</v>
      </c>
      <c r="W277" s="39">
        <f>+IFERROR((FT_RF_26[[#This Row],[Daño Insecto]]/FT_RF_26[[#This Row],[Muestra]]),"0")</f>
        <v>0</v>
      </c>
      <c r="X277" s="38">
        <v>0</v>
      </c>
      <c r="Y277" s="39">
        <f>+IFERROR((FT_RF_26[[#This Row],[Sobremadura]]/FT_RF_26[[#This Row],[Muestra]]),"0")</f>
        <v>0</v>
      </c>
      <c r="Z277" s="38">
        <v>0</v>
      </c>
      <c r="AA277" s="39">
        <f>+IFERROR((FT_RF_26[[#This Row],[Deforme]]/FT_RF_26[[#This Row],[Muestra]]),"0")</f>
        <v>0</v>
      </c>
      <c r="AB277" s="27"/>
      <c r="AC277" s="38">
        <v>0</v>
      </c>
      <c r="AD277" s="39">
        <f>+IFERROR((FT_RF_26[[#This Row],[Valor Extra 1]]/FT_RF_26[[#This Row],[Muestra]]),"0")</f>
        <v>0</v>
      </c>
      <c r="AF277" s="38">
        <v>0</v>
      </c>
      <c r="AG277" s="39">
        <f>+IFERROR((FT_RF_26[[#This Row],[Valor Extra 2]]/FT_RF_26[[#This Row],[Muestra]]),"0")</f>
        <v>0</v>
      </c>
      <c r="AH277" s="40">
        <v>0</v>
      </c>
      <c r="AI277" s="39">
        <f>+IFERROR((FT_RF_26[[#This Row],[Hongos]]/FT_RF_26[[#This Row],[Muestra]]),"0")</f>
        <v>0</v>
      </c>
      <c r="AJ277" s="38">
        <v>0</v>
      </c>
      <c r="AK277" s="39">
        <f>+IFERROR((FT_RF_26[[#This Row],[Block]]/FT_RF_26[[#This Row],[Muestra]]),"0")</f>
        <v>0</v>
      </c>
      <c r="AL277" s="41">
        <v>0</v>
      </c>
      <c r="AM277" s="42">
        <v>0</v>
      </c>
      <c r="AN277" s="38">
        <v>0</v>
      </c>
      <c r="AO277" s="39">
        <f>+IFERROR((FT_RF_26[[#This Row],[Fuera de calibre &lt;12mm]]/FT_RF_26[[#This Row],[Muestra]]),"0")</f>
        <v>0</v>
      </c>
      <c r="AP277" s="38">
        <v>0</v>
      </c>
      <c r="AQ277" s="39">
        <f>+IFERROR((FT_RF_26[[#This Row],[Calibre &lt;25]]/FT_RF_26[[#This Row],[Muestra]]),"0")</f>
        <v>0</v>
      </c>
      <c r="AR277" s="38">
        <v>0</v>
      </c>
      <c r="AS277" s="39">
        <f>+IFERROR((FT_RF_26[[#This Row],[Calibre &gt;12]]/FT_RF_26[[#This Row],[Muestra]]),"0")</f>
        <v>0</v>
      </c>
      <c r="AT277" s="38">
        <v>0</v>
      </c>
      <c r="AU277" s="39">
        <f>+IFERROR((FT_RF_26[[#This Row],[Calibre &lt;14]]/FT_RF_26[[#This Row],[Muestra]]),"0")</f>
        <v>0</v>
      </c>
      <c r="AV277" s="38">
        <v>0</v>
      </c>
      <c r="AW277" s="39">
        <f>+IFERROR((FT_RF_26[[#This Row],[Calibre &gt;14]]/FT_RF_26[[#This Row],[Muestra]]),"0")</f>
        <v>0</v>
      </c>
      <c r="AX277" s="38">
        <v>0</v>
      </c>
      <c r="AY277" s="39">
        <f>+IFERROR((FT_RF_26[[#This Row],[Calibre &lt;10]]/FT_RF_26[[#This Row],[Muestra]]),"0")</f>
        <v>0</v>
      </c>
      <c r="AZ277" s="38">
        <v>0</v>
      </c>
      <c r="BA277" s="39">
        <f>+IFERROR((FT_RF_26[[#This Row],[Calibre &gt;13]]/FT_RF_26[[#This Row],[Muestra]]),"0")</f>
        <v>0</v>
      </c>
      <c r="BB277" s="41"/>
      <c r="BG277" s="42"/>
      <c r="BH277" s="43">
        <v>0</v>
      </c>
      <c r="BI277" s="29" t="s">
        <v>894</v>
      </c>
      <c r="BJ277" s="29" t="s">
        <v>894</v>
      </c>
      <c r="BK27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7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77" s="45">
        <f>1-FT_RF_26[[#This Row],[% Defectos]]</f>
        <v>1</v>
      </c>
      <c r="BO277" s="60"/>
      <c r="BP277" s="12">
        <f>SUM(FT_RF_26[[#This Row],[Hoja (Un.)]:[Larvas Caja]])</f>
        <v>0</v>
      </c>
      <c r="BQ277" s="12">
        <f>SUM(FT_RF_26[[#This Row],[Vidrios]:[Plástico]])</f>
        <v>0</v>
      </c>
      <c r="BR277" s="12" t="str">
        <f>IF(ISBLANK(FT_RF_26[[#This Row],[Descripción del producto]]),"",FT_RF_26[[#This Row],[Descripción del producto]])</f>
        <v/>
      </c>
      <c r="BS277" s="29" t="str">
        <f>IF(ISBLANK(FT_RF_26[[#This Row],[N° de Lote]]),"",FT_RF_26[[#This Row],[N° de Lote]])</f>
        <v/>
      </c>
      <c r="BT277" s="29" t="str">
        <f>IF(ISBLANK(FT_RF_26[[#This Row],[N° de Pallet]]),"",FT_RF_26[[#This Row],[N° de Pallet]])</f>
        <v/>
      </c>
    </row>
    <row r="278" spans="2:72">
      <c r="B278" s="29">
        <f>+_xlfn.ISOWEEKNUM(FT_RF_26[[#This Row],[Fecha]])</f>
        <v>52</v>
      </c>
      <c r="E278" s="31"/>
      <c r="F278" s="12" t="str">
        <f>IFERROR(""&amp;_xlfn.XLOOKUP(FT_RF_26[[#This Row],[Código]],BD_Cod[SKU],BD_Cod[Descripción]),"")</f>
        <v/>
      </c>
      <c r="G278" s="32" t="str">
        <f>IFERROR(""&amp;_xlfn.XLOOKUP(FT_RF_26[[#This Row],[Código]],BD_Cod[SKU],BD_Cod[Familia Calidad]),"")</f>
        <v/>
      </c>
      <c r="J278" s="33">
        <v>1000</v>
      </c>
      <c r="L278" s="30" t="s">
        <v>244</v>
      </c>
      <c r="O278" s="30" t="s">
        <v>894</v>
      </c>
      <c r="P278" s="29" t="s">
        <v>894</v>
      </c>
      <c r="Q278" s="37">
        <f>1-FT_RF_26[[#This Row],[% Defectos]]</f>
        <v>1</v>
      </c>
      <c r="R278" s="38">
        <v>0</v>
      </c>
      <c r="S278" s="39">
        <f>+IFERROR((FT_RF_26[[#This Row],[Inmadura]]/FT_RF_26[[#This Row],[Muestra]]),"0")</f>
        <v>0</v>
      </c>
      <c r="T278" s="38">
        <v>0</v>
      </c>
      <c r="U278" s="39">
        <f>+IFERROR((FT_RF_26[[#This Row],[Partidas]]/FT_RF_26[[#This Row],[Muestra]]),"0")</f>
        <v>0</v>
      </c>
      <c r="V278" s="38">
        <v>0</v>
      </c>
      <c r="W278" s="39">
        <f>+IFERROR((FT_RF_26[[#This Row],[Daño Insecto]]/FT_RF_26[[#This Row],[Muestra]]),"0")</f>
        <v>0</v>
      </c>
      <c r="X278" s="38">
        <v>0</v>
      </c>
      <c r="Y278" s="39">
        <f>+IFERROR((FT_RF_26[[#This Row],[Sobremadura]]/FT_RF_26[[#This Row],[Muestra]]),"0")</f>
        <v>0</v>
      </c>
      <c r="Z278" s="38">
        <v>0</v>
      </c>
      <c r="AA278" s="39">
        <f>+IFERROR((FT_RF_26[[#This Row],[Deforme]]/FT_RF_26[[#This Row],[Muestra]]),"0")</f>
        <v>0</v>
      </c>
      <c r="AB278" s="27"/>
      <c r="AC278" s="38">
        <v>0</v>
      </c>
      <c r="AD278" s="39">
        <f>+IFERROR((FT_RF_26[[#This Row],[Valor Extra 1]]/FT_RF_26[[#This Row],[Muestra]]),"0")</f>
        <v>0</v>
      </c>
      <c r="AF278" s="38">
        <v>0</v>
      </c>
      <c r="AG278" s="39">
        <f>+IFERROR((FT_RF_26[[#This Row],[Valor Extra 2]]/FT_RF_26[[#This Row],[Muestra]]),"0")</f>
        <v>0</v>
      </c>
      <c r="AH278" s="40">
        <v>0</v>
      </c>
      <c r="AI278" s="39">
        <f>+IFERROR((FT_RF_26[[#This Row],[Hongos]]/FT_RF_26[[#This Row],[Muestra]]),"0")</f>
        <v>0</v>
      </c>
      <c r="AJ278" s="38">
        <v>0</v>
      </c>
      <c r="AK278" s="39">
        <f>+IFERROR((FT_RF_26[[#This Row],[Block]]/FT_RF_26[[#This Row],[Muestra]]),"0")</f>
        <v>0</v>
      </c>
      <c r="AL278" s="41">
        <v>0</v>
      </c>
      <c r="AM278" s="42">
        <v>0</v>
      </c>
      <c r="AN278" s="38">
        <v>0</v>
      </c>
      <c r="AO278" s="39">
        <f>+IFERROR((FT_RF_26[[#This Row],[Fuera de calibre &lt;12mm]]/FT_RF_26[[#This Row],[Muestra]]),"0")</f>
        <v>0</v>
      </c>
      <c r="AP278" s="38">
        <v>0</v>
      </c>
      <c r="AQ278" s="39">
        <f>+IFERROR((FT_RF_26[[#This Row],[Calibre &lt;25]]/FT_RF_26[[#This Row],[Muestra]]),"0")</f>
        <v>0</v>
      </c>
      <c r="AR278" s="38">
        <v>0</v>
      </c>
      <c r="AS278" s="39">
        <f>+IFERROR((FT_RF_26[[#This Row],[Calibre &gt;12]]/FT_RF_26[[#This Row],[Muestra]]),"0")</f>
        <v>0</v>
      </c>
      <c r="AT278" s="38">
        <v>0</v>
      </c>
      <c r="AU278" s="39">
        <f>+IFERROR((FT_RF_26[[#This Row],[Calibre &lt;14]]/FT_RF_26[[#This Row],[Muestra]]),"0")</f>
        <v>0</v>
      </c>
      <c r="AV278" s="38">
        <v>0</v>
      </c>
      <c r="AW278" s="39">
        <f>+IFERROR((FT_RF_26[[#This Row],[Calibre &gt;14]]/FT_RF_26[[#This Row],[Muestra]]),"0")</f>
        <v>0</v>
      </c>
      <c r="AX278" s="38">
        <v>0</v>
      </c>
      <c r="AY278" s="39">
        <f>+IFERROR((FT_RF_26[[#This Row],[Calibre &lt;10]]/FT_RF_26[[#This Row],[Muestra]]),"0")</f>
        <v>0</v>
      </c>
      <c r="AZ278" s="38">
        <v>0</v>
      </c>
      <c r="BA278" s="39">
        <f>+IFERROR((FT_RF_26[[#This Row],[Calibre &gt;13]]/FT_RF_26[[#This Row],[Muestra]]),"0")</f>
        <v>0</v>
      </c>
      <c r="BB278" s="41"/>
      <c r="BG278" s="42"/>
      <c r="BH278" s="43">
        <v>0</v>
      </c>
      <c r="BI278" s="29" t="s">
        <v>894</v>
      </c>
      <c r="BJ278" s="29" t="s">
        <v>894</v>
      </c>
      <c r="BK27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7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78" s="45">
        <f>1-FT_RF_26[[#This Row],[% Defectos]]</f>
        <v>1</v>
      </c>
      <c r="BO278" s="60"/>
      <c r="BP278" s="12">
        <f>SUM(FT_RF_26[[#This Row],[Hoja (Un.)]:[Larvas Caja]])</f>
        <v>0</v>
      </c>
      <c r="BQ278" s="12">
        <f>SUM(FT_RF_26[[#This Row],[Vidrios]:[Plástico]])</f>
        <v>0</v>
      </c>
      <c r="BR278" s="12" t="str">
        <f>IF(ISBLANK(FT_RF_26[[#This Row],[Descripción del producto]]),"",FT_RF_26[[#This Row],[Descripción del producto]])</f>
        <v/>
      </c>
      <c r="BS278" s="29" t="str">
        <f>IF(ISBLANK(FT_RF_26[[#This Row],[N° de Lote]]),"",FT_RF_26[[#This Row],[N° de Lote]])</f>
        <v/>
      </c>
      <c r="BT278" s="29" t="str">
        <f>IF(ISBLANK(FT_RF_26[[#This Row],[N° de Pallet]]),"",FT_RF_26[[#This Row],[N° de Pallet]])</f>
        <v/>
      </c>
    </row>
    <row r="279" spans="2:72">
      <c r="B279" s="29">
        <f>+_xlfn.ISOWEEKNUM(FT_RF_26[[#This Row],[Fecha]])</f>
        <v>52</v>
      </c>
      <c r="E279" s="31"/>
      <c r="F279" s="12" t="str">
        <f>IFERROR(""&amp;_xlfn.XLOOKUP(FT_RF_26[[#This Row],[Código]],BD_Cod[SKU],BD_Cod[Descripción]),"")</f>
        <v/>
      </c>
      <c r="G279" s="32" t="str">
        <f>IFERROR(""&amp;_xlfn.XLOOKUP(FT_RF_26[[#This Row],[Código]],BD_Cod[SKU],BD_Cod[Familia Calidad]),"")</f>
        <v/>
      </c>
      <c r="J279" s="33">
        <v>1000</v>
      </c>
      <c r="L279" s="30" t="s">
        <v>244</v>
      </c>
      <c r="O279" s="30" t="s">
        <v>894</v>
      </c>
      <c r="P279" s="29" t="s">
        <v>894</v>
      </c>
      <c r="Q279" s="37">
        <f>1-FT_RF_26[[#This Row],[% Defectos]]</f>
        <v>1</v>
      </c>
      <c r="R279" s="38">
        <v>0</v>
      </c>
      <c r="S279" s="39">
        <f>+IFERROR((FT_RF_26[[#This Row],[Inmadura]]/FT_RF_26[[#This Row],[Muestra]]),"0")</f>
        <v>0</v>
      </c>
      <c r="T279" s="38">
        <v>0</v>
      </c>
      <c r="U279" s="39">
        <f>+IFERROR((FT_RF_26[[#This Row],[Partidas]]/FT_RF_26[[#This Row],[Muestra]]),"0")</f>
        <v>0</v>
      </c>
      <c r="V279" s="38">
        <v>0</v>
      </c>
      <c r="W279" s="39">
        <f>+IFERROR((FT_RF_26[[#This Row],[Daño Insecto]]/FT_RF_26[[#This Row],[Muestra]]),"0")</f>
        <v>0</v>
      </c>
      <c r="X279" s="38">
        <v>0</v>
      </c>
      <c r="Y279" s="39">
        <f>+IFERROR((FT_RF_26[[#This Row],[Sobremadura]]/FT_RF_26[[#This Row],[Muestra]]),"0")</f>
        <v>0</v>
      </c>
      <c r="Z279" s="38">
        <v>0</v>
      </c>
      <c r="AA279" s="39">
        <f>+IFERROR((FT_RF_26[[#This Row],[Deforme]]/FT_RF_26[[#This Row],[Muestra]]),"0")</f>
        <v>0</v>
      </c>
      <c r="AB279" s="27"/>
      <c r="AC279" s="38">
        <v>0</v>
      </c>
      <c r="AD279" s="39">
        <f>+IFERROR((FT_RF_26[[#This Row],[Valor Extra 1]]/FT_RF_26[[#This Row],[Muestra]]),"0")</f>
        <v>0</v>
      </c>
      <c r="AF279" s="38">
        <v>0</v>
      </c>
      <c r="AG279" s="39">
        <f>+IFERROR((FT_RF_26[[#This Row],[Valor Extra 2]]/FT_RF_26[[#This Row],[Muestra]]),"0")</f>
        <v>0</v>
      </c>
      <c r="AH279" s="40">
        <v>0</v>
      </c>
      <c r="AI279" s="39">
        <f>+IFERROR((FT_RF_26[[#This Row],[Hongos]]/FT_RF_26[[#This Row],[Muestra]]),"0")</f>
        <v>0</v>
      </c>
      <c r="AJ279" s="38">
        <v>0</v>
      </c>
      <c r="AK279" s="39">
        <f>+IFERROR((FT_RF_26[[#This Row],[Block]]/FT_RF_26[[#This Row],[Muestra]]),"0")</f>
        <v>0</v>
      </c>
      <c r="AL279" s="41">
        <v>0</v>
      </c>
      <c r="AM279" s="42">
        <v>0</v>
      </c>
      <c r="AN279" s="38">
        <v>0</v>
      </c>
      <c r="AO279" s="39">
        <f>+IFERROR((FT_RF_26[[#This Row],[Fuera de calibre &lt;12mm]]/FT_RF_26[[#This Row],[Muestra]]),"0")</f>
        <v>0</v>
      </c>
      <c r="AP279" s="38">
        <v>0</v>
      </c>
      <c r="AQ279" s="39">
        <f>+IFERROR((FT_RF_26[[#This Row],[Calibre &lt;25]]/FT_RF_26[[#This Row],[Muestra]]),"0")</f>
        <v>0</v>
      </c>
      <c r="AR279" s="38">
        <v>0</v>
      </c>
      <c r="AS279" s="39">
        <f>+IFERROR((FT_RF_26[[#This Row],[Calibre &gt;12]]/FT_RF_26[[#This Row],[Muestra]]),"0")</f>
        <v>0</v>
      </c>
      <c r="AT279" s="38">
        <v>0</v>
      </c>
      <c r="AU279" s="39">
        <f>+IFERROR((FT_RF_26[[#This Row],[Calibre &lt;14]]/FT_RF_26[[#This Row],[Muestra]]),"0")</f>
        <v>0</v>
      </c>
      <c r="AV279" s="38">
        <v>0</v>
      </c>
      <c r="AW279" s="39">
        <f>+IFERROR((FT_RF_26[[#This Row],[Calibre &gt;14]]/FT_RF_26[[#This Row],[Muestra]]),"0")</f>
        <v>0</v>
      </c>
      <c r="AX279" s="38">
        <v>0</v>
      </c>
      <c r="AY279" s="39">
        <f>+IFERROR((FT_RF_26[[#This Row],[Calibre &lt;10]]/FT_RF_26[[#This Row],[Muestra]]),"0")</f>
        <v>0</v>
      </c>
      <c r="AZ279" s="38">
        <v>0</v>
      </c>
      <c r="BA279" s="39">
        <f>+IFERROR((FT_RF_26[[#This Row],[Calibre &gt;13]]/FT_RF_26[[#This Row],[Muestra]]),"0")</f>
        <v>0</v>
      </c>
      <c r="BB279" s="41"/>
      <c r="BG279" s="42"/>
      <c r="BH279" s="43">
        <v>0</v>
      </c>
      <c r="BI279" s="29" t="s">
        <v>894</v>
      </c>
      <c r="BJ279" s="29" t="s">
        <v>894</v>
      </c>
      <c r="BK27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7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79" s="45">
        <f>1-FT_RF_26[[#This Row],[% Defectos]]</f>
        <v>1</v>
      </c>
      <c r="BO279" s="60"/>
      <c r="BP279" s="12">
        <f>SUM(FT_RF_26[[#This Row],[Hoja (Un.)]:[Larvas Caja]])</f>
        <v>0</v>
      </c>
      <c r="BQ279" s="12">
        <f>SUM(FT_RF_26[[#This Row],[Vidrios]:[Plástico]])</f>
        <v>0</v>
      </c>
      <c r="BR279" s="12" t="str">
        <f>IF(ISBLANK(FT_RF_26[[#This Row],[Descripción del producto]]),"",FT_RF_26[[#This Row],[Descripción del producto]])</f>
        <v/>
      </c>
      <c r="BS279" s="29" t="str">
        <f>IF(ISBLANK(FT_RF_26[[#This Row],[N° de Lote]]),"",FT_RF_26[[#This Row],[N° de Lote]])</f>
        <v/>
      </c>
      <c r="BT279" s="29" t="str">
        <f>IF(ISBLANK(FT_RF_26[[#This Row],[N° de Pallet]]),"",FT_RF_26[[#This Row],[N° de Pallet]])</f>
        <v/>
      </c>
    </row>
    <row r="280" spans="2:72">
      <c r="B280" s="29">
        <f>+_xlfn.ISOWEEKNUM(FT_RF_26[[#This Row],[Fecha]])</f>
        <v>52</v>
      </c>
      <c r="E280" s="31"/>
      <c r="F280" s="12" t="str">
        <f>IFERROR(""&amp;_xlfn.XLOOKUP(FT_RF_26[[#This Row],[Código]],BD_Cod[SKU],BD_Cod[Descripción]),"")</f>
        <v/>
      </c>
      <c r="G280" s="32" t="str">
        <f>IFERROR(""&amp;_xlfn.XLOOKUP(FT_RF_26[[#This Row],[Código]],BD_Cod[SKU],BD_Cod[Familia Calidad]),"")</f>
        <v/>
      </c>
      <c r="J280" s="33">
        <v>1000</v>
      </c>
      <c r="L280" s="30" t="s">
        <v>244</v>
      </c>
      <c r="O280" s="30" t="s">
        <v>894</v>
      </c>
      <c r="P280" s="29" t="s">
        <v>894</v>
      </c>
      <c r="Q280" s="37">
        <f>1-FT_RF_26[[#This Row],[% Defectos]]</f>
        <v>1</v>
      </c>
      <c r="R280" s="38">
        <v>0</v>
      </c>
      <c r="S280" s="39">
        <f>+IFERROR((FT_RF_26[[#This Row],[Inmadura]]/FT_RF_26[[#This Row],[Muestra]]),"0")</f>
        <v>0</v>
      </c>
      <c r="T280" s="38">
        <v>0</v>
      </c>
      <c r="U280" s="39">
        <f>+IFERROR((FT_RF_26[[#This Row],[Partidas]]/FT_RF_26[[#This Row],[Muestra]]),"0")</f>
        <v>0</v>
      </c>
      <c r="V280" s="38">
        <v>0</v>
      </c>
      <c r="W280" s="39">
        <f>+IFERROR((FT_RF_26[[#This Row],[Daño Insecto]]/FT_RF_26[[#This Row],[Muestra]]),"0")</f>
        <v>0</v>
      </c>
      <c r="X280" s="38">
        <v>0</v>
      </c>
      <c r="Y280" s="39">
        <f>+IFERROR((FT_RF_26[[#This Row],[Sobremadura]]/FT_RF_26[[#This Row],[Muestra]]),"0")</f>
        <v>0</v>
      </c>
      <c r="Z280" s="38">
        <v>0</v>
      </c>
      <c r="AA280" s="39">
        <f>+IFERROR((FT_RF_26[[#This Row],[Deforme]]/FT_RF_26[[#This Row],[Muestra]]),"0")</f>
        <v>0</v>
      </c>
      <c r="AB280" s="27"/>
      <c r="AC280" s="38">
        <v>0</v>
      </c>
      <c r="AD280" s="39">
        <f>+IFERROR((FT_RF_26[[#This Row],[Valor Extra 1]]/FT_RF_26[[#This Row],[Muestra]]),"0")</f>
        <v>0</v>
      </c>
      <c r="AF280" s="38">
        <v>0</v>
      </c>
      <c r="AG280" s="39">
        <f>+IFERROR((FT_RF_26[[#This Row],[Valor Extra 2]]/FT_RF_26[[#This Row],[Muestra]]),"0")</f>
        <v>0</v>
      </c>
      <c r="AH280" s="40">
        <v>0</v>
      </c>
      <c r="AI280" s="39">
        <f>+IFERROR((FT_RF_26[[#This Row],[Hongos]]/FT_RF_26[[#This Row],[Muestra]]),"0")</f>
        <v>0</v>
      </c>
      <c r="AJ280" s="38">
        <v>0</v>
      </c>
      <c r="AK280" s="39">
        <f>+IFERROR((FT_RF_26[[#This Row],[Block]]/FT_RF_26[[#This Row],[Muestra]]),"0")</f>
        <v>0</v>
      </c>
      <c r="AL280" s="41">
        <v>0</v>
      </c>
      <c r="AM280" s="42">
        <v>0</v>
      </c>
      <c r="AN280" s="38">
        <v>0</v>
      </c>
      <c r="AO280" s="39">
        <f>+IFERROR((FT_RF_26[[#This Row],[Fuera de calibre &lt;12mm]]/FT_RF_26[[#This Row],[Muestra]]),"0")</f>
        <v>0</v>
      </c>
      <c r="AP280" s="38">
        <v>0</v>
      </c>
      <c r="AQ280" s="39">
        <f>+IFERROR((FT_RF_26[[#This Row],[Calibre &lt;25]]/FT_RF_26[[#This Row],[Muestra]]),"0")</f>
        <v>0</v>
      </c>
      <c r="AR280" s="38">
        <v>0</v>
      </c>
      <c r="AS280" s="39">
        <f>+IFERROR((FT_RF_26[[#This Row],[Calibre &gt;12]]/FT_RF_26[[#This Row],[Muestra]]),"0")</f>
        <v>0</v>
      </c>
      <c r="AT280" s="38">
        <v>0</v>
      </c>
      <c r="AU280" s="39">
        <f>+IFERROR((FT_RF_26[[#This Row],[Calibre &lt;14]]/FT_RF_26[[#This Row],[Muestra]]),"0")</f>
        <v>0</v>
      </c>
      <c r="AV280" s="38">
        <v>0</v>
      </c>
      <c r="AW280" s="39">
        <f>+IFERROR((FT_RF_26[[#This Row],[Calibre &gt;14]]/FT_RF_26[[#This Row],[Muestra]]),"0")</f>
        <v>0</v>
      </c>
      <c r="AX280" s="38">
        <v>0</v>
      </c>
      <c r="AY280" s="39">
        <f>+IFERROR((FT_RF_26[[#This Row],[Calibre &lt;10]]/FT_RF_26[[#This Row],[Muestra]]),"0")</f>
        <v>0</v>
      </c>
      <c r="AZ280" s="38">
        <v>0</v>
      </c>
      <c r="BA280" s="39">
        <f>+IFERROR((FT_RF_26[[#This Row],[Calibre &gt;13]]/FT_RF_26[[#This Row],[Muestra]]),"0")</f>
        <v>0</v>
      </c>
      <c r="BB280" s="41"/>
      <c r="BG280" s="42"/>
      <c r="BH280" s="43">
        <v>0</v>
      </c>
      <c r="BI280" s="29" t="s">
        <v>894</v>
      </c>
      <c r="BJ280" s="29" t="s">
        <v>894</v>
      </c>
      <c r="BK28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8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80" s="45">
        <f>1-FT_RF_26[[#This Row],[% Defectos]]</f>
        <v>1</v>
      </c>
      <c r="BO280" s="60"/>
      <c r="BP280" s="12">
        <f>SUM(FT_RF_26[[#This Row],[Hoja (Un.)]:[Larvas Caja]])</f>
        <v>0</v>
      </c>
      <c r="BQ280" s="12">
        <f>SUM(FT_RF_26[[#This Row],[Vidrios]:[Plástico]])</f>
        <v>0</v>
      </c>
      <c r="BR280" s="12" t="str">
        <f>IF(ISBLANK(FT_RF_26[[#This Row],[Descripción del producto]]),"",FT_RF_26[[#This Row],[Descripción del producto]])</f>
        <v/>
      </c>
      <c r="BS280" s="29" t="str">
        <f>IF(ISBLANK(FT_RF_26[[#This Row],[N° de Lote]]),"",FT_RF_26[[#This Row],[N° de Lote]])</f>
        <v/>
      </c>
      <c r="BT280" s="29" t="str">
        <f>IF(ISBLANK(FT_RF_26[[#This Row],[N° de Pallet]]),"",FT_RF_26[[#This Row],[N° de Pallet]])</f>
        <v/>
      </c>
    </row>
    <row r="281" spans="2:72">
      <c r="B281" s="29">
        <f>+_xlfn.ISOWEEKNUM(FT_RF_26[[#This Row],[Fecha]])</f>
        <v>52</v>
      </c>
      <c r="E281" s="31"/>
      <c r="F281" s="12" t="str">
        <f>IFERROR(""&amp;_xlfn.XLOOKUP(FT_RF_26[[#This Row],[Código]],BD_Cod[SKU],BD_Cod[Descripción]),"")</f>
        <v/>
      </c>
      <c r="G281" s="32" t="str">
        <f>IFERROR(""&amp;_xlfn.XLOOKUP(FT_RF_26[[#This Row],[Código]],BD_Cod[SKU],BD_Cod[Familia Calidad]),"")</f>
        <v/>
      </c>
      <c r="J281" s="33">
        <v>1000</v>
      </c>
      <c r="L281" s="30" t="s">
        <v>244</v>
      </c>
      <c r="O281" s="30" t="s">
        <v>894</v>
      </c>
      <c r="P281" s="29" t="s">
        <v>894</v>
      </c>
      <c r="Q281" s="37">
        <f>1-FT_RF_26[[#This Row],[% Defectos]]</f>
        <v>1</v>
      </c>
      <c r="R281" s="38">
        <v>0</v>
      </c>
      <c r="S281" s="39">
        <f>+IFERROR((FT_RF_26[[#This Row],[Inmadura]]/FT_RF_26[[#This Row],[Muestra]]),"0")</f>
        <v>0</v>
      </c>
      <c r="T281" s="38">
        <v>0</v>
      </c>
      <c r="U281" s="39">
        <f>+IFERROR((FT_RF_26[[#This Row],[Partidas]]/FT_RF_26[[#This Row],[Muestra]]),"0")</f>
        <v>0</v>
      </c>
      <c r="V281" s="38">
        <v>0</v>
      </c>
      <c r="W281" s="39">
        <f>+IFERROR((FT_RF_26[[#This Row],[Daño Insecto]]/FT_RF_26[[#This Row],[Muestra]]),"0")</f>
        <v>0</v>
      </c>
      <c r="X281" s="38">
        <v>0</v>
      </c>
      <c r="Y281" s="39">
        <f>+IFERROR((FT_RF_26[[#This Row],[Sobremadura]]/FT_RF_26[[#This Row],[Muestra]]),"0")</f>
        <v>0</v>
      </c>
      <c r="Z281" s="38">
        <v>0</v>
      </c>
      <c r="AA281" s="39">
        <f>+IFERROR((FT_RF_26[[#This Row],[Deforme]]/FT_RF_26[[#This Row],[Muestra]]),"0")</f>
        <v>0</v>
      </c>
      <c r="AB281" s="27"/>
      <c r="AC281" s="38">
        <v>0</v>
      </c>
      <c r="AD281" s="39">
        <f>+IFERROR((FT_RF_26[[#This Row],[Valor Extra 1]]/FT_RF_26[[#This Row],[Muestra]]),"0")</f>
        <v>0</v>
      </c>
      <c r="AF281" s="38">
        <v>0</v>
      </c>
      <c r="AG281" s="39">
        <f>+IFERROR((FT_RF_26[[#This Row],[Valor Extra 2]]/FT_RF_26[[#This Row],[Muestra]]),"0")</f>
        <v>0</v>
      </c>
      <c r="AH281" s="40">
        <v>0</v>
      </c>
      <c r="AI281" s="39">
        <f>+IFERROR((FT_RF_26[[#This Row],[Hongos]]/FT_RF_26[[#This Row],[Muestra]]),"0")</f>
        <v>0</v>
      </c>
      <c r="AJ281" s="38">
        <v>0</v>
      </c>
      <c r="AK281" s="39">
        <f>+IFERROR((FT_RF_26[[#This Row],[Block]]/FT_RF_26[[#This Row],[Muestra]]),"0")</f>
        <v>0</v>
      </c>
      <c r="AL281" s="41">
        <v>0</v>
      </c>
      <c r="AM281" s="42">
        <v>0</v>
      </c>
      <c r="AN281" s="38">
        <v>0</v>
      </c>
      <c r="AO281" s="39">
        <f>+IFERROR((FT_RF_26[[#This Row],[Fuera de calibre &lt;12mm]]/FT_RF_26[[#This Row],[Muestra]]),"0")</f>
        <v>0</v>
      </c>
      <c r="AP281" s="38">
        <v>0</v>
      </c>
      <c r="AQ281" s="39">
        <f>+IFERROR((FT_RF_26[[#This Row],[Calibre &lt;25]]/FT_RF_26[[#This Row],[Muestra]]),"0")</f>
        <v>0</v>
      </c>
      <c r="AR281" s="38">
        <v>0</v>
      </c>
      <c r="AS281" s="39">
        <f>+IFERROR((FT_RF_26[[#This Row],[Calibre &gt;12]]/FT_RF_26[[#This Row],[Muestra]]),"0")</f>
        <v>0</v>
      </c>
      <c r="AT281" s="38">
        <v>0</v>
      </c>
      <c r="AU281" s="39">
        <f>+IFERROR((FT_RF_26[[#This Row],[Calibre &lt;14]]/FT_RF_26[[#This Row],[Muestra]]),"0")</f>
        <v>0</v>
      </c>
      <c r="AV281" s="38">
        <v>0</v>
      </c>
      <c r="AW281" s="39">
        <f>+IFERROR((FT_RF_26[[#This Row],[Calibre &gt;14]]/FT_RF_26[[#This Row],[Muestra]]),"0")</f>
        <v>0</v>
      </c>
      <c r="AX281" s="38">
        <v>0</v>
      </c>
      <c r="AY281" s="39">
        <f>+IFERROR((FT_RF_26[[#This Row],[Calibre &lt;10]]/FT_RF_26[[#This Row],[Muestra]]),"0")</f>
        <v>0</v>
      </c>
      <c r="AZ281" s="38">
        <v>0</v>
      </c>
      <c r="BA281" s="39">
        <f>+IFERROR((FT_RF_26[[#This Row],[Calibre &gt;13]]/FT_RF_26[[#This Row],[Muestra]]),"0")</f>
        <v>0</v>
      </c>
      <c r="BB281" s="41"/>
      <c r="BG281" s="42"/>
      <c r="BH281" s="43">
        <v>0</v>
      </c>
      <c r="BI281" s="29" t="s">
        <v>894</v>
      </c>
      <c r="BJ281" s="29" t="s">
        <v>894</v>
      </c>
      <c r="BK28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8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81" s="45">
        <f>1-FT_RF_26[[#This Row],[% Defectos]]</f>
        <v>1</v>
      </c>
      <c r="BO281" s="60"/>
      <c r="BP281" s="12">
        <f>SUM(FT_RF_26[[#This Row],[Hoja (Un.)]:[Larvas Caja]])</f>
        <v>0</v>
      </c>
      <c r="BQ281" s="12">
        <f>SUM(FT_RF_26[[#This Row],[Vidrios]:[Plástico]])</f>
        <v>0</v>
      </c>
      <c r="BR281" s="12" t="str">
        <f>IF(ISBLANK(FT_RF_26[[#This Row],[Descripción del producto]]),"",FT_RF_26[[#This Row],[Descripción del producto]])</f>
        <v/>
      </c>
      <c r="BS281" s="29" t="str">
        <f>IF(ISBLANK(FT_RF_26[[#This Row],[N° de Lote]]),"",FT_RF_26[[#This Row],[N° de Lote]])</f>
        <v/>
      </c>
      <c r="BT281" s="29" t="str">
        <f>IF(ISBLANK(FT_RF_26[[#This Row],[N° de Pallet]]),"",FT_RF_26[[#This Row],[N° de Pallet]])</f>
        <v/>
      </c>
    </row>
    <row r="282" spans="2:72">
      <c r="B282" s="29">
        <f>+_xlfn.ISOWEEKNUM(FT_RF_26[[#This Row],[Fecha]])</f>
        <v>52</v>
      </c>
      <c r="E282" s="31"/>
      <c r="F282" s="12" t="str">
        <f>IFERROR(""&amp;_xlfn.XLOOKUP(FT_RF_26[[#This Row],[Código]],BD_Cod[SKU],BD_Cod[Descripción]),"")</f>
        <v/>
      </c>
      <c r="G282" s="32" t="str">
        <f>IFERROR(""&amp;_xlfn.XLOOKUP(FT_RF_26[[#This Row],[Código]],BD_Cod[SKU],BD_Cod[Familia Calidad]),"")</f>
        <v/>
      </c>
      <c r="J282" s="33">
        <v>1000</v>
      </c>
      <c r="L282" s="30" t="s">
        <v>244</v>
      </c>
      <c r="O282" s="30" t="s">
        <v>894</v>
      </c>
      <c r="P282" s="29" t="s">
        <v>894</v>
      </c>
      <c r="Q282" s="37">
        <f>1-FT_RF_26[[#This Row],[% Defectos]]</f>
        <v>1</v>
      </c>
      <c r="R282" s="38">
        <v>0</v>
      </c>
      <c r="S282" s="39">
        <f>+IFERROR((FT_RF_26[[#This Row],[Inmadura]]/FT_RF_26[[#This Row],[Muestra]]),"0")</f>
        <v>0</v>
      </c>
      <c r="T282" s="38">
        <v>0</v>
      </c>
      <c r="U282" s="39">
        <f>+IFERROR((FT_RF_26[[#This Row],[Partidas]]/FT_RF_26[[#This Row],[Muestra]]),"0")</f>
        <v>0</v>
      </c>
      <c r="V282" s="38">
        <v>0</v>
      </c>
      <c r="W282" s="39">
        <f>+IFERROR((FT_RF_26[[#This Row],[Daño Insecto]]/FT_RF_26[[#This Row],[Muestra]]),"0")</f>
        <v>0</v>
      </c>
      <c r="X282" s="38">
        <v>0</v>
      </c>
      <c r="Y282" s="39">
        <f>+IFERROR((FT_RF_26[[#This Row],[Sobremadura]]/FT_RF_26[[#This Row],[Muestra]]),"0")</f>
        <v>0</v>
      </c>
      <c r="Z282" s="38">
        <v>0</v>
      </c>
      <c r="AA282" s="39">
        <f>+IFERROR((FT_RF_26[[#This Row],[Deforme]]/FT_RF_26[[#This Row],[Muestra]]),"0")</f>
        <v>0</v>
      </c>
      <c r="AB282" s="27"/>
      <c r="AC282" s="38">
        <v>0</v>
      </c>
      <c r="AD282" s="39">
        <f>+IFERROR((FT_RF_26[[#This Row],[Valor Extra 1]]/FT_RF_26[[#This Row],[Muestra]]),"0")</f>
        <v>0</v>
      </c>
      <c r="AF282" s="38">
        <v>0</v>
      </c>
      <c r="AG282" s="39">
        <f>+IFERROR((FT_RF_26[[#This Row],[Valor Extra 2]]/FT_RF_26[[#This Row],[Muestra]]),"0")</f>
        <v>0</v>
      </c>
      <c r="AH282" s="40">
        <v>0</v>
      </c>
      <c r="AI282" s="39">
        <f>+IFERROR((FT_RF_26[[#This Row],[Hongos]]/FT_RF_26[[#This Row],[Muestra]]),"0")</f>
        <v>0</v>
      </c>
      <c r="AJ282" s="38">
        <v>0</v>
      </c>
      <c r="AK282" s="39">
        <f>+IFERROR((FT_RF_26[[#This Row],[Block]]/FT_RF_26[[#This Row],[Muestra]]),"0")</f>
        <v>0</v>
      </c>
      <c r="AL282" s="41">
        <v>0</v>
      </c>
      <c r="AM282" s="42">
        <v>0</v>
      </c>
      <c r="AN282" s="38">
        <v>0</v>
      </c>
      <c r="AO282" s="39">
        <f>+IFERROR((FT_RF_26[[#This Row],[Fuera de calibre &lt;12mm]]/FT_RF_26[[#This Row],[Muestra]]),"0")</f>
        <v>0</v>
      </c>
      <c r="AP282" s="38">
        <v>0</v>
      </c>
      <c r="AQ282" s="39">
        <f>+IFERROR((FT_RF_26[[#This Row],[Calibre &lt;25]]/FT_RF_26[[#This Row],[Muestra]]),"0")</f>
        <v>0</v>
      </c>
      <c r="AR282" s="38">
        <v>0</v>
      </c>
      <c r="AS282" s="39">
        <f>+IFERROR((FT_RF_26[[#This Row],[Calibre &gt;12]]/FT_RF_26[[#This Row],[Muestra]]),"0")</f>
        <v>0</v>
      </c>
      <c r="AT282" s="38">
        <v>0</v>
      </c>
      <c r="AU282" s="39">
        <f>+IFERROR((FT_RF_26[[#This Row],[Calibre &lt;14]]/FT_RF_26[[#This Row],[Muestra]]),"0")</f>
        <v>0</v>
      </c>
      <c r="AV282" s="38">
        <v>0</v>
      </c>
      <c r="AW282" s="39">
        <f>+IFERROR((FT_RF_26[[#This Row],[Calibre &gt;14]]/FT_RF_26[[#This Row],[Muestra]]),"0")</f>
        <v>0</v>
      </c>
      <c r="AX282" s="38">
        <v>0</v>
      </c>
      <c r="AY282" s="39">
        <f>+IFERROR((FT_RF_26[[#This Row],[Calibre &lt;10]]/FT_RF_26[[#This Row],[Muestra]]),"0")</f>
        <v>0</v>
      </c>
      <c r="AZ282" s="38">
        <v>0</v>
      </c>
      <c r="BA282" s="39">
        <f>+IFERROR((FT_RF_26[[#This Row],[Calibre &gt;13]]/FT_RF_26[[#This Row],[Muestra]]),"0")</f>
        <v>0</v>
      </c>
      <c r="BB282" s="41"/>
      <c r="BG282" s="42"/>
      <c r="BH282" s="43">
        <v>0</v>
      </c>
      <c r="BI282" s="29" t="s">
        <v>894</v>
      </c>
      <c r="BJ282" s="29" t="s">
        <v>894</v>
      </c>
      <c r="BK28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8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82" s="45">
        <f>1-FT_RF_26[[#This Row],[% Defectos]]</f>
        <v>1</v>
      </c>
      <c r="BO282" s="60"/>
      <c r="BP282" s="12">
        <f>SUM(FT_RF_26[[#This Row],[Hoja (Un.)]:[Larvas Caja]])</f>
        <v>0</v>
      </c>
      <c r="BQ282" s="12">
        <f>SUM(FT_RF_26[[#This Row],[Vidrios]:[Plástico]])</f>
        <v>0</v>
      </c>
      <c r="BR282" s="12" t="str">
        <f>IF(ISBLANK(FT_RF_26[[#This Row],[Descripción del producto]]),"",FT_RF_26[[#This Row],[Descripción del producto]])</f>
        <v/>
      </c>
      <c r="BS282" s="29" t="str">
        <f>IF(ISBLANK(FT_RF_26[[#This Row],[N° de Lote]]),"",FT_RF_26[[#This Row],[N° de Lote]])</f>
        <v/>
      </c>
      <c r="BT282" s="29" t="str">
        <f>IF(ISBLANK(FT_RF_26[[#This Row],[N° de Pallet]]),"",FT_RF_26[[#This Row],[N° de Pallet]])</f>
        <v/>
      </c>
    </row>
    <row r="283" spans="2:72">
      <c r="B283" s="29">
        <f>+_xlfn.ISOWEEKNUM(FT_RF_26[[#This Row],[Fecha]])</f>
        <v>52</v>
      </c>
      <c r="E283" s="31"/>
      <c r="F283" s="12" t="str">
        <f>IFERROR(""&amp;_xlfn.XLOOKUP(FT_RF_26[[#This Row],[Código]],BD_Cod[SKU],BD_Cod[Descripción]),"")</f>
        <v/>
      </c>
      <c r="G283" s="32" t="str">
        <f>IFERROR(""&amp;_xlfn.XLOOKUP(FT_RF_26[[#This Row],[Código]],BD_Cod[SKU],BD_Cod[Familia Calidad]),"")</f>
        <v/>
      </c>
      <c r="J283" s="33">
        <v>1000</v>
      </c>
      <c r="L283" s="30" t="s">
        <v>244</v>
      </c>
      <c r="O283" s="30" t="s">
        <v>894</v>
      </c>
      <c r="P283" s="29" t="s">
        <v>894</v>
      </c>
      <c r="Q283" s="37">
        <f>1-FT_RF_26[[#This Row],[% Defectos]]</f>
        <v>1</v>
      </c>
      <c r="R283" s="38">
        <v>0</v>
      </c>
      <c r="S283" s="39">
        <f>+IFERROR((FT_RF_26[[#This Row],[Inmadura]]/FT_RF_26[[#This Row],[Muestra]]),"0")</f>
        <v>0</v>
      </c>
      <c r="T283" s="38">
        <v>0</v>
      </c>
      <c r="U283" s="39">
        <f>+IFERROR((FT_RF_26[[#This Row],[Partidas]]/FT_RF_26[[#This Row],[Muestra]]),"0")</f>
        <v>0</v>
      </c>
      <c r="V283" s="38">
        <v>0</v>
      </c>
      <c r="W283" s="39">
        <f>+IFERROR((FT_RF_26[[#This Row],[Daño Insecto]]/FT_RF_26[[#This Row],[Muestra]]),"0")</f>
        <v>0</v>
      </c>
      <c r="X283" s="38">
        <v>0</v>
      </c>
      <c r="Y283" s="39">
        <f>+IFERROR((FT_RF_26[[#This Row],[Sobremadura]]/FT_RF_26[[#This Row],[Muestra]]),"0")</f>
        <v>0</v>
      </c>
      <c r="Z283" s="38">
        <v>0</v>
      </c>
      <c r="AA283" s="39">
        <f>+IFERROR((FT_RF_26[[#This Row],[Deforme]]/FT_RF_26[[#This Row],[Muestra]]),"0")</f>
        <v>0</v>
      </c>
      <c r="AB283" s="27"/>
      <c r="AC283" s="38">
        <v>0</v>
      </c>
      <c r="AD283" s="39">
        <f>+IFERROR((FT_RF_26[[#This Row],[Valor Extra 1]]/FT_RF_26[[#This Row],[Muestra]]),"0")</f>
        <v>0</v>
      </c>
      <c r="AF283" s="38">
        <v>0</v>
      </c>
      <c r="AG283" s="39">
        <f>+IFERROR((FT_RF_26[[#This Row],[Valor Extra 2]]/FT_RF_26[[#This Row],[Muestra]]),"0")</f>
        <v>0</v>
      </c>
      <c r="AH283" s="40">
        <v>0</v>
      </c>
      <c r="AI283" s="39">
        <f>+IFERROR((FT_RF_26[[#This Row],[Hongos]]/FT_RF_26[[#This Row],[Muestra]]),"0")</f>
        <v>0</v>
      </c>
      <c r="AJ283" s="38">
        <v>0</v>
      </c>
      <c r="AK283" s="39">
        <f>+IFERROR((FT_RF_26[[#This Row],[Block]]/FT_RF_26[[#This Row],[Muestra]]),"0")</f>
        <v>0</v>
      </c>
      <c r="AL283" s="41">
        <v>0</v>
      </c>
      <c r="AM283" s="42">
        <v>0</v>
      </c>
      <c r="AN283" s="38">
        <v>0</v>
      </c>
      <c r="AO283" s="39">
        <f>+IFERROR((FT_RF_26[[#This Row],[Fuera de calibre &lt;12mm]]/FT_RF_26[[#This Row],[Muestra]]),"0")</f>
        <v>0</v>
      </c>
      <c r="AP283" s="38">
        <v>0</v>
      </c>
      <c r="AQ283" s="39">
        <f>+IFERROR((FT_RF_26[[#This Row],[Calibre &lt;25]]/FT_RF_26[[#This Row],[Muestra]]),"0")</f>
        <v>0</v>
      </c>
      <c r="AR283" s="38">
        <v>0</v>
      </c>
      <c r="AS283" s="39">
        <f>+IFERROR((FT_RF_26[[#This Row],[Calibre &gt;12]]/FT_RF_26[[#This Row],[Muestra]]),"0")</f>
        <v>0</v>
      </c>
      <c r="AT283" s="38">
        <v>0</v>
      </c>
      <c r="AU283" s="39">
        <f>+IFERROR((FT_RF_26[[#This Row],[Calibre &lt;14]]/FT_RF_26[[#This Row],[Muestra]]),"0")</f>
        <v>0</v>
      </c>
      <c r="AV283" s="38">
        <v>0</v>
      </c>
      <c r="AW283" s="39">
        <f>+IFERROR((FT_RF_26[[#This Row],[Calibre &gt;14]]/FT_RF_26[[#This Row],[Muestra]]),"0")</f>
        <v>0</v>
      </c>
      <c r="AX283" s="38">
        <v>0</v>
      </c>
      <c r="AY283" s="39">
        <f>+IFERROR((FT_RF_26[[#This Row],[Calibre &lt;10]]/FT_RF_26[[#This Row],[Muestra]]),"0")</f>
        <v>0</v>
      </c>
      <c r="AZ283" s="38">
        <v>0</v>
      </c>
      <c r="BA283" s="39">
        <f>+IFERROR((FT_RF_26[[#This Row],[Calibre &gt;13]]/FT_RF_26[[#This Row],[Muestra]]),"0")</f>
        <v>0</v>
      </c>
      <c r="BB283" s="41"/>
      <c r="BG283" s="42"/>
      <c r="BH283" s="43">
        <v>0</v>
      </c>
      <c r="BI283" s="29" t="s">
        <v>894</v>
      </c>
      <c r="BJ283" s="29" t="s">
        <v>894</v>
      </c>
      <c r="BK28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8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83" s="45">
        <f>1-FT_RF_26[[#This Row],[% Defectos]]</f>
        <v>1</v>
      </c>
      <c r="BO283" s="60"/>
      <c r="BP283" s="12">
        <f>SUM(FT_RF_26[[#This Row],[Hoja (Un.)]:[Larvas Caja]])</f>
        <v>0</v>
      </c>
      <c r="BQ283" s="12">
        <f>SUM(FT_RF_26[[#This Row],[Vidrios]:[Plástico]])</f>
        <v>0</v>
      </c>
      <c r="BR283" s="12" t="str">
        <f>IF(ISBLANK(FT_RF_26[[#This Row],[Descripción del producto]]),"",FT_RF_26[[#This Row],[Descripción del producto]])</f>
        <v/>
      </c>
      <c r="BS283" s="29" t="str">
        <f>IF(ISBLANK(FT_RF_26[[#This Row],[N° de Lote]]),"",FT_RF_26[[#This Row],[N° de Lote]])</f>
        <v/>
      </c>
      <c r="BT283" s="29" t="str">
        <f>IF(ISBLANK(FT_RF_26[[#This Row],[N° de Pallet]]),"",FT_RF_26[[#This Row],[N° de Pallet]])</f>
        <v/>
      </c>
    </row>
    <row r="284" spans="2:72">
      <c r="B284" s="29">
        <f>+_xlfn.ISOWEEKNUM(FT_RF_26[[#This Row],[Fecha]])</f>
        <v>52</v>
      </c>
      <c r="E284" s="31"/>
      <c r="F284" s="12" t="str">
        <f>IFERROR(""&amp;_xlfn.XLOOKUP(FT_RF_26[[#This Row],[Código]],BD_Cod[SKU],BD_Cod[Descripción]),"")</f>
        <v/>
      </c>
      <c r="G284" s="32" t="str">
        <f>IFERROR(""&amp;_xlfn.XLOOKUP(FT_RF_26[[#This Row],[Código]],BD_Cod[SKU],BD_Cod[Familia Calidad]),"")</f>
        <v/>
      </c>
      <c r="J284" s="33">
        <v>1000</v>
      </c>
      <c r="L284" s="30" t="s">
        <v>244</v>
      </c>
      <c r="O284" s="30" t="s">
        <v>894</v>
      </c>
      <c r="P284" s="29" t="s">
        <v>894</v>
      </c>
      <c r="Q284" s="37">
        <f>1-FT_RF_26[[#This Row],[% Defectos]]</f>
        <v>1</v>
      </c>
      <c r="R284" s="38">
        <v>0</v>
      </c>
      <c r="S284" s="39">
        <f>+IFERROR((FT_RF_26[[#This Row],[Inmadura]]/FT_RF_26[[#This Row],[Muestra]]),"0")</f>
        <v>0</v>
      </c>
      <c r="T284" s="38">
        <v>0</v>
      </c>
      <c r="U284" s="39">
        <f>+IFERROR((FT_RF_26[[#This Row],[Partidas]]/FT_RF_26[[#This Row],[Muestra]]),"0")</f>
        <v>0</v>
      </c>
      <c r="V284" s="38">
        <v>0</v>
      </c>
      <c r="W284" s="39">
        <f>+IFERROR((FT_RF_26[[#This Row],[Daño Insecto]]/FT_RF_26[[#This Row],[Muestra]]),"0")</f>
        <v>0</v>
      </c>
      <c r="X284" s="38">
        <v>0</v>
      </c>
      <c r="Y284" s="39">
        <f>+IFERROR((FT_RF_26[[#This Row],[Sobremadura]]/FT_RF_26[[#This Row],[Muestra]]),"0")</f>
        <v>0</v>
      </c>
      <c r="Z284" s="38">
        <v>0</v>
      </c>
      <c r="AA284" s="39">
        <f>+IFERROR((FT_RF_26[[#This Row],[Deforme]]/FT_RF_26[[#This Row],[Muestra]]),"0")</f>
        <v>0</v>
      </c>
      <c r="AB284" s="27"/>
      <c r="AC284" s="38">
        <v>0</v>
      </c>
      <c r="AD284" s="39">
        <f>+IFERROR((FT_RF_26[[#This Row],[Valor Extra 1]]/FT_RF_26[[#This Row],[Muestra]]),"0")</f>
        <v>0</v>
      </c>
      <c r="AF284" s="38">
        <v>0</v>
      </c>
      <c r="AG284" s="39">
        <f>+IFERROR((FT_RF_26[[#This Row],[Valor Extra 2]]/FT_RF_26[[#This Row],[Muestra]]),"0")</f>
        <v>0</v>
      </c>
      <c r="AH284" s="40">
        <v>0</v>
      </c>
      <c r="AI284" s="39">
        <f>+IFERROR((FT_RF_26[[#This Row],[Hongos]]/FT_RF_26[[#This Row],[Muestra]]),"0")</f>
        <v>0</v>
      </c>
      <c r="AJ284" s="38">
        <v>0</v>
      </c>
      <c r="AK284" s="39">
        <f>+IFERROR((FT_RF_26[[#This Row],[Block]]/FT_RF_26[[#This Row],[Muestra]]),"0")</f>
        <v>0</v>
      </c>
      <c r="AL284" s="41">
        <v>0</v>
      </c>
      <c r="AM284" s="42">
        <v>0</v>
      </c>
      <c r="AN284" s="38">
        <v>0</v>
      </c>
      <c r="AO284" s="39">
        <f>+IFERROR((FT_RF_26[[#This Row],[Fuera de calibre &lt;12mm]]/FT_RF_26[[#This Row],[Muestra]]),"0")</f>
        <v>0</v>
      </c>
      <c r="AP284" s="38">
        <v>0</v>
      </c>
      <c r="AQ284" s="39">
        <f>+IFERROR((FT_RF_26[[#This Row],[Calibre &lt;25]]/FT_RF_26[[#This Row],[Muestra]]),"0")</f>
        <v>0</v>
      </c>
      <c r="AR284" s="38">
        <v>0</v>
      </c>
      <c r="AS284" s="39">
        <f>+IFERROR((FT_RF_26[[#This Row],[Calibre &gt;12]]/FT_RF_26[[#This Row],[Muestra]]),"0")</f>
        <v>0</v>
      </c>
      <c r="AT284" s="38">
        <v>0</v>
      </c>
      <c r="AU284" s="39">
        <f>+IFERROR((FT_RF_26[[#This Row],[Calibre &lt;14]]/FT_RF_26[[#This Row],[Muestra]]),"0")</f>
        <v>0</v>
      </c>
      <c r="AV284" s="38">
        <v>0</v>
      </c>
      <c r="AW284" s="39">
        <f>+IFERROR((FT_RF_26[[#This Row],[Calibre &gt;14]]/FT_RF_26[[#This Row],[Muestra]]),"0")</f>
        <v>0</v>
      </c>
      <c r="AX284" s="38">
        <v>0</v>
      </c>
      <c r="AY284" s="39">
        <f>+IFERROR((FT_RF_26[[#This Row],[Calibre &lt;10]]/FT_RF_26[[#This Row],[Muestra]]),"0")</f>
        <v>0</v>
      </c>
      <c r="AZ284" s="38">
        <v>0</v>
      </c>
      <c r="BA284" s="39">
        <f>+IFERROR((FT_RF_26[[#This Row],[Calibre &gt;13]]/FT_RF_26[[#This Row],[Muestra]]),"0")</f>
        <v>0</v>
      </c>
      <c r="BB284" s="41"/>
      <c r="BG284" s="42"/>
      <c r="BH284" s="43">
        <v>0</v>
      </c>
      <c r="BI284" s="29" t="s">
        <v>894</v>
      </c>
      <c r="BJ284" s="29" t="s">
        <v>894</v>
      </c>
      <c r="BK28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8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84" s="45">
        <f>1-FT_RF_26[[#This Row],[% Defectos]]</f>
        <v>1</v>
      </c>
      <c r="BO284" s="60"/>
      <c r="BP284" s="12">
        <f>SUM(FT_RF_26[[#This Row],[Hoja (Un.)]:[Larvas Caja]])</f>
        <v>0</v>
      </c>
      <c r="BQ284" s="12">
        <f>SUM(FT_RF_26[[#This Row],[Vidrios]:[Plástico]])</f>
        <v>0</v>
      </c>
      <c r="BR284" s="12" t="str">
        <f>IF(ISBLANK(FT_RF_26[[#This Row],[Descripción del producto]]),"",FT_RF_26[[#This Row],[Descripción del producto]])</f>
        <v/>
      </c>
      <c r="BS284" s="29" t="str">
        <f>IF(ISBLANK(FT_RF_26[[#This Row],[N° de Lote]]),"",FT_RF_26[[#This Row],[N° de Lote]])</f>
        <v/>
      </c>
      <c r="BT284" s="29" t="str">
        <f>IF(ISBLANK(FT_RF_26[[#This Row],[N° de Pallet]]),"",FT_RF_26[[#This Row],[N° de Pallet]])</f>
        <v/>
      </c>
    </row>
    <row r="285" spans="2:72">
      <c r="B285" s="29">
        <f>+_xlfn.ISOWEEKNUM(FT_RF_26[[#This Row],[Fecha]])</f>
        <v>52</v>
      </c>
      <c r="E285" s="31"/>
      <c r="F285" s="12" t="str">
        <f>IFERROR(""&amp;_xlfn.XLOOKUP(FT_RF_26[[#This Row],[Código]],BD_Cod[SKU],BD_Cod[Descripción]),"")</f>
        <v/>
      </c>
      <c r="G285" s="32" t="str">
        <f>IFERROR(""&amp;_xlfn.XLOOKUP(FT_RF_26[[#This Row],[Código]],BD_Cod[SKU],BD_Cod[Familia Calidad]),"")</f>
        <v/>
      </c>
      <c r="J285" s="33">
        <v>1000</v>
      </c>
      <c r="L285" s="30" t="s">
        <v>244</v>
      </c>
      <c r="O285" s="30" t="s">
        <v>894</v>
      </c>
      <c r="P285" s="29" t="s">
        <v>894</v>
      </c>
      <c r="Q285" s="37">
        <f>1-FT_RF_26[[#This Row],[% Defectos]]</f>
        <v>1</v>
      </c>
      <c r="R285" s="38">
        <v>0</v>
      </c>
      <c r="S285" s="39">
        <f>+IFERROR((FT_RF_26[[#This Row],[Inmadura]]/FT_RF_26[[#This Row],[Muestra]]),"0")</f>
        <v>0</v>
      </c>
      <c r="T285" s="38">
        <v>0</v>
      </c>
      <c r="U285" s="39">
        <f>+IFERROR((FT_RF_26[[#This Row],[Partidas]]/FT_RF_26[[#This Row],[Muestra]]),"0")</f>
        <v>0</v>
      </c>
      <c r="V285" s="38">
        <v>0</v>
      </c>
      <c r="W285" s="39">
        <f>+IFERROR((FT_RF_26[[#This Row],[Daño Insecto]]/FT_RF_26[[#This Row],[Muestra]]),"0")</f>
        <v>0</v>
      </c>
      <c r="X285" s="38">
        <v>0</v>
      </c>
      <c r="Y285" s="39">
        <f>+IFERROR((FT_RF_26[[#This Row],[Sobremadura]]/FT_RF_26[[#This Row],[Muestra]]),"0")</f>
        <v>0</v>
      </c>
      <c r="Z285" s="38">
        <v>0</v>
      </c>
      <c r="AA285" s="39">
        <f>+IFERROR((FT_RF_26[[#This Row],[Deforme]]/FT_RF_26[[#This Row],[Muestra]]),"0")</f>
        <v>0</v>
      </c>
      <c r="AB285" s="27"/>
      <c r="AC285" s="38">
        <v>0</v>
      </c>
      <c r="AD285" s="39">
        <f>+IFERROR((FT_RF_26[[#This Row],[Valor Extra 1]]/FT_RF_26[[#This Row],[Muestra]]),"0")</f>
        <v>0</v>
      </c>
      <c r="AF285" s="38">
        <v>0</v>
      </c>
      <c r="AG285" s="39">
        <f>+IFERROR((FT_RF_26[[#This Row],[Valor Extra 2]]/FT_RF_26[[#This Row],[Muestra]]),"0")</f>
        <v>0</v>
      </c>
      <c r="AH285" s="40">
        <v>0</v>
      </c>
      <c r="AI285" s="39">
        <f>+IFERROR((FT_RF_26[[#This Row],[Hongos]]/FT_RF_26[[#This Row],[Muestra]]),"0")</f>
        <v>0</v>
      </c>
      <c r="AJ285" s="38">
        <v>0</v>
      </c>
      <c r="AK285" s="39">
        <f>+IFERROR((FT_RF_26[[#This Row],[Block]]/FT_RF_26[[#This Row],[Muestra]]),"0")</f>
        <v>0</v>
      </c>
      <c r="AL285" s="41">
        <v>0</v>
      </c>
      <c r="AM285" s="42">
        <v>0</v>
      </c>
      <c r="AN285" s="38">
        <v>0</v>
      </c>
      <c r="AO285" s="39">
        <f>+IFERROR((FT_RF_26[[#This Row],[Fuera de calibre &lt;12mm]]/FT_RF_26[[#This Row],[Muestra]]),"0")</f>
        <v>0</v>
      </c>
      <c r="AP285" s="38">
        <v>0</v>
      </c>
      <c r="AQ285" s="39">
        <f>+IFERROR((FT_RF_26[[#This Row],[Calibre &lt;25]]/FT_RF_26[[#This Row],[Muestra]]),"0")</f>
        <v>0</v>
      </c>
      <c r="AR285" s="38">
        <v>0</v>
      </c>
      <c r="AS285" s="39">
        <f>+IFERROR((FT_RF_26[[#This Row],[Calibre &gt;12]]/FT_RF_26[[#This Row],[Muestra]]),"0")</f>
        <v>0</v>
      </c>
      <c r="AT285" s="38">
        <v>0</v>
      </c>
      <c r="AU285" s="39">
        <f>+IFERROR((FT_RF_26[[#This Row],[Calibre &lt;14]]/FT_RF_26[[#This Row],[Muestra]]),"0")</f>
        <v>0</v>
      </c>
      <c r="AV285" s="38">
        <v>0</v>
      </c>
      <c r="AW285" s="39">
        <f>+IFERROR((FT_RF_26[[#This Row],[Calibre &gt;14]]/FT_RF_26[[#This Row],[Muestra]]),"0")</f>
        <v>0</v>
      </c>
      <c r="AX285" s="38">
        <v>0</v>
      </c>
      <c r="AY285" s="39">
        <f>+IFERROR((FT_RF_26[[#This Row],[Calibre &lt;10]]/FT_RF_26[[#This Row],[Muestra]]),"0")</f>
        <v>0</v>
      </c>
      <c r="AZ285" s="38">
        <v>0</v>
      </c>
      <c r="BA285" s="39">
        <f>+IFERROR((FT_RF_26[[#This Row],[Calibre &gt;13]]/FT_RF_26[[#This Row],[Muestra]]),"0")</f>
        <v>0</v>
      </c>
      <c r="BB285" s="41"/>
      <c r="BG285" s="42"/>
      <c r="BH285" s="43">
        <v>0</v>
      </c>
      <c r="BI285" s="29" t="s">
        <v>894</v>
      </c>
      <c r="BJ285" s="29" t="s">
        <v>894</v>
      </c>
      <c r="BK28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8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85" s="45">
        <f>1-FT_RF_26[[#This Row],[% Defectos]]</f>
        <v>1</v>
      </c>
      <c r="BO285" s="60"/>
      <c r="BP285" s="12">
        <f>SUM(FT_RF_26[[#This Row],[Hoja (Un.)]:[Larvas Caja]])</f>
        <v>0</v>
      </c>
      <c r="BQ285" s="12">
        <f>SUM(FT_RF_26[[#This Row],[Vidrios]:[Plástico]])</f>
        <v>0</v>
      </c>
      <c r="BR285" s="12" t="str">
        <f>IF(ISBLANK(FT_RF_26[[#This Row],[Descripción del producto]]),"",FT_RF_26[[#This Row],[Descripción del producto]])</f>
        <v/>
      </c>
      <c r="BS285" s="29" t="str">
        <f>IF(ISBLANK(FT_RF_26[[#This Row],[N° de Lote]]),"",FT_RF_26[[#This Row],[N° de Lote]])</f>
        <v/>
      </c>
      <c r="BT285" s="29" t="str">
        <f>IF(ISBLANK(FT_RF_26[[#This Row],[N° de Pallet]]),"",FT_RF_26[[#This Row],[N° de Pallet]])</f>
        <v/>
      </c>
    </row>
    <row r="286" spans="2:72">
      <c r="B286" s="29">
        <f>+_xlfn.ISOWEEKNUM(FT_RF_26[[#This Row],[Fecha]])</f>
        <v>52</v>
      </c>
      <c r="E286" s="31"/>
      <c r="F286" s="12" t="str">
        <f>IFERROR(""&amp;_xlfn.XLOOKUP(FT_RF_26[[#This Row],[Código]],BD_Cod[SKU],BD_Cod[Descripción]),"")</f>
        <v/>
      </c>
      <c r="G286" s="32" t="str">
        <f>IFERROR(""&amp;_xlfn.XLOOKUP(FT_RF_26[[#This Row],[Código]],BD_Cod[SKU],BD_Cod[Familia Calidad]),"")</f>
        <v/>
      </c>
      <c r="J286" s="33">
        <v>1000</v>
      </c>
      <c r="L286" s="30" t="s">
        <v>244</v>
      </c>
      <c r="O286" s="30" t="s">
        <v>894</v>
      </c>
      <c r="P286" s="29" t="s">
        <v>894</v>
      </c>
      <c r="Q286" s="37">
        <f>1-FT_RF_26[[#This Row],[% Defectos]]</f>
        <v>1</v>
      </c>
      <c r="R286" s="38">
        <v>0</v>
      </c>
      <c r="S286" s="39">
        <f>+IFERROR((FT_RF_26[[#This Row],[Inmadura]]/FT_RF_26[[#This Row],[Muestra]]),"0")</f>
        <v>0</v>
      </c>
      <c r="T286" s="38">
        <v>0</v>
      </c>
      <c r="U286" s="39">
        <f>+IFERROR((FT_RF_26[[#This Row],[Partidas]]/FT_RF_26[[#This Row],[Muestra]]),"0")</f>
        <v>0</v>
      </c>
      <c r="V286" s="38">
        <v>0</v>
      </c>
      <c r="W286" s="39">
        <f>+IFERROR((FT_RF_26[[#This Row],[Daño Insecto]]/FT_RF_26[[#This Row],[Muestra]]),"0")</f>
        <v>0</v>
      </c>
      <c r="X286" s="38">
        <v>0</v>
      </c>
      <c r="Y286" s="39">
        <f>+IFERROR((FT_RF_26[[#This Row],[Sobremadura]]/FT_RF_26[[#This Row],[Muestra]]),"0")</f>
        <v>0</v>
      </c>
      <c r="Z286" s="38">
        <v>0</v>
      </c>
      <c r="AA286" s="39">
        <f>+IFERROR((FT_RF_26[[#This Row],[Deforme]]/FT_RF_26[[#This Row],[Muestra]]),"0")</f>
        <v>0</v>
      </c>
      <c r="AB286" s="27"/>
      <c r="AC286" s="38">
        <v>0</v>
      </c>
      <c r="AD286" s="39">
        <f>+IFERROR((FT_RF_26[[#This Row],[Valor Extra 1]]/FT_RF_26[[#This Row],[Muestra]]),"0")</f>
        <v>0</v>
      </c>
      <c r="AF286" s="38">
        <v>0</v>
      </c>
      <c r="AG286" s="39">
        <f>+IFERROR((FT_RF_26[[#This Row],[Valor Extra 2]]/FT_RF_26[[#This Row],[Muestra]]),"0")</f>
        <v>0</v>
      </c>
      <c r="AH286" s="40">
        <v>0</v>
      </c>
      <c r="AI286" s="39">
        <f>+IFERROR((FT_RF_26[[#This Row],[Hongos]]/FT_RF_26[[#This Row],[Muestra]]),"0")</f>
        <v>0</v>
      </c>
      <c r="AJ286" s="38">
        <v>0</v>
      </c>
      <c r="AK286" s="39">
        <f>+IFERROR((FT_RF_26[[#This Row],[Block]]/FT_RF_26[[#This Row],[Muestra]]),"0")</f>
        <v>0</v>
      </c>
      <c r="AL286" s="41">
        <v>0</v>
      </c>
      <c r="AM286" s="42">
        <v>0</v>
      </c>
      <c r="AN286" s="38">
        <v>0</v>
      </c>
      <c r="AO286" s="39">
        <f>+IFERROR((FT_RF_26[[#This Row],[Fuera de calibre &lt;12mm]]/FT_RF_26[[#This Row],[Muestra]]),"0")</f>
        <v>0</v>
      </c>
      <c r="AP286" s="38">
        <v>0</v>
      </c>
      <c r="AQ286" s="39">
        <f>+IFERROR((FT_RF_26[[#This Row],[Calibre &lt;25]]/FT_RF_26[[#This Row],[Muestra]]),"0")</f>
        <v>0</v>
      </c>
      <c r="AR286" s="38">
        <v>0</v>
      </c>
      <c r="AS286" s="39">
        <f>+IFERROR((FT_RF_26[[#This Row],[Calibre &gt;12]]/FT_RF_26[[#This Row],[Muestra]]),"0")</f>
        <v>0</v>
      </c>
      <c r="AT286" s="38">
        <v>0</v>
      </c>
      <c r="AU286" s="39">
        <f>+IFERROR((FT_RF_26[[#This Row],[Calibre &lt;14]]/FT_RF_26[[#This Row],[Muestra]]),"0")</f>
        <v>0</v>
      </c>
      <c r="AV286" s="38">
        <v>0</v>
      </c>
      <c r="AW286" s="39">
        <f>+IFERROR((FT_RF_26[[#This Row],[Calibre &gt;14]]/FT_RF_26[[#This Row],[Muestra]]),"0")</f>
        <v>0</v>
      </c>
      <c r="AX286" s="38">
        <v>0</v>
      </c>
      <c r="AY286" s="39">
        <f>+IFERROR((FT_RF_26[[#This Row],[Calibre &lt;10]]/FT_RF_26[[#This Row],[Muestra]]),"0")</f>
        <v>0</v>
      </c>
      <c r="AZ286" s="38">
        <v>0</v>
      </c>
      <c r="BA286" s="39">
        <f>+IFERROR((FT_RF_26[[#This Row],[Calibre &gt;13]]/FT_RF_26[[#This Row],[Muestra]]),"0")</f>
        <v>0</v>
      </c>
      <c r="BB286" s="41"/>
      <c r="BG286" s="42"/>
      <c r="BH286" s="43">
        <v>0</v>
      </c>
      <c r="BI286" s="29" t="s">
        <v>894</v>
      </c>
      <c r="BJ286" s="29" t="s">
        <v>894</v>
      </c>
      <c r="BK28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8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86" s="45">
        <f>1-FT_RF_26[[#This Row],[% Defectos]]</f>
        <v>1</v>
      </c>
      <c r="BO286" s="60"/>
      <c r="BP286" s="12">
        <f>SUM(FT_RF_26[[#This Row],[Hoja (Un.)]:[Larvas Caja]])</f>
        <v>0</v>
      </c>
      <c r="BQ286" s="12">
        <f>SUM(FT_RF_26[[#This Row],[Vidrios]:[Plástico]])</f>
        <v>0</v>
      </c>
      <c r="BR286" s="12" t="str">
        <f>IF(ISBLANK(FT_RF_26[[#This Row],[Descripción del producto]]),"",FT_RF_26[[#This Row],[Descripción del producto]])</f>
        <v/>
      </c>
      <c r="BS286" s="29" t="str">
        <f>IF(ISBLANK(FT_RF_26[[#This Row],[N° de Lote]]),"",FT_RF_26[[#This Row],[N° de Lote]])</f>
        <v/>
      </c>
      <c r="BT286" s="29" t="str">
        <f>IF(ISBLANK(FT_RF_26[[#This Row],[N° de Pallet]]),"",FT_RF_26[[#This Row],[N° de Pallet]])</f>
        <v/>
      </c>
    </row>
    <row r="287" spans="2:72">
      <c r="B287" s="29">
        <f>+_xlfn.ISOWEEKNUM(FT_RF_26[[#This Row],[Fecha]])</f>
        <v>52</v>
      </c>
      <c r="E287" s="31"/>
      <c r="F287" s="12" t="str">
        <f>IFERROR(""&amp;_xlfn.XLOOKUP(FT_RF_26[[#This Row],[Código]],BD_Cod[SKU],BD_Cod[Descripción]),"")</f>
        <v/>
      </c>
      <c r="G287" s="32" t="str">
        <f>IFERROR(""&amp;_xlfn.XLOOKUP(FT_RF_26[[#This Row],[Código]],BD_Cod[SKU],BD_Cod[Familia Calidad]),"")</f>
        <v/>
      </c>
      <c r="J287" s="33">
        <v>1000</v>
      </c>
      <c r="L287" s="30" t="s">
        <v>244</v>
      </c>
      <c r="O287" s="30" t="s">
        <v>894</v>
      </c>
      <c r="P287" s="29" t="s">
        <v>894</v>
      </c>
      <c r="Q287" s="37">
        <f>1-FT_RF_26[[#This Row],[% Defectos]]</f>
        <v>1</v>
      </c>
      <c r="R287" s="38">
        <v>0</v>
      </c>
      <c r="S287" s="39">
        <f>+IFERROR((FT_RF_26[[#This Row],[Inmadura]]/FT_RF_26[[#This Row],[Muestra]]),"0")</f>
        <v>0</v>
      </c>
      <c r="T287" s="38">
        <v>0</v>
      </c>
      <c r="U287" s="39">
        <f>+IFERROR((FT_RF_26[[#This Row],[Partidas]]/FT_RF_26[[#This Row],[Muestra]]),"0")</f>
        <v>0</v>
      </c>
      <c r="V287" s="38">
        <v>0</v>
      </c>
      <c r="W287" s="39">
        <f>+IFERROR((FT_RF_26[[#This Row],[Daño Insecto]]/FT_RF_26[[#This Row],[Muestra]]),"0")</f>
        <v>0</v>
      </c>
      <c r="X287" s="38">
        <v>0</v>
      </c>
      <c r="Y287" s="39">
        <f>+IFERROR((FT_RF_26[[#This Row],[Sobremadura]]/FT_RF_26[[#This Row],[Muestra]]),"0")</f>
        <v>0</v>
      </c>
      <c r="Z287" s="38">
        <v>0</v>
      </c>
      <c r="AA287" s="39">
        <f>+IFERROR((FT_RF_26[[#This Row],[Deforme]]/FT_RF_26[[#This Row],[Muestra]]),"0")</f>
        <v>0</v>
      </c>
      <c r="AB287" s="27"/>
      <c r="AC287" s="38">
        <v>0</v>
      </c>
      <c r="AD287" s="39">
        <f>+IFERROR((FT_RF_26[[#This Row],[Valor Extra 1]]/FT_RF_26[[#This Row],[Muestra]]),"0")</f>
        <v>0</v>
      </c>
      <c r="AF287" s="38">
        <v>0</v>
      </c>
      <c r="AG287" s="39">
        <f>+IFERROR((FT_RF_26[[#This Row],[Valor Extra 2]]/FT_RF_26[[#This Row],[Muestra]]),"0")</f>
        <v>0</v>
      </c>
      <c r="AH287" s="40">
        <v>0</v>
      </c>
      <c r="AI287" s="39">
        <f>+IFERROR((FT_RF_26[[#This Row],[Hongos]]/FT_RF_26[[#This Row],[Muestra]]),"0")</f>
        <v>0</v>
      </c>
      <c r="AJ287" s="38">
        <v>0</v>
      </c>
      <c r="AK287" s="39">
        <f>+IFERROR((FT_RF_26[[#This Row],[Block]]/FT_RF_26[[#This Row],[Muestra]]),"0")</f>
        <v>0</v>
      </c>
      <c r="AL287" s="41">
        <v>0</v>
      </c>
      <c r="AM287" s="42">
        <v>0</v>
      </c>
      <c r="AN287" s="38">
        <v>0</v>
      </c>
      <c r="AO287" s="39">
        <f>+IFERROR((FT_RF_26[[#This Row],[Fuera de calibre &lt;12mm]]/FT_RF_26[[#This Row],[Muestra]]),"0")</f>
        <v>0</v>
      </c>
      <c r="AP287" s="38">
        <v>0</v>
      </c>
      <c r="AQ287" s="39">
        <f>+IFERROR((FT_RF_26[[#This Row],[Calibre &lt;25]]/FT_RF_26[[#This Row],[Muestra]]),"0")</f>
        <v>0</v>
      </c>
      <c r="AR287" s="38">
        <v>0</v>
      </c>
      <c r="AS287" s="39">
        <f>+IFERROR((FT_RF_26[[#This Row],[Calibre &gt;12]]/FT_RF_26[[#This Row],[Muestra]]),"0")</f>
        <v>0</v>
      </c>
      <c r="AT287" s="38">
        <v>0</v>
      </c>
      <c r="AU287" s="39">
        <f>+IFERROR((FT_RF_26[[#This Row],[Calibre &lt;14]]/FT_RF_26[[#This Row],[Muestra]]),"0")</f>
        <v>0</v>
      </c>
      <c r="AV287" s="38">
        <v>0</v>
      </c>
      <c r="AW287" s="39">
        <f>+IFERROR((FT_RF_26[[#This Row],[Calibre &gt;14]]/FT_RF_26[[#This Row],[Muestra]]),"0")</f>
        <v>0</v>
      </c>
      <c r="AX287" s="38">
        <v>0</v>
      </c>
      <c r="AY287" s="39">
        <f>+IFERROR((FT_RF_26[[#This Row],[Calibre &lt;10]]/FT_RF_26[[#This Row],[Muestra]]),"0")</f>
        <v>0</v>
      </c>
      <c r="AZ287" s="38">
        <v>0</v>
      </c>
      <c r="BA287" s="39">
        <f>+IFERROR((FT_RF_26[[#This Row],[Calibre &gt;13]]/FT_RF_26[[#This Row],[Muestra]]),"0")</f>
        <v>0</v>
      </c>
      <c r="BB287" s="41"/>
      <c r="BG287" s="42"/>
      <c r="BH287" s="43">
        <v>0</v>
      </c>
      <c r="BI287" s="29" t="s">
        <v>894</v>
      </c>
      <c r="BJ287" s="29" t="s">
        <v>894</v>
      </c>
      <c r="BK28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8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87" s="45">
        <f>1-FT_RF_26[[#This Row],[% Defectos]]</f>
        <v>1</v>
      </c>
      <c r="BO287" s="60"/>
      <c r="BP287" s="12">
        <f>SUM(FT_RF_26[[#This Row],[Hoja (Un.)]:[Larvas Caja]])</f>
        <v>0</v>
      </c>
      <c r="BQ287" s="12">
        <f>SUM(FT_RF_26[[#This Row],[Vidrios]:[Plástico]])</f>
        <v>0</v>
      </c>
      <c r="BR287" s="12" t="str">
        <f>IF(ISBLANK(FT_RF_26[[#This Row],[Descripción del producto]]),"",FT_RF_26[[#This Row],[Descripción del producto]])</f>
        <v/>
      </c>
      <c r="BS287" s="29" t="str">
        <f>IF(ISBLANK(FT_RF_26[[#This Row],[N° de Lote]]),"",FT_RF_26[[#This Row],[N° de Lote]])</f>
        <v/>
      </c>
      <c r="BT287" s="29" t="str">
        <f>IF(ISBLANK(FT_RF_26[[#This Row],[N° de Pallet]]),"",FT_RF_26[[#This Row],[N° de Pallet]])</f>
        <v/>
      </c>
    </row>
    <row r="288" spans="2:72">
      <c r="B288" s="29">
        <f>+_xlfn.ISOWEEKNUM(FT_RF_26[[#This Row],[Fecha]])</f>
        <v>52</v>
      </c>
      <c r="E288" s="31"/>
      <c r="F288" s="12" t="str">
        <f>IFERROR(""&amp;_xlfn.XLOOKUP(FT_RF_26[[#This Row],[Código]],BD_Cod[SKU],BD_Cod[Descripción]),"")</f>
        <v/>
      </c>
      <c r="G288" s="32" t="str">
        <f>IFERROR(""&amp;_xlfn.XLOOKUP(FT_RF_26[[#This Row],[Código]],BD_Cod[SKU],BD_Cod[Familia Calidad]),"")</f>
        <v/>
      </c>
      <c r="J288" s="33">
        <v>1000</v>
      </c>
      <c r="L288" s="30" t="s">
        <v>244</v>
      </c>
      <c r="O288" s="30" t="s">
        <v>894</v>
      </c>
      <c r="P288" s="29" t="s">
        <v>894</v>
      </c>
      <c r="Q288" s="37">
        <f>1-FT_RF_26[[#This Row],[% Defectos]]</f>
        <v>1</v>
      </c>
      <c r="R288" s="38">
        <v>0</v>
      </c>
      <c r="S288" s="39">
        <f>+IFERROR((FT_RF_26[[#This Row],[Inmadura]]/FT_RF_26[[#This Row],[Muestra]]),"0")</f>
        <v>0</v>
      </c>
      <c r="T288" s="38">
        <v>0</v>
      </c>
      <c r="U288" s="39">
        <f>+IFERROR((FT_RF_26[[#This Row],[Partidas]]/FT_RF_26[[#This Row],[Muestra]]),"0")</f>
        <v>0</v>
      </c>
      <c r="V288" s="38">
        <v>0</v>
      </c>
      <c r="W288" s="39">
        <f>+IFERROR((FT_RF_26[[#This Row],[Daño Insecto]]/FT_RF_26[[#This Row],[Muestra]]),"0")</f>
        <v>0</v>
      </c>
      <c r="X288" s="38">
        <v>0</v>
      </c>
      <c r="Y288" s="39">
        <f>+IFERROR((FT_RF_26[[#This Row],[Sobremadura]]/FT_RF_26[[#This Row],[Muestra]]),"0")</f>
        <v>0</v>
      </c>
      <c r="Z288" s="38">
        <v>0</v>
      </c>
      <c r="AA288" s="39">
        <f>+IFERROR((FT_RF_26[[#This Row],[Deforme]]/FT_RF_26[[#This Row],[Muestra]]),"0")</f>
        <v>0</v>
      </c>
      <c r="AB288" s="27"/>
      <c r="AC288" s="38">
        <v>0</v>
      </c>
      <c r="AD288" s="39">
        <f>+IFERROR((FT_RF_26[[#This Row],[Valor Extra 1]]/FT_RF_26[[#This Row],[Muestra]]),"0")</f>
        <v>0</v>
      </c>
      <c r="AF288" s="38">
        <v>0</v>
      </c>
      <c r="AG288" s="39">
        <f>+IFERROR((FT_RF_26[[#This Row],[Valor Extra 2]]/FT_RF_26[[#This Row],[Muestra]]),"0")</f>
        <v>0</v>
      </c>
      <c r="AH288" s="40">
        <v>0</v>
      </c>
      <c r="AI288" s="39">
        <f>+IFERROR((FT_RF_26[[#This Row],[Hongos]]/FT_RF_26[[#This Row],[Muestra]]),"0")</f>
        <v>0</v>
      </c>
      <c r="AJ288" s="38">
        <v>0</v>
      </c>
      <c r="AK288" s="39">
        <f>+IFERROR((FT_RF_26[[#This Row],[Block]]/FT_RF_26[[#This Row],[Muestra]]),"0")</f>
        <v>0</v>
      </c>
      <c r="AL288" s="41">
        <v>0</v>
      </c>
      <c r="AM288" s="42">
        <v>0</v>
      </c>
      <c r="AN288" s="38">
        <v>0</v>
      </c>
      <c r="AO288" s="39">
        <f>+IFERROR((FT_RF_26[[#This Row],[Fuera de calibre &lt;12mm]]/FT_RF_26[[#This Row],[Muestra]]),"0")</f>
        <v>0</v>
      </c>
      <c r="AP288" s="38">
        <v>0</v>
      </c>
      <c r="AQ288" s="39">
        <f>+IFERROR((FT_RF_26[[#This Row],[Calibre &lt;25]]/FT_RF_26[[#This Row],[Muestra]]),"0")</f>
        <v>0</v>
      </c>
      <c r="AR288" s="38">
        <v>0</v>
      </c>
      <c r="AS288" s="39">
        <f>+IFERROR((FT_RF_26[[#This Row],[Calibre &gt;12]]/FT_RF_26[[#This Row],[Muestra]]),"0")</f>
        <v>0</v>
      </c>
      <c r="AT288" s="38">
        <v>0</v>
      </c>
      <c r="AU288" s="39">
        <f>+IFERROR((FT_RF_26[[#This Row],[Calibre &lt;14]]/FT_RF_26[[#This Row],[Muestra]]),"0")</f>
        <v>0</v>
      </c>
      <c r="AV288" s="38">
        <v>0</v>
      </c>
      <c r="AW288" s="39">
        <f>+IFERROR((FT_RF_26[[#This Row],[Calibre &gt;14]]/FT_RF_26[[#This Row],[Muestra]]),"0")</f>
        <v>0</v>
      </c>
      <c r="AX288" s="38">
        <v>0</v>
      </c>
      <c r="AY288" s="39">
        <f>+IFERROR((FT_RF_26[[#This Row],[Calibre &lt;10]]/FT_RF_26[[#This Row],[Muestra]]),"0")</f>
        <v>0</v>
      </c>
      <c r="AZ288" s="38">
        <v>0</v>
      </c>
      <c r="BA288" s="39">
        <f>+IFERROR((FT_RF_26[[#This Row],[Calibre &gt;13]]/FT_RF_26[[#This Row],[Muestra]]),"0")</f>
        <v>0</v>
      </c>
      <c r="BB288" s="41"/>
      <c r="BG288" s="42"/>
      <c r="BH288" s="43">
        <v>0</v>
      </c>
      <c r="BI288" s="29" t="s">
        <v>894</v>
      </c>
      <c r="BJ288" s="29" t="s">
        <v>894</v>
      </c>
      <c r="BK28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8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88" s="45">
        <f>1-FT_RF_26[[#This Row],[% Defectos]]</f>
        <v>1</v>
      </c>
      <c r="BO288" s="60"/>
      <c r="BP288" s="12">
        <f>SUM(FT_RF_26[[#This Row],[Hoja (Un.)]:[Larvas Caja]])</f>
        <v>0</v>
      </c>
      <c r="BQ288" s="12">
        <f>SUM(FT_RF_26[[#This Row],[Vidrios]:[Plástico]])</f>
        <v>0</v>
      </c>
      <c r="BR288" s="12" t="str">
        <f>IF(ISBLANK(FT_RF_26[[#This Row],[Descripción del producto]]),"",FT_RF_26[[#This Row],[Descripción del producto]])</f>
        <v/>
      </c>
      <c r="BS288" s="29" t="str">
        <f>IF(ISBLANK(FT_RF_26[[#This Row],[N° de Lote]]),"",FT_RF_26[[#This Row],[N° de Lote]])</f>
        <v/>
      </c>
      <c r="BT288" s="29" t="str">
        <f>IF(ISBLANK(FT_RF_26[[#This Row],[N° de Pallet]]),"",FT_RF_26[[#This Row],[N° de Pallet]])</f>
        <v/>
      </c>
    </row>
    <row r="289" spans="2:72">
      <c r="B289" s="29">
        <f>+_xlfn.ISOWEEKNUM(FT_RF_26[[#This Row],[Fecha]])</f>
        <v>52</v>
      </c>
      <c r="E289" s="31"/>
      <c r="F289" s="12" t="str">
        <f>IFERROR(""&amp;_xlfn.XLOOKUP(FT_RF_26[[#This Row],[Código]],BD_Cod[SKU],BD_Cod[Descripción]),"")</f>
        <v/>
      </c>
      <c r="G289" s="32" t="str">
        <f>IFERROR(""&amp;_xlfn.XLOOKUP(FT_RF_26[[#This Row],[Código]],BD_Cod[SKU],BD_Cod[Familia Calidad]),"")</f>
        <v/>
      </c>
      <c r="J289" s="33">
        <v>1000</v>
      </c>
      <c r="L289" s="30" t="s">
        <v>244</v>
      </c>
      <c r="O289" s="30" t="s">
        <v>894</v>
      </c>
      <c r="P289" s="29" t="s">
        <v>894</v>
      </c>
      <c r="Q289" s="37">
        <f>1-FT_RF_26[[#This Row],[% Defectos]]</f>
        <v>1</v>
      </c>
      <c r="R289" s="38">
        <v>0</v>
      </c>
      <c r="S289" s="39">
        <f>+IFERROR((FT_RF_26[[#This Row],[Inmadura]]/FT_RF_26[[#This Row],[Muestra]]),"0")</f>
        <v>0</v>
      </c>
      <c r="T289" s="38">
        <v>0</v>
      </c>
      <c r="U289" s="39">
        <f>+IFERROR((FT_RF_26[[#This Row],[Partidas]]/FT_RF_26[[#This Row],[Muestra]]),"0")</f>
        <v>0</v>
      </c>
      <c r="V289" s="38">
        <v>0</v>
      </c>
      <c r="W289" s="39">
        <f>+IFERROR((FT_RF_26[[#This Row],[Daño Insecto]]/FT_RF_26[[#This Row],[Muestra]]),"0")</f>
        <v>0</v>
      </c>
      <c r="X289" s="38">
        <v>0</v>
      </c>
      <c r="Y289" s="39">
        <f>+IFERROR((FT_RF_26[[#This Row],[Sobremadura]]/FT_RF_26[[#This Row],[Muestra]]),"0")</f>
        <v>0</v>
      </c>
      <c r="Z289" s="38">
        <v>0</v>
      </c>
      <c r="AA289" s="39">
        <f>+IFERROR((FT_RF_26[[#This Row],[Deforme]]/FT_RF_26[[#This Row],[Muestra]]),"0")</f>
        <v>0</v>
      </c>
      <c r="AB289" s="27"/>
      <c r="AC289" s="38">
        <v>0</v>
      </c>
      <c r="AD289" s="39">
        <f>+IFERROR((FT_RF_26[[#This Row],[Valor Extra 1]]/FT_RF_26[[#This Row],[Muestra]]),"0")</f>
        <v>0</v>
      </c>
      <c r="AF289" s="38">
        <v>0</v>
      </c>
      <c r="AG289" s="39">
        <f>+IFERROR((FT_RF_26[[#This Row],[Valor Extra 2]]/FT_RF_26[[#This Row],[Muestra]]),"0")</f>
        <v>0</v>
      </c>
      <c r="AH289" s="40">
        <v>0</v>
      </c>
      <c r="AI289" s="39">
        <f>+IFERROR((FT_RF_26[[#This Row],[Hongos]]/FT_RF_26[[#This Row],[Muestra]]),"0")</f>
        <v>0</v>
      </c>
      <c r="AJ289" s="38">
        <v>0</v>
      </c>
      <c r="AK289" s="39">
        <f>+IFERROR((FT_RF_26[[#This Row],[Block]]/FT_RF_26[[#This Row],[Muestra]]),"0")</f>
        <v>0</v>
      </c>
      <c r="AL289" s="41">
        <v>0</v>
      </c>
      <c r="AM289" s="42">
        <v>0</v>
      </c>
      <c r="AN289" s="38">
        <v>0</v>
      </c>
      <c r="AO289" s="39">
        <f>+IFERROR((FT_RF_26[[#This Row],[Fuera de calibre &lt;12mm]]/FT_RF_26[[#This Row],[Muestra]]),"0")</f>
        <v>0</v>
      </c>
      <c r="AP289" s="38">
        <v>0</v>
      </c>
      <c r="AQ289" s="39">
        <f>+IFERROR((FT_RF_26[[#This Row],[Calibre &lt;25]]/FT_RF_26[[#This Row],[Muestra]]),"0")</f>
        <v>0</v>
      </c>
      <c r="AR289" s="38">
        <v>0</v>
      </c>
      <c r="AS289" s="39">
        <f>+IFERROR((FT_RF_26[[#This Row],[Calibre &gt;12]]/FT_RF_26[[#This Row],[Muestra]]),"0")</f>
        <v>0</v>
      </c>
      <c r="AT289" s="38">
        <v>0</v>
      </c>
      <c r="AU289" s="39">
        <f>+IFERROR((FT_RF_26[[#This Row],[Calibre &lt;14]]/FT_RF_26[[#This Row],[Muestra]]),"0")</f>
        <v>0</v>
      </c>
      <c r="AV289" s="38">
        <v>0</v>
      </c>
      <c r="AW289" s="39">
        <f>+IFERROR((FT_RF_26[[#This Row],[Calibre &gt;14]]/FT_RF_26[[#This Row],[Muestra]]),"0")</f>
        <v>0</v>
      </c>
      <c r="AX289" s="38">
        <v>0</v>
      </c>
      <c r="AY289" s="39">
        <f>+IFERROR((FT_RF_26[[#This Row],[Calibre &lt;10]]/FT_RF_26[[#This Row],[Muestra]]),"0")</f>
        <v>0</v>
      </c>
      <c r="AZ289" s="38">
        <v>0</v>
      </c>
      <c r="BA289" s="39">
        <f>+IFERROR((FT_RF_26[[#This Row],[Calibre &gt;13]]/FT_RF_26[[#This Row],[Muestra]]),"0")</f>
        <v>0</v>
      </c>
      <c r="BB289" s="41"/>
      <c r="BG289" s="42"/>
      <c r="BH289" s="43">
        <v>0</v>
      </c>
      <c r="BI289" s="29" t="s">
        <v>894</v>
      </c>
      <c r="BJ289" s="29" t="s">
        <v>894</v>
      </c>
      <c r="BK28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8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89" s="45">
        <f>1-FT_RF_26[[#This Row],[% Defectos]]</f>
        <v>1</v>
      </c>
      <c r="BO289" s="60"/>
      <c r="BP289" s="12">
        <f>SUM(FT_RF_26[[#This Row],[Hoja (Un.)]:[Larvas Caja]])</f>
        <v>0</v>
      </c>
      <c r="BQ289" s="12">
        <f>SUM(FT_RF_26[[#This Row],[Vidrios]:[Plástico]])</f>
        <v>0</v>
      </c>
      <c r="BR289" s="12" t="str">
        <f>IF(ISBLANK(FT_RF_26[[#This Row],[Descripción del producto]]),"",FT_RF_26[[#This Row],[Descripción del producto]])</f>
        <v/>
      </c>
      <c r="BS289" s="29" t="str">
        <f>IF(ISBLANK(FT_RF_26[[#This Row],[N° de Lote]]),"",FT_RF_26[[#This Row],[N° de Lote]])</f>
        <v/>
      </c>
      <c r="BT289" s="29" t="str">
        <f>IF(ISBLANK(FT_RF_26[[#This Row],[N° de Pallet]]),"",FT_RF_26[[#This Row],[N° de Pallet]])</f>
        <v/>
      </c>
    </row>
    <row r="290" spans="2:72">
      <c r="B290" s="29">
        <f>+_xlfn.ISOWEEKNUM(FT_RF_26[[#This Row],[Fecha]])</f>
        <v>52</v>
      </c>
      <c r="E290" s="31"/>
      <c r="F290" s="12" t="str">
        <f>IFERROR(""&amp;_xlfn.XLOOKUP(FT_RF_26[[#This Row],[Código]],BD_Cod[SKU],BD_Cod[Descripción]),"")</f>
        <v/>
      </c>
      <c r="G290" s="32" t="str">
        <f>IFERROR(""&amp;_xlfn.XLOOKUP(FT_RF_26[[#This Row],[Código]],BD_Cod[SKU],BD_Cod[Familia Calidad]),"")</f>
        <v/>
      </c>
      <c r="J290" s="33">
        <v>1000</v>
      </c>
      <c r="L290" s="30" t="s">
        <v>244</v>
      </c>
      <c r="O290" s="30" t="s">
        <v>894</v>
      </c>
      <c r="P290" s="29" t="s">
        <v>894</v>
      </c>
      <c r="Q290" s="37">
        <f>1-FT_RF_26[[#This Row],[% Defectos]]</f>
        <v>1</v>
      </c>
      <c r="R290" s="38">
        <v>0</v>
      </c>
      <c r="S290" s="39">
        <f>+IFERROR((FT_RF_26[[#This Row],[Inmadura]]/FT_RF_26[[#This Row],[Muestra]]),"0")</f>
        <v>0</v>
      </c>
      <c r="T290" s="38">
        <v>0</v>
      </c>
      <c r="U290" s="39">
        <f>+IFERROR((FT_RF_26[[#This Row],[Partidas]]/FT_RF_26[[#This Row],[Muestra]]),"0")</f>
        <v>0</v>
      </c>
      <c r="V290" s="38">
        <v>0</v>
      </c>
      <c r="W290" s="39">
        <f>+IFERROR((FT_RF_26[[#This Row],[Daño Insecto]]/FT_RF_26[[#This Row],[Muestra]]),"0")</f>
        <v>0</v>
      </c>
      <c r="X290" s="38">
        <v>0</v>
      </c>
      <c r="Y290" s="39">
        <f>+IFERROR((FT_RF_26[[#This Row],[Sobremadura]]/FT_RF_26[[#This Row],[Muestra]]),"0")</f>
        <v>0</v>
      </c>
      <c r="Z290" s="38">
        <v>0</v>
      </c>
      <c r="AA290" s="39">
        <f>+IFERROR((FT_RF_26[[#This Row],[Deforme]]/FT_RF_26[[#This Row],[Muestra]]),"0")</f>
        <v>0</v>
      </c>
      <c r="AB290" s="27"/>
      <c r="AC290" s="38">
        <v>0</v>
      </c>
      <c r="AD290" s="39">
        <f>+IFERROR((FT_RF_26[[#This Row],[Valor Extra 1]]/FT_RF_26[[#This Row],[Muestra]]),"0")</f>
        <v>0</v>
      </c>
      <c r="AF290" s="38">
        <v>0</v>
      </c>
      <c r="AG290" s="39">
        <f>+IFERROR((FT_RF_26[[#This Row],[Valor Extra 2]]/FT_RF_26[[#This Row],[Muestra]]),"0")</f>
        <v>0</v>
      </c>
      <c r="AH290" s="40">
        <v>0</v>
      </c>
      <c r="AI290" s="39">
        <f>+IFERROR((FT_RF_26[[#This Row],[Hongos]]/FT_RF_26[[#This Row],[Muestra]]),"0")</f>
        <v>0</v>
      </c>
      <c r="AJ290" s="38">
        <v>0</v>
      </c>
      <c r="AK290" s="39">
        <f>+IFERROR((FT_RF_26[[#This Row],[Block]]/FT_RF_26[[#This Row],[Muestra]]),"0")</f>
        <v>0</v>
      </c>
      <c r="AL290" s="41">
        <v>0</v>
      </c>
      <c r="AM290" s="42">
        <v>0</v>
      </c>
      <c r="AN290" s="38">
        <v>0</v>
      </c>
      <c r="AO290" s="39">
        <f>+IFERROR((FT_RF_26[[#This Row],[Fuera de calibre &lt;12mm]]/FT_RF_26[[#This Row],[Muestra]]),"0")</f>
        <v>0</v>
      </c>
      <c r="AP290" s="38">
        <v>0</v>
      </c>
      <c r="AQ290" s="39">
        <f>+IFERROR((FT_RF_26[[#This Row],[Calibre &lt;25]]/FT_RF_26[[#This Row],[Muestra]]),"0")</f>
        <v>0</v>
      </c>
      <c r="AR290" s="38">
        <v>0</v>
      </c>
      <c r="AS290" s="39">
        <f>+IFERROR((FT_RF_26[[#This Row],[Calibre &gt;12]]/FT_RF_26[[#This Row],[Muestra]]),"0")</f>
        <v>0</v>
      </c>
      <c r="AT290" s="38">
        <v>0</v>
      </c>
      <c r="AU290" s="39">
        <f>+IFERROR((FT_RF_26[[#This Row],[Calibre &lt;14]]/FT_RF_26[[#This Row],[Muestra]]),"0")</f>
        <v>0</v>
      </c>
      <c r="AV290" s="38">
        <v>0</v>
      </c>
      <c r="AW290" s="39">
        <f>+IFERROR((FT_RF_26[[#This Row],[Calibre &gt;14]]/FT_RF_26[[#This Row],[Muestra]]),"0")</f>
        <v>0</v>
      </c>
      <c r="AX290" s="38">
        <v>0</v>
      </c>
      <c r="AY290" s="39">
        <f>+IFERROR((FT_RF_26[[#This Row],[Calibre &lt;10]]/FT_RF_26[[#This Row],[Muestra]]),"0")</f>
        <v>0</v>
      </c>
      <c r="AZ290" s="38">
        <v>0</v>
      </c>
      <c r="BA290" s="39">
        <f>+IFERROR((FT_RF_26[[#This Row],[Calibre &gt;13]]/FT_RF_26[[#This Row],[Muestra]]),"0")</f>
        <v>0</v>
      </c>
      <c r="BB290" s="41"/>
      <c r="BG290" s="42"/>
      <c r="BH290" s="43">
        <v>0</v>
      </c>
      <c r="BI290" s="29" t="s">
        <v>894</v>
      </c>
      <c r="BJ290" s="29" t="s">
        <v>894</v>
      </c>
      <c r="BK29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9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90" s="45">
        <f>1-FT_RF_26[[#This Row],[% Defectos]]</f>
        <v>1</v>
      </c>
      <c r="BO290" s="60"/>
      <c r="BP290" s="12">
        <f>SUM(FT_RF_26[[#This Row],[Hoja (Un.)]:[Larvas Caja]])</f>
        <v>0</v>
      </c>
      <c r="BQ290" s="12">
        <f>SUM(FT_RF_26[[#This Row],[Vidrios]:[Plástico]])</f>
        <v>0</v>
      </c>
      <c r="BR290" s="12" t="str">
        <f>IF(ISBLANK(FT_RF_26[[#This Row],[Descripción del producto]]),"",FT_RF_26[[#This Row],[Descripción del producto]])</f>
        <v/>
      </c>
      <c r="BS290" s="29" t="str">
        <f>IF(ISBLANK(FT_RF_26[[#This Row],[N° de Lote]]),"",FT_RF_26[[#This Row],[N° de Lote]])</f>
        <v/>
      </c>
      <c r="BT290" s="29" t="str">
        <f>IF(ISBLANK(FT_RF_26[[#This Row],[N° de Pallet]]),"",FT_RF_26[[#This Row],[N° de Pallet]])</f>
        <v/>
      </c>
    </row>
    <row r="291" spans="2:72">
      <c r="B291" s="29">
        <f>+_xlfn.ISOWEEKNUM(FT_RF_26[[#This Row],[Fecha]])</f>
        <v>52</v>
      </c>
      <c r="E291" s="31"/>
      <c r="F291" s="12" t="str">
        <f>IFERROR(""&amp;_xlfn.XLOOKUP(FT_RF_26[[#This Row],[Código]],BD_Cod[SKU],BD_Cod[Descripción]),"")</f>
        <v/>
      </c>
      <c r="G291" s="32" t="str">
        <f>IFERROR(""&amp;_xlfn.XLOOKUP(FT_RF_26[[#This Row],[Código]],BD_Cod[SKU],BD_Cod[Familia Calidad]),"")</f>
        <v/>
      </c>
      <c r="J291" s="33">
        <v>1000</v>
      </c>
      <c r="L291" s="30" t="s">
        <v>244</v>
      </c>
      <c r="O291" s="30" t="s">
        <v>894</v>
      </c>
      <c r="P291" s="29" t="s">
        <v>894</v>
      </c>
      <c r="Q291" s="37">
        <f>1-FT_RF_26[[#This Row],[% Defectos]]</f>
        <v>1</v>
      </c>
      <c r="R291" s="38">
        <v>0</v>
      </c>
      <c r="S291" s="39">
        <f>+IFERROR((FT_RF_26[[#This Row],[Inmadura]]/FT_RF_26[[#This Row],[Muestra]]),"0")</f>
        <v>0</v>
      </c>
      <c r="T291" s="38">
        <v>0</v>
      </c>
      <c r="U291" s="39">
        <f>+IFERROR((FT_RF_26[[#This Row],[Partidas]]/FT_RF_26[[#This Row],[Muestra]]),"0")</f>
        <v>0</v>
      </c>
      <c r="V291" s="38">
        <v>0</v>
      </c>
      <c r="W291" s="39">
        <f>+IFERROR((FT_RF_26[[#This Row],[Daño Insecto]]/FT_RF_26[[#This Row],[Muestra]]),"0")</f>
        <v>0</v>
      </c>
      <c r="X291" s="38">
        <v>0</v>
      </c>
      <c r="Y291" s="39">
        <f>+IFERROR((FT_RF_26[[#This Row],[Sobremadura]]/FT_RF_26[[#This Row],[Muestra]]),"0")</f>
        <v>0</v>
      </c>
      <c r="Z291" s="38">
        <v>0</v>
      </c>
      <c r="AA291" s="39">
        <f>+IFERROR((FT_RF_26[[#This Row],[Deforme]]/FT_RF_26[[#This Row],[Muestra]]),"0")</f>
        <v>0</v>
      </c>
      <c r="AB291" s="27"/>
      <c r="AC291" s="38">
        <v>0</v>
      </c>
      <c r="AD291" s="39">
        <f>+IFERROR((FT_RF_26[[#This Row],[Valor Extra 1]]/FT_RF_26[[#This Row],[Muestra]]),"0")</f>
        <v>0</v>
      </c>
      <c r="AF291" s="38">
        <v>0</v>
      </c>
      <c r="AG291" s="39">
        <f>+IFERROR((FT_RF_26[[#This Row],[Valor Extra 2]]/FT_RF_26[[#This Row],[Muestra]]),"0")</f>
        <v>0</v>
      </c>
      <c r="AH291" s="40">
        <v>0</v>
      </c>
      <c r="AI291" s="39">
        <f>+IFERROR((FT_RF_26[[#This Row],[Hongos]]/FT_RF_26[[#This Row],[Muestra]]),"0")</f>
        <v>0</v>
      </c>
      <c r="AJ291" s="38">
        <v>0</v>
      </c>
      <c r="AK291" s="39">
        <f>+IFERROR((FT_RF_26[[#This Row],[Block]]/FT_RF_26[[#This Row],[Muestra]]),"0")</f>
        <v>0</v>
      </c>
      <c r="AL291" s="41">
        <v>0</v>
      </c>
      <c r="AM291" s="42">
        <v>0</v>
      </c>
      <c r="AN291" s="38">
        <v>0</v>
      </c>
      <c r="AO291" s="39">
        <f>+IFERROR((FT_RF_26[[#This Row],[Fuera de calibre &lt;12mm]]/FT_RF_26[[#This Row],[Muestra]]),"0")</f>
        <v>0</v>
      </c>
      <c r="AP291" s="38">
        <v>0</v>
      </c>
      <c r="AQ291" s="39">
        <f>+IFERROR((FT_RF_26[[#This Row],[Calibre &lt;25]]/FT_RF_26[[#This Row],[Muestra]]),"0")</f>
        <v>0</v>
      </c>
      <c r="AR291" s="38">
        <v>0</v>
      </c>
      <c r="AS291" s="39">
        <f>+IFERROR((FT_RF_26[[#This Row],[Calibre &gt;12]]/FT_RF_26[[#This Row],[Muestra]]),"0")</f>
        <v>0</v>
      </c>
      <c r="AT291" s="38">
        <v>0</v>
      </c>
      <c r="AU291" s="39">
        <f>+IFERROR((FT_RF_26[[#This Row],[Calibre &lt;14]]/FT_RF_26[[#This Row],[Muestra]]),"0")</f>
        <v>0</v>
      </c>
      <c r="AV291" s="38">
        <v>0</v>
      </c>
      <c r="AW291" s="39">
        <f>+IFERROR((FT_RF_26[[#This Row],[Calibre &gt;14]]/FT_RF_26[[#This Row],[Muestra]]),"0")</f>
        <v>0</v>
      </c>
      <c r="AX291" s="38">
        <v>0</v>
      </c>
      <c r="AY291" s="39">
        <f>+IFERROR((FT_RF_26[[#This Row],[Calibre &lt;10]]/FT_RF_26[[#This Row],[Muestra]]),"0")</f>
        <v>0</v>
      </c>
      <c r="AZ291" s="38">
        <v>0</v>
      </c>
      <c r="BA291" s="39">
        <f>+IFERROR((FT_RF_26[[#This Row],[Calibre &gt;13]]/FT_RF_26[[#This Row],[Muestra]]),"0")</f>
        <v>0</v>
      </c>
      <c r="BB291" s="41"/>
      <c r="BG291" s="42"/>
      <c r="BH291" s="43">
        <v>0</v>
      </c>
      <c r="BI291" s="29" t="s">
        <v>894</v>
      </c>
      <c r="BJ291" s="29" t="s">
        <v>894</v>
      </c>
      <c r="BK29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9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91" s="45">
        <f>1-FT_RF_26[[#This Row],[% Defectos]]</f>
        <v>1</v>
      </c>
      <c r="BO291" s="60"/>
      <c r="BP291" s="12">
        <f>SUM(FT_RF_26[[#This Row],[Hoja (Un.)]:[Larvas Caja]])</f>
        <v>0</v>
      </c>
      <c r="BQ291" s="12">
        <f>SUM(FT_RF_26[[#This Row],[Vidrios]:[Plástico]])</f>
        <v>0</v>
      </c>
      <c r="BR291" s="12" t="str">
        <f>IF(ISBLANK(FT_RF_26[[#This Row],[Descripción del producto]]),"",FT_RF_26[[#This Row],[Descripción del producto]])</f>
        <v/>
      </c>
      <c r="BS291" s="29" t="str">
        <f>IF(ISBLANK(FT_RF_26[[#This Row],[N° de Lote]]),"",FT_RF_26[[#This Row],[N° de Lote]])</f>
        <v/>
      </c>
      <c r="BT291" s="29" t="str">
        <f>IF(ISBLANK(FT_RF_26[[#This Row],[N° de Pallet]]),"",FT_RF_26[[#This Row],[N° de Pallet]])</f>
        <v/>
      </c>
    </row>
    <row r="292" spans="2:72">
      <c r="B292" s="29">
        <f>+_xlfn.ISOWEEKNUM(FT_RF_26[[#This Row],[Fecha]])</f>
        <v>52</v>
      </c>
      <c r="E292" s="31"/>
      <c r="F292" s="12" t="str">
        <f>IFERROR(""&amp;_xlfn.XLOOKUP(FT_RF_26[[#This Row],[Código]],BD_Cod[SKU],BD_Cod[Descripción]),"")</f>
        <v/>
      </c>
      <c r="G292" s="32" t="str">
        <f>IFERROR(""&amp;_xlfn.XLOOKUP(FT_RF_26[[#This Row],[Código]],BD_Cod[SKU],BD_Cod[Familia Calidad]),"")</f>
        <v/>
      </c>
      <c r="J292" s="33">
        <v>1000</v>
      </c>
      <c r="L292" s="30" t="s">
        <v>244</v>
      </c>
      <c r="O292" s="30" t="s">
        <v>894</v>
      </c>
      <c r="P292" s="29" t="s">
        <v>894</v>
      </c>
      <c r="Q292" s="37">
        <f>1-FT_RF_26[[#This Row],[% Defectos]]</f>
        <v>1</v>
      </c>
      <c r="R292" s="38">
        <v>0</v>
      </c>
      <c r="S292" s="39">
        <f>+IFERROR((FT_RF_26[[#This Row],[Inmadura]]/FT_RF_26[[#This Row],[Muestra]]),"0")</f>
        <v>0</v>
      </c>
      <c r="T292" s="38">
        <v>0</v>
      </c>
      <c r="U292" s="39">
        <f>+IFERROR((FT_RF_26[[#This Row],[Partidas]]/FT_RF_26[[#This Row],[Muestra]]),"0")</f>
        <v>0</v>
      </c>
      <c r="V292" s="38">
        <v>0</v>
      </c>
      <c r="W292" s="39">
        <f>+IFERROR((FT_RF_26[[#This Row],[Daño Insecto]]/FT_RF_26[[#This Row],[Muestra]]),"0")</f>
        <v>0</v>
      </c>
      <c r="X292" s="38">
        <v>0</v>
      </c>
      <c r="Y292" s="39">
        <f>+IFERROR((FT_RF_26[[#This Row],[Sobremadura]]/FT_RF_26[[#This Row],[Muestra]]),"0")</f>
        <v>0</v>
      </c>
      <c r="Z292" s="38">
        <v>0</v>
      </c>
      <c r="AA292" s="39">
        <f>+IFERROR((FT_RF_26[[#This Row],[Deforme]]/FT_RF_26[[#This Row],[Muestra]]),"0")</f>
        <v>0</v>
      </c>
      <c r="AB292" s="27"/>
      <c r="AC292" s="38">
        <v>0</v>
      </c>
      <c r="AD292" s="39">
        <f>+IFERROR((FT_RF_26[[#This Row],[Valor Extra 1]]/FT_RF_26[[#This Row],[Muestra]]),"0")</f>
        <v>0</v>
      </c>
      <c r="AF292" s="38">
        <v>0</v>
      </c>
      <c r="AG292" s="39">
        <f>+IFERROR((FT_RF_26[[#This Row],[Valor Extra 2]]/FT_RF_26[[#This Row],[Muestra]]),"0")</f>
        <v>0</v>
      </c>
      <c r="AH292" s="40">
        <v>0</v>
      </c>
      <c r="AI292" s="39">
        <f>+IFERROR((FT_RF_26[[#This Row],[Hongos]]/FT_RF_26[[#This Row],[Muestra]]),"0")</f>
        <v>0</v>
      </c>
      <c r="AJ292" s="38">
        <v>0</v>
      </c>
      <c r="AK292" s="39">
        <f>+IFERROR((FT_RF_26[[#This Row],[Block]]/FT_RF_26[[#This Row],[Muestra]]),"0")</f>
        <v>0</v>
      </c>
      <c r="AL292" s="41">
        <v>0</v>
      </c>
      <c r="AM292" s="42">
        <v>0</v>
      </c>
      <c r="AN292" s="38">
        <v>0</v>
      </c>
      <c r="AO292" s="39">
        <f>+IFERROR((FT_RF_26[[#This Row],[Fuera de calibre &lt;12mm]]/FT_RF_26[[#This Row],[Muestra]]),"0")</f>
        <v>0</v>
      </c>
      <c r="AP292" s="38">
        <v>0</v>
      </c>
      <c r="AQ292" s="39">
        <f>+IFERROR((FT_RF_26[[#This Row],[Calibre &lt;25]]/FT_RF_26[[#This Row],[Muestra]]),"0")</f>
        <v>0</v>
      </c>
      <c r="AR292" s="38">
        <v>0</v>
      </c>
      <c r="AS292" s="39">
        <f>+IFERROR((FT_RF_26[[#This Row],[Calibre &gt;12]]/FT_RF_26[[#This Row],[Muestra]]),"0")</f>
        <v>0</v>
      </c>
      <c r="AT292" s="38">
        <v>0</v>
      </c>
      <c r="AU292" s="39">
        <f>+IFERROR((FT_RF_26[[#This Row],[Calibre &lt;14]]/FT_RF_26[[#This Row],[Muestra]]),"0")</f>
        <v>0</v>
      </c>
      <c r="AV292" s="38">
        <v>0</v>
      </c>
      <c r="AW292" s="39">
        <f>+IFERROR((FT_RF_26[[#This Row],[Calibre &gt;14]]/FT_RF_26[[#This Row],[Muestra]]),"0")</f>
        <v>0</v>
      </c>
      <c r="AX292" s="38">
        <v>0</v>
      </c>
      <c r="AY292" s="39">
        <f>+IFERROR((FT_RF_26[[#This Row],[Calibre &lt;10]]/FT_RF_26[[#This Row],[Muestra]]),"0")</f>
        <v>0</v>
      </c>
      <c r="AZ292" s="38">
        <v>0</v>
      </c>
      <c r="BA292" s="39">
        <f>+IFERROR((FT_RF_26[[#This Row],[Calibre &gt;13]]/FT_RF_26[[#This Row],[Muestra]]),"0")</f>
        <v>0</v>
      </c>
      <c r="BB292" s="41"/>
      <c r="BG292" s="42"/>
      <c r="BH292" s="43">
        <v>0</v>
      </c>
      <c r="BI292" s="29" t="s">
        <v>894</v>
      </c>
      <c r="BJ292" s="29" t="s">
        <v>894</v>
      </c>
      <c r="BK29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9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92" s="45">
        <f>1-FT_RF_26[[#This Row],[% Defectos]]</f>
        <v>1</v>
      </c>
      <c r="BO292" s="60"/>
      <c r="BP292" s="12">
        <f>SUM(FT_RF_26[[#This Row],[Hoja (Un.)]:[Larvas Caja]])</f>
        <v>0</v>
      </c>
      <c r="BQ292" s="12">
        <f>SUM(FT_RF_26[[#This Row],[Vidrios]:[Plástico]])</f>
        <v>0</v>
      </c>
      <c r="BR292" s="12" t="str">
        <f>IF(ISBLANK(FT_RF_26[[#This Row],[Descripción del producto]]),"",FT_RF_26[[#This Row],[Descripción del producto]])</f>
        <v/>
      </c>
      <c r="BS292" s="29" t="str">
        <f>IF(ISBLANK(FT_RF_26[[#This Row],[N° de Lote]]),"",FT_RF_26[[#This Row],[N° de Lote]])</f>
        <v/>
      </c>
      <c r="BT292" s="29" t="str">
        <f>IF(ISBLANK(FT_RF_26[[#This Row],[N° de Pallet]]),"",FT_RF_26[[#This Row],[N° de Pallet]])</f>
        <v/>
      </c>
    </row>
    <row r="293" spans="2:72">
      <c r="B293" s="29">
        <f>+_xlfn.ISOWEEKNUM(FT_RF_26[[#This Row],[Fecha]])</f>
        <v>52</v>
      </c>
      <c r="E293" s="31"/>
      <c r="F293" s="12" t="str">
        <f>IFERROR(""&amp;_xlfn.XLOOKUP(FT_RF_26[[#This Row],[Código]],BD_Cod[SKU],BD_Cod[Descripción]),"")</f>
        <v/>
      </c>
      <c r="G293" s="32" t="str">
        <f>IFERROR(""&amp;_xlfn.XLOOKUP(FT_RF_26[[#This Row],[Código]],BD_Cod[SKU],BD_Cod[Familia Calidad]),"")</f>
        <v/>
      </c>
      <c r="J293" s="33">
        <v>1000</v>
      </c>
      <c r="L293" s="30" t="s">
        <v>244</v>
      </c>
      <c r="O293" s="30" t="s">
        <v>894</v>
      </c>
      <c r="P293" s="29" t="s">
        <v>894</v>
      </c>
      <c r="Q293" s="37">
        <f>1-FT_RF_26[[#This Row],[% Defectos]]</f>
        <v>1</v>
      </c>
      <c r="R293" s="38">
        <v>0</v>
      </c>
      <c r="S293" s="39">
        <f>+IFERROR((FT_RF_26[[#This Row],[Inmadura]]/FT_RF_26[[#This Row],[Muestra]]),"0")</f>
        <v>0</v>
      </c>
      <c r="T293" s="38">
        <v>0</v>
      </c>
      <c r="U293" s="39">
        <f>+IFERROR((FT_RF_26[[#This Row],[Partidas]]/FT_RF_26[[#This Row],[Muestra]]),"0")</f>
        <v>0</v>
      </c>
      <c r="V293" s="38">
        <v>0</v>
      </c>
      <c r="W293" s="39">
        <f>+IFERROR((FT_RF_26[[#This Row],[Daño Insecto]]/FT_RF_26[[#This Row],[Muestra]]),"0")</f>
        <v>0</v>
      </c>
      <c r="X293" s="38">
        <v>0</v>
      </c>
      <c r="Y293" s="39">
        <f>+IFERROR((FT_RF_26[[#This Row],[Sobremadura]]/FT_RF_26[[#This Row],[Muestra]]),"0")</f>
        <v>0</v>
      </c>
      <c r="Z293" s="38">
        <v>0</v>
      </c>
      <c r="AA293" s="39">
        <f>+IFERROR((FT_RF_26[[#This Row],[Deforme]]/FT_RF_26[[#This Row],[Muestra]]),"0")</f>
        <v>0</v>
      </c>
      <c r="AB293" s="27"/>
      <c r="AC293" s="38">
        <v>0</v>
      </c>
      <c r="AD293" s="39">
        <f>+IFERROR((FT_RF_26[[#This Row],[Valor Extra 1]]/FT_RF_26[[#This Row],[Muestra]]),"0")</f>
        <v>0</v>
      </c>
      <c r="AF293" s="38">
        <v>0</v>
      </c>
      <c r="AG293" s="39">
        <f>+IFERROR((FT_RF_26[[#This Row],[Valor Extra 2]]/FT_RF_26[[#This Row],[Muestra]]),"0")</f>
        <v>0</v>
      </c>
      <c r="AH293" s="40">
        <v>0</v>
      </c>
      <c r="AI293" s="39">
        <f>+IFERROR((FT_RF_26[[#This Row],[Hongos]]/FT_RF_26[[#This Row],[Muestra]]),"0")</f>
        <v>0</v>
      </c>
      <c r="AJ293" s="38">
        <v>0</v>
      </c>
      <c r="AK293" s="39">
        <f>+IFERROR((FT_RF_26[[#This Row],[Block]]/FT_RF_26[[#This Row],[Muestra]]),"0")</f>
        <v>0</v>
      </c>
      <c r="AL293" s="41">
        <v>0</v>
      </c>
      <c r="AM293" s="42">
        <v>0</v>
      </c>
      <c r="AN293" s="38">
        <v>0</v>
      </c>
      <c r="AO293" s="39">
        <f>+IFERROR((FT_RF_26[[#This Row],[Fuera de calibre &lt;12mm]]/FT_RF_26[[#This Row],[Muestra]]),"0")</f>
        <v>0</v>
      </c>
      <c r="AP293" s="38">
        <v>0</v>
      </c>
      <c r="AQ293" s="39">
        <f>+IFERROR((FT_RF_26[[#This Row],[Calibre &lt;25]]/FT_RF_26[[#This Row],[Muestra]]),"0")</f>
        <v>0</v>
      </c>
      <c r="AR293" s="38">
        <v>0</v>
      </c>
      <c r="AS293" s="39">
        <f>+IFERROR((FT_RF_26[[#This Row],[Calibre &gt;12]]/FT_RF_26[[#This Row],[Muestra]]),"0")</f>
        <v>0</v>
      </c>
      <c r="AT293" s="38">
        <v>0</v>
      </c>
      <c r="AU293" s="39">
        <f>+IFERROR((FT_RF_26[[#This Row],[Calibre &lt;14]]/FT_RF_26[[#This Row],[Muestra]]),"0")</f>
        <v>0</v>
      </c>
      <c r="AV293" s="38">
        <v>0</v>
      </c>
      <c r="AW293" s="39">
        <f>+IFERROR((FT_RF_26[[#This Row],[Calibre &gt;14]]/FT_RF_26[[#This Row],[Muestra]]),"0")</f>
        <v>0</v>
      </c>
      <c r="AX293" s="38">
        <v>0</v>
      </c>
      <c r="AY293" s="39">
        <f>+IFERROR((FT_RF_26[[#This Row],[Calibre &lt;10]]/FT_RF_26[[#This Row],[Muestra]]),"0")</f>
        <v>0</v>
      </c>
      <c r="AZ293" s="38">
        <v>0</v>
      </c>
      <c r="BA293" s="39">
        <f>+IFERROR((FT_RF_26[[#This Row],[Calibre &gt;13]]/FT_RF_26[[#This Row],[Muestra]]),"0")</f>
        <v>0</v>
      </c>
      <c r="BB293" s="41"/>
      <c r="BG293" s="42"/>
      <c r="BH293" s="43">
        <v>0</v>
      </c>
      <c r="BI293" s="29" t="s">
        <v>894</v>
      </c>
      <c r="BJ293" s="29" t="s">
        <v>894</v>
      </c>
      <c r="BK29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9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93" s="45">
        <f>1-FT_RF_26[[#This Row],[% Defectos]]</f>
        <v>1</v>
      </c>
      <c r="BO293" s="60"/>
      <c r="BP293" s="12">
        <f>SUM(FT_RF_26[[#This Row],[Hoja (Un.)]:[Larvas Caja]])</f>
        <v>0</v>
      </c>
      <c r="BQ293" s="12">
        <f>SUM(FT_RF_26[[#This Row],[Vidrios]:[Plástico]])</f>
        <v>0</v>
      </c>
      <c r="BR293" s="12" t="str">
        <f>IF(ISBLANK(FT_RF_26[[#This Row],[Descripción del producto]]),"",FT_RF_26[[#This Row],[Descripción del producto]])</f>
        <v/>
      </c>
      <c r="BS293" s="29" t="str">
        <f>IF(ISBLANK(FT_RF_26[[#This Row],[N° de Lote]]),"",FT_RF_26[[#This Row],[N° de Lote]])</f>
        <v/>
      </c>
      <c r="BT293" s="29" t="str">
        <f>IF(ISBLANK(FT_RF_26[[#This Row],[N° de Pallet]]),"",FT_RF_26[[#This Row],[N° de Pallet]])</f>
        <v/>
      </c>
    </row>
    <row r="294" spans="2:72">
      <c r="B294" s="29">
        <f>+_xlfn.ISOWEEKNUM(FT_RF_26[[#This Row],[Fecha]])</f>
        <v>52</v>
      </c>
      <c r="E294" s="31"/>
      <c r="F294" s="12" t="str">
        <f>IFERROR(""&amp;_xlfn.XLOOKUP(FT_RF_26[[#This Row],[Código]],BD_Cod[SKU],BD_Cod[Descripción]),"")</f>
        <v/>
      </c>
      <c r="G294" s="32" t="str">
        <f>IFERROR(""&amp;_xlfn.XLOOKUP(FT_RF_26[[#This Row],[Código]],BD_Cod[SKU],BD_Cod[Familia Calidad]),"")</f>
        <v/>
      </c>
      <c r="J294" s="33">
        <v>1000</v>
      </c>
      <c r="L294" s="30" t="s">
        <v>244</v>
      </c>
      <c r="O294" s="30" t="s">
        <v>894</v>
      </c>
      <c r="P294" s="29" t="s">
        <v>894</v>
      </c>
      <c r="Q294" s="37">
        <f>1-FT_RF_26[[#This Row],[% Defectos]]</f>
        <v>1</v>
      </c>
      <c r="R294" s="38">
        <v>0</v>
      </c>
      <c r="S294" s="39">
        <f>+IFERROR((FT_RF_26[[#This Row],[Inmadura]]/FT_RF_26[[#This Row],[Muestra]]),"0")</f>
        <v>0</v>
      </c>
      <c r="T294" s="38">
        <v>0</v>
      </c>
      <c r="U294" s="39">
        <f>+IFERROR((FT_RF_26[[#This Row],[Partidas]]/FT_RF_26[[#This Row],[Muestra]]),"0")</f>
        <v>0</v>
      </c>
      <c r="V294" s="38">
        <v>0</v>
      </c>
      <c r="W294" s="39">
        <f>+IFERROR((FT_RF_26[[#This Row],[Daño Insecto]]/FT_RF_26[[#This Row],[Muestra]]),"0")</f>
        <v>0</v>
      </c>
      <c r="X294" s="38">
        <v>0</v>
      </c>
      <c r="Y294" s="39">
        <f>+IFERROR((FT_RF_26[[#This Row],[Sobremadura]]/FT_RF_26[[#This Row],[Muestra]]),"0")</f>
        <v>0</v>
      </c>
      <c r="Z294" s="38">
        <v>0</v>
      </c>
      <c r="AA294" s="39">
        <f>+IFERROR((FT_RF_26[[#This Row],[Deforme]]/FT_RF_26[[#This Row],[Muestra]]),"0")</f>
        <v>0</v>
      </c>
      <c r="AB294" s="27"/>
      <c r="AC294" s="38">
        <v>0</v>
      </c>
      <c r="AD294" s="39">
        <f>+IFERROR((FT_RF_26[[#This Row],[Valor Extra 1]]/FT_RF_26[[#This Row],[Muestra]]),"0")</f>
        <v>0</v>
      </c>
      <c r="AF294" s="38">
        <v>0</v>
      </c>
      <c r="AG294" s="39">
        <f>+IFERROR((FT_RF_26[[#This Row],[Valor Extra 2]]/FT_RF_26[[#This Row],[Muestra]]),"0")</f>
        <v>0</v>
      </c>
      <c r="AH294" s="40">
        <v>0</v>
      </c>
      <c r="AI294" s="39">
        <f>+IFERROR((FT_RF_26[[#This Row],[Hongos]]/FT_RF_26[[#This Row],[Muestra]]),"0")</f>
        <v>0</v>
      </c>
      <c r="AJ294" s="38">
        <v>0</v>
      </c>
      <c r="AK294" s="39">
        <f>+IFERROR((FT_RF_26[[#This Row],[Block]]/FT_RF_26[[#This Row],[Muestra]]),"0")</f>
        <v>0</v>
      </c>
      <c r="AL294" s="41">
        <v>0</v>
      </c>
      <c r="AM294" s="42">
        <v>0</v>
      </c>
      <c r="AN294" s="38">
        <v>0</v>
      </c>
      <c r="AO294" s="39">
        <f>+IFERROR((FT_RF_26[[#This Row],[Fuera de calibre &lt;12mm]]/FT_RF_26[[#This Row],[Muestra]]),"0")</f>
        <v>0</v>
      </c>
      <c r="AP294" s="38">
        <v>0</v>
      </c>
      <c r="AQ294" s="39">
        <f>+IFERROR((FT_RF_26[[#This Row],[Calibre &lt;25]]/FT_RF_26[[#This Row],[Muestra]]),"0")</f>
        <v>0</v>
      </c>
      <c r="AR294" s="38">
        <v>0</v>
      </c>
      <c r="AS294" s="39">
        <f>+IFERROR((FT_RF_26[[#This Row],[Calibre &gt;12]]/FT_RF_26[[#This Row],[Muestra]]),"0")</f>
        <v>0</v>
      </c>
      <c r="AT294" s="38">
        <v>0</v>
      </c>
      <c r="AU294" s="39">
        <f>+IFERROR((FT_RF_26[[#This Row],[Calibre &lt;14]]/FT_RF_26[[#This Row],[Muestra]]),"0")</f>
        <v>0</v>
      </c>
      <c r="AV294" s="38">
        <v>0</v>
      </c>
      <c r="AW294" s="39">
        <f>+IFERROR((FT_RF_26[[#This Row],[Calibre &gt;14]]/FT_RF_26[[#This Row],[Muestra]]),"0")</f>
        <v>0</v>
      </c>
      <c r="AX294" s="38">
        <v>0</v>
      </c>
      <c r="AY294" s="39">
        <f>+IFERROR((FT_RF_26[[#This Row],[Calibre &lt;10]]/FT_RF_26[[#This Row],[Muestra]]),"0")</f>
        <v>0</v>
      </c>
      <c r="AZ294" s="38">
        <v>0</v>
      </c>
      <c r="BA294" s="39">
        <f>+IFERROR((FT_RF_26[[#This Row],[Calibre &gt;13]]/FT_RF_26[[#This Row],[Muestra]]),"0")</f>
        <v>0</v>
      </c>
      <c r="BB294" s="41"/>
      <c r="BG294" s="42"/>
      <c r="BH294" s="43">
        <v>0</v>
      </c>
      <c r="BI294" s="29" t="s">
        <v>894</v>
      </c>
      <c r="BJ294" s="29" t="s">
        <v>894</v>
      </c>
      <c r="BK29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9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94" s="45">
        <f>1-FT_RF_26[[#This Row],[% Defectos]]</f>
        <v>1</v>
      </c>
      <c r="BO294" s="60"/>
      <c r="BP294" s="12">
        <f>SUM(FT_RF_26[[#This Row],[Hoja (Un.)]:[Larvas Caja]])</f>
        <v>0</v>
      </c>
      <c r="BQ294" s="12">
        <f>SUM(FT_RF_26[[#This Row],[Vidrios]:[Plástico]])</f>
        <v>0</v>
      </c>
      <c r="BR294" s="12" t="str">
        <f>IF(ISBLANK(FT_RF_26[[#This Row],[Descripción del producto]]),"",FT_RF_26[[#This Row],[Descripción del producto]])</f>
        <v/>
      </c>
      <c r="BS294" s="29" t="str">
        <f>IF(ISBLANK(FT_RF_26[[#This Row],[N° de Lote]]),"",FT_RF_26[[#This Row],[N° de Lote]])</f>
        <v/>
      </c>
      <c r="BT294" s="29" t="str">
        <f>IF(ISBLANK(FT_RF_26[[#This Row],[N° de Pallet]]),"",FT_RF_26[[#This Row],[N° de Pallet]])</f>
        <v/>
      </c>
    </row>
    <row r="295" spans="2:72">
      <c r="B295" s="29">
        <f>+_xlfn.ISOWEEKNUM(FT_RF_26[[#This Row],[Fecha]])</f>
        <v>52</v>
      </c>
      <c r="E295" s="31"/>
      <c r="F295" s="12" t="str">
        <f>IFERROR(""&amp;_xlfn.XLOOKUP(FT_RF_26[[#This Row],[Código]],BD_Cod[SKU],BD_Cod[Descripción]),"")</f>
        <v/>
      </c>
      <c r="G295" s="32" t="str">
        <f>IFERROR(""&amp;_xlfn.XLOOKUP(FT_RF_26[[#This Row],[Código]],BD_Cod[SKU],BD_Cod[Familia Calidad]),"")</f>
        <v/>
      </c>
      <c r="J295" s="33">
        <v>1000</v>
      </c>
      <c r="L295" s="30" t="s">
        <v>244</v>
      </c>
      <c r="O295" s="30" t="s">
        <v>894</v>
      </c>
      <c r="P295" s="29" t="s">
        <v>894</v>
      </c>
      <c r="Q295" s="37">
        <f>1-FT_RF_26[[#This Row],[% Defectos]]</f>
        <v>1</v>
      </c>
      <c r="R295" s="38">
        <v>0</v>
      </c>
      <c r="S295" s="39">
        <f>+IFERROR((FT_RF_26[[#This Row],[Inmadura]]/FT_RF_26[[#This Row],[Muestra]]),"0")</f>
        <v>0</v>
      </c>
      <c r="T295" s="38">
        <v>0</v>
      </c>
      <c r="U295" s="39">
        <f>+IFERROR((FT_RF_26[[#This Row],[Partidas]]/FT_RF_26[[#This Row],[Muestra]]),"0")</f>
        <v>0</v>
      </c>
      <c r="V295" s="38">
        <v>0</v>
      </c>
      <c r="W295" s="39">
        <f>+IFERROR((FT_RF_26[[#This Row],[Daño Insecto]]/FT_RF_26[[#This Row],[Muestra]]),"0")</f>
        <v>0</v>
      </c>
      <c r="X295" s="38">
        <v>0</v>
      </c>
      <c r="Y295" s="39">
        <f>+IFERROR((FT_RF_26[[#This Row],[Sobremadura]]/FT_RF_26[[#This Row],[Muestra]]),"0")</f>
        <v>0</v>
      </c>
      <c r="Z295" s="38">
        <v>0</v>
      </c>
      <c r="AA295" s="39">
        <f>+IFERROR((FT_RF_26[[#This Row],[Deforme]]/FT_RF_26[[#This Row],[Muestra]]),"0")</f>
        <v>0</v>
      </c>
      <c r="AB295" s="27"/>
      <c r="AC295" s="38">
        <v>0</v>
      </c>
      <c r="AD295" s="39">
        <f>+IFERROR((FT_RF_26[[#This Row],[Valor Extra 1]]/FT_RF_26[[#This Row],[Muestra]]),"0")</f>
        <v>0</v>
      </c>
      <c r="AF295" s="38">
        <v>0</v>
      </c>
      <c r="AG295" s="39">
        <f>+IFERROR((FT_RF_26[[#This Row],[Valor Extra 2]]/FT_RF_26[[#This Row],[Muestra]]),"0")</f>
        <v>0</v>
      </c>
      <c r="AH295" s="40">
        <v>0</v>
      </c>
      <c r="AI295" s="39">
        <f>+IFERROR((FT_RF_26[[#This Row],[Hongos]]/FT_RF_26[[#This Row],[Muestra]]),"0")</f>
        <v>0</v>
      </c>
      <c r="AJ295" s="38">
        <v>0</v>
      </c>
      <c r="AK295" s="39">
        <f>+IFERROR((FT_RF_26[[#This Row],[Block]]/FT_RF_26[[#This Row],[Muestra]]),"0")</f>
        <v>0</v>
      </c>
      <c r="AL295" s="41">
        <v>0</v>
      </c>
      <c r="AM295" s="42">
        <v>0</v>
      </c>
      <c r="AN295" s="38">
        <v>0</v>
      </c>
      <c r="AO295" s="39">
        <f>+IFERROR((FT_RF_26[[#This Row],[Fuera de calibre &lt;12mm]]/FT_RF_26[[#This Row],[Muestra]]),"0")</f>
        <v>0</v>
      </c>
      <c r="AP295" s="38">
        <v>0</v>
      </c>
      <c r="AQ295" s="39">
        <f>+IFERROR((FT_RF_26[[#This Row],[Calibre &lt;25]]/FT_RF_26[[#This Row],[Muestra]]),"0")</f>
        <v>0</v>
      </c>
      <c r="AR295" s="38">
        <v>0</v>
      </c>
      <c r="AS295" s="39">
        <f>+IFERROR((FT_RF_26[[#This Row],[Calibre &gt;12]]/FT_RF_26[[#This Row],[Muestra]]),"0")</f>
        <v>0</v>
      </c>
      <c r="AT295" s="38">
        <v>0</v>
      </c>
      <c r="AU295" s="39">
        <f>+IFERROR((FT_RF_26[[#This Row],[Calibre &lt;14]]/FT_RF_26[[#This Row],[Muestra]]),"0")</f>
        <v>0</v>
      </c>
      <c r="AV295" s="38">
        <v>0</v>
      </c>
      <c r="AW295" s="39">
        <f>+IFERROR((FT_RF_26[[#This Row],[Calibre &gt;14]]/FT_RF_26[[#This Row],[Muestra]]),"0")</f>
        <v>0</v>
      </c>
      <c r="AX295" s="38">
        <v>0</v>
      </c>
      <c r="AY295" s="39">
        <f>+IFERROR((FT_RF_26[[#This Row],[Calibre &lt;10]]/FT_RF_26[[#This Row],[Muestra]]),"0")</f>
        <v>0</v>
      </c>
      <c r="AZ295" s="38">
        <v>0</v>
      </c>
      <c r="BA295" s="39">
        <f>+IFERROR((FT_RF_26[[#This Row],[Calibre &gt;13]]/FT_RF_26[[#This Row],[Muestra]]),"0")</f>
        <v>0</v>
      </c>
      <c r="BB295" s="41"/>
      <c r="BG295" s="42"/>
      <c r="BH295" s="43">
        <v>0</v>
      </c>
      <c r="BI295" s="29" t="s">
        <v>894</v>
      </c>
      <c r="BJ295" s="29" t="s">
        <v>894</v>
      </c>
      <c r="BK29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9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95" s="45">
        <f>1-FT_RF_26[[#This Row],[% Defectos]]</f>
        <v>1</v>
      </c>
      <c r="BO295" s="60"/>
      <c r="BP295" s="12">
        <f>SUM(FT_RF_26[[#This Row],[Hoja (Un.)]:[Larvas Caja]])</f>
        <v>0</v>
      </c>
      <c r="BQ295" s="12">
        <f>SUM(FT_RF_26[[#This Row],[Vidrios]:[Plástico]])</f>
        <v>0</v>
      </c>
      <c r="BR295" s="12" t="str">
        <f>IF(ISBLANK(FT_RF_26[[#This Row],[Descripción del producto]]),"",FT_RF_26[[#This Row],[Descripción del producto]])</f>
        <v/>
      </c>
      <c r="BS295" s="29" t="str">
        <f>IF(ISBLANK(FT_RF_26[[#This Row],[N° de Lote]]),"",FT_RF_26[[#This Row],[N° de Lote]])</f>
        <v/>
      </c>
      <c r="BT295" s="29" t="str">
        <f>IF(ISBLANK(FT_RF_26[[#This Row],[N° de Pallet]]),"",FT_RF_26[[#This Row],[N° de Pallet]])</f>
        <v/>
      </c>
    </row>
    <row r="296" spans="2:72">
      <c r="B296" s="29">
        <f>+_xlfn.ISOWEEKNUM(FT_RF_26[[#This Row],[Fecha]])</f>
        <v>52</v>
      </c>
      <c r="E296" s="31"/>
      <c r="F296" s="12" t="str">
        <f>IFERROR(""&amp;_xlfn.XLOOKUP(FT_RF_26[[#This Row],[Código]],BD_Cod[SKU],BD_Cod[Descripción]),"")</f>
        <v/>
      </c>
      <c r="G296" s="32" t="str">
        <f>IFERROR(""&amp;_xlfn.XLOOKUP(FT_RF_26[[#This Row],[Código]],BD_Cod[SKU],BD_Cod[Familia Calidad]),"")</f>
        <v/>
      </c>
      <c r="J296" s="33">
        <v>1000</v>
      </c>
      <c r="L296" s="30" t="s">
        <v>244</v>
      </c>
      <c r="O296" s="30" t="s">
        <v>894</v>
      </c>
      <c r="P296" s="29" t="s">
        <v>894</v>
      </c>
      <c r="Q296" s="37">
        <f>1-FT_RF_26[[#This Row],[% Defectos]]</f>
        <v>1</v>
      </c>
      <c r="R296" s="38">
        <v>0</v>
      </c>
      <c r="S296" s="39">
        <f>+IFERROR((FT_RF_26[[#This Row],[Inmadura]]/FT_RF_26[[#This Row],[Muestra]]),"0")</f>
        <v>0</v>
      </c>
      <c r="T296" s="38">
        <v>0</v>
      </c>
      <c r="U296" s="39">
        <f>+IFERROR((FT_RF_26[[#This Row],[Partidas]]/FT_RF_26[[#This Row],[Muestra]]),"0")</f>
        <v>0</v>
      </c>
      <c r="V296" s="38">
        <v>0</v>
      </c>
      <c r="W296" s="39">
        <f>+IFERROR((FT_RF_26[[#This Row],[Daño Insecto]]/FT_RF_26[[#This Row],[Muestra]]),"0")</f>
        <v>0</v>
      </c>
      <c r="X296" s="38">
        <v>0</v>
      </c>
      <c r="Y296" s="39">
        <f>+IFERROR((FT_RF_26[[#This Row],[Sobremadura]]/FT_RF_26[[#This Row],[Muestra]]),"0")</f>
        <v>0</v>
      </c>
      <c r="Z296" s="38">
        <v>0</v>
      </c>
      <c r="AA296" s="39">
        <f>+IFERROR((FT_RF_26[[#This Row],[Deforme]]/FT_RF_26[[#This Row],[Muestra]]),"0")</f>
        <v>0</v>
      </c>
      <c r="AB296" s="27"/>
      <c r="AC296" s="38">
        <v>0</v>
      </c>
      <c r="AD296" s="39">
        <f>+IFERROR((FT_RF_26[[#This Row],[Valor Extra 1]]/FT_RF_26[[#This Row],[Muestra]]),"0")</f>
        <v>0</v>
      </c>
      <c r="AF296" s="38">
        <v>0</v>
      </c>
      <c r="AG296" s="39">
        <f>+IFERROR((FT_RF_26[[#This Row],[Valor Extra 2]]/FT_RF_26[[#This Row],[Muestra]]),"0")</f>
        <v>0</v>
      </c>
      <c r="AH296" s="40">
        <v>0</v>
      </c>
      <c r="AI296" s="39">
        <f>+IFERROR((FT_RF_26[[#This Row],[Hongos]]/FT_RF_26[[#This Row],[Muestra]]),"0")</f>
        <v>0</v>
      </c>
      <c r="AJ296" s="38">
        <v>0</v>
      </c>
      <c r="AK296" s="39">
        <f>+IFERROR((FT_RF_26[[#This Row],[Block]]/FT_RF_26[[#This Row],[Muestra]]),"0")</f>
        <v>0</v>
      </c>
      <c r="AL296" s="41">
        <v>0</v>
      </c>
      <c r="AM296" s="42">
        <v>0</v>
      </c>
      <c r="AN296" s="38">
        <v>0</v>
      </c>
      <c r="AO296" s="39">
        <f>+IFERROR((FT_RF_26[[#This Row],[Fuera de calibre &lt;12mm]]/FT_RF_26[[#This Row],[Muestra]]),"0")</f>
        <v>0</v>
      </c>
      <c r="AP296" s="38">
        <v>0</v>
      </c>
      <c r="AQ296" s="39">
        <f>+IFERROR((FT_RF_26[[#This Row],[Calibre &lt;25]]/FT_RF_26[[#This Row],[Muestra]]),"0")</f>
        <v>0</v>
      </c>
      <c r="AR296" s="38">
        <v>0</v>
      </c>
      <c r="AS296" s="39">
        <f>+IFERROR((FT_RF_26[[#This Row],[Calibre &gt;12]]/FT_RF_26[[#This Row],[Muestra]]),"0")</f>
        <v>0</v>
      </c>
      <c r="AT296" s="38">
        <v>0</v>
      </c>
      <c r="AU296" s="39">
        <f>+IFERROR((FT_RF_26[[#This Row],[Calibre &lt;14]]/FT_RF_26[[#This Row],[Muestra]]),"0")</f>
        <v>0</v>
      </c>
      <c r="AV296" s="38">
        <v>0</v>
      </c>
      <c r="AW296" s="39">
        <f>+IFERROR((FT_RF_26[[#This Row],[Calibre &gt;14]]/FT_RF_26[[#This Row],[Muestra]]),"0")</f>
        <v>0</v>
      </c>
      <c r="AX296" s="38">
        <v>0</v>
      </c>
      <c r="AY296" s="39">
        <f>+IFERROR((FT_RF_26[[#This Row],[Calibre &lt;10]]/FT_RF_26[[#This Row],[Muestra]]),"0")</f>
        <v>0</v>
      </c>
      <c r="AZ296" s="38">
        <v>0</v>
      </c>
      <c r="BA296" s="39">
        <f>+IFERROR((FT_RF_26[[#This Row],[Calibre &gt;13]]/FT_RF_26[[#This Row],[Muestra]]),"0")</f>
        <v>0</v>
      </c>
      <c r="BB296" s="41"/>
      <c r="BG296" s="42"/>
      <c r="BH296" s="43">
        <v>0</v>
      </c>
      <c r="BI296" s="29" t="s">
        <v>894</v>
      </c>
      <c r="BJ296" s="29" t="s">
        <v>894</v>
      </c>
      <c r="BK29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9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96" s="45">
        <f>1-FT_RF_26[[#This Row],[% Defectos]]</f>
        <v>1</v>
      </c>
      <c r="BO296" s="60"/>
      <c r="BP296" s="12">
        <f>SUM(FT_RF_26[[#This Row],[Hoja (Un.)]:[Larvas Caja]])</f>
        <v>0</v>
      </c>
      <c r="BQ296" s="12">
        <f>SUM(FT_RF_26[[#This Row],[Vidrios]:[Plástico]])</f>
        <v>0</v>
      </c>
      <c r="BR296" s="12" t="str">
        <f>IF(ISBLANK(FT_RF_26[[#This Row],[Descripción del producto]]),"",FT_RF_26[[#This Row],[Descripción del producto]])</f>
        <v/>
      </c>
      <c r="BS296" s="29" t="str">
        <f>IF(ISBLANK(FT_RF_26[[#This Row],[N° de Lote]]),"",FT_RF_26[[#This Row],[N° de Lote]])</f>
        <v/>
      </c>
      <c r="BT296" s="29" t="str">
        <f>IF(ISBLANK(FT_RF_26[[#This Row],[N° de Pallet]]),"",FT_RF_26[[#This Row],[N° de Pallet]])</f>
        <v/>
      </c>
    </row>
    <row r="297" spans="2:72">
      <c r="B297" s="29">
        <f>+_xlfn.ISOWEEKNUM(FT_RF_26[[#This Row],[Fecha]])</f>
        <v>52</v>
      </c>
      <c r="E297" s="31"/>
      <c r="F297" s="12" t="str">
        <f>IFERROR(""&amp;_xlfn.XLOOKUP(FT_RF_26[[#This Row],[Código]],BD_Cod[SKU],BD_Cod[Descripción]),"")</f>
        <v/>
      </c>
      <c r="G297" s="32" t="str">
        <f>IFERROR(""&amp;_xlfn.XLOOKUP(FT_RF_26[[#This Row],[Código]],BD_Cod[SKU],BD_Cod[Familia Calidad]),"")</f>
        <v/>
      </c>
      <c r="J297" s="33">
        <v>1000</v>
      </c>
      <c r="L297" s="30" t="s">
        <v>244</v>
      </c>
      <c r="O297" s="30" t="s">
        <v>894</v>
      </c>
      <c r="P297" s="29" t="s">
        <v>894</v>
      </c>
      <c r="Q297" s="37">
        <f>1-FT_RF_26[[#This Row],[% Defectos]]</f>
        <v>1</v>
      </c>
      <c r="R297" s="38">
        <v>0</v>
      </c>
      <c r="S297" s="39">
        <f>+IFERROR((FT_RF_26[[#This Row],[Inmadura]]/FT_RF_26[[#This Row],[Muestra]]),"0")</f>
        <v>0</v>
      </c>
      <c r="T297" s="38">
        <v>0</v>
      </c>
      <c r="U297" s="39">
        <f>+IFERROR((FT_RF_26[[#This Row],[Partidas]]/FT_RF_26[[#This Row],[Muestra]]),"0")</f>
        <v>0</v>
      </c>
      <c r="V297" s="38">
        <v>0</v>
      </c>
      <c r="W297" s="39">
        <f>+IFERROR((FT_RF_26[[#This Row],[Daño Insecto]]/FT_RF_26[[#This Row],[Muestra]]),"0")</f>
        <v>0</v>
      </c>
      <c r="X297" s="38">
        <v>0</v>
      </c>
      <c r="Y297" s="39">
        <f>+IFERROR((FT_RF_26[[#This Row],[Sobremadura]]/FT_RF_26[[#This Row],[Muestra]]),"0")</f>
        <v>0</v>
      </c>
      <c r="Z297" s="38">
        <v>0</v>
      </c>
      <c r="AA297" s="39">
        <f>+IFERROR((FT_RF_26[[#This Row],[Deforme]]/FT_RF_26[[#This Row],[Muestra]]),"0")</f>
        <v>0</v>
      </c>
      <c r="AB297" s="27"/>
      <c r="AC297" s="38">
        <v>0</v>
      </c>
      <c r="AD297" s="39">
        <f>+IFERROR((FT_RF_26[[#This Row],[Valor Extra 1]]/FT_RF_26[[#This Row],[Muestra]]),"0")</f>
        <v>0</v>
      </c>
      <c r="AF297" s="38">
        <v>0</v>
      </c>
      <c r="AG297" s="39">
        <f>+IFERROR((FT_RF_26[[#This Row],[Valor Extra 2]]/FT_RF_26[[#This Row],[Muestra]]),"0")</f>
        <v>0</v>
      </c>
      <c r="AH297" s="40">
        <v>0</v>
      </c>
      <c r="AI297" s="39">
        <f>+IFERROR((FT_RF_26[[#This Row],[Hongos]]/FT_RF_26[[#This Row],[Muestra]]),"0")</f>
        <v>0</v>
      </c>
      <c r="AJ297" s="38">
        <v>0</v>
      </c>
      <c r="AK297" s="39">
        <f>+IFERROR((FT_RF_26[[#This Row],[Block]]/FT_RF_26[[#This Row],[Muestra]]),"0")</f>
        <v>0</v>
      </c>
      <c r="AL297" s="41">
        <v>0</v>
      </c>
      <c r="AM297" s="42">
        <v>0</v>
      </c>
      <c r="AN297" s="38">
        <v>0</v>
      </c>
      <c r="AO297" s="39">
        <f>+IFERROR((FT_RF_26[[#This Row],[Fuera de calibre &lt;12mm]]/FT_RF_26[[#This Row],[Muestra]]),"0")</f>
        <v>0</v>
      </c>
      <c r="AP297" s="38">
        <v>0</v>
      </c>
      <c r="AQ297" s="39">
        <f>+IFERROR((FT_RF_26[[#This Row],[Calibre &lt;25]]/FT_RF_26[[#This Row],[Muestra]]),"0")</f>
        <v>0</v>
      </c>
      <c r="AR297" s="38">
        <v>0</v>
      </c>
      <c r="AS297" s="39">
        <f>+IFERROR((FT_RF_26[[#This Row],[Calibre &gt;12]]/FT_RF_26[[#This Row],[Muestra]]),"0")</f>
        <v>0</v>
      </c>
      <c r="AT297" s="38">
        <v>0</v>
      </c>
      <c r="AU297" s="39">
        <f>+IFERROR((FT_RF_26[[#This Row],[Calibre &lt;14]]/FT_RF_26[[#This Row],[Muestra]]),"0")</f>
        <v>0</v>
      </c>
      <c r="AV297" s="38">
        <v>0</v>
      </c>
      <c r="AW297" s="39">
        <f>+IFERROR((FT_RF_26[[#This Row],[Calibre &gt;14]]/FT_RF_26[[#This Row],[Muestra]]),"0")</f>
        <v>0</v>
      </c>
      <c r="AX297" s="38">
        <v>0</v>
      </c>
      <c r="AY297" s="39">
        <f>+IFERROR((FT_RF_26[[#This Row],[Calibre &lt;10]]/FT_RF_26[[#This Row],[Muestra]]),"0")</f>
        <v>0</v>
      </c>
      <c r="AZ297" s="38">
        <v>0</v>
      </c>
      <c r="BA297" s="39">
        <f>+IFERROR((FT_RF_26[[#This Row],[Calibre &gt;13]]/FT_RF_26[[#This Row],[Muestra]]),"0")</f>
        <v>0</v>
      </c>
      <c r="BB297" s="41"/>
      <c r="BG297" s="42"/>
      <c r="BH297" s="43">
        <v>0</v>
      </c>
      <c r="BI297" s="29" t="s">
        <v>894</v>
      </c>
      <c r="BJ297" s="29" t="s">
        <v>894</v>
      </c>
      <c r="BK29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9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97" s="45">
        <f>1-FT_RF_26[[#This Row],[% Defectos]]</f>
        <v>1</v>
      </c>
      <c r="BO297" s="60"/>
      <c r="BP297" s="12">
        <f>SUM(FT_RF_26[[#This Row],[Hoja (Un.)]:[Larvas Caja]])</f>
        <v>0</v>
      </c>
      <c r="BQ297" s="12">
        <f>SUM(FT_RF_26[[#This Row],[Vidrios]:[Plástico]])</f>
        <v>0</v>
      </c>
      <c r="BR297" s="12" t="str">
        <f>IF(ISBLANK(FT_RF_26[[#This Row],[Descripción del producto]]),"",FT_RF_26[[#This Row],[Descripción del producto]])</f>
        <v/>
      </c>
      <c r="BS297" s="29" t="str">
        <f>IF(ISBLANK(FT_RF_26[[#This Row],[N° de Lote]]),"",FT_RF_26[[#This Row],[N° de Lote]])</f>
        <v/>
      </c>
      <c r="BT297" s="29" t="str">
        <f>IF(ISBLANK(FT_RF_26[[#This Row],[N° de Pallet]]),"",FT_RF_26[[#This Row],[N° de Pallet]])</f>
        <v/>
      </c>
    </row>
    <row r="298" spans="2:72">
      <c r="B298" s="29">
        <f>+_xlfn.ISOWEEKNUM(FT_RF_26[[#This Row],[Fecha]])</f>
        <v>52</v>
      </c>
      <c r="E298" s="31"/>
      <c r="F298" s="12" t="str">
        <f>IFERROR(""&amp;_xlfn.XLOOKUP(FT_RF_26[[#This Row],[Código]],BD_Cod[SKU],BD_Cod[Descripción]),"")</f>
        <v/>
      </c>
      <c r="G298" s="32" t="str">
        <f>IFERROR(""&amp;_xlfn.XLOOKUP(FT_RF_26[[#This Row],[Código]],BD_Cod[SKU],BD_Cod[Familia Calidad]),"")</f>
        <v/>
      </c>
      <c r="J298" s="33">
        <v>1000</v>
      </c>
      <c r="L298" s="30" t="s">
        <v>244</v>
      </c>
      <c r="O298" s="30" t="s">
        <v>894</v>
      </c>
      <c r="P298" s="29" t="s">
        <v>894</v>
      </c>
      <c r="Q298" s="37">
        <f>1-FT_RF_26[[#This Row],[% Defectos]]</f>
        <v>1</v>
      </c>
      <c r="R298" s="38">
        <v>0</v>
      </c>
      <c r="S298" s="39">
        <f>+IFERROR((FT_RF_26[[#This Row],[Inmadura]]/FT_RF_26[[#This Row],[Muestra]]),"0")</f>
        <v>0</v>
      </c>
      <c r="T298" s="38">
        <v>0</v>
      </c>
      <c r="U298" s="39">
        <f>+IFERROR((FT_RF_26[[#This Row],[Partidas]]/FT_RF_26[[#This Row],[Muestra]]),"0")</f>
        <v>0</v>
      </c>
      <c r="V298" s="38">
        <v>0</v>
      </c>
      <c r="W298" s="39">
        <f>+IFERROR((FT_RF_26[[#This Row],[Daño Insecto]]/FT_RF_26[[#This Row],[Muestra]]),"0")</f>
        <v>0</v>
      </c>
      <c r="X298" s="38">
        <v>0</v>
      </c>
      <c r="Y298" s="39">
        <f>+IFERROR((FT_RF_26[[#This Row],[Sobremadura]]/FT_RF_26[[#This Row],[Muestra]]),"0")</f>
        <v>0</v>
      </c>
      <c r="Z298" s="38">
        <v>0</v>
      </c>
      <c r="AA298" s="39">
        <f>+IFERROR((FT_RF_26[[#This Row],[Deforme]]/FT_RF_26[[#This Row],[Muestra]]),"0")</f>
        <v>0</v>
      </c>
      <c r="AB298" s="27"/>
      <c r="AC298" s="38">
        <v>0</v>
      </c>
      <c r="AD298" s="39">
        <f>+IFERROR((FT_RF_26[[#This Row],[Valor Extra 1]]/FT_RF_26[[#This Row],[Muestra]]),"0")</f>
        <v>0</v>
      </c>
      <c r="AF298" s="38">
        <v>0</v>
      </c>
      <c r="AG298" s="39">
        <f>+IFERROR((FT_RF_26[[#This Row],[Valor Extra 2]]/FT_RF_26[[#This Row],[Muestra]]),"0")</f>
        <v>0</v>
      </c>
      <c r="AH298" s="40">
        <v>0</v>
      </c>
      <c r="AI298" s="39">
        <f>+IFERROR((FT_RF_26[[#This Row],[Hongos]]/FT_RF_26[[#This Row],[Muestra]]),"0")</f>
        <v>0</v>
      </c>
      <c r="AJ298" s="38">
        <v>0</v>
      </c>
      <c r="AK298" s="39">
        <f>+IFERROR((FT_RF_26[[#This Row],[Block]]/FT_RF_26[[#This Row],[Muestra]]),"0")</f>
        <v>0</v>
      </c>
      <c r="AL298" s="41">
        <v>0</v>
      </c>
      <c r="AM298" s="42">
        <v>0</v>
      </c>
      <c r="AN298" s="38">
        <v>0</v>
      </c>
      <c r="AO298" s="39">
        <f>+IFERROR((FT_RF_26[[#This Row],[Fuera de calibre &lt;12mm]]/FT_RF_26[[#This Row],[Muestra]]),"0")</f>
        <v>0</v>
      </c>
      <c r="AP298" s="38">
        <v>0</v>
      </c>
      <c r="AQ298" s="39">
        <f>+IFERROR((FT_RF_26[[#This Row],[Calibre &lt;25]]/FT_RF_26[[#This Row],[Muestra]]),"0")</f>
        <v>0</v>
      </c>
      <c r="AR298" s="38">
        <v>0</v>
      </c>
      <c r="AS298" s="39">
        <f>+IFERROR((FT_RF_26[[#This Row],[Calibre &gt;12]]/FT_RF_26[[#This Row],[Muestra]]),"0")</f>
        <v>0</v>
      </c>
      <c r="AT298" s="38">
        <v>0</v>
      </c>
      <c r="AU298" s="39">
        <f>+IFERROR((FT_RF_26[[#This Row],[Calibre &lt;14]]/FT_RF_26[[#This Row],[Muestra]]),"0")</f>
        <v>0</v>
      </c>
      <c r="AV298" s="38">
        <v>0</v>
      </c>
      <c r="AW298" s="39">
        <f>+IFERROR((FT_RF_26[[#This Row],[Calibre &gt;14]]/FT_RF_26[[#This Row],[Muestra]]),"0")</f>
        <v>0</v>
      </c>
      <c r="AX298" s="38">
        <v>0</v>
      </c>
      <c r="AY298" s="39">
        <f>+IFERROR((FT_RF_26[[#This Row],[Calibre &lt;10]]/FT_RF_26[[#This Row],[Muestra]]),"0")</f>
        <v>0</v>
      </c>
      <c r="AZ298" s="38">
        <v>0</v>
      </c>
      <c r="BA298" s="39">
        <f>+IFERROR((FT_RF_26[[#This Row],[Calibre &gt;13]]/FT_RF_26[[#This Row],[Muestra]]),"0")</f>
        <v>0</v>
      </c>
      <c r="BB298" s="41"/>
      <c r="BG298" s="42"/>
      <c r="BH298" s="43">
        <v>0</v>
      </c>
      <c r="BI298" s="29" t="s">
        <v>894</v>
      </c>
      <c r="BJ298" s="29" t="s">
        <v>894</v>
      </c>
      <c r="BK29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9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98" s="45">
        <f>1-FT_RF_26[[#This Row],[% Defectos]]</f>
        <v>1</v>
      </c>
      <c r="BO298" s="60"/>
      <c r="BP298" s="12">
        <f>SUM(FT_RF_26[[#This Row],[Hoja (Un.)]:[Larvas Caja]])</f>
        <v>0</v>
      </c>
      <c r="BQ298" s="12">
        <f>SUM(FT_RF_26[[#This Row],[Vidrios]:[Plástico]])</f>
        <v>0</v>
      </c>
      <c r="BR298" s="12" t="str">
        <f>IF(ISBLANK(FT_RF_26[[#This Row],[Descripción del producto]]),"",FT_RF_26[[#This Row],[Descripción del producto]])</f>
        <v/>
      </c>
      <c r="BS298" s="29" t="str">
        <f>IF(ISBLANK(FT_RF_26[[#This Row],[N° de Lote]]),"",FT_RF_26[[#This Row],[N° de Lote]])</f>
        <v/>
      </c>
      <c r="BT298" s="29" t="str">
        <f>IF(ISBLANK(FT_RF_26[[#This Row],[N° de Pallet]]),"",FT_RF_26[[#This Row],[N° de Pallet]])</f>
        <v/>
      </c>
    </row>
    <row r="299" spans="2:72">
      <c r="B299" s="29">
        <f>+_xlfn.ISOWEEKNUM(FT_RF_26[[#This Row],[Fecha]])</f>
        <v>52</v>
      </c>
      <c r="E299" s="31"/>
      <c r="F299" s="12" t="str">
        <f>IFERROR(""&amp;_xlfn.XLOOKUP(FT_RF_26[[#This Row],[Código]],BD_Cod[SKU],BD_Cod[Descripción]),"")</f>
        <v/>
      </c>
      <c r="G299" s="32" t="str">
        <f>IFERROR(""&amp;_xlfn.XLOOKUP(FT_RF_26[[#This Row],[Código]],BD_Cod[SKU],BD_Cod[Familia Calidad]),"")</f>
        <v/>
      </c>
      <c r="J299" s="33">
        <v>1000</v>
      </c>
      <c r="L299" s="30" t="s">
        <v>244</v>
      </c>
      <c r="O299" s="30" t="s">
        <v>894</v>
      </c>
      <c r="P299" s="29" t="s">
        <v>894</v>
      </c>
      <c r="Q299" s="37">
        <f>1-FT_RF_26[[#This Row],[% Defectos]]</f>
        <v>1</v>
      </c>
      <c r="R299" s="38">
        <v>0</v>
      </c>
      <c r="S299" s="39">
        <f>+IFERROR((FT_RF_26[[#This Row],[Inmadura]]/FT_RF_26[[#This Row],[Muestra]]),"0")</f>
        <v>0</v>
      </c>
      <c r="T299" s="38">
        <v>0</v>
      </c>
      <c r="U299" s="39">
        <f>+IFERROR((FT_RF_26[[#This Row],[Partidas]]/FT_RF_26[[#This Row],[Muestra]]),"0")</f>
        <v>0</v>
      </c>
      <c r="V299" s="38">
        <v>0</v>
      </c>
      <c r="W299" s="39">
        <f>+IFERROR((FT_RF_26[[#This Row],[Daño Insecto]]/FT_RF_26[[#This Row],[Muestra]]),"0")</f>
        <v>0</v>
      </c>
      <c r="X299" s="38">
        <v>0</v>
      </c>
      <c r="Y299" s="39">
        <f>+IFERROR((FT_RF_26[[#This Row],[Sobremadura]]/FT_RF_26[[#This Row],[Muestra]]),"0")</f>
        <v>0</v>
      </c>
      <c r="Z299" s="38">
        <v>0</v>
      </c>
      <c r="AA299" s="39">
        <f>+IFERROR((FT_RF_26[[#This Row],[Deforme]]/FT_RF_26[[#This Row],[Muestra]]),"0")</f>
        <v>0</v>
      </c>
      <c r="AB299" s="27"/>
      <c r="AC299" s="38">
        <v>0</v>
      </c>
      <c r="AD299" s="39">
        <f>+IFERROR((FT_RF_26[[#This Row],[Valor Extra 1]]/FT_RF_26[[#This Row],[Muestra]]),"0")</f>
        <v>0</v>
      </c>
      <c r="AF299" s="38">
        <v>0</v>
      </c>
      <c r="AG299" s="39">
        <f>+IFERROR((FT_RF_26[[#This Row],[Valor Extra 2]]/FT_RF_26[[#This Row],[Muestra]]),"0")</f>
        <v>0</v>
      </c>
      <c r="AH299" s="40">
        <v>0</v>
      </c>
      <c r="AI299" s="39">
        <f>+IFERROR((FT_RF_26[[#This Row],[Hongos]]/FT_RF_26[[#This Row],[Muestra]]),"0")</f>
        <v>0</v>
      </c>
      <c r="AJ299" s="38">
        <v>0</v>
      </c>
      <c r="AK299" s="39">
        <f>+IFERROR((FT_RF_26[[#This Row],[Block]]/FT_RF_26[[#This Row],[Muestra]]),"0")</f>
        <v>0</v>
      </c>
      <c r="AL299" s="41">
        <v>0</v>
      </c>
      <c r="AM299" s="42">
        <v>0</v>
      </c>
      <c r="AN299" s="38">
        <v>0</v>
      </c>
      <c r="AO299" s="39">
        <f>+IFERROR((FT_RF_26[[#This Row],[Fuera de calibre &lt;12mm]]/FT_RF_26[[#This Row],[Muestra]]),"0")</f>
        <v>0</v>
      </c>
      <c r="AP299" s="38">
        <v>0</v>
      </c>
      <c r="AQ299" s="39">
        <f>+IFERROR((FT_RF_26[[#This Row],[Calibre &lt;25]]/FT_RF_26[[#This Row],[Muestra]]),"0")</f>
        <v>0</v>
      </c>
      <c r="AR299" s="38">
        <v>0</v>
      </c>
      <c r="AS299" s="39">
        <f>+IFERROR((FT_RF_26[[#This Row],[Calibre &gt;12]]/FT_RF_26[[#This Row],[Muestra]]),"0")</f>
        <v>0</v>
      </c>
      <c r="AT299" s="38">
        <v>0</v>
      </c>
      <c r="AU299" s="39">
        <f>+IFERROR((FT_RF_26[[#This Row],[Calibre &lt;14]]/FT_RF_26[[#This Row],[Muestra]]),"0")</f>
        <v>0</v>
      </c>
      <c r="AV299" s="38">
        <v>0</v>
      </c>
      <c r="AW299" s="39">
        <f>+IFERROR((FT_RF_26[[#This Row],[Calibre &gt;14]]/FT_RF_26[[#This Row],[Muestra]]),"0")</f>
        <v>0</v>
      </c>
      <c r="AX299" s="38">
        <v>0</v>
      </c>
      <c r="AY299" s="39">
        <f>+IFERROR((FT_RF_26[[#This Row],[Calibre &lt;10]]/FT_RF_26[[#This Row],[Muestra]]),"0")</f>
        <v>0</v>
      </c>
      <c r="AZ299" s="38">
        <v>0</v>
      </c>
      <c r="BA299" s="39">
        <f>+IFERROR((FT_RF_26[[#This Row],[Calibre &gt;13]]/FT_RF_26[[#This Row],[Muestra]]),"0")</f>
        <v>0</v>
      </c>
      <c r="BB299" s="41"/>
      <c r="BG299" s="42"/>
      <c r="BH299" s="43">
        <v>0</v>
      </c>
      <c r="BI299" s="29" t="s">
        <v>894</v>
      </c>
      <c r="BJ299" s="29" t="s">
        <v>894</v>
      </c>
      <c r="BK29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29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299" s="45">
        <f>1-FT_RF_26[[#This Row],[% Defectos]]</f>
        <v>1</v>
      </c>
      <c r="BO299" s="60"/>
      <c r="BP299" s="12">
        <f>SUM(FT_RF_26[[#This Row],[Hoja (Un.)]:[Larvas Caja]])</f>
        <v>0</v>
      </c>
      <c r="BQ299" s="12">
        <f>SUM(FT_RF_26[[#This Row],[Vidrios]:[Plástico]])</f>
        <v>0</v>
      </c>
      <c r="BR299" s="12" t="str">
        <f>IF(ISBLANK(FT_RF_26[[#This Row],[Descripción del producto]]),"",FT_RF_26[[#This Row],[Descripción del producto]])</f>
        <v/>
      </c>
      <c r="BS299" s="29" t="str">
        <f>IF(ISBLANK(FT_RF_26[[#This Row],[N° de Lote]]),"",FT_RF_26[[#This Row],[N° de Lote]])</f>
        <v/>
      </c>
      <c r="BT299" s="29" t="str">
        <f>IF(ISBLANK(FT_RF_26[[#This Row],[N° de Pallet]]),"",FT_RF_26[[#This Row],[N° de Pallet]])</f>
        <v/>
      </c>
    </row>
    <row r="300" spans="2:72">
      <c r="B300" s="29">
        <f>+_xlfn.ISOWEEKNUM(FT_RF_26[[#This Row],[Fecha]])</f>
        <v>52</v>
      </c>
      <c r="E300" s="31"/>
      <c r="F300" s="12" t="str">
        <f>IFERROR(""&amp;_xlfn.XLOOKUP(FT_RF_26[[#This Row],[Código]],BD_Cod[SKU],BD_Cod[Descripción]),"")</f>
        <v/>
      </c>
      <c r="G300" s="32" t="str">
        <f>IFERROR(""&amp;_xlfn.XLOOKUP(FT_RF_26[[#This Row],[Código]],BD_Cod[SKU],BD_Cod[Familia Calidad]),"")</f>
        <v/>
      </c>
      <c r="J300" s="33">
        <v>1000</v>
      </c>
      <c r="L300" s="30" t="s">
        <v>244</v>
      </c>
      <c r="O300" s="30" t="s">
        <v>894</v>
      </c>
      <c r="P300" s="29" t="s">
        <v>894</v>
      </c>
      <c r="Q300" s="37">
        <f>1-FT_RF_26[[#This Row],[% Defectos]]</f>
        <v>1</v>
      </c>
      <c r="R300" s="38">
        <v>0</v>
      </c>
      <c r="S300" s="39">
        <f>+IFERROR((FT_RF_26[[#This Row],[Inmadura]]/FT_RF_26[[#This Row],[Muestra]]),"0")</f>
        <v>0</v>
      </c>
      <c r="T300" s="38">
        <v>0</v>
      </c>
      <c r="U300" s="39">
        <f>+IFERROR((FT_RF_26[[#This Row],[Partidas]]/FT_RF_26[[#This Row],[Muestra]]),"0")</f>
        <v>0</v>
      </c>
      <c r="V300" s="38">
        <v>0</v>
      </c>
      <c r="W300" s="39">
        <f>+IFERROR((FT_RF_26[[#This Row],[Daño Insecto]]/FT_RF_26[[#This Row],[Muestra]]),"0")</f>
        <v>0</v>
      </c>
      <c r="X300" s="38">
        <v>0</v>
      </c>
      <c r="Y300" s="39">
        <f>+IFERROR((FT_RF_26[[#This Row],[Sobremadura]]/FT_RF_26[[#This Row],[Muestra]]),"0")</f>
        <v>0</v>
      </c>
      <c r="Z300" s="38">
        <v>0</v>
      </c>
      <c r="AA300" s="39">
        <f>+IFERROR((FT_RF_26[[#This Row],[Deforme]]/FT_RF_26[[#This Row],[Muestra]]),"0")</f>
        <v>0</v>
      </c>
      <c r="AB300" s="27"/>
      <c r="AC300" s="38">
        <v>0</v>
      </c>
      <c r="AD300" s="39">
        <f>+IFERROR((FT_RF_26[[#This Row],[Valor Extra 1]]/FT_RF_26[[#This Row],[Muestra]]),"0")</f>
        <v>0</v>
      </c>
      <c r="AF300" s="38">
        <v>0</v>
      </c>
      <c r="AG300" s="39">
        <f>+IFERROR((FT_RF_26[[#This Row],[Valor Extra 2]]/FT_RF_26[[#This Row],[Muestra]]),"0")</f>
        <v>0</v>
      </c>
      <c r="AH300" s="40">
        <v>0</v>
      </c>
      <c r="AI300" s="39">
        <f>+IFERROR((FT_RF_26[[#This Row],[Hongos]]/FT_RF_26[[#This Row],[Muestra]]),"0")</f>
        <v>0</v>
      </c>
      <c r="AJ300" s="38">
        <v>0</v>
      </c>
      <c r="AK300" s="39">
        <f>+IFERROR((FT_RF_26[[#This Row],[Block]]/FT_RF_26[[#This Row],[Muestra]]),"0")</f>
        <v>0</v>
      </c>
      <c r="AL300" s="41">
        <v>0</v>
      </c>
      <c r="AM300" s="42">
        <v>0</v>
      </c>
      <c r="AN300" s="38">
        <v>0</v>
      </c>
      <c r="AO300" s="39">
        <f>+IFERROR((FT_RF_26[[#This Row],[Fuera de calibre &lt;12mm]]/FT_RF_26[[#This Row],[Muestra]]),"0")</f>
        <v>0</v>
      </c>
      <c r="AP300" s="38">
        <v>0</v>
      </c>
      <c r="AQ300" s="39">
        <f>+IFERROR((FT_RF_26[[#This Row],[Calibre &lt;25]]/FT_RF_26[[#This Row],[Muestra]]),"0")</f>
        <v>0</v>
      </c>
      <c r="AR300" s="38">
        <v>0</v>
      </c>
      <c r="AS300" s="39">
        <f>+IFERROR((FT_RF_26[[#This Row],[Calibre &gt;12]]/FT_RF_26[[#This Row],[Muestra]]),"0")</f>
        <v>0</v>
      </c>
      <c r="AT300" s="38">
        <v>0</v>
      </c>
      <c r="AU300" s="39">
        <f>+IFERROR((FT_RF_26[[#This Row],[Calibre &lt;14]]/FT_RF_26[[#This Row],[Muestra]]),"0")</f>
        <v>0</v>
      </c>
      <c r="AV300" s="38">
        <v>0</v>
      </c>
      <c r="AW300" s="39">
        <f>+IFERROR((FT_RF_26[[#This Row],[Calibre &gt;14]]/FT_RF_26[[#This Row],[Muestra]]),"0")</f>
        <v>0</v>
      </c>
      <c r="AX300" s="38">
        <v>0</v>
      </c>
      <c r="AY300" s="39">
        <f>+IFERROR((FT_RF_26[[#This Row],[Calibre &lt;10]]/FT_RF_26[[#This Row],[Muestra]]),"0")</f>
        <v>0</v>
      </c>
      <c r="AZ300" s="38">
        <v>0</v>
      </c>
      <c r="BA300" s="39">
        <f>+IFERROR((FT_RF_26[[#This Row],[Calibre &gt;13]]/FT_RF_26[[#This Row],[Muestra]]),"0")</f>
        <v>0</v>
      </c>
      <c r="BB300" s="41"/>
      <c r="BG300" s="42"/>
      <c r="BH300" s="43">
        <v>0</v>
      </c>
      <c r="BI300" s="29" t="s">
        <v>894</v>
      </c>
      <c r="BJ300" s="29" t="s">
        <v>894</v>
      </c>
      <c r="BK30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0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00" s="45">
        <f>1-FT_RF_26[[#This Row],[% Defectos]]</f>
        <v>1</v>
      </c>
      <c r="BO300" s="60"/>
      <c r="BP300" s="12">
        <f>SUM(FT_RF_26[[#This Row],[Hoja (Un.)]:[Larvas Caja]])</f>
        <v>0</v>
      </c>
      <c r="BQ300" s="12">
        <f>SUM(FT_RF_26[[#This Row],[Vidrios]:[Plástico]])</f>
        <v>0</v>
      </c>
      <c r="BR300" s="12" t="str">
        <f>IF(ISBLANK(FT_RF_26[[#This Row],[Descripción del producto]]),"",FT_RF_26[[#This Row],[Descripción del producto]])</f>
        <v/>
      </c>
      <c r="BS300" s="29" t="str">
        <f>IF(ISBLANK(FT_RF_26[[#This Row],[N° de Lote]]),"",FT_RF_26[[#This Row],[N° de Lote]])</f>
        <v/>
      </c>
      <c r="BT300" s="29" t="str">
        <f>IF(ISBLANK(FT_RF_26[[#This Row],[N° de Pallet]]),"",FT_RF_26[[#This Row],[N° de Pallet]])</f>
        <v/>
      </c>
    </row>
    <row r="301" spans="2:72">
      <c r="B301" s="29">
        <f>+_xlfn.ISOWEEKNUM(FT_RF_26[[#This Row],[Fecha]])</f>
        <v>52</v>
      </c>
      <c r="E301" s="31"/>
      <c r="F301" s="12" t="str">
        <f>IFERROR(""&amp;_xlfn.XLOOKUP(FT_RF_26[[#This Row],[Código]],BD_Cod[SKU],BD_Cod[Descripción]),"")</f>
        <v/>
      </c>
      <c r="G301" s="32" t="str">
        <f>IFERROR(""&amp;_xlfn.XLOOKUP(FT_RF_26[[#This Row],[Código]],BD_Cod[SKU],BD_Cod[Familia Calidad]),"")</f>
        <v/>
      </c>
      <c r="J301" s="33">
        <v>1000</v>
      </c>
      <c r="L301" s="30" t="s">
        <v>244</v>
      </c>
      <c r="O301" s="30" t="s">
        <v>894</v>
      </c>
      <c r="P301" s="29" t="s">
        <v>894</v>
      </c>
      <c r="Q301" s="37">
        <f>1-FT_RF_26[[#This Row],[% Defectos]]</f>
        <v>1</v>
      </c>
      <c r="R301" s="38">
        <v>0</v>
      </c>
      <c r="S301" s="39">
        <f>+IFERROR((FT_RF_26[[#This Row],[Inmadura]]/FT_RF_26[[#This Row],[Muestra]]),"0")</f>
        <v>0</v>
      </c>
      <c r="T301" s="38">
        <v>0</v>
      </c>
      <c r="U301" s="39">
        <f>+IFERROR((FT_RF_26[[#This Row],[Partidas]]/FT_RF_26[[#This Row],[Muestra]]),"0")</f>
        <v>0</v>
      </c>
      <c r="V301" s="38">
        <v>0</v>
      </c>
      <c r="W301" s="39">
        <f>+IFERROR((FT_RF_26[[#This Row],[Daño Insecto]]/FT_RF_26[[#This Row],[Muestra]]),"0")</f>
        <v>0</v>
      </c>
      <c r="X301" s="38">
        <v>0</v>
      </c>
      <c r="Y301" s="39">
        <f>+IFERROR((FT_RF_26[[#This Row],[Sobremadura]]/FT_RF_26[[#This Row],[Muestra]]),"0")</f>
        <v>0</v>
      </c>
      <c r="Z301" s="38">
        <v>0</v>
      </c>
      <c r="AA301" s="39">
        <f>+IFERROR((FT_RF_26[[#This Row],[Deforme]]/FT_RF_26[[#This Row],[Muestra]]),"0")</f>
        <v>0</v>
      </c>
      <c r="AB301" s="27"/>
      <c r="AC301" s="38">
        <v>0</v>
      </c>
      <c r="AD301" s="39">
        <f>+IFERROR((FT_RF_26[[#This Row],[Valor Extra 1]]/FT_RF_26[[#This Row],[Muestra]]),"0")</f>
        <v>0</v>
      </c>
      <c r="AF301" s="38">
        <v>0</v>
      </c>
      <c r="AG301" s="39">
        <f>+IFERROR((FT_RF_26[[#This Row],[Valor Extra 2]]/FT_RF_26[[#This Row],[Muestra]]),"0")</f>
        <v>0</v>
      </c>
      <c r="AH301" s="40">
        <v>0</v>
      </c>
      <c r="AI301" s="39">
        <f>+IFERROR((FT_RF_26[[#This Row],[Hongos]]/FT_RF_26[[#This Row],[Muestra]]),"0")</f>
        <v>0</v>
      </c>
      <c r="AJ301" s="38">
        <v>0</v>
      </c>
      <c r="AK301" s="39">
        <f>+IFERROR((FT_RF_26[[#This Row],[Block]]/FT_RF_26[[#This Row],[Muestra]]),"0")</f>
        <v>0</v>
      </c>
      <c r="AL301" s="41">
        <v>0</v>
      </c>
      <c r="AM301" s="42">
        <v>0</v>
      </c>
      <c r="AN301" s="38">
        <v>0</v>
      </c>
      <c r="AO301" s="39">
        <f>+IFERROR((FT_RF_26[[#This Row],[Fuera de calibre &lt;12mm]]/FT_RF_26[[#This Row],[Muestra]]),"0")</f>
        <v>0</v>
      </c>
      <c r="AP301" s="38">
        <v>0</v>
      </c>
      <c r="AQ301" s="39">
        <f>+IFERROR((FT_RF_26[[#This Row],[Calibre &lt;25]]/FT_RF_26[[#This Row],[Muestra]]),"0")</f>
        <v>0</v>
      </c>
      <c r="AR301" s="38">
        <v>0</v>
      </c>
      <c r="AS301" s="39">
        <f>+IFERROR((FT_RF_26[[#This Row],[Calibre &gt;12]]/FT_RF_26[[#This Row],[Muestra]]),"0")</f>
        <v>0</v>
      </c>
      <c r="AT301" s="38">
        <v>0</v>
      </c>
      <c r="AU301" s="39">
        <f>+IFERROR((FT_RF_26[[#This Row],[Calibre &lt;14]]/FT_RF_26[[#This Row],[Muestra]]),"0")</f>
        <v>0</v>
      </c>
      <c r="AV301" s="38">
        <v>0</v>
      </c>
      <c r="AW301" s="39">
        <f>+IFERROR((FT_RF_26[[#This Row],[Calibre &gt;14]]/FT_RF_26[[#This Row],[Muestra]]),"0")</f>
        <v>0</v>
      </c>
      <c r="AX301" s="38">
        <v>0</v>
      </c>
      <c r="AY301" s="39">
        <f>+IFERROR((FT_RF_26[[#This Row],[Calibre &lt;10]]/FT_RF_26[[#This Row],[Muestra]]),"0")</f>
        <v>0</v>
      </c>
      <c r="AZ301" s="38">
        <v>0</v>
      </c>
      <c r="BA301" s="39">
        <f>+IFERROR((FT_RF_26[[#This Row],[Calibre &gt;13]]/FT_RF_26[[#This Row],[Muestra]]),"0")</f>
        <v>0</v>
      </c>
      <c r="BB301" s="41"/>
      <c r="BG301" s="42"/>
      <c r="BH301" s="43">
        <v>0</v>
      </c>
      <c r="BI301" s="29" t="s">
        <v>894</v>
      </c>
      <c r="BJ301" s="29" t="s">
        <v>894</v>
      </c>
      <c r="BK30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0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01" s="45">
        <f>1-FT_RF_26[[#This Row],[% Defectos]]</f>
        <v>1</v>
      </c>
      <c r="BO301" s="60"/>
      <c r="BP301" s="12">
        <f>SUM(FT_RF_26[[#This Row],[Hoja (Un.)]:[Larvas Caja]])</f>
        <v>0</v>
      </c>
      <c r="BQ301" s="12">
        <f>SUM(FT_RF_26[[#This Row],[Vidrios]:[Plástico]])</f>
        <v>0</v>
      </c>
      <c r="BR301" s="12" t="str">
        <f>IF(ISBLANK(FT_RF_26[[#This Row],[Descripción del producto]]),"",FT_RF_26[[#This Row],[Descripción del producto]])</f>
        <v/>
      </c>
      <c r="BS301" s="29" t="str">
        <f>IF(ISBLANK(FT_RF_26[[#This Row],[N° de Lote]]),"",FT_RF_26[[#This Row],[N° de Lote]])</f>
        <v/>
      </c>
      <c r="BT301" s="29" t="str">
        <f>IF(ISBLANK(FT_RF_26[[#This Row],[N° de Pallet]]),"",FT_RF_26[[#This Row],[N° de Pallet]])</f>
        <v/>
      </c>
    </row>
    <row r="302" spans="2:72">
      <c r="B302" s="29">
        <f>+_xlfn.ISOWEEKNUM(FT_RF_26[[#This Row],[Fecha]])</f>
        <v>52</v>
      </c>
      <c r="E302" s="31"/>
      <c r="F302" s="12" t="str">
        <f>IFERROR(""&amp;_xlfn.XLOOKUP(FT_RF_26[[#This Row],[Código]],BD_Cod[SKU],BD_Cod[Descripción]),"")</f>
        <v/>
      </c>
      <c r="G302" s="32" t="str">
        <f>IFERROR(""&amp;_xlfn.XLOOKUP(FT_RF_26[[#This Row],[Código]],BD_Cod[SKU],BD_Cod[Familia Calidad]),"")</f>
        <v/>
      </c>
      <c r="J302" s="33">
        <v>1000</v>
      </c>
      <c r="L302" s="30" t="s">
        <v>244</v>
      </c>
      <c r="O302" s="30" t="s">
        <v>894</v>
      </c>
      <c r="P302" s="29" t="s">
        <v>894</v>
      </c>
      <c r="Q302" s="37">
        <f>1-FT_RF_26[[#This Row],[% Defectos]]</f>
        <v>1</v>
      </c>
      <c r="R302" s="38">
        <v>0</v>
      </c>
      <c r="S302" s="39">
        <f>+IFERROR((FT_RF_26[[#This Row],[Inmadura]]/FT_RF_26[[#This Row],[Muestra]]),"0")</f>
        <v>0</v>
      </c>
      <c r="T302" s="38">
        <v>0</v>
      </c>
      <c r="U302" s="39">
        <f>+IFERROR((FT_RF_26[[#This Row],[Partidas]]/FT_RF_26[[#This Row],[Muestra]]),"0")</f>
        <v>0</v>
      </c>
      <c r="V302" s="38">
        <v>0</v>
      </c>
      <c r="W302" s="39">
        <f>+IFERROR((FT_RF_26[[#This Row],[Daño Insecto]]/FT_RF_26[[#This Row],[Muestra]]),"0")</f>
        <v>0</v>
      </c>
      <c r="X302" s="38">
        <v>0</v>
      </c>
      <c r="Y302" s="39">
        <f>+IFERROR((FT_RF_26[[#This Row],[Sobremadura]]/FT_RF_26[[#This Row],[Muestra]]),"0")</f>
        <v>0</v>
      </c>
      <c r="Z302" s="38">
        <v>0</v>
      </c>
      <c r="AA302" s="39">
        <f>+IFERROR((FT_RF_26[[#This Row],[Deforme]]/FT_RF_26[[#This Row],[Muestra]]),"0")</f>
        <v>0</v>
      </c>
      <c r="AB302" s="27"/>
      <c r="AC302" s="38">
        <v>0</v>
      </c>
      <c r="AD302" s="39">
        <f>+IFERROR((FT_RF_26[[#This Row],[Valor Extra 1]]/FT_RF_26[[#This Row],[Muestra]]),"0")</f>
        <v>0</v>
      </c>
      <c r="AF302" s="38">
        <v>0</v>
      </c>
      <c r="AG302" s="39">
        <f>+IFERROR((FT_RF_26[[#This Row],[Valor Extra 2]]/FT_RF_26[[#This Row],[Muestra]]),"0")</f>
        <v>0</v>
      </c>
      <c r="AH302" s="40">
        <v>0</v>
      </c>
      <c r="AI302" s="39">
        <f>+IFERROR((FT_RF_26[[#This Row],[Hongos]]/FT_RF_26[[#This Row],[Muestra]]),"0")</f>
        <v>0</v>
      </c>
      <c r="AJ302" s="38">
        <v>0</v>
      </c>
      <c r="AK302" s="39">
        <f>+IFERROR((FT_RF_26[[#This Row],[Block]]/FT_RF_26[[#This Row],[Muestra]]),"0")</f>
        <v>0</v>
      </c>
      <c r="AL302" s="41">
        <v>0</v>
      </c>
      <c r="AM302" s="42">
        <v>0</v>
      </c>
      <c r="AN302" s="38">
        <v>0</v>
      </c>
      <c r="AO302" s="39">
        <f>+IFERROR((FT_RF_26[[#This Row],[Fuera de calibre &lt;12mm]]/FT_RF_26[[#This Row],[Muestra]]),"0")</f>
        <v>0</v>
      </c>
      <c r="AP302" s="38">
        <v>0</v>
      </c>
      <c r="AQ302" s="39">
        <f>+IFERROR((FT_RF_26[[#This Row],[Calibre &lt;25]]/FT_RF_26[[#This Row],[Muestra]]),"0")</f>
        <v>0</v>
      </c>
      <c r="AR302" s="38">
        <v>0</v>
      </c>
      <c r="AS302" s="39">
        <f>+IFERROR((FT_RF_26[[#This Row],[Calibre &gt;12]]/FT_RF_26[[#This Row],[Muestra]]),"0")</f>
        <v>0</v>
      </c>
      <c r="AT302" s="38">
        <v>0</v>
      </c>
      <c r="AU302" s="39">
        <f>+IFERROR((FT_RF_26[[#This Row],[Calibre &lt;14]]/FT_RF_26[[#This Row],[Muestra]]),"0")</f>
        <v>0</v>
      </c>
      <c r="AV302" s="38">
        <v>0</v>
      </c>
      <c r="AW302" s="39">
        <f>+IFERROR((FT_RF_26[[#This Row],[Calibre &gt;14]]/FT_RF_26[[#This Row],[Muestra]]),"0")</f>
        <v>0</v>
      </c>
      <c r="AX302" s="38">
        <v>0</v>
      </c>
      <c r="AY302" s="39">
        <f>+IFERROR((FT_RF_26[[#This Row],[Calibre &lt;10]]/FT_RF_26[[#This Row],[Muestra]]),"0")</f>
        <v>0</v>
      </c>
      <c r="AZ302" s="38">
        <v>0</v>
      </c>
      <c r="BA302" s="39">
        <f>+IFERROR((FT_RF_26[[#This Row],[Calibre &gt;13]]/FT_RF_26[[#This Row],[Muestra]]),"0")</f>
        <v>0</v>
      </c>
      <c r="BB302" s="41"/>
      <c r="BG302" s="42"/>
      <c r="BH302" s="43">
        <v>0</v>
      </c>
      <c r="BI302" s="29" t="s">
        <v>894</v>
      </c>
      <c r="BJ302" s="29" t="s">
        <v>894</v>
      </c>
      <c r="BK30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0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02" s="45">
        <f>1-FT_RF_26[[#This Row],[% Defectos]]</f>
        <v>1</v>
      </c>
      <c r="BO302" s="60"/>
      <c r="BP302" s="12">
        <f>SUM(FT_RF_26[[#This Row],[Hoja (Un.)]:[Larvas Caja]])</f>
        <v>0</v>
      </c>
      <c r="BQ302" s="12">
        <f>SUM(FT_RF_26[[#This Row],[Vidrios]:[Plástico]])</f>
        <v>0</v>
      </c>
      <c r="BR302" s="12" t="str">
        <f>IF(ISBLANK(FT_RF_26[[#This Row],[Descripción del producto]]),"",FT_RF_26[[#This Row],[Descripción del producto]])</f>
        <v/>
      </c>
      <c r="BS302" s="29" t="str">
        <f>IF(ISBLANK(FT_RF_26[[#This Row],[N° de Lote]]),"",FT_RF_26[[#This Row],[N° de Lote]])</f>
        <v/>
      </c>
      <c r="BT302" s="29" t="str">
        <f>IF(ISBLANK(FT_RF_26[[#This Row],[N° de Pallet]]),"",FT_RF_26[[#This Row],[N° de Pallet]])</f>
        <v/>
      </c>
    </row>
    <row r="303" spans="2:72">
      <c r="B303" s="29">
        <f>+_xlfn.ISOWEEKNUM(FT_RF_26[[#This Row],[Fecha]])</f>
        <v>52</v>
      </c>
      <c r="E303" s="31"/>
      <c r="F303" s="12" t="str">
        <f>IFERROR(""&amp;_xlfn.XLOOKUP(FT_RF_26[[#This Row],[Código]],BD_Cod[SKU],BD_Cod[Descripción]),"")</f>
        <v/>
      </c>
      <c r="G303" s="32" t="str">
        <f>IFERROR(""&amp;_xlfn.XLOOKUP(FT_RF_26[[#This Row],[Código]],BD_Cod[SKU],BD_Cod[Familia Calidad]),"")</f>
        <v/>
      </c>
      <c r="J303" s="33">
        <v>1000</v>
      </c>
      <c r="L303" s="30" t="s">
        <v>244</v>
      </c>
      <c r="O303" s="30" t="s">
        <v>894</v>
      </c>
      <c r="P303" s="29" t="s">
        <v>894</v>
      </c>
      <c r="Q303" s="37">
        <f>1-FT_RF_26[[#This Row],[% Defectos]]</f>
        <v>1</v>
      </c>
      <c r="R303" s="38">
        <v>0</v>
      </c>
      <c r="S303" s="39">
        <f>+IFERROR((FT_RF_26[[#This Row],[Inmadura]]/FT_RF_26[[#This Row],[Muestra]]),"0")</f>
        <v>0</v>
      </c>
      <c r="T303" s="38">
        <v>0</v>
      </c>
      <c r="U303" s="39">
        <f>+IFERROR((FT_RF_26[[#This Row],[Partidas]]/FT_RF_26[[#This Row],[Muestra]]),"0")</f>
        <v>0</v>
      </c>
      <c r="V303" s="38">
        <v>0</v>
      </c>
      <c r="W303" s="39">
        <f>+IFERROR((FT_RF_26[[#This Row],[Daño Insecto]]/FT_RF_26[[#This Row],[Muestra]]),"0")</f>
        <v>0</v>
      </c>
      <c r="X303" s="38">
        <v>0</v>
      </c>
      <c r="Y303" s="39">
        <f>+IFERROR((FT_RF_26[[#This Row],[Sobremadura]]/FT_RF_26[[#This Row],[Muestra]]),"0")</f>
        <v>0</v>
      </c>
      <c r="Z303" s="38">
        <v>0</v>
      </c>
      <c r="AA303" s="39">
        <f>+IFERROR((FT_RF_26[[#This Row],[Deforme]]/FT_RF_26[[#This Row],[Muestra]]),"0")</f>
        <v>0</v>
      </c>
      <c r="AB303" s="27"/>
      <c r="AC303" s="38">
        <v>0</v>
      </c>
      <c r="AD303" s="39">
        <f>+IFERROR((FT_RF_26[[#This Row],[Valor Extra 1]]/FT_RF_26[[#This Row],[Muestra]]),"0")</f>
        <v>0</v>
      </c>
      <c r="AF303" s="38">
        <v>0</v>
      </c>
      <c r="AG303" s="39">
        <f>+IFERROR((FT_RF_26[[#This Row],[Valor Extra 2]]/FT_RF_26[[#This Row],[Muestra]]),"0")</f>
        <v>0</v>
      </c>
      <c r="AH303" s="40">
        <v>0</v>
      </c>
      <c r="AI303" s="39">
        <f>+IFERROR((FT_RF_26[[#This Row],[Hongos]]/FT_RF_26[[#This Row],[Muestra]]),"0")</f>
        <v>0</v>
      </c>
      <c r="AJ303" s="38">
        <v>0</v>
      </c>
      <c r="AK303" s="39">
        <f>+IFERROR((FT_RF_26[[#This Row],[Block]]/FT_RF_26[[#This Row],[Muestra]]),"0")</f>
        <v>0</v>
      </c>
      <c r="AL303" s="41">
        <v>0</v>
      </c>
      <c r="AM303" s="42">
        <v>0</v>
      </c>
      <c r="AN303" s="38">
        <v>0</v>
      </c>
      <c r="AO303" s="39">
        <f>+IFERROR((FT_RF_26[[#This Row],[Fuera de calibre &lt;12mm]]/FT_RF_26[[#This Row],[Muestra]]),"0")</f>
        <v>0</v>
      </c>
      <c r="AP303" s="38">
        <v>0</v>
      </c>
      <c r="AQ303" s="39">
        <f>+IFERROR((FT_RF_26[[#This Row],[Calibre &lt;25]]/FT_RF_26[[#This Row],[Muestra]]),"0")</f>
        <v>0</v>
      </c>
      <c r="AR303" s="38">
        <v>0</v>
      </c>
      <c r="AS303" s="39">
        <f>+IFERROR((FT_RF_26[[#This Row],[Calibre &gt;12]]/FT_RF_26[[#This Row],[Muestra]]),"0")</f>
        <v>0</v>
      </c>
      <c r="AT303" s="38">
        <v>0</v>
      </c>
      <c r="AU303" s="39">
        <f>+IFERROR((FT_RF_26[[#This Row],[Calibre &lt;14]]/FT_RF_26[[#This Row],[Muestra]]),"0")</f>
        <v>0</v>
      </c>
      <c r="AV303" s="38">
        <v>0</v>
      </c>
      <c r="AW303" s="39">
        <f>+IFERROR((FT_RF_26[[#This Row],[Calibre &gt;14]]/FT_RF_26[[#This Row],[Muestra]]),"0")</f>
        <v>0</v>
      </c>
      <c r="AX303" s="38">
        <v>0</v>
      </c>
      <c r="AY303" s="39">
        <f>+IFERROR((FT_RF_26[[#This Row],[Calibre &lt;10]]/FT_RF_26[[#This Row],[Muestra]]),"0")</f>
        <v>0</v>
      </c>
      <c r="AZ303" s="38">
        <v>0</v>
      </c>
      <c r="BA303" s="39">
        <f>+IFERROR((FT_RF_26[[#This Row],[Calibre &gt;13]]/FT_RF_26[[#This Row],[Muestra]]),"0")</f>
        <v>0</v>
      </c>
      <c r="BB303" s="41"/>
      <c r="BG303" s="42"/>
      <c r="BH303" s="43">
        <v>0</v>
      </c>
      <c r="BI303" s="29" t="s">
        <v>894</v>
      </c>
      <c r="BJ303" s="29" t="s">
        <v>894</v>
      </c>
      <c r="BK30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0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03" s="45">
        <f>1-FT_RF_26[[#This Row],[% Defectos]]</f>
        <v>1</v>
      </c>
      <c r="BO303" s="60"/>
      <c r="BP303" s="12">
        <f>SUM(FT_RF_26[[#This Row],[Hoja (Un.)]:[Larvas Caja]])</f>
        <v>0</v>
      </c>
      <c r="BQ303" s="12">
        <f>SUM(FT_RF_26[[#This Row],[Vidrios]:[Plástico]])</f>
        <v>0</v>
      </c>
      <c r="BR303" s="12" t="str">
        <f>IF(ISBLANK(FT_RF_26[[#This Row],[Descripción del producto]]),"",FT_RF_26[[#This Row],[Descripción del producto]])</f>
        <v/>
      </c>
      <c r="BS303" s="29" t="str">
        <f>IF(ISBLANK(FT_RF_26[[#This Row],[N° de Lote]]),"",FT_RF_26[[#This Row],[N° de Lote]])</f>
        <v/>
      </c>
      <c r="BT303" s="29" t="str">
        <f>IF(ISBLANK(FT_RF_26[[#This Row],[N° de Pallet]]),"",FT_RF_26[[#This Row],[N° de Pallet]])</f>
        <v/>
      </c>
    </row>
    <row r="304" spans="2:72">
      <c r="B304" s="29">
        <f>+_xlfn.ISOWEEKNUM(FT_RF_26[[#This Row],[Fecha]])</f>
        <v>52</v>
      </c>
      <c r="E304" s="31"/>
      <c r="F304" s="12" t="str">
        <f>IFERROR(""&amp;_xlfn.XLOOKUP(FT_RF_26[[#This Row],[Código]],BD_Cod[SKU],BD_Cod[Descripción]),"")</f>
        <v/>
      </c>
      <c r="G304" s="32" t="str">
        <f>IFERROR(""&amp;_xlfn.XLOOKUP(FT_RF_26[[#This Row],[Código]],BD_Cod[SKU],BD_Cod[Familia Calidad]),"")</f>
        <v/>
      </c>
      <c r="J304" s="33">
        <v>1000</v>
      </c>
      <c r="L304" s="30" t="s">
        <v>244</v>
      </c>
      <c r="O304" s="30" t="s">
        <v>894</v>
      </c>
      <c r="P304" s="29" t="s">
        <v>894</v>
      </c>
      <c r="Q304" s="37">
        <f>1-FT_RF_26[[#This Row],[% Defectos]]</f>
        <v>1</v>
      </c>
      <c r="R304" s="38">
        <v>0</v>
      </c>
      <c r="S304" s="39">
        <f>+IFERROR((FT_RF_26[[#This Row],[Inmadura]]/FT_RF_26[[#This Row],[Muestra]]),"0")</f>
        <v>0</v>
      </c>
      <c r="T304" s="38">
        <v>0</v>
      </c>
      <c r="U304" s="39">
        <f>+IFERROR((FT_RF_26[[#This Row],[Partidas]]/FT_RF_26[[#This Row],[Muestra]]),"0")</f>
        <v>0</v>
      </c>
      <c r="V304" s="38">
        <v>0</v>
      </c>
      <c r="W304" s="39">
        <f>+IFERROR((FT_RF_26[[#This Row],[Daño Insecto]]/FT_RF_26[[#This Row],[Muestra]]),"0")</f>
        <v>0</v>
      </c>
      <c r="X304" s="38">
        <v>0</v>
      </c>
      <c r="Y304" s="39">
        <f>+IFERROR((FT_RF_26[[#This Row],[Sobremadura]]/FT_RF_26[[#This Row],[Muestra]]),"0")</f>
        <v>0</v>
      </c>
      <c r="Z304" s="38">
        <v>0</v>
      </c>
      <c r="AA304" s="39">
        <f>+IFERROR((FT_RF_26[[#This Row],[Deforme]]/FT_RF_26[[#This Row],[Muestra]]),"0")</f>
        <v>0</v>
      </c>
      <c r="AB304" s="27"/>
      <c r="AC304" s="38">
        <v>0</v>
      </c>
      <c r="AD304" s="39">
        <f>+IFERROR((FT_RF_26[[#This Row],[Valor Extra 1]]/FT_RF_26[[#This Row],[Muestra]]),"0")</f>
        <v>0</v>
      </c>
      <c r="AF304" s="38">
        <v>0</v>
      </c>
      <c r="AG304" s="39">
        <f>+IFERROR((FT_RF_26[[#This Row],[Valor Extra 2]]/FT_RF_26[[#This Row],[Muestra]]),"0")</f>
        <v>0</v>
      </c>
      <c r="AH304" s="40">
        <v>0</v>
      </c>
      <c r="AI304" s="39">
        <f>+IFERROR((FT_RF_26[[#This Row],[Hongos]]/FT_RF_26[[#This Row],[Muestra]]),"0")</f>
        <v>0</v>
      </c>
      <c r="AJ304" s="38">
        <v>0</v>
      </c>
      <c r="AK304" s="39">
        <f>+IFERROR((FT_RF_26[[#This Row],[Block]]/FT_RF_26[[#This Row],[Muestra]]),"0")</f>
        <v>0</v>
      </c>
      <c r="AL304" s="41">
        <v>0</v>
      </c>
      <c r="AM304" s="42">
        <v>0</v>
      </c>
      <c r="AN304" s="38">
        <v>0</v>
      </c>
      <c r="AO304" s="39">
        <f>+IFERROR((FT_RF_26[[#This Row],[Fuera de calibre &lt;12mm]]/FT_RF_26[[#This Row],[Muestra]]),"0")</f>
        <v>0</v>
      </c>
      <c r="AP304" s="38">
        <v>0</v>
      </c>
      <c r="AQ304" s="39">
        <f>+IFERROR((FT_RF_26[[#This Row],[Calibre &lt;25]]/FT_RF_26[[#This Row],[Muestra]]),"0")</f>
        <v>0</v>
      </c>
      <c r="AR304" s="38">
        <v>0</v>
      </c>
      <c r="AS304" s="39">
        <f>+IFERROR((FT_RF_26[[#This Row],[Calibre &gt;12]]/FT_RF_26[[#This Row],[Muestra]]),"0")</f>
        <v>0</v>
      </c>
      <c r="AT304" s="38">
        <v>0</v>
      </c>
      <c r="AU304" s="39">
        <f>+IFERROR((FT_RF_26[[#This Row],[Calibre &lt;14]]/FT_RF_26[[#This Row],[Muestra]]),"0")</f>
        <v>0</v>
      </c>
      <c r="AV304" s="38">
        <v>0</v>
      </c>
      <c r="AW304" s="39">
        <f>+IFERROR((FT_RF_26[[#This Row],[Calibre &gt;14]]/FT_RF_26[[#This Row],[Muestra]]),"0")</f>
        <v>0</v>
      </c>
      <c r="AX304" s="38">
        <v>0</v>
      </c>
      <c r="AY304" s="39">
        <f>+IFERROR((FT_RF_26[[#This Row],[Calibre &lt;10]]/FT_RF_26[[#This Row],[Muestra]]),"0")</f>
        <v>0</v>
      </c>
      <c r="AZ304" s="38">
        <v>0</v>
      </c>
      <c r="BA304" s="39">
        <f>+IFERROR((FT_RF_26[[#This Row],[Calibre &gt;13]]/FT_RF_26[[#This Row],[Muestra]]),"0")</f>
        <v>0</v>
      </c>
      <c r="BB304" s="41"/>
      <c r="BG304" s="42"/>
      <c r="BH304" s="43">
        <v>0</v>
      </c>
      <c r="BI304" s="29" t="s">
        <v>894</v>
      </c>
      <c r="BJ304" s="29" t="s">
        <v>894</v>
      </c>
      <c r="BK30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0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04" s="45">
        <f>1-FT_RF_26[[#This Row],[% Defectos]]</f>
        <v>1</v>
      </c>
      <c r="BO304" s="60"/>
      <c r="BP304" s="12">
        <f>SUM(FT_RF_26[[#This Row],[Hoja (Un.)]:[Larvas Caja]])</f>
        <v>0</v>
      </c>
      <c r="BQ304" s="12">
        <f>SUM(FT_RF_26[[#This Row],[Vidrios]:[Plástico]])</f>
        <v>0</v>
      </c>
      <c r="BR304" s="12" t="str">
        <f>IF(ISBLANK(FT_RF_26[[#This Row],[Descripción del producto]]),"",FT_RF_26[[#This Row],[Descripción del producto]])</f>
        <v/>
      </c>
      <c r="BS304" s="29" t="str">
        <f>IF(ISBLANK(FT_RF_26[[#This Row],[N° de Lote]]),"",FT_RF_26[[#This Row],[N° de Lote]])</f>
        <v/>
      </c>
      <c r="BT304" s="29" t="str">
        <f>IF(ISBLANK(FT_RF_26[[#This Row],[N° de Pallet]]),"",FT_RF_26[[#This Row],[N° de Pallet]])</f>
        <v/>
      </c>
    </row>
    <row r="305" spans="2:72">
      <c r="B305" s="29">
        <f>+_xlfn.ISOWEEKNUM(FT_RF_26[[#This Row],[Fecha]])</f>
        <v>52</v>
      </c>
      <c r="E305" s="31"/>
      <c r="F305" s="12" t="str">
        <f>IFERROR(""&amp;_xlfn.XLOOKUP(FT_RF_26[[#This Row],[Código]],BD_Cod[SKU],BD_Cod[Descripción]),"")</f>
        <v/>
      </c>
      <c r="G305" s="32" t="str">
        <f>IFERROR(""&amp;_xlfn.XLOOKUP(FT_RF_26[[#This Row],[Código]],BD_Cod[SKU],BD_Cod[Familia Calidad]),"")</f>
        <v/>
      </c>
      <c r="J305" s="33">
        <v>1000</v>
      </c>
      <c r="L305" s="30" t="s">
        <v>244</v>
      </c>
      <c r="O305" s="30" t="s">
        <v>894</v>
      </c>
      <c r="P305" s="29" t="s">
        <v>894</v>
      </c>
      <c r="Q305" s="37">
        <f>1-FT_RF_26[[#This Row],[% Defectos]]</f>
        <v>1</v>
      </c>
      <c r="R305" s="38">
        <v>0</v>
      </c>
      <c r="S305" s="39">
        <f>+IFERROR((FT_RF_26[[#This Row],[Inmadura]]/FT_RF_26[[#This Row],[Muestra]]),"0")</f>
        <v>0</v>
      </c>
      <c r="T305" s="38">
        <v>0</v>
      </c>
      <c r="U305" s="39">
        <f>+IFERROR((FT_RF_26[[#This Row],[Partidas]]/FT_RF_26[[#This Row],[Muestra]]),"0")</f>
        <v>0</v>
      </c>
      <c r="V305" s="38">
        <v>0</v>
      </c>
      <c r="W305" s="39">
        <f>+IFERROR((FT_RF_26[[#This Row],[Daño Insecto]]/FT_RF_26[[#This Row],[Muestra]]),"0")</f>
        <v>0</v>
      </c>
      <c r="X305" s="38">
        <v>0</v>
      </c>
      <c r="Y305" s="39">
        <f>+IFERROR((FT_RF_26[[#This Row],[Sobremadura]]/FT_RF_26[[#This Row],[Muestra]]),"0")</f>
        <v>0</v>
      </c>
      <c r="Z305" s="38">
        <v>0</v>
      </c>
      <c r="AA305" s="39">
        <f>+IFERROR((FT_RF_26[[#This Row],[Deforme]]/FT_RF_26[[#This Row],[Muestra]]),"0")</f>
        <v>0</v>
      </c>
      <c r="AB305" s="27"/>
      <c r="AC305" s="38">
        <v>0</v>
      </c>
      <c r="AD305" s="39">
        <f>+IFERROR((FT_RF_26[[#This Row],[Valor Extra 1]]/FT_RF_26[[#This Row],[Muestra]]),"0")</f>
        <v>0</v>
      </c>
      <c r="AF305" s="38">
        <v>0</v>
      </c>
      <c r="AG305" s="39">
        <f>+IFERROR((FT_RF_26[[#This Row],[Valor Extra 2]]/FT_RF_26[[#This Row],[Muestra]]),"0")</f>
        <v>0</v>
      </c>
      <c r="AH305" s="40">
        <v>0</v>
      </c>
      <c r="AI305" s="39">
        <f>+IFERROR((FT_RF_26[[#This Row],[Hongos]]/FT_RF_26[[#This Row],[Muestra]]),"0")</f>
        <v>0</v>
      </c>
      <c r="AJ305" s="38">
        <v>0</v>
      </c>
      <c r="AK305" s="39">
        <f>+IFERROR((FT_RF_26[[#This Row],[Block]]/FT_RF_26[[#This Row],[Muestra]]),"0")</f>
        <v>0</v>
      </c>
      <c r="AL305" s="41">
        <v>0</v>
      </c>
      <c r="AM305" s="42">
        <v>0</v>
      </c>
      <c r="AN305" s="38">
        <v>0</v>
      </c>
      <c r="AO305" s="39">
        <f>+IFERROR((FT_RF_26[[#This Row],[Fuera de calibre &lt;12mm]]/FT_RF_26[[#This Row],[Muestra]]),"0")</f>
        <v>0</v>
      </c>
      <c r="AP305" s="38">
        <v>0</v>
      </c>
      <c r="AQ305" s="39">
        <f>+IFERROR((FT_RF_26[[#This Row],[Calibre &lt;25]]/FT_RF_26[[#This Row],[Muestra]]),"0")</f>
        <v>0</v>
      </c>
      <c r="AR305" s="38">
        <v>0</v>
      </c>
      <c r="AS305" s="39">
        <f>+IFERROR((FT_RF_26[[#This Row],[Calibre &gt;12]]/FT_RF_26[[#This Row],[Muestra]]),"0")</f>
        <v>0</v>
      </c>
      <c r="AT305" s="38">
        <v>0</v>
      </c>
      <c r="AU305" s="39">
        <f>+IFERROR((FT_RF_26[[#This Row],[Calibre &lt;14]]/FT_RF_26[[#This Row],[Muestra]]),"0")</f>
        <v>0</v>
      </c>
      <c r="AV305" s="38">
        <v>0</v>
      </c>
      <c r="AW305" s="39">
        <f>+IFERROR((FT_RF_26[[#This Row],[Calibre &gt;14]]/FT_RF_26[[#This Row],[Muestra]]),"0")</f>
        <v>0</v>
      </c>
      <c r="AX305" s="38">
        <v>0</v>
      </c>
      <c r="AY305" s="39">
        <f>+IFERROR((FT_RF_26[[#This Row],[Calibre &lt;10]]/FT_RF_26[[#This Row],[Muestra]]),"0")</f>
        <v>0</v>
      </c>
      <c r="AZ305" s="38">
        <v>0</v>
      </c>
      <c r="BA305" s="39">
        <f>+IFERROR((FT_RF_26[[#This Row],[Calibre &gt;13]]/FT_RF_26[[#This Row],[Muestra]]),"0")</f>
        <v>0</v>
      </c>
      <c r="BB305" s="41"/>
      <c r="BG305" s="42"/>
      <c r="BH305" s="43">
        <v>0</v>
      </c>
      <c r="BI305" s="29" t="s">
        <v>894</v>
      </c>
      <c r="BJ305" s="29" t="s">
        <v>894</v>
      </c>
      <c r="BK30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0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05" s="45">
        <f>1-FT_RF_26[[#This Row],[% Defectos]]</f>
        <v>1</v>
      </c>
      <c r="BO305" s="60"/>
      <c r="BP305" s="12">
        <f>SUM(FT_RF_26[[#This Row],[Hoja (Un.)]:[Larvas Caja]])</f>
        <v>0</v>
      </c>
      <c r="BQ305" s="12">
        <f>SUM(FT_RF_26[[#This Row],[Vidrios]:[Plástico]])</f>
        <v>0</v>
      </c>
      <c r="BR305" s="12" t="str">
        <f>IF(ISBLANK(FT_RF_26[[#This Row],[Descripción del producto]]),"",FT_RF_26[[#This Row],[Descripción del producto]])</f>
        <v/>
      </c>
      <c r="BS305" s="29" t="str">
        <f>IF(ISBLANK(FT_RF_26[[#This Row],[N° de Lote]]),"",FT_RF_26[[#This Row],[N° de Lote]])</f>
        <v/>
      </c>
      <c r="BT305" s="29" t="str">
        <f>IF(ISBLANK(FT_RF_26[[#This Row],[N° de Pallet]]),"",FT_RF_26[[#This Row],[N° de Pallet]])</f>
        <v/>
      </c>
    </row>
    <row r="306" spans="2:72">
      <c r="B306" s="29">
        <f>+_xlfn.ISOWEEKNUM(FT_RF_26[[#This Row],[Fecha]])</f>
        <v>52</v>
      </c>
      <c r="E306" s="31"/>
      <c r="F306" s="12" t="str">
        <f>IFERROR(""&amp;_xlfn.XLOOKUP(FT_RF_26[[#This Row],[Código]],BD_Cod[SKU],BD_Cod[Descripción]),"")</f>
        <v/>
      </c>
      <c r="G306" s="32" t="str">
        <f>IFERROR(""&amp;_xlfn.XLOOKUP(FT_RF_26[[#This Row],[Código]],BD_Cod[SKU],BD_Cod[Familia Calidad]),"")</f>
        <v/>
      </c>
      <c r="J306" s="33">
        <v>1000</v>
      </c>
      <c r="L306" s="30" t="s">
        <v>244</v>
      </c>
      <c r="O306" s="30" t="s">
        <v>894</v>
      </c>
      <c r="P306" s="29" t="s">
        <v>894</v>
      </c>
      <c r="Q306" s="37">
        <f>1-FT_RF_26[[#This Row],[% Defectos]]</f>
        <v>1</v>
      </c>
      <c r="R306" s="38">
        <v>0</v>
      </c>
      <c r="S306" s="39">
        <f>+IFERROR((FT_RF_26[[#This Row],[Inmadura]]/FT_RF_26[[#This Row],[Muestra]]),"0")</f>
        <v>0</v>
      </c>
      <c r="T306" s="38">
        <v>0</v>
      </c>
      <c r="U306" s="39">
        <f>+IFERROR((FT_RF_26[[#This Row],[Partidas]]/FT_RF_26[[#This Row],[Muestra]]),"0")</f>
        <v>0</v>
      </c>
      <c r="V306" s="38">
        <v>0</v>
      </c>
      <c r="W306" s="39">
        <f>+IFERROR((FT_RF_26[[#This Row],[Daño Insecto]]/FT_RF_26[[#This Row],[Muestra]]),"0")</f>
        <v>0</v>
      </c>
      <c r="X306" s="38">
        <v>0</v>
      </c>
      <c r="Y306" s="39">
        <f>+IFERROR((FT_RF_26[[#This Row],[Sobremadura]]/FT_RF_26[[#This Row],[Muestra]]),"0")</f>
        <v>0</v>
      </c>
      <c r="Z306" s="38">
        <v>0</v>
      </c>
      <c r="AA306" s="39">
        <f>+IFERROR((FT_RF_26[[#This Row],[Deforme]]/FT_RF_26[[#This Row],[Muestra]]),"0")</f>
        <v>0</v>
      </c>
      <c r="AB306" s="27"/>
      <c r="AC306" s="38">
        <v>0</v>
      </c>
      <c r="AD306" s="39">
        <f>+IFERROR((FT_RF_26[[#This Row],[Valor Extra 1]]/FT_RF_26[[#This Row],[Muestra]]),"0")</f>
        <v>0</v>
      </c>
      <c r="AF306" s="38">
        <v>0</v>
      </c>
      <c r="AG306" s="39">
        <f>+IFERROR((FT_RF_26[[#This Row],[Valor Extra 2]]/FT_RF_26[[#This Row],[Muestra]]),"0")</f>
        <v>0</v>
      </c>
      <c r="AH306" s="40">
        <v>0</v>
      </c>
      <c r="AI306" s="39">
        <f>+IFERROR((FT_RF_26[[#This Row],[Hongos]]/FT_RF_26[[#This Row],[Muestra]]),"0")</f>
        <v>0</v>
      </c>
      <c r="AJ306" s="38">
        <v>0</v>
      </c>
      <c r="AK306" s="39">
        <f>+IFERROR((FT_RF_26[[#This Row],[Block]]/FT_RF_26[[#This Row],[Muestra]]),"0")</f>
        <v>0</v>
      </c>
      <c r="AL306" s="41">
        <v>0</v>
      </c>
      <c r="AM306" s="42">
        <v>0</v>
      </c>
      <c r="AN306" s="38">
        <v>0</v>
      </c>
      <c r="AO306" s="39">
        <f>+IFERROR((FT_RF_26[[#This Row],[Fuera de calibre &lt;12mm]]/FT_RF_26[[#This Row],[Muestra]]),"0")</f>
        <v>0</v>
      </c>
      <c r="AP306" s="38">
        <v>0</v>
      </c>
      <c r="AQ306" s="39">
        <f>+IFERROR((FT_RF_26[[#This Row],[Calibre &lt;25]]/FT_RF_26[[#This Row],[Muestra]]),"0")</f>
        <v>0</v>
      </c>
      <c r="AR306" s="38">
        <v>0</v>
      </c>
      <c r="AS306" s="39">
        <f>+IFERROR((FT_RF_26[[#This Row],[Calibre &gt;12]]/FT_RF_26[[#This Row],[Muestra]]),"0")</f>
        <v>0</v>
      </c>
      <c r="AT306" s="38">
        <v>0</v>
      </c>
      <c r="AU306" s="39">
        <f>+IFERROR((FT_RF_26[[#This Row],[Calibre &lt;14]]/FT_RF_26[[#This Row],[Muestra]]),"0")</f>
        <v>0</v>
      </c>
      <c r="AV306" s="38">
        <v>0</v>
      </c>
      <c r="AW306" s="39">
        <f>+IFERROR((FT_RF_26[[#This Row],[Calibre &gt;14]]/FT_RF_26[[#This Row],[Muestra]]),"0")</f>
        <v>0</v>
      </c>
      <c r="AX306" s="38">
        <v>0</v>
      </c>
      <c r="AY306" s="39">
        <f>+IFERROR((FT_RF_26[[#This Row],[Calibre &lt;10]]/FT_RF_26[[#This Row],[Muestra]]),"0")</f>
        <v>0</v>
      </c>
      <c r="AZ306" s="38">
        <v>0</v>
      </c>
      <c r="BA306" s="39">
        <f>+IFERROR((FT_RF_26[[#This Row],[Calibre &gt;13]]/FT_RF_26[[#This Row],[Muestra]]),"0")</f>
        <v>0</v>
      </c>
      <c r="BB306" s="41"/>
      <c r="BG306" s="42"/>
      <c r="BH306" s="43">
        <v>0</v>
      </c>
      <c r="BI306" s="29" t="s">
        <v>894</v>
      </c>
      <c r="BJ306" s="29" t="s">
        <v>894</v>
      </c>
      <c r="BK30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0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06" s="45">
        <f>1-FT_RF_26[[#This Row],[% Defectos]]</f>
        <v>1</v>
      </c>
      <c r="BO306" s="60"/>
      <c r="BP306" s="12">
        <f>SUM(FT_RF_26[[#This Row],[Hoja (Un.)]:[Larvas Caja]])</f>
        <v>0</v>
      </c>
      <c r="BQ306" s="12">
        <f>SUM(FT_RF_26[[#This Row],[Vidrios]:[Plástico]])</f>
        <v>0</v>
      </c>
      <c r="BR306" s="12" t="str">
        <f>IF(ISBLANK(FT_RF_26[[#This Row],[Descripción del producto]]),"",FT_RF_26[[#This Row],[Descripción del producto]])</f>
        <v/>
      </c>
      <c r="BS306" s="29" t="str">
        <f>IF(ISBLANK(FT_RF_26[[#This Row],[N° de Lote]]),"",FT_RF_26[[#This Row],[N° de Lote]])</f>
        <v/>
      </c>
      <c r="BT306" s="29" t="str">
        <f>IF(ISBLANK(FT_RF_26[[#This Row],[N° de Pallet]]),"",FT_RF_26[[#This Row],[N° de Pallet]])</f>
        <v/>
      </c>
    </row>
    <row r="307" spans="2:72">
      <c r="B307" s="29">
        <f>+_xlfn.ISOWEEKNUM(FT_RF_26[[#This Row],[Fecha]])</f>
        <v>52</v>
      </c>
      <c r="E307" s="31"/>
      <c r="F307" s="12" t="str">
        <f>IFERROR(""&amp;_xlfn.XLOOKUP(FT_RF_26[[#This Row],[Código]],BD_Cod[SKU],BD_Cod[Descripción]),"")</f>
        <v/>
      </c>
      <c r="G307" s="32" t="str">
        <f>IFERROR(""&amp;_xlfn.XLOOKUP(FT_RF_26[[#This Row],[Código]],BD_Cod[SKU],BD_Cod[Familia Calidad]),"")</f>
        <v/>
      </c>
      <c r="J307" s="33">
        <v>1000</v>
      </c>
      <c r="L307" s="30" t="s">
        <v>244</v>
      </c>
      <c r="O307" s="30" t="s">
        <v>894</v>
      </c>
      <c r="P307" s="29" t="s">
        <v>894</v>
      </c>
      <c r="Q307" s="37">
        <f>1-FT_RF_26[[#This Row],[% Defectos]]</f>
        <v>1</v>
      </c>
      <c r="R307" s="38">
        <v>0</v>
      </c>
      <c r="S307" s="39">
        <f>+IFERROR((FT_RF_26[[#This Row],[Inmadura]]/FT_RF_26[[#This Row],[Muestra]]),"0")</f>
        <v>0</v>
      </c>
      <c r="T307" s="38">
        <v>0</v>
      </c>
      <c r="U307" s="39">
        <f>+IFERROR((FT_RF_26[[#This Row],[Partidas]]/FT_RF_26[[#This Row],[Muestra]]),"0")</f>
        <v>0</v>
      </c>
      <c r="V307" s="38">
        <v>0</v>
      </c>
      <c r="W307" s="39">
        <f>+IFERROR((FT_RF_26[[#This Row],[Daño Insecto]]/FT_RF_26[[#This Row],[Muestra]]),"0")</f>
        <v>0</v>
      </c>
      <c r="X307" s="38">
        <v>0</v>
      </c>
      <c r="Y307" s="39">
        <f>+IFERROR((FT_RF_26[[#This Row],[Sobremadura]]/FT_RF_26[[#This Row],[Muestra]]),"0")</f>
        <v>0</v>
      </c>
      <c r="Z307" s="38">
        <v>0</v>
      </c>
      <c r="AA307" s="39">
        <f>+IFERROR((FT_RF_26[[#This Row],[Deforme]]/FT_RF_26[[#This Row],[Muestra]]),"0")</f>
        <v>0</v>
      </c>
      <c r="AB307" s="27"/>
      <c r="AC307" s="38">
        <v>0</v>
      </c>
      <c r="AD307" s="39">
        <f>+IFERROR((FT_RF_26[[#This Row],[Valor Extra 1]]/FT_RF_26[[#This Row],[Muestra]]),"0")</f>
        <v>0</v>
      </c>
      <c r="AF307" s="38">
        <v>0</v>
      </c>
      <c r="AG307" s="39">
        <f>+IFERROR((FT_RF_26[[#This Row],[Valor Extra 2]]/FT_RF_26[[#This Row],[Muestra]]),"0")</f>
        <v>0</v>
      </c>
      <c r="AH307" s="40">
        <v>0</v>
      </c>
      <c r="AI307" s="39">
        <f>+IFERROR((FT_RF_26[[#This Row],[Hongos]]/FT_RF_26[[#This Row],[Muestra]]),"0")</f>
        <v>0</v>
      </c>
      <c r="AJ307" s="38">
        <v>0</v>
      </c>
      <c r="AK307" s="39">
        <f>+IFERROR((FT_RF_26[[#This Row],[Block]]/FT_RF_26[[#This Row],[Muestra]]),"0")</f>
        <v>0</v>
      </c>
      <c r="AL307" s="41">
        <v>0</v>
      </c>
      <c r="AM307" s="42">
        <v>0</v>
      </c>
      <c r="AN307" s="38">
        <v>0</v>
      </c>
      <c r="AO307" s="39">
        <f>+IFERROR((FT_RF_26[[#This Row],[Fuera de calibre &lt;12mm]]/FT_RF_26[[#This Row],[Muestra]]),"0")</f>
        <v>0</v>
      </c>
      <c r="AP307" s="38">
        <v>0</v>
      </c>
      <c r="AQ307" s="39">
        <f>+IFERROR((FT_RF_26[[#This Row],[Calibre &lt;25]]/FT_RF_26[[#This Row],[Muestra]]),"0")</f>
        <v>0</v>
      </c>
      <c r="AR307" s="38">
        <v>0</v>
      </c>
      <c r="AS307" s="39">
        <f>+IFERROR((FT_RF_26[[#This Row],[Calibre &gt;12]]/FT_RF_26[[#This Row],[Muestra]]),"0")</f>
        <v>0</v>
      </c>
      <c r="AT307" s="38">
        <v>0</v>
      </c>
      <c r="AU307" s="39">
        <f>+IFERROR((FT_RF_26[[#This Row],[Calibre &lt;14]]/FT_RF_26[[#This Row],[Muestra]]),"0")</f>
        <v>0</v>
      </c>
      <c r="AV307" s="38">
        <v>0</v>
      </c>
      <c r="AW307" s="39">
        <f>+IFERROR((FT_RF_26[[#This Row],[Calibre &gt;14]]/FT_RF_26[[#This Row],[Muestra]]),"0")</f>
        <v>0</v>
      </c>
      <c r="AX307" s="38">
        <v>0</v>
      </c>
      <c r="AY307" s="39">
        <f>+IFERROR((FT_RF_26[[#This Row],[Calibre &lt;10]]/FT_RF_26[[#This Row],[Muestra]]),"0")</f>
        <v>0</v>
      </c>
      <c r="AZ307" s="38">
        <v>0</v>
      </c>
      <c r="BA307" s="39">
        <f>+IFERROR((FT_RF_26[[#This Row],[Calibre &gt;13]]/FT_RF_26[[#This Row],[Muestra]]),"0")</f>
        <v>0</v>
      </c>
      <c r="BB307" s="41"/>
      <c r="BG307" s="42"/>
      <c r="BH307" s="43">
        <v>0</v>
      </c>
      <c r="BI307" s="29" t="s">
        <v>894</v>
      </c>
      <c r="BJ307" s="29" t="s">
        <v>894</v>
      </c>
      <c r="BK30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0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07" s="45">
        <f>1-FT_RF_26[[#This Row],[% Defectos]]</f>
        <v>1</v>
      </c>
      <c r="BO307" s="60"/>
      <c r="BP307" s="12">
        <f>SUM(FT_RF_26[[#This Row],[Hoja (Un.)]:[Larvas Caja]])</f>
        <v>0</v>
      </c>
      <c r="BQ307" s="12">
        <f>SUM(FT_RF_26[[#This Row],[Vidrios]:[Plástico]])</f>
        <v>0</v>
      </c>
      <c r="BR307" s="12" t="str">
        <f>IF(ISBLANK(FT_RF_26[[#This Row],[Descripción del producto]]),"",FT_RF_26[[#This Row],[Descripción del producto]])</f>
        <v/>
      </c>
      <c r="BS307" s="29" t="str">
        <f>IF(ISBLANK(FT_RF_26[[#This Row],[N° de Lote]]),"",FT_RF_26[[#This Row],[N° de Lote]])</f>
        <v/>
      </c>
      <c r="BT307" s="29" t="str">
        <f>IF(ISBLANK(FT_RF_26[[#This Row],[N° de Pallet]]),"",FT_RF_26[[#This Row],[N° de Pallet]])</f>
        <v/>
      </c>
    </row>
    <row r="308" spans="2:72">
      <c r="B308" s="29">
        <f>+_xlfn.ISOWEEKNUM(FT_RF_26[[#This Row],[Fecha]])</f>
        <v>52</v>
      </c>
      <c r="E308" s="31"/>
      <c r="F308" s="12" t="str">
        <f>IFERROR(""&amp;_xlfn.XLOOKUP(FT_RF_26[[#This Row],[Código]],BD_Cod[SKU],BD_Cod[Descripción]),"")</f>
        <v/>
      </c>
      <c r="G308" s="32" t="str">
        <f>IFERROR(""&amp;_xlfn.XLOOKUP(FT_RF_26[[#This Row],[Código]],BD_Cod[SKU],BD_Cod[Familia Calidad]),"")</f>
        <v/>
      </c>
      <c r="J308" s="33">
        <v>1000</v>
      </c>
      <c r="L308" s="30" t="s">
        <v>244</v>
      </c>
      <c r="O308" s="30" t="s">
        <v>894</v>
      </c>
      <c r="P308" s="29" t="s">
        <v>894</v>
      </c>
      <c r="Q308" s="37">
        <f>1-FT_RF_26[[#This Row],[% Defectos]]</f>
        <v>1</v>
      </c>
      <c r="R308" s="38">
        <v>0</v>
      </c>
      <c r="S308" s="39">
        <f>+IFERROR((FT_RF_26[[#This Row],[Inmadura]]/FT_RF_26[[#This Row],[Muestra]]),"0")</f>
        <v>0</v>
      </c>
      <c r="T308" s="38">
        <v>0</v>
      </c>
      <c r="U308" s="39">
        <f>+IFERROR((FT_RF_26[[#This Row],[Partidas]]/FT_RF_26[[#This Row],[Muestra]]),"0")</f>
        <v>0</v>
      </c>
      <c r="V308" s="38">
        <v>0</v>
      </c>
      <c r="W308" s="39">
        <f>+IFERROR((FT_RF_26[[#This Row],[Daño Insecto]]/FT_RF_26[[#This Row],[Muestra]]),"0")</f>
        <v>0</v>
      </c>
      <c r="X308" s="38">
        <v>0</v>
      </c>
      <c r="Y308" s="39">
        <f>+IFERROR((FT_RF_26[[#This Row],[Sobremadura]]/FT_RF_26[[#This Row],[Muestra]]),"0")</f>
        <v>0</v>
      </c>
      <c r="Z308" s="38">
        <v>0</v>
      </c>
      <c r="AA308" s="39">
        <f>+IFERROR((FT_RF_26[[#This Row],[Deforme]]/FT_RF_26[[#This Row],[Muestra]]),"0")</f>
        <v>0</v>
      </c>
      <c r="AB308" s="27"/>
      <c r="AC308" s="38">
        <v>0</v>
      </c>
      <c r="AD308" s="39">
        <f>+IFERROR((FT_RF_26[[#This Row],[Valor Extra 1]]/FT_RF_26[[#This Row],[Muestra]]),"0")</f>
        <v>0</v>
      </c>
      <c r="AF308" s="38">
        <v>0</v>
      </c>
      <c r="AG308" s="39">
        <f>+IFERROR((FT_RF_26[[#This Row],[Valor Extra 2]]/FT_RF_26[[#This Row],[Muestra]]),"0")</f>
        <v>0</v>
      </c>
      <c r="AH308" s="40">
        <v>0</v>
      </c>
      <c r="AI308" s="39">
        <f>+IFERROR((FT_RF_26[[#This Row],[Hongos]]/FT_RF_26[[#This Row],[Muestra]]),"0")</f>
        <v>0</v>
      </c>
      <c r="AJ308" s="38">
        <v>0</v>
      </c>
      <c r="AK308" s="39">
        <f>+IFERROR((FT_RF_26[[#This Row],[Block]]/FT_RF_26[[#This Row],[Muestra]]),"0")</f>
        <v>0</v>
      </c>
      <c r="AL308" s="41">
        <v>0</v>
      </c>
      <c r="AM308" s="42">
        <v>0</v>
      </c>
      <c r="AN308" s="38">
        <v>0</v>
      </c>
      <c r="AO308" s="39">
        <f>+IFERROR((FT_RF_26[[#This Row],[Fuera de calibre &lt;12mm]]/FT_RF_26[[#This Row],[Muestra]]),"0")</f>
        <v>0</v>
      </c>
      <c r="AP308" s="38">
        <v>0</v>
      </c>
      <c r="AQ308" s="39">
        <f>+IFERROR((FT_RF_26[[#This Row],[Calibre &lt;25]]/FT_RF_26[[#This Row],[Muestra]]),"0")</f>
        <v>0</v>
      </c>
      <c r="AR308" s="38">
        <v>0</v>
      </c>
      <c r="AS308" s="39">
        <f>+IFERROR((FT_RF_26[[#This Row],[Calibre &gt;12]]/FT_RF_26[[#This Row],[Muestra]]),"0")</f>
        <v>0</v>
      </c>
      <c r="AT308" s="38">
        <v>0</v>
      </c>
      <c r="AU308" s="39">
        <f>+IFERROR((FT_RF_26[[#This Row],[Calibre &lt;14]]/FT_RF_26[[#This Row],[Muestra]]),"0")</f>
        <v>0</v>
      </c>
      <c r="AV308" s="38">
        <v>0</v>
      </c>
      <c r="AW308" s="39">
        <f>+IFERROR((FT_RF_26[[#This Row],[Calibre &gt;14]]/FT_RF_26[[#This Row],[Muestra]]),"0")</f>
        <v>0</v>
      </c>
      <c r="AX308" s="38">
        <v>0</v>
      </c>
      <c r="AY308" s="39">
        <f>+IFERROR((FT_RF_26[[#This Row],[Calibre &lt;10]]/FT_RF_26[[#This Row],[Muestra]]),"0")</f>
        <v>0</v>
      </c>
      <c r="AZ308" s="38">
        <v>0</v>
      </c>
      <c r="BA308" s="39">
        <f>+IFERROR((FT_RF_26[[#This Row],[Calibre &gt;13]]/FT_RF_26[[#This Row],[Muestra]]),"0")</f>
        <v>0</v>
      </c>
      <c r="BB308" s="41"/>
      <c r="BG308" s="42"/>
      <c r="BH308" s="43">
        <v>0</v>
      </c>
      <c r="BI308" s="29" t="s">
        <v>894</v>
      </c>
      <c r="BJ308" s="29" t="s">
        <v>894</v>
      </c>
      <c r="BK30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0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08" s="45">
        <f>1-FT_RF_26[[#This Row],[% Defectos]]</f>
        <v>1</v>
      </c>
      <c r="BO308" s="60"/>
      <c r="BP308" s="12">
        <f>SUM(FT_RF_26[[#This Row],[Hoja (Un.)]:[Larvas Caja]])</f>
        <v>0</v>
      </c>
      <c r="BQ308" s="12">
        <f>SUM(FT_RF_26[[#This Row],[Vidrios]:[Plástico]])</f>
        <v>0</v>
      </c>
      <c r="BR308" s="12" t="str">
        <f>IF(ISBLANK(FT_RF_26[[#This Row],[Descripción del producto]]),"",FT_RF_26[[#This Row],[Descripción del producto]])</f>
        <v/>
      </c>
      <c r="BS308" s="29" t="str">
        <f>IF(ISBLANK(FT_RF_26[[#This Row],[N° de Lote]]),"",FT_RF_26[[#This Row],[N° de Lote]])</f>
        <v/>
      </c>
      <c r="BT308" s="29" t="str">
        <f>IF(ISBLANK(FT_RF_26[[#This Row],[N° de Pallet]]),"",FT_RF_26[[#This Row],[N° de Pallet]])</f>
        <v/>
      </c>
    </row>
    <row r="309" spans="2:72">
      <c r="B309" s="29">
        <f>+_xlfn.ISOWEEKNUM(FT_RF_26[[#This Row],[Fecha]])</f>
        <v>52</v>
      </c>
      <c r="E309" s="31"/>
      <c r="F309" s="12" t="str">
        <f>IFERROR(""&amp;_xlfn.XLOOKUP(FT_RF_26[[#This Row],[Código]],BD_Cod[SKU],BD_Cod[Descripción]),"")</f>
        <v/>
      </c>
      <c r="G309" s="32" t="str">
        <f>IFERROR(""&amp;_xlfn.XLOOKUP(FT_RF_26[[#This Row],[Código]],BD_Cod[SKU],BD_Cod[Familia Calidad]),"")</f>
        <v/>
      </c>
      <c r="J309" s="33">
        <v>1000</v>
      </c>
      <c r="L309" s="30" t="s">
        <v>244</v>
      </c>
      <c r="O309" s="30" t="s">
        <v>894</v>
      </c>
      <c r="P309" s="29" t="s">
        <v>894</v>
      </c>
      <c r="Q309" s="37">
        <f>1-FT_RF_26[[#This Row],[% Defectos]]</f>
        <v>1</v>
      </c>
      <c r="R309" s="38">
        <v>0</v>
      </c>
      <c r="S309" s="39">
        <f>+IFERROR((FT_RF_26[[#This Row],[Inmadura]]/FT_RF_26[[#This Row],[Muestra]]),"0")</f>
        <v>0</v>
      </c>
      <c r="T309" s="38">
        <v>0</v>
      </c>
      <c r="U309" s="39">
        <f>+IFERROR((FT_RF_26[[#This Row],[Partidas]]/FT_RF_26[[#This Row],[Muestra]]),"0")</f>
        <v>0</v>
      </c>
      <c r="V309" s="38">
        <v>0</v>
      </c>
      <c r="W309" s="39">
        <f>+IFERROR((FT_RF_26[[#This Row],[Daño Insecto]]/FT_RF_26[[#This Row],[Muestra]]),"0")</f>
        <v>0</v>
      </c>
      <c r="X309" s="38">
        <v>0</v>
      </c>
      <c r="Y309" s="39">
        <f>+IFERROR((FT_RF_26[[#This Row],[Sobremadura]]/FT_RF_26[[#This Row],[Muestra]]),"0")</f>
        <v>0</v>
      </c>
      <c r="Z309" s="38">
        <v>0</v>
      </c>
      <c r="AA309" s="39">
        <f>+IFERROR((FT_RF_26[[#This Row],[Deforme]]/FT_RF_26[[#This Row],[Muestra]]),"0")</f>
        <v>0</v>
      </c>
      <c r="AB309" s="27"/>
      <c r="AC309" s="38">
        <v>0</v>
      </c>
      <c r="AD309" s="39">
        <f>+IFERROR((FT_RF_26[[#This Row],[Valor Extra 1]]/FT_RF_26[[#This Row],[Muestra]]),"0")</f>
        <v>0</v>
      </c>
      <c r="AF309" s="38">
        <v>0</v>
      </c>
      <c r="AG309" s="39">
        <f>+IFERROR((FT_RF_26[[#This Row],[Valor Extra 2]]/FT_RF_26[[#This Row],[Muestra]]),"0")</f>
        <v>0</v>
      </c>
      <c r="AH309" s="40">
        <v>0</v>
      </c>
      <c r="AI309" s="39">
        <f>+IFERROR((FT_RF_26[[#This Row],[Hongos]]/FT_RF_26[[#This Row],[Muestra]]),"0")</f>
        <v>0</v>
      </c>
      <c r="AJ309" s="38">
        <v>0</v>
      </c>
      <c r="AK309" s="39">
        <f>+IFERROR((FT_RF_26[[#This Row],[Block]]/FT_RF_26[[#This Row],[Muestra]]),"0")</f>
        <v>0</v>
      </c>
      <c r="AL309" s="41">
        <v>0</v>
      </c>
      <c r="AM309" s="42">
        <v>0</v>
      </c>
      <c r="AN309" s="38">
        <v>0</v>
      </c>
      <c r="AO309" s="39">
        <f>+IFERROR((FT_RF_26[[#This Row],[Fuera de calibre &lt;12mm]]/FT_RF_26[[#This Row],[Muestra]]),"0")</f>
        <v>0</v>
      </c>
      <c r="AP309" s="38">
        <v>0</v>
      </c>
      <c r="AQ309" s="39">
        <f>+IFERROR((FT_RF_26[[#This Row],[Calibre &lt;25]]/FT_RF_26[[#This Row],[Muestra]]),"0")</f>
        <v>0</v>
      </c>
      <c r="AR309" s="38">
        <v>0</v>
      </c>
      <c r="AS309" s="39">
        <f>+IFERROR((FT_RF_26[[#This Row],[Calibre &gt;12]]/FT_RF_26[[#This Row],[Muestra]]),"0")</f>
        <v>0</v>
      </c>
      <c r="AT309" s="38">
        <v>0</v>
      </c>
      <c r="AU309" s="39">
        <f>+IFERROR((FT_RF_26[[#This Row],[Calibre &lt;14]]/FT_RF_26[[#This Row],[Muestra]]),"0")</f>
        <v>0</v>
      </c>
      <c r="AV309" s="38">
        <v>0</v>
      </c>
      <c r="AW309" s="39">
        <f>+IFERROR((FT_RF_26[[#This Row],[Calibre &gt;14]]/FT_RF_26[[#This Row],[Muestra]]),"0")</f>
        <v>0</v>
      </c>
      <c r="AX309" s="38">
        <v>0</v>
      </c>
      <c r="AY309" s="39">
        <f>+IFERROR((FT_RF_26[[#This Row],[Calibre &lt;10]]/FT_RF_26[[#This Row],[Muestra]]),"0")</f>
        <v>0</v>
      </c>
      <c r="AZ309" s="38">
        <v>0</v>
      </c>
      <c r="BA309" s="39">
        <f>+IFERROR((FT_RF_26[[#This Row],[Calibre &gt;13]]/FT_RF_26[[#This Row],[Muestra]]),"0")</f>
        <v>0</v>
      </c>
      <c r="BB309" s="41"/>
      <c r="BG309" s="42"/>
      <c r="BH309" s="43">
        <v>0</v>
      </c>
      <c r="BI309" s="29" t="s">
        <v>894</v>
      </c>
      <c r="BJ309" s="29" t="s">
        <v>894</v>
      </c>
      <c r="BK30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0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09" s="45">
        <f>1-FT_RF_26[[#This Row],[% Defectos]]</f>
        <v>1</v>
      </c>
      <c r="BO309" s="60"/>
      <c r="BP309" s="12">
        <f>SUM(FT_RF_26[[#This Row],[Hoja (Un.)]:[Larvas Caja]])</f>
        <v>0</v>
      </c>
      <c r="BQ309" s="12">
        <f>SUM(FT_RF_26[[#This Row],[Vidrios]:[Plástico]])</f>
        <v>0</v>
      </c>
      <c r="BR309" s="12" t="str">
        <f>IF(ISBLANK(FT_RF_26[[#This Row],[Descripción del producto]]),"",FT_RF_26[[#This Row],[Descripción del producto]])</f>
        <v/>
      </c>
      <c r="BS309" s="29" t="str">
        <f>IF(ISBLANK(FT_RF_26[[#This Row],[N° de Lote]]),"",FT_RF_26[[#This Row],[N° de Lote]])</f>
        <v/>
      </c>
      <c r="BT309" s="29" t="str">
        <f>IF(ISBLANK(FT_RF_26[[#This Row],[N° de Pallet]]),"",FT_RF_26[[#This Row],[N° de Pallet]])</f>
        <v/>
      </c>
    </row>
    <row r="310" spans="2:72">
      <c r="B310" s="29">
        <f>+_xlfn.ISOWEEKNUM(FT_RF_26[[#This Row],[Fecha]])</f>
        <v>52</v>
      </c>
      <c r="E310" s="31"/>
      <c r="F310" s="12" t="str">
        <f>IFERROR(""&amp;_xlfn.XLOOKUP(FT_RF_26[[#This Row],[Código]],BD_Cod[SKU],BD_Cod[Descripción]),"")</f>
        <v/>
      </c>
      <c r="G310" s="32" t="str">
        <f>IFERROR(""&amp;_xlfn.XLOOKUP(FT_RF_26[[#This Row],[Código]],BD_Cod[SKU],BD_Cod[Familia Calidad]),"")</f>
        <v/>
      </c>
      <c r="J310" s="33">
        <v>1000</v>
      </c>
      <c r="L310" s="30" t="s">
        <v>244</v>
      </c>
      <c r="O310" s="30" t="s">
        <v>894</v>
      </c>
      <c r="P310" s="29" t="s">
        <v>894</v>
      </c>
      <c r="Q310" s="37">
        <f>1-FT_RF_26[[#This Row],[% Defectos]]</f>
        <v>1</v>
      </c>
      <c r="R310" s="38">
        <v>0</v>
      </c>
      <c r="S310" s="39">
        <f>+IFERROR((FT_RF_26[[#This Row],[Inmadura]]/FT_RF_26[[#This Row],[Muestra]]),"0")</f>
        <v>0</v>
      </c>
      <c r="T310" s="38">
        <v>0</v>
      </c>
      <c r="U310" s="39">
        <f>+IFERROR((FT_RF_26[[#This Row],[Partidas]]/FT_RF_26[[#This Row],[Muestra]]),"0")</f>
        <v>0</v>
      </c>
      <c r="V310" s="38">
        <v>0</v>
      </c>
      <c r="W310" s="39">
        <f>+IFERROR((FT_RF_26[[#This Row],[Daño Insecto]]/FT_RF_26[[#This Row],[Muestra]]),"0")</f>
        <v>0</v>
      </c>
      <c r="X310" s="38">
        <v>0</v>
      </c>
      <c r="Y310" s="39">
        <f>+IFERROR((FT_RF_26[[#This Row],[Sobremadura]]/FT_RF_26[[#This Row],[Muestra]]),"0")</f>
        <v>0</v>
      </c>
      <c r="Z310" s="38">
        <v>0</v>
      </c>
      <c r="AA310" s="39">
        <f>+IFERROR((FT_RF_26[[#This Row],[Deforme]]/FT_RF_26[[#This Row],[Muestra]]),"0")</f>
        <v>0</v>
      </c>
      <c r="AB310" s="27"/>
      <c r="AC310" s="38">
        <v>0</v>
      </c>
      <c r="AD310" s="39">
        <f>+IFERROR((FT_RF_26[[#This Row],[Valor Extra 1]]/FT_RF_26[[#This Row],[Muestra]]),"0")</f>
        <v>0</v>
      </c>
      <c r="AF310" s="38">
        <v>0</v>
      </c>
      <c r="AG310" s="39">
        <f>+IFERROR((FT_RF_26[[#This Row],[Valor Extra 2]]/FT_RF_26[[#This Row],[Muestra]]),"0")</f>
        <v>0</v>
      </c>
      <c r="AH310" s="40">
        <v>0</v>
      </c>
      <c r="AI310" s="39">
        <f>+IFERROR((FT_RF_26[[#This Row],[Hongos]]/FT_RF_26[[#This Row],[Muestra]]),"0")</f>
        <v>0</v>
      </c>
      <c r="AJ310" s="38">
        <v>0</v>
      </c>
      <c r="AK310" s="39">
        <f>+IFERROR((FT_RF_26[[#This Row],[Block]]/FT_RF_26[[#This Row],[Muestra]]),"0")</f>
        <v>0</v>
      </c>
      <c r="AL310" s="41">
        <v>0</v>
      </c>
      <c r="AM310" s="42">
        <v>0</v>
      </c>
      <c r="AN310" s="38">
        <v>0</v>
      </c>
      <c r="AO310" s="39">
        <f>+IFERROR((FT_RF_26[[#This Row],[Fuera de calibre &lt;12mm]]/FT_RF_26[[#This Row],[Muestra]]),"0")</f>
        <v>0</v>
      </c>
      <c r="AP310" s="38">
        <v>0</v>
      </c>
      <c r="AQ310" s="39">
        <f>+IFERROR((FT_RF_26[[#This Row],[Calibre &lt;25]]/FT_RF_26[[#This Row],[Muestra]]),"0")</f>
        <v>0</v>
      </c>
      <c r="AR310" s="38">
        <v>0</v>
      </c>
      <c r="AS310" s="39">
        <f>+IFERROR((FT_RF_26[[#This Row],[Calibre &gt;12]]/FT_RF_26[[#This Row],[Muestra]]),"0")</f>
        <v>0</v>
      </c>
      <c r="AT310" s="38">
        <v>0</v>
      </c>
      <c r="AU310" s="39">
        <f>+IFERROR((FT_RF_26[[#This Row],[Calibre &lt;14]]/FT_RF_26[[#This Row],[Muestra]]),"0")</f>
        <v>0</v>
      </c>
      <c r="AV310" s="38">
        <v>0</v>
      </c>
      <c r="AW310" s="39">
        <f>+IFERROR((FT_RF_26[[#This Row],[Calibre &gt;14]]/FT_RF_26[[#This Row],[Muestra]]),"0")</f>
        <v>0</v>
      </c>
      <c r="AX310" s="38">
        <v>0</v>
      </c>
      <c r="AY310" s="39">
        <f>+IFERROR((FT_RF_26[[#This Row],[Calibre &lt;10]]/FT_RF_26[[#This Row],[Muestra]]),"0")</f>
        <v>0</v>
      </c>
      <c r="AZ310" s="38">
        <v>0</v>
      </c>
      <c r="BA310" s="39">
        <f>+IFERROR((FT_RF_26[[#This Row],[Calibre &gt;13]]/FT_RF_26[[#This Row],[Muestra]]),"0")</f>
        <v>0</v>
      </c>
      <c r="BB310" s="41"/>
      <c r="BG310" s="42"/>
      <c r="BH310" s="43">
        <v>0</v>
      </c>
      <c r="BI310" s="29" t="s">
        <v>894</v>
      </c>
      <c r="BJ310" s="29" t="s">
        <v>894</v>
      </c>
      <c r="BK31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1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10" s="45">
        <f>1-FT_RF_26[[#This Row],[% Defectos]]</f>
        <v>1</v>
      </c>
      <c r="BO310" s="60"/>
      <c r="BP310" s="12">
        <f>SUM(FT_RF_26[[#This Row],[Hoja (Un.)]:[Larvas Caja]])</f>
        <v>0</v>
      </c>
      <c r="BQ310" s="12">
        <f>SUM(FT_RF_26[[#This Row],[Vidrios]:[Plástico]])</f>
        <v>0</v>
      </c>
      <c r="BR310" s="12" t="str">
        <f>IF(ISBLANK(FT_RF_26[[#This Row],[Descripción del producto]]),"",FT_RF_26[[#This Row],[Descripción del producto]])</f>
        <v/>
      </c>
      <c r="BS310" s="29" t="str">
        <f>IF(ISBLANK(FT_RF_26[[#This Row],[N° de Lote]]),"",FT_RF_26[[#This Row],[N° de Lote]])</f>
        <v/>
      </c>
      <c r="BT310" s="29" t="str">
        <f>IF(ISBLANK(FT_RF_26[[#This Row],[N° de Pallet]]),"",FT_RF_26[[#This Row],[N° de Pallet]])</f>
        <v/>
      </c>
    </row>
    <row r="311" spans="2:72">
      <c r="B311" s="29">
        <f>+_xlfn.ISOWEEKNUM(FT_RF_26[[#This Row],[Fecha]])</f>
        <v>52</v>
      </c>
      <c r="E311" s="31"/>
      <c r="F311" s="12" t="str">
        <f>IFERROR(""&amp;_xlfn.XLOOKUP(FT_RF_26[[#This Row],[Código]],BD_Cod[SKU],BD_Cod[Descripción]),"")</f>
        <v/>
      </c>
      <c r="G311" s="32" t="str">
        <f>IFERROR(""&amp;_xlfn.XLOOKUP(FT_RF_26[[#This Row],[Código]],BD_Cod[SKU],BD_Cod[Familia Calidad]),"")</f>
        <v/>
      </c>
      <c r="J311" s="33">
        <v>1000</v>
      </c>
      <c r="L311" s="30" t="s">
        <v>244</v>
      </c>
      <c r="O311" s="30" t="s">
        <v>894</v>
      </c>
      <c r="P311" s="29" t="s">
        <v>894</v>
      </c>
      <c r="Q311" s="37">
        <f>1-FT_RF_26[[#This Row],[% Defectos]]</f>
        <v>1</v>
      </c>
      <c r="R311" s="38">
        <v>0</v>
      </c>
      <c r="S311" s="39">
        <f>+IFERROR((FT_RF_26[[#This Row],[Inmadura]]/FT_RF_26[[#This Row],[Muestra]]),"0")</f>
        <v>0</v>
      </c>
      <c r="T311" s="38">
        <v>0</v>
      </c>
      <c r="U311" s="39">
        <f>+IFERROR((FT_RF_26[[#This Row],[Partidas]]/FT_RF_26[[#This Row],[Muestra]]),"0")</f>
        <v>0</v>
      </c>
      <c r="V311" s="38">
        <v>0</v>
      </c>
      <c r="W311" s="39">
        <f>+IFERROR((FT_RF_26[[#This Row],[Daño Insecto]]/FT_RF_26[[#This Row],[Muestra]]),"0")</f>
        <v>0</v>
      </c>
      <c r="X311" s="38">
        <v>0</v>
      </c>
      <c r="Y311" s="39">
        <f>+IFERROR((FT_RF_26[[#This Row],[Sobremadura]]/FT_RF_26[[#This Row],[Muestra]]),"0")</f>
        <v>0</v>
      </c>
      <c r="Z311" s="38">
        <v>0</v>
      </c>
      <c r="AA311" s="39">
        <f>+IFERROR((FT_RF_26[[#This Row],[Deforme]]/FT_RF_26[[#This Row],[Muestra]]),"0")</f>
        <v>0</v>
      </c>
      <c r="AB311" s="27"/>
      <c r="AC311" s="38">
        <v>0</v>
      </c>
      <c r="AD311" s="39">
        <f>+IFERROR((FT_RF_26[[#This Row],[Valor Extra 1]]/FT_RF_26[[#This Row],[Muestra]]),"0")</f>
        <v>0</v>
      </c>
      <c r="AF311" s="38">
        <v>0</v>
      </c>
      <c r="AG311" s="39">
        <f>+IFERROR((FT_RF_26[[#This Row],[Valor Extra 2]]/FT_RF_26[[#This Row],[Muestra]]),"0")</f>
        <v>0</v>
      </c>
      <c r="AH311" s="40">
        <v>0</v>
      </c>
      <c r="AI311" s="39">
        <f>+IFERROR((FT_RF_26[[#This Row],[Hongos]]/FT_RF_26[[#This Row],[Muestra]]),"0")</f>
        <v>0</v>
      </c>
      <c r="AJ311" s="38">
        <v>0</v>
      </c>
      <c r="AK311" s="39">
        <f>+IFERROR((FT_RF_26[[#This Row],[Block]]/FT_RF_26[[#This Row],[Muestra]]),"0")</f>
        <v>0</v>
      </c>
      <c r="AL311" s="41">
        <v>0</v>
      </c>
      <c r="AM311" s="42">
        <v>0</v>
      </c>
      <c r="AN311" s="38">
        <v>0</v>
      </c>
      <c r="AO311" s="39">
        <f>+IFERROR((FT_RF_26[[#This Row],[Fuera de calibre &lt;12mm]]/FT_RF_26[[#This Row],[Muestra]]),"0")</f>
        <v>0</v>
      </c>
      <c r="AP311" s="38">
        <v>0</v>
      </c>
      <c r="AQ311" s="39">
        <f>+IFERROR((FT_RF_26[[#This Row],[Calibre &lt;25]]/FT_RF_26[[#This Row],[Muestra]]),"0")</f>
        <v>0</v>
      </c>
      <c r="AR311" s="38">
        <v>0</v>
      </c>
      <c r="AS311" s="39">
        <f>+IFERROR((FT_RF_26[[#This Row],[Calibre &gt;12]]/FT_RF_26[[#This Row],[Muestra]]),"0")</f>
        <v>0</v>
      </c>
      <c r="AT311" s="38">
        <v>0</v>
      </c>
      <c r="AU311" s="39">
        <f>+IFERROR((FT_RF_26[[#This Row],[Calibre &lt;14]]/FT_RF_26[[#This Row],[Muestra]]),"0")</f>
        <v>0</v>
      </c>
      <c r="AV311" s="38">
        <v>0</v>
      </c>
      <c r="AW311" s="39">
        <f>+IFERROR((FT_RF_26[[#This Row],[Calibre &gt;14]]/FT_RF_26[[#This Row],[Muestra]]),"0")</f>
        <v>0</v>
      </c>
      <c r="AX311" s="38">
        <v>0</v>
      </c>
      <c r="AY311" s="39">
        <f>+IFERROR((FT_RF_26[[#This Row],[Calibre &lt;10]]/FT_RF_26[[#This Row],[Muestra]]),"0")</f>
        <v>0</v>
      </c>
      <c r="AZ311" s="38">
        <v>0</v>
      </c>
      <c r="BA311" s="39">
        <f>+IFERROR((FT_RF_26[[#This Row],[Calibre &gt;13]]/FT_RF_26[[#This Row],[Muestra]]),"0")</f>
        <v>0</v>
      </c>
      <c r="BB311" s="41"/>
      <c r="BG311" s="42"/>
      <c r="BH311" s="43">
        <v>0</v>
      </c>
      <c r="BI311" s="29" t="s">
        <v>894</v>
      </c>
      <c r="BJ311" s="29" t="s">
        <v>894</v>
      </c>
      <c r="BK31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1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11" s="45">
        <f>1-FT_RF_26[[#This Row],[% Defectos]]</f>
        <v>1</v>
      </c>
      <c r="BO311" s="60"/>
      <c r="BP311" s="12">
        <f>SUM(FT_RF_26[[#This Row],[Hoja (Un.)]:[Larvas Caja]])</f>
        <v>0</v>
      </c>
      <c r="BQ311" s="12">
        <f>SUM(FT_RF_26[[#This Row],[Vidrios]:[Plástico]])</f>
        <v>0</v>
      </c>
      <c r="BR311" s="12" t="str">
        <f>IF(ISBLANK(FT_RF_26[[#This Row],[Descripción del producto]]),"",FT_RF_26[[#This Row],[Descripción del producto]])</f>
        <v/>
      </c>
      <c r="BS311" s="29" t="str">
        <f>IF(ISBLANK(FT_RF_26[[#This Row],[N° de Lote]]),"",FT_RF_26[[#This Row],[N° de Lote]])</f>
        <v/>
      </c>
      <c r="BT311" s="29" t="str">
        <f>IF(ISBLANK(FT_RF_26[[#This Row],[N° de Pallet]]),"",FT_RF_26[[#This Row],[N° de Pallet]])</f>
        <v/>
      </c>
    </row>
    <row r="312" spans="2:72">
      <c r="B312" s="29">
        <f>+_xlfn.ISOWEEKNUM(FT_RF_26[[#This Row],[Fecha]])</f>
        <v>52</v>
      </c>
      <c r="E312" s="31"/>
      <c r="F312" s="12" t="str">
        <f>IFERROR(""&amp;_xlfn.XLOOKUP(FT_RF_26[[#This Row],[Código]],BD_Cod[SKU],BD_Cod[Descripción]),"")</f>
        <v/>
      </c>
      <c r="G312" s="32" t="str">
        <f>IFERROR(""&amp;_xlfn.XLOOKUP(FT_RF_26[[#This Row],[Código]],BD_Cod[SKU],BD_Cod[Familia Calidad]),"")</f>
        <v/>
      </c>
      <c r="J312" s="33">
        <v>1000</v>
      </c>
      <c r="L312" s="30" t="s">
        <v>244</v>
      </c>
      <c r="O312" s="30" t="s">
        <v>894</v>
      </c>
      <c r="P312" s="29" t="s">
        <v>894</v>
      </c>
      <c r="Q312" s="37">
        <f>1-FT_RF_26[[#This Row],[% Defectos]]</f>
        <v>1</v>
      </c>
      <c r="R312" s="38">
        <v>0</v>
      </c>
      <c r="S312" s="39">
        <f>+IFERROR((FT_RF_26[[#This Row],[Inmadura]]/FT_RF_26[[#This Row],[Muestra]]),"0")</f>
        <v>0</v>
      </c>
      <c r="T312" s="38">
        <v>0</v>
      </c>
      <c r="U312" s="39">
        <f>+IFERROR((FT_RF_26[[#This Row],[Partidas]]/FT_RF_26[[#This Row],[Muestra]]),"0")</f>
        <v>0</v>
      </c>
      <c r="V312" s="38">
        <v>0</v>
      </c>
      <c r="W312" s="39">
        <f>+IFERROR((FT_RF_26[[#This Row],[Daño Insecto]]/FT_RF_26[[#This Row],[Muestra]]),"0")</f>
        <v>0</v>
      </c>
      <c r="X312" s="38">
        <v>0</v>
      </c>
      <c r="Y312" s="39">
        <f>+IFERROR((FT_RF_26[[#This Row],[Sobremadura]]/FT_RF_26[[#This Row],[Muestra]]),"0")</f>
        <v>0</v>
      </c>
      <c r="Z312" s="38">
        <v>0</v>
      </c>
      <c r="AA312" s="39">
        <f>+IFERROR((FT_RF_26[[#This Row],[Deforme]]/FT_RF_26[[#This Row],[Muestra]]),"0")</f>
        <v>0</v>
      </c>
      <c r="AB312" s="27"/>
      <c r="AC312" s="38">
        <v>0</v>
      </c>
      <c r="AD312" s="39">
        <f>+IFERROR((FT_RF_26[[#This Row],[Valor Extra 1]]/FT_RF_26[[#This Row],[Muestra]]),"0")</f>
        <v>0</v>
      </c>
      <c r="AF312" s="38">
        <v>0</v>
      </c>
      <c r="AG312" s="39">
        <f>+IFERROR((FT_RF_26[[#This Row],[Valor Extra 2]]/FT_RF_26[[#This Row],[Muestra]]),"0")</f>
        <v>0</v>
      </c>
      <c r="AH312" s="40">
        <v>0</v>
      </c>
      <c r="AI312" s="39">
        <f>+IFERROR((FT_RF_26[[#This Row],[Hongos]]/FT_RF_26[[#This Row],[Muestra]]),"0")</f>
        <v>0</v>
      </c>
      <c r="AJ312" s="38">
        <v>0</v>
      </c>
      <c r="AK312" s="39">
        <f>+IFERROR((FT_RF_26[[#This Row],[Block]]/FT_RF_26[[#This Row],[Muestra]]),"0")</f>
        <v>0</v>
      </c>
      <c r="AL312" s="41">
        <v>0</v>
      </c>
      <c r="AM312" s="42">
        <v>0</v>
      </c>
      <c r="AN312" s="38">
        <v>0</v>
      </c>
      <c r="AO312" s="39">
        <f>+IFERROR((FT_RF_26[[#This Row],[Fuera de calibre &lt;12mm]]/FT_RF_26[[#This Row],[Muestra]]),"0")</f>
        <v>0</v>
      </c>
      <c r="AP312" s="38">
        <v>0</v>
      </c>
      <c r="AQ312" s="39">
        <f>+IFERROR((FT_RF_26[[#This Row],[Calibre &lt;25]]/FT_RF_26[[#This Row],[Muestra]]),"0")</f>
        <v>0</v>
      </c>
      <c r="AR312" s="38">
        <v>0</v>
      </c>
      <c r="AS312" s="39">
        <f>+IFERROR((FT_RF_26[[#This Row],[Calibre &gt;12]]/FT_RF_26[[#This Row],[Muestra]]),"0")</f>
        <v>0</v>
      </c>
      <c r="AT312" s="38">
        <v>0</v>
      </c>
      <c r="AU312" s="39">
        <f>+IFERROR((FT_RF_26[[#This Row],[Calibre &lt;14]]/FT_RF_26[[#This Row],[Muestra]]),"0")</f>
        <v>0</v>
      </c>
      <c r="AV312" s="38">
        <v>0</v>
      </c>
      <c r="AW312" s="39">
        <f>+IFERROR((FT_RF_26[[#This Row],[Calibre &gt;14]]/FT_RF_26[[#This Row],[Muestra]]),"0")</f>
        <v>0</v>
      </c>
      <c r="AX312" s="38">
        <v>0</v>
      </c>
      <c r="AY312" s="39">
        <f>+IFERROR((FT_RF_26[[#This Row],[Calibre &lt;10]]/FT_RF_26[[#This Row],[Muestra]]),"0")</f>
        <v>0</v>
      </c>
      <c r="AZ312" s="38">
        <v>0</v>
      </c>
      <c r="BA312" s="39">
        <f>+IFERROR((FT_RF_26[[#This Row],[Calibre &gt;13]]/FT_RF_26[[#This Row],[Muestra]]),"0")</f>
        <v>0</v>
      </c>
      <c r="BB312" s="41"/>
      <c r="BG312" s="42"/>
      <c r="BH312" s="43">
        <v>0</v>
      </c>
      <c r="BI312" s="29" t="s">
        <v>894</v>
      </c>
      <c r="BJ312" s="29" t="s">
        <v>894</v>
      </c>
      <c r="BK31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1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12" s="45">
        <f>1-FT_RF_26[[#This Row],[% Defectos]]</f>
        <v>1</v>
      </c>
      <c r="BO312" s="60"/>
      <c r="BP312" s="12">
        <f>SUM(FT_RF_26[[#This Row],[Hoja (Un.)]:[Larvas Caja]])</f>
        <v>0</v>
      </c>
      <c r="BQ312" s="12">
        <f>SUM(FT_RF_26[[#This Row],[Vidrios]:[Plástico]])</f>
        <v>0</v>
      </c>
      <c r="BR312" s="12" t="str">
        <f>IF(ISBLANK(FT_RF_26[[#This Row],[Descripción del producto]]),"",FT_RF_26[[#This Row],[Descripción del producto]])</f>
        <v/>
      </c>
      <c r="BS312" s="29" t="str">
        <f>IF(ISBLANK(FT_RF_26[[#This Row],[N° de Lote]]),"",FT_RF_26[[#This Row],[N° de Lote]])</f>
        <v/>
      </c>
      <c r="BT312" s="29" t="str">
        <f>IF(ISBLANK(FT_RF_26[[#This Row],[N° de Pallet]]),"",FT_RF_26[[#This Row],[N° de Pallet]])</f>
        <v/>
      </c>
    </row>
    <row r="313" spans="2:72">
      <c r="B313" s="29">
        <f>+_xlfn.ISOWEEKNUM(FT_RF_26[[#This Row],[Fecha]])</f>
        <v>52</v>
      </c>
      <c r="E313" s="31"/>
      <c r="F313" s="12" t="str">
        <f>IFERROR(""&amp;_xlfn.XLOOKUP(FT_RF_26[[#This Row],[Código]],BD_Cod[SKU],BD_Cod[Descripción]),"")</f>
        <v/>
      </c>
      <c r="G313" s="32" t="str">
        <f>IFERROR(""&amp;_xlfn.XLOOKUP(FT_RF_26[[#This Row],[Código]],BD_Cod[SKU],BD_Cod[Familia Calidad]),"")</f>
        <v/>
      </c>
      <c r="J313" s="33">
        <v>1000</v>
      </c>
      <c r="L313" s="30" t="s">
        <v>244</v>
      </c>
      <c r="O313" s="30" t="s">
        <v>894</v>
      </c>
      <c r="P313" s="29" t="s">
        <v>894</v>
      </c>
      <c r="Q313" s="37">
        <f>1-FT_RF_26[[#This Row],[% Defectos]]</f>
        <v>1</v>
      </c>
      <c r="R313" s="38">
        <v>0</v>
      </c>
      <c r="S313" s="39">
        <f>+IFERROR((FT_RF_26[[#This Row],[Inmadura]]/FT_RF_26[[#This Row],[Muestra]]),"0")</f>
        <v>0</v>
      </c>
      <c r="T313" s="38">
        <v>0</v>
      </c>
      <c r="U313" s="39">
        <f>+IFERROR((FT_RF_26[[#This Row],[Partidas]]/FT_RF_26[[#This Row],[Muestra]]),"0")</f>
        <v>0</v>
      </c>
      <c r="V313" s="38">
        <v>0</v>
      </c>
      <c r="W313" s="39">
        <f>+IFERROR((FT_RF_26[[#This Row],[Daño Insecto]]/FT_RF_26[[#This Row],[Muestra]]),"0")</f>
        <v>0</v>
      </c>
      <c r="X313" s="38">
        <v>0</v>
      </c>
      <c r="Y313" s="39">
        <f>+IFERROR((FT_RF_26[[#This Row],[Sobremadura]]/FT_RF_26[[#This Row],[Muestra]]),"0")</f>
        <v>0</v>
      </c>
      <c r="Z313" s="38">
        <v>0</v>
      </c>
      <c r="AA313" s="39">
        <f>+IFERROR((FT_RF_26[[#This Row],[Deforme]]/FT_RF_26[[#This Row],[Muestra]]),"0")</f>
        <v>0</v>
      </c>
      <c r="AB313" s="27"/>
      <c r="AC313" s="38">
        <v>0</v>
      </c>
      <c r="AD313" s="39">
        <f>+IFERROR((FT_RF_26[[#This Row],[Valor Extra 1]]/FT_RF_26[[#This Row],[Muestra]]),"0")</f>
        <v>0</v>
      </c>
      <c r="AF313" s="38">
        <v>0</v>
      </c>
      <c r="AG313" s="39">
        <f>+IFERROR((FT_RF_26[[#This Row],[Valor Extra 2]]/FT_RF_26[[#This Row],[Muestra]]),"0")</f>
        <v>0</v>
      </c>
      <c r="AH313" s="40">
        <v>0</v>
      </c>
      <c r="AI313" s="39">
        <f>+IFERROR((FT_RF_26[[#This Row],[Hongos]]/FT_RF_26[[#This Row],[Muestra]]),"0")</f>
        <v>0</v>
      </c>
      <c r="AJ313" s="38">
        <v>0</v>
      </c>
      <c r="AK313" s="39">
        <f>+IFERROR((FT_RF_26[[#This Row],[Block]]/FT_RF_26[[#This Row],[Muestra]]),"0")</f>
        <v>0</v>
      </c>
      <c r="AL313" s="41">
        <v>0</v>
      </c>
      <c r="AM313" s="42">
        <v>0</v>
      </c>
      <c r="AN313" s="38">
        <v>0</v>
      </c>
      <c r="AO313" s="39">
        <f>+IFERROR((FT_RF_26[[#This Row],[Fuera de calibre &lt;12mm]]/FT_RF_26[[#This Row],[Muestra]]),"0")</f>
        <v>0</v>
      </c>
      <c r="AP313" s="38">
        <v>0</v>
      </c>
      <c r="AQ313" s="39">
        <f>+IFERROR((FT_RF_26[[#This Row],[Calibre &lt;25]]/FT_RF_26[[#This Row],[Muestra]]),"0")</f>
        <v>0</v>
      </c>
      <c r="AR313" s="38">
        <v>0</v>
      </c>
      <c r="AS313" s="39">
        <f>+IFERROR((FT_RF_26[[#This Row],[Calibre &gt;12]]/FT_RF_26[[#This Row],[Muestra]]),"0")</f>
        <v>0</v>
      </c>
      <c r="AT313" s="38">
        <v>0</v>
      </c>
      <c r="AU313" s="39">
        <f>+IFERROR((FT_RF_26[[#This Row],[Calibre &lt;14]]/FT_RF_26[[#This Row],[Muestra]]),"0")</f>
        <v>0</v>
      </c>
      <c r="AV313" s="38">
        <v>0</v>
      </c>
      <c r="AW313" s="39">
        <f>+IFERROR((FT_RF_26[[#This Row],[Calibre &gt;14]]/FT_RF_26[[#This Row],[Muestra]]),"0")</f>
        <v>0</v>
      </c>
      <c r="AX313" s="38">
        <v>0</v>
      </c>
      <c r="AY313" s="39">
        <f>+IFERROR((FT_RF_26[[#This Row],[Calibre &lt;10]]/FT_RF_26[[#This Row],[Muestra]]),"0")</f>
        <v>0</v>
      </c>
      <c r="AZ313" s="38">
        <v>0</v>
      </c>
      <c r="BA313" s="39">
        <f>+IFERROR((FT_RF_26[[#This Row],[Calibre &gt;13]]/FT_RF_26[[#This Row],[Muestra]]),"0")</f>
        <v>0</v>
      </c>
      <c r="BB313" s="41"/>
      <c r="BG313" s="42"/>
      <c r="BH313" s="43">
        <v>0</v>
      </c>
      <c r="BI313" s="29" t="s">
        <v>894</v>
      </c>
      <c r="BJ313" s="29" t="s">
        <v>894</v>
      </c>
      <c r="BK31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1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13" s="45">
        <f>1-FT_RF_26[[#This Row],[% Defectos]]</f>
        <v>1</v>
      </c>
      <c r="BO313" s="60"/>
      <c r="BP313" s="12">
        <f>SUM(FT_RF_26[[#This Row],[Hoja (Un.)]:[Larvas Caja]])</f>
        <v>0</v>
      </c>
      <c r="BQ313" s="12">
        <f>SUM(FT_RF_26[[#This Row],[Vidrios]:[Plástico]])</f>
        <v>0</v>
      </c>
      <c r="BR313" s="12" t="str">
        <f>IF(ISBLANK(FT_RF_26[[#This Row],[Descripción del producto]]),"",FT_RF_26[[#This Row],[Descripción del producto]])</f>
        <v/>
      </c>
      <c r="BS313" s="29" t="str">
        <f>IF(ISBLANK(FT_RF_26[[#This Row],[N° de Lote]]),"",FT_RF_26[[#This Row],[N° de Lote]])</f>
        <v/>
      </c>
      <c r="BT313" s="29" t="str">
        <f>IF(ISBLANK(FT_RF_26[[#This Row],[N° de Pallet]]),"",FT_RF_26[[#This Row],[N° de Pallet]])</f>
        <v/>
      </c>
    </row>
    <row r="314" spans="2:72">
      <c r="B314" s="29">
        <f>+_xlfn.ISOWEEKNUM(FT_RF_26[[#This Row],[Fecha]])</f>
        <v>52</v>
      </c>
      <c r="E314" s="31"/>
      <c r="F314" s="12" t="str">
        <f>IFERROR(""&amp;_xlfn.XLOOKUP(FT_RF_26[[#This Row],[Código]],BD_Cod[SKU],BD_Cod[Descripción]),"")</f>
        <v/>
      </c>
      <c r="G314" s="32" t="str">
        <f>IFERROR(""&amp;_xlfn.XLOOKUP(FT_RF_26[[#This Row],[Código]],BD_Cod[SKU],BD_Cod[Familia Calidad]),"")</f>
        <v/>
      </c>
      <c r="J314" s="33">
        <v>1000</v>
      </c>
      <c r="L314" s="30" t="s">
        <v>244</v>
      </c>
      <c r="O314" s="30" t="s">
        <v>894</v>
      </c>
      <c r="P314" s="29" t="s">
        <v>894</v>
      </c>
      <c r="Q314" s="37">
        <f>1-FT_RF_26[[#This Row],[% Defectos]]</f>
        <v>1</v>
      </c>
      <c r="R314" s="38">
        <v>0</v>
      </c>
      <c r="S314" s="39">
        <f>+IFERROR((FT_RF_26[[#This Row],[Inmadura]]/FT_RF_26[[#This Row],[Muestra]]),"0")</f>
        <v>0</v>
      </c>
      <c r="T314" s="38">
        <v>0</v>
      </c>
      <c r="U314" s="39">
        <f>+IFERROR((FT_RF_26[[#This Row],[Partidas]]/FT_RF_26[[#This Row],[Muestra]]),"0")</f>
        <v>0</v>
      </c>
      <c r="V314" s="38">
        <v>0</v>
      </c>
      <c r="W314" s="39">
        <f>+IFERROR((FT_RF_26[[#This Row],[Daño Insecto]]/FT_RF_26[[#This Row],[Muestra]]),"0")</f>
        <v>0</v>
      </c>
      <c r="X314" s="38">
        <v>0</v>
      </c>
      <c r="Y314" s="39">
        <f>+IFERROR((FT_RF_26[[#This Row],[Sobremadura]]/FT_RF_26[[#This Row],[Muestra]]),"0")</f>
        <v>0</v>
      </c>
      <c r="Z314" s="38">
        <v>0</v>
      </c>
      <c r="AA314" s="39">
        <f>+IFERROR((FT_RF_26[[#This Row],[Deforme]]/FT_RF_26[[#This Row],[Muestra]]),"0")</f>
        <v>0</v>
      </c>
      <c r="AB314" s="27"/>
      <c r="AC314" s="38">
        <v>0</v>
      </c>
      <c r="AD314" s="39">
        <f>+IFERROR((FT_RF_26[[#This Row],[Valor Extra 1]]/FT_RF_26[[#This Row],[Muestra]]),"0")</f>
        <v>0</v>
      </c>
      <c r="AF314" s="38">
        <v>0</v>
      </c>
      <c r="AG314" s="39">
        <f>+IFERROR((FT_RF_26[[#This Row],[Valor Extra 2]]/FT_RF_26[[#This Row],[Muestra]]),"0")</f>
        <v>0</v>
      </c>
      <c r="AH314" s="40">
        <v>0</v>
      </c>
      <c r="AI314" s="39">
        <f>+IFERROR((FT_RF_26[[#This Row],[Hongos]]/FT_RF_26[[#This Row],[Muestra]]),"0")</f>
        <v>0</v>
      </c>
      <c r="AJ314" s="38">
        <v>0</v>
      </c>
      <c r="AK314" s="39">
        <f>+IFERROR((FT_RF_26[[#This Row],[Block]]/FT_RF_26[[#This Row],[Muestra]]),"0")</f>
        <v>0</v>
      </c>
      <c r="AL314" s="41">
        <v>0</v>
      </c>
      <c r="AM314" s="42">
        <v>0</v>
      </c>
      <c r="AN314" s="38">
        <v>0</v>
      </c>
      <c r="AO314" s="39">
        <f>+IFERROR((FT_RF_26[[#This Row],[Fuera de calibre &lt;12mm]]/FT_RF_26[[#This Row],[Muestra]]),"0")</f>
        <v>0</v>
      </c>
      <c r="AP314" s="38">
        <v>0</v>
      </c>
      <c r="AQ314" s="39">
        <f>+IFERROR((FT_RF_26[[#This Row],[Calibre &lt;25]]/FT_RF_26[[#This Row],[Muestra]]),"0")</f>
        <v>0</v>
      </c>
      <c r="AR314" s="38">
        <v>0</v>
      </c>
      <c r="AS314" s="39">
        <f>+IFERROR((FT_RF_26[[#This Row],[Calibre &gt;12]]/FT_RF_26[[#This Row],[Muestra]]),"0")</f>
        <v>0</v>
      </c>
      <c r="AT314" s="38">
        <v>0</v>
      </c>
      <c r="AU314" s="39">
        <f>+IFERROR((FT_RF_26[[#This Row],[Calibre &lt;14]]/FT_RF_26[[#This Row],[Muestra]]),"0")</f>
        <v>0</v>
      </c>
      <c r="AV314" s="38">
        <v>0</v>
      </c>
      <c r="AW314" s="39">
        <f>+IFERROR((FT_RF_26[[#This Row],[Calibre &gt;14]]/FT_RF_26[[#This Row],[Muestra]]),"0")</f>
        <v>0</v>
      </c>
      <c r="AX314" s="38">
        <v>0</v>
      </c>
      <c r="AY314" s="39">
        <f>+IFERROR((FT_RF_26[[#This Row],[Calibre &lt;10]]/FT_RF_26[[#This Row],[Muestra]]),"0")</f>
        <v>0</v>
      </c>
      <c r="AZ314" s="38">
        <v>0</v>
      </c>
      <c r="BA314" s="39">
        <f>+IFERROR((FT_RF_26[[#This Row],[Calibre &gt;13]]/FT_RF_26[[#This Row],[Muestra]]),"0")</f>
        <v>0</v>
      </c>
      <c r="BB314" s="41"/>
      <c r="BG314" s="42"/>
      <c r="BH314" s="43">
        <v>0</v>
      </c>
      <c r="BI314" s="29" t="s">
        <v>894</v>
      </c>
      <c r="BJ314" s="29" t="s">
        <v>894</v>
      </c>
      <c r="BK31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1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14" s="45">
        <f>1-FT_RF_26[[#This Row],[% Defectos]]</f>
        <v>1</v>
      </c>
      <c r="BO314" s="60"/>
      <c r="BP314" s="12">
        <f>SUM(FT_RF_26[[#This Row],[Hoja (Un.)]:[Larvas Caja]])</f>
        <v>0</v>
      </c>
      <c r="BQ314" s="12">
        <f>SUM(FT_RF_26[[#This Row],[Vidrios]:[Plástico]])</f>
        <v>0</v>
      </c>
      <c r="BR314" s="12" t="str">
        <f>IF(ISBLANK(FT_RF_26[[#This Row],[Descripción del producto]]),"",FT_RF_26[[#This Row],[Descripción del producto]])</f>
        <v/>
      </c>
      <c r="BS314" s="29" t="str">
        <f>IF(ISBLANK(FT_RF_26[[#This Row],[N° de Lote]]),"",FT_RF_26[[#This Row],[N° de Lote]])</f>
        <v/>
      </c>
      <c r="BT314" s="29" t="str">
        <f>IF(ISBLANK(FT_RF_26[[#This Row],[N° de Pallet]]),"",FT_RF_26[[#This Row],[N° de Pallet]])</f>
        <v/>
      </c>
    </row>
    <row r="315" spans="2:72">
      <c r="B315" s="29">
        <f>+_xlfn.ISOWEEKNUM(FT_RF_26[[#This Row],[Fecha]])</f>
        <v>52</v>
      </c>
      <c r="E315" s="31"/>
      <c r="F315" s="12" t="str">
        <f>IFERROR(""&amp;_xlfn.XLOOKUP(FT_RF_26[[#This Row],[Código]],BD_Cod[SKU],BD_Cod[Descripción]),"")</f>
        <v/>
      </c>
      <c r="G315" s="32" t="str">
        <f>IFERROR(""&amp;_xlfn.XLOOKUP(FT_RF_26[[#This Row],[Código]],BD_Cod[SKU],BD_Cod[Familia Calidad]),"")</f>
        <v/>
      </c>
      <c r="J315" s="33">
        <v>1000</v>
      </c>
      <c r="L315" s="30" t="s">
        <v>244</v>
      </c>
      <c r="O315" s="30" t="s">
        <v>894</v>
      </c>
      <c r="P315" s="29" t="s">
        <v>894</v>
      </c>
      <c r="Q315" s="37">
        <f>1-FT_RF_26[[#This Row],[% Defectos]]</f>
        <v>1</v>
      </c>
      <c r="R315" s="38">
        <v>0</v>
      </c>
      <c r="S315" s="39">
        <f>+IFERROR((FT_RF_26[[#This Row],[Inmadura]]/FT_RF_26[[#This Row],[Muestra]]),"0")</f>
        <v>0</v>
      </c>
      <c r="T315" s="38">
        <v>0</v>
      </c>
      <c r="U315" s="39">
        <f>+IFERROR((FT_RF_26[[#This Row],[Partidas]]/FT_RF_26[[#This Row],[Muestra]]),"0")</f>
        <v>0</v>
      </c>
      <c r="V315" s="38">
        <v>0</v>
      </c>
      <c r="W315" s="39">
        <f>+IFERROR((FT_RF_26[[#This Row],[Daño Insecto]]/FT_RF_26[[#This Row],[Muestra]]),"0")</f>
        <v>0</v>
      </c>
      <c r="X315" s="38">
        <v>0</v>
      </c>
      <c r="Y315" s="39">
        <f>+IFERROR((FT_RF_26[[#This Row],[Sobremadura]]/FT_RF_26[[#This Row],[Muestra]]),"0")</f>
        <v>0</v>
      </c>
      <c r="Z315" s="38">
        <v>0</v>
      </c>
      <c r="AA315" s="39">
        <f>+IFERROR((FT_RF_26[[#This Row],[Deforme]]/FT_RF_26[[#This Row],[Muestra]]),"0")</f>
        <v>0</v>
      </c>
      <c r="AB315" s="27"/>
      <c r="AC315" s="38">
        <v>0</v>
      </c>
      <c r="AD315" s="39">
        <f>+IFERROR((FT_RF_26[[#This Row],[Valor Extra 1]]/FT_RF_26[[#This Row],[Muestra]]),"0")</f>
        <v>0</v>
      </c>
      <c r="AF315" s="38">
        <v>0</v>
      </c>
      <c r="AG315" s="39">
        <f>+IFERROR((FT_RF_26[[#This Row],[Valor Extra 2]]/FT_RF_26[[#This Row],[Muestra]]),"0")</f>
        <v>0</v>
      </c>
      <c r="AH315" s="40">
        <v>0</v>
      </c>
      <c r="AI315" s="39">
        <f>+IFERROR((FT_RF_26[[#This Row],[Hongos]]/FT_RF_26[[#This Row],[Muestra]]),"0")</f>
        <v>0</v>
      </c>
      <c r="AJ315" s="38">
        <v>0</v>
      </c>
      <c r="AK315" s="39">
        <f>+IFERROR((FT_RF_26[[#This Row],[Block]]/FT_RF_26[[#This Row],[Muestra]]),"0")</f>
        <v>0</v>
      </c>
      <c r="AL315" s="41">
        <v>0</v>
      </c>
      <c r="AM315" s="42">
        <v>0</v>
      </c>
      <c r="AN315" s="38">
        <v>0</v>
      </c>
      <c r="AO315" s="39">
        <f>+IFERROR((FT_RF_26[[#This Row],[Fuera de calibre &lt;12mm]]/FT_RF_26[[#This Row],[Muestra]]),"0")</f>
        <v>0</v>
      </c>
      <c r="AP315" s="38">
        <v>0</v>
      </c>
      <c r="AQ315" s="39">
        <f>+IFERROR((FT_RF_26[[#This Row],[Calibre &lt;25]]/FT_RF_26[[#This Row],[Muestra]]),"0")</f>
        <v>0</v>
      </c>
      <c r="AR315" s="38">
        <v>0</v>
      </c>
      <c r="AS315" s="39">
        <f>+IFERROR((FT_RF_26[[#This Row],[Calibre &gt;12]]/FT_RF_26[[#This Row],[Muestra]]),"0")</f>
        <v>0</v>
      </c>
      <c r="AT315" s="38">
        <v>0</v>
      </c>
      <c r="AU315" s="39">
        <f>+IFERROR((FT_RF_26[[#This Row],[Calibre &lt;14]]/FT_RF_26[[#This Row],[Muestra]]),"0")</f>
        <v>0</v>
      </c>
      <c r="AV315" s="38">
        <v>0</v>
      </c>
      <c r="AW315" s="39">
        <f>+IFERROR((FT_RF_26[[#This Row],[Calibre &gt;14]]/FT_RF_26[[#This Row],[Muestra]]),"0")</f>
        <v>0</v>
      </c>
      <c r="AX315" s="38">
        <v>0</v>
      </c>
      <c r="AY315" s="39">
        <f>+IFERROR((FT_RF_26[[#This Row],[Calibre &lt;10]]/FT_RF_26[[#This Row],[Muestra]]),"0")</f>
        <v>0</v>
      </c>
      <c r="AZ315" s="38">
        <v>0</v>
      </c>
      <c r="BA315" s="39">
        <f>+IFERROR((FT_RF_26[[#This Row],[Calibre &gt;13]]/FT_RF_26[[#This Row],[Muestra]]),"0")</f>
        <v>0</v>
      </c>
      <c r="BB315" s="41"/>
      <c r="BG315" s="42"/>
      <c r="BH315" s="43">
        <v>0</v>
      </c>
      <c r="BI315" s="29" t="s">
        <v>894</v>
      </c>
      <c r="BJ315" s="29" t="s">
        <v>894</v>
      </c>
      <c r="BK31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1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15" s="45">
        <f>1-FT_RF_26[[#This Row],[% Defectos]]</f>
        <v>1</v>
      </c>
      <c r="BO315" s="60"/>
      <c r="BP315" s="12">
        <f>SUM(FT_RF_26[[#This Row],[Hoja (Un.)]:[Larvas Caja]])</f>
        <v>0</v>
      </c>
      <c r="BQ315" s="12">
        <f>SUM(FT_RF_26[[#This Row],[Vidrios]:[Plástico]])</f>
        <v>0</v>
      </c>
      <c r="BR315" s="12" t="str">
        <f>IF(ISBLANK(FT_RF_26[[#This Row],[Descripción del producto]]),"",FT_RF_26[[#This Row],[Descripción del producto]])</f>
        <v/>
      </c>
      <c r="BS315" s="29" t="str">
        <f>IF(ISBLANK(FT_RF_26[[#This Row],[N° de Lote]]),"",FT_RF_26[[#This Row],[N° de Lote]])</f>
        <v/>
      </c>
      <c r="BT315" s="29" t="str">
        <f>IF(ISBLANK(FT_RF_26[[#This Row],[N° de Pallet]]),"",FT_RF_26[[#This Row],[N° de Pallet]])</f>
        <v/>
      </c>
    </row>
    <row r="316" spans="2:72">
      <c r="B316" s="29">
        <f>+_xlfn.ISOWEEKNUM(FT_RF_26[[#This Row],[Fecha]])</f>
        <v>52</v>
      </c>
      <c r="E316" s="31"/>
      <c r="F316" s="12" t="str">
        <f>IFERROR(""&amp;_xlfn.XLOOKUP(FT_RF_26[[#This Row],[Código]],BD_Cod[SKU],BD_Cod[Descripción]),"")</f>
        <v/>
      </c>
      <c r="G316" s="32" t="str">
        <f>IFERROR(""&amp;_xlfn.XLOOKUP(FT_RF_26[[#This Row],[Código]],BD_Cod[SKU],BD_Cod[Familia Calidad]),"")</f>
        <v/>
      </c>
      <c r="J316" s="33">
        <v>1000</v>
      </c>
      <c r="L316" s="30" t="s">
        <v>244</v>
      </c>
      <c r="O316" s="30" t="s">
        <v>894</v>
      </c>
      <c r="P316" s="29" t="s">
        <v>894</v>
      </c>
      <c r="Q316" s="37">
        <f>1-FT_RF_26[[#This Row],[% Defectos]]</f>
        <v>1</v>
      </c>
      <c r="R316" s="38">
        <v>0</v>
      </c>
      <c r="S316" s="39">
        <f>+IFERROR((FT_RF_26[[#This Row],[Inmadura]]/FT_RF_26[[#This Row],[Muestra]]),"0")</f>
        <v>0</v>
      </c>
      <c r="T316" s="38">
        <v>0</v>
      </c>
      <c r="U316" s="39">
        <f>+IFERROR((FT_RF_26[[#This Row],[Partidas]]/FT_RF_26[[#This Row],[Muestra]]),"0")</f>
        <v>0</v>
      </c>
      <c r="V316" s="38">
        <v>0</v>
      </c>
      <c r="W316" s="39">
        <f>+IFERROR((FT_RF_26[[#This Row],[Daño Insecto]]/FT_RF_26[[#This Row],[Muestra]]),"0")</f>
        <v>0</v>
      </c>
      <c r="X316" s="38">
        <v>0</v>
      </c>
      <c r="Y316" s="39">
        <f>+IFERROR((FT_RF_26[[#This Row],[Sobremadura]]/FT_RF_26[[#This Row],[Muestra]]),"0")</f>
        <v>0</v>
      </c>
      <c r="Z316" s="38">
        <v>0</v>
      </c>
      <c r="AA316" s="39">
        <f>+IFERROR((FT_RF_26[[#This Row],[Deforme]]/FT_RF_26[[#This Row],[Muestra]]),"0")</f>
        <v>0</v>
      </c>
      <c r="AB316" s="27"/>
      <c r="AC316" s="38">
        <v>0</v>
      </c>
      <c r="AD316" s="39">
        <f>+IFERROR((FT_RF_26[[#This Row],[Valor Extra 1]]/FT_RF_26[[#This Row],[Muestra]]),"0")</f>
        <v>0</v>
      </c>
      <c r="AF316" s="38">
        <v>0</v>
      </c>
      <c r="AG316" s="39">
        <f>+IFERROR((FT_RF_26[[#This Row],[Valor Extra 2]]/FT_RF_26[[#This Row],[Muestra]]),"0")</f>
        <v>0</v>
      </c>
      <c r="AH316" s="40">
        <v>0</v>
      </c>
      <c r="AI316" s="39">
        <f>+IFERROR((FT_RF_26[[#This Row],[Hongos]]/FT_RF_26[[#This Row],[Muestra]]),"0")</f>
        <v>0</v>
      </c>
      <c r="AJ316" s="38">
        <v>0</v>
      </c>
      <c r="AK316" s="39">
        <f>+IFERROR((FT_RF_26[[#This Row],[Block]]/FT_RF_26[[#This Row],[Muestra]]),"0")</f>
        <v>0</v>
      </c>
      <c r="AL316" s="41">
        <v>0</v>
      </c>
      <c r="AM316" s="42">
        <v>0</v>
      </c>
      <c r="AN316" s="38">
        <v>0</v>
      </c>
      <c r="AO316" s="39">
        <f>+IFERROR((FT_RF_26[[#This Row],[Fuera de calibre &lt;12mm]]/FT_RF_26[[#This Row],[Muestra]]),"0")</f>
        <v>0</v>
      </c>
      <c r="AP316" s="38">
        <v>0</v>
      </c>
      <c r="AQ316" s="39">
        <f>+IFERROR((FT_RF_26[[#This Row],[Calibre &lt;25]]/FT_RF_26[[#This Row],[Muestra]]),"0")</f>
        <v>0</v>
      </c>
      <c r="AR316" s="38">
        <v>0</v>
      </c>
      <c r="AS316" s="39">
        <f>+IFERROR((FT_RF_26[[#This Row],[Calibre &gt;12]]/FT_RF_26[[#This Row],[Muestra]]),"0")</f>
        <v>0</v>
      </c>
      <c r="AT316" s="38">
        <v>0</v>
      </c>
      <c r="AU316" s="39">
        <f>+IFERROR((FT_RF_26[[#This Row],[Calibre &lt;14]]/FT_RF_26[[#This Row],[Muestra]]),"0")</f>
        <v>0</v>
      </c>
      <c r="AV316" s="38">
        <v>0</v>
      </c>
      <c r="AW316" s="39">
        <f>+IFERROR((FT_RF_26[[#This Row],[Calibre &gt;14]]/FT_RF_26[[#This Row],[Muestra]]),"0")</f>
        <v>0</v>
      </c>
      <c r="AX316" s="38">
        <v>0</v>
      </c>
      <c r="AY316" s="39">
        <f>+IFERROR((FT_RF_26[[#This Row],[Calibre &lt;10]]/FT_RF_26[[#This Row],[Muestra]]),"0")</f>
        <v>0</v>
      </c>
      <c r="AZ316" s="38">
        <v>0</v>
      </c>
      <c r="BA316" s="39">
        <f>+IFERROR((FT_RF_26[[#This Row],[Calibre &gt;13]]/FT_RF_26[[#This Row],[Muestra]]),"0")</f>
        <v>0</v>
      </c>
      <c r="BB316" s="41"/>
      <c r="BG316" s="42"/>
      <c r="BH316" s="43">
        <v>0</v>
      </c>
      <c r="BI316" s="29" t="s">
        <v>894</v>
      </c>
      <c r="BJ316" s="29" t="s">
        <v>894</v>
      </c>
      <c r="BK31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1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16" s="45">
        <f>1-FT_RF_26[[#This Row],[% Defectos]]</f>
        <v>1</v>
      </c>
      <c r="BO316" s="60"/>
      <c r="BP316" s="12">
        <f>SUM(FT_RF_26[[#This Row],[Hoja (Un.)]:[Larvas Caja]])</f>
        <v>0</v>
      </c>
      <c r="BQ316" s="12">
        <f>SUM(FT_RF_26[[#This Row],[Vidrios]:[Plástico]])</f>
        <v>0</v>
      </c>
      <c r="BR316" s="12" t="str">
        <f>IF(ISBLANK(FT_RF_26[[#This Row],[Descripción del producto]]),"",FT_RF_26[[#This Row],[Descripción del producto]])</f>
        <v/>
      </c>
      <c r="BS316" s="29" t="str">
        <f>IF(ISBLANK(FT_RF_26[[#This Row],[N° de Lote]]),"",FT_RF_26[[#This Row],[N° de Lote]])</f>
        <v/>
      </c>
      <c r="BT316" s="29" t="str">
        <f>IF(ISBLANK(FT_RF_26[[#This Row],[N° de Pallet]]),"",FT_RF_26[[#This Row],[N° de Pallet]])</f>
        <v/>
      </c>
    </row>
    <row r="317" spans="2:72">
      <c r="B317" s="29">
        <f>+_xlfn.ISOWEEKNUM(FT_RF_26[[#This Row],[Fecha]])</f>
        <v>52</v>
      </c>
      <c r="E317" s="31"/>
      <c r="F317" s="12" t="str">
        <f>IFERROR(""&amp;_xlfn.XLOOKUP(FT_RF_26[[#This Row],[Código]],BD_Cod[SKU],BD_Cod[Descripción]),"")</f>
        <v/>
      </c>
      <c r="G317" s="32" t="str">
        <f>IFERROR(""&amp;_xlfn.XLOOKUP(FT_RF_26[[#This Row],[Código]],BD_Cod[SKU],BD_Cod[Familia Calidad]),"")</f>
        <v/>
      </c>
      <c r="J317" s="33">
        <v>1000</v>
      </c>
      <c r="L317" s="30" t="s">
        <v>244</v>
      </c>
      <c r="O317" s="30" t="s">
        <v>894</v>
      </c>
      <c r="P317" s="29" t="s">
        <v>894</v>
      </c>
      <c r="Q317" s="37">
        <f>1-FT_RF_26[[#This Row],[% Defectos]]</f>
        <v>1</v>
      </c>
      <c r="R317" s="38">
        <v>0</v>
      </c>
      <c r="S317" s="39">
        <f>+IFERROR((FT_RF_26[[#This Row],[Inmadura]]/FT_RF_26[[#This Row],[Muestra]]),"0")</f>
        <v>0</v>
      </c>
      <c r="T317" s="38">
        <v>0</v>
      </c>
      <c r="U317" s="39">
        <f>+IFERROR((FT_RF_26[[#This Row],[Partidas]]/FT_RF_26[[#This Row],[Muestra]]),"0")</f>
        <v>0</v>
      </c>
      <c r="V317" s="38">
        <v>0</v>
      </c>
      <c r="W317" s="39">
        <f>+IFERROR((FT_RF_26[[#This Row],[Daño Insecto]]/FT_RF_26[[#This Row],[Muestra]]),"0")</f>
        <v>0</v>
      </c>
      <c r="X317" s="38">
        <v>0</v>
      </c>
      <c r="Y317" s="39">
        <f>+IFERROR((FT_RF_26[[#This Row],[Sobremadura]]/FT_RF_26[[#This Row],[Muestra]]),"0")</f>
        <v>0</v>
      </c>
      <c r="Z317" s="38">
        <v>0</v>
      </c>
      <c r="AA317" s="39">
        <f>+IFERROR((FT_RF_26[[#This Row],[Deforme]]/FT_RF_26[[#This Row],[Muestra]]),"0")</f>
        <v>0</v>
      </c>
      <c r="AB317" s="27"/>
      <c r="AC317" s="38">
        <v>0</v>
      </c>
      <c r="AD317" s="39">
        <f>+IFERROR((FT_RF_26[[#This Row],[Valor Extra 1]]/FT_RF_26[[#This Row],[Muestra]]),"0")</f>
        <v>0</v>
      </c>
      <c r="AF317" s="38">
        <v>0</v>
      </c>
      <c r="AG317" s="39">
        <f>+IFERROR((FT_RF_26[[#This Row],[Valor Extra 2]]/FT_RF_26[[#This Row],[Muestra]]),"0")</f>
        <v>0</v>
      </c>
      <c r="AH317" s="40">
        <v>0</v>
      </c>
      <c r="AI317" s="39">
        <f>+IFERROR((FT_RF_26[[#This Row],[Hongos]]/FT_RF_26[[#This Row],[Muestra]]),"0")</f>
        <v>0</v>
      </c>
      <c r="AJ317" s="38">
        <v>0</v>
      </c>
      <c r="AK317" s="39">
        <f>+IFERROR((FT_RF_26[[#This Row],[Block]]/FT_RF_26[[#This Row],[Muestra]]),"0")</f>
        <v>0</v>
      </c>
      <c r="AL317" s="41">
        <v>0</v>
      </c>
      <c r="AM317" s="42">
        <v>0</v>
      </c>
      <c r="AN317" s="38">
        <v>0</v>
      </c>
      <c r="AO317" s="39">
        <f>+IFERROR((FT_RF_26[[#This Row],[Fuera de calibre &lt;12mm]]/FT_RF_26[[#This Row],[Muestra]]),"0")</f>
        <v>0</v>
      </c>
      <c r="AP317" s="38">
        <v>0</v>
      </c>
      <c r="AQ317" s="39">
        <f>+IFERROR((FT_RF_26[[#This Row],[Calibre &lt;25]]/FT_RF_26[[#This Row],[Muestra]]),"0")</f>
        <v>0</v>
      </c>
      <c r="AR317" s="38">
        <v>0</v>
      </c>
      <c r="AS317" s="39">
        <f>+IFERROR((FT_RF_26[[#This Row],[Calibre &gt;12]]/FT_RF_26[[#This Row],[Muestra]]),"0")</f>
        <v>0</v>
      </c>
      <c r="AT317" s="38">
        <v>0</v>
      </c>
      <c r="AU317" s="39">
        <f>+IFERROR((FT_RF_26[[#This Row],[Calibre &lt;14]]/FT_RF_26[[#This Row],[Muestra]]),"0")</f>
        <v>0</v>
      </c>
      <c r="AV317" s="38">
        <v>0</v>
      </c>
      <c r="AW317" s="39">
        <f>+IFERROR((FT_RF_26[[#This Row],[Calibre &gt;14]]/FT_RF_26[[#This Row],[Muestra]]),"0")</f>
        <v>0</v>
      </c>
      <c r="AX317" s="38">
        <v>0</v>
      </c>
      <c r="AY317" s="39">
        <f>+IFERROR((FT_RF_26[[#This Row],[Calibre &lt;10]]/FT_RF_26[[#This Row],[Muestra]]),"0")</f>
        <v>0</v>
      </c>
      <c r="AZ317" s="38">
        <v>0</v>
      </c>
      <c r="BA317" s="39">
        <f>+IFERROR((FT_RF_26[[#This Row],[Calibre &gt;13]]/FT_RF_26[[#This Row],[Muestra]]),"0")</f>
        <v>0</v>
      </c>
      <c r="BB317" s="41"/>
      <c r="BG317" s="42"/>
      <c r="BH317" s="43">
        <v>0</v>
      </c>
      <c r="BI317" s="29" t="s">
        <v>894</v>
      </c>
      <c r="BJ317" s="29" t="s">
        <v>894</v>
      </c>
      <c r="BK31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1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17" s="45">
        <f>1-FT_RF_26[[#This Row],[% Defectos]]</f>
        <v>1</v>
      </c>
      <c r="BO317" s="60"/>
      <c r="BP317" s="12">
        <f>SUM(FT_RF_26[[#This Row],[Hoja (Un.)]:[Larvas Caja]])</f>
        <v>0</v>
      </c>
      <c r="BQ317" s="12">
        <f>SUM(FT_RF_26[[#This Row],[Vidrios]:[Plástico]])</f>
        <v>0</v>
      </c>
      <c r="BR317" s="12" t="str">
        <f>IF(ISBLANK(FT_RF_26[[#This Row],[Descripción del producto]]),"",FT_RF_26[[#This Row],[Descripción del producto]])</f>
        <v/>
      </c>
      <c r="BS317" s="29" t="str">
        <f>IF(ISBLANK(FT_RF_26[[#This Row],[N° de Lote]]),"",FT_RF_26[[#This Row],[N° de Lote]])</f>
        <v/>
      </c>
      <c r="BT317" s="29" t="str">
        <f>IF(ISBLANK(FT_RF_26[[#This Row],[N° de Pallet]]),"",FT_RF_26[[#This Row],[N° de Pallet]])</f>
        <v/>
      </c>
    </row>
    <row r="318" spans="2:72">
      <c r="B318" s="29">
        <f>+_xlfn.ISOWEEKNUM(FT_RF_26[[#This Row],[Fecha]])</f>
        <v>52</v>
      </c>
      <c r="E318" s="31"/>
      <c r="F318" s="12" t="str">
        <f>IFERROR(""&amp;_xlfn.XLOOKUP(FT_RF_26[[#This Row],[Código]],BD_Cod[SKU],BD_Cod[Descripción]),"")</f>
        <v/>
      </c>
      <c r="G318" s="32" t="str">
        <f>IFERROR(""&amp;_xlfn.XLOOKUP(FT_RF_26[[#This Row],[Código]],BD_Cod[SKU],BD_Cod[Familia Calidad]),"")</f>
        <v/>
      </c>
      <c r="J318" s="33">
        <v>1000</v>
      </c>
      <c r="L318" s="30" t="s">
        <v>244</v>
      </c>
      <c r="O318" s="30" t="s">
        <v>894</v>
      </c>
      <c r="P318" s="29" t="s">
        <v>894</v>
      </c>
      <c r="Q318" s="37">
        <f>1-FT_RF_26[[#This Row],[% Defectos]]</f>
        <v>1</v>
      </c>
      <c r="R318" s="38">
        <v>0</v>
      </c>
      <c r="S318" s="39">
        <f>+IFERROR((FT_RF_26[[#This Row],[Inmadura]]/FT_RF_26[[#This Row],[Muestra]]),"0")</f>
        <v>0</v>
      </c>
      <c r="T318" s="38">
        <v>0</v>
      </c>
      <c r="U318" s="39">
        <f>+IFERROR((FT_RF_26[[#This Row],[Partidas]]/FT_RF_26[[#This Row],[Muestra]]),"0")</f>
        <v>0</v>
      </c>
      <c r="V318" s="38">
        <v>0</v>
      </c>
      <c r="W318" s="39">
        <f>+IFERROR((FT_RF_26[[#This Row],[Daño Insecto]]/FT_RF_26[[#This Row],[Muestra]]),"0")</f>
        <v>0</v>
      </c>
      <c r="X318" s="38">
        <v>0</v>
      </c>
      <c r="Y318" s="39">
        <f>+IFERROR((FT_RF_26[[#This Row],[Sobremadura]]/FT_RF_26[[#This Row],[Muestra]]),"0")</f>
        <v>0</v>
      </c>
      <c r="Z318" s="38">
        <v>0</v>
      </c>
      <c r="AA318" s="39">
        <f>+IFERROR((FT_RF_26[[#This Row],[Deforme]]/FT_RF_26[[#This Row],[Muestra]]),"0")</f>
        <v>0</v>
      </c>
      <c r="AB318" s="27"/>
      <c r="AC318" s="38">
        <v>0</v>
      </c>
      <c r="AD318" s="39">
        <f>+IFERROR((FT_RF_26[[#This Row],[Valor Extra 1]]/FT_RF_26[[#This Row],[Muestra]]),"0")</f>
        <v>0</v>
      </c>
      <c r="AF318" s="38">
        <v>0</v>
      </c>
      <c r="AG318" s="39">
        <f>+IFERROR((FT_RF_26[[#This Row],[Valor Extra 2]]/FT_RF_26[[#This Row],[Muestra]]),"0")</f>
        <v>0</v>
      </c>
      <c r="AH318" s="40">
        <v>0</v>
      </c>
      <c r="AI318" s="39">
        <f>+IFERROR((FT_RF_26[[#This Row],[Hongos]]/FT_RF_26[[#This Row],[Muestra]]),"0")</f>
        <v>0</v>
      </c>
      <c r="AJ318" s="38">
        <v>0</v>
      </c>
      <c r="AK318" s="39">
        <f>+IFERROR((FT_RF_26[[#This Row],[Block]]/FT_RF_26[[#This Row],[Muestra]]),"0")</f>
        <v>0</v>
      </c>
      <c r="AL318" s="41">
        <v>0</v>
      </c>
      <c r="AM318" s="42">
        <v>0</v>
      </c>
      <c r="AN318" s="38">
        <v>0</v>
      </c>
      <c r="AO318" s="39">
        <f>+IFERROR((FT_RF_26[[#This Row],[Fuera de calibre &lt;12mm]]/FT_RF_26[[#This Row],[Muestra]]),"0")</f>
        <v>0</v>
      </c>
      <c r="AP318" s="38">
        <v>0</v>
      </c>
      <c r="AQ318" s="39">
        <f>+IFERROR((FT_RF_26[[#This Row],[Calibre &lt;25]]/FT_RF_26[[#This Row],[Muestra]]),"0")</f>
        <v>0</v>
      </c>
      <c r="AR318" s="38">
        <v>0</v>
      </c>
      <c r="AS318" s="39">
        <f>+IFERROR((FT_RF_26[[#This Row],[Calibre &gt;12]]/FT_RF_26[[#This Row],[Muestra]]),"0")</f>
        <v>0</v>
      </c>
      <c r="AT318" s="38">
        <v>0</v>
      </c>
      <c r="AU318" s="39">
        <f>+IFERROR((FT_RF_26[[#This Row],[Calibre &lt;14]]/FT_RF_26[[#This Row],[Muestra]]),"0")</f>
        <v>0</v>
      </c>
      <c r="AV318" s="38">
        <v>0</v>
      </c>
      <c r="AW318" s="39">
        <f>+IFERROR((FT_RF_26[[#This Row],[Calibre &gt;14]]/FT_RF_26[[#This Row],[Muestra]]),"0")</f>
        <v>0</v>
      </c>
      <c r="AX318" s="38">
        <v>0</v>
      </c>
      <c r="AY318" s="39">
        <f>+IFERROR((FT_RF_26[[#This Row],[Calibre &lt;10]]/FT_RF_26[[#This Row],[Muestra]]),"0")</f>
        <v>0</v>
      </c>
      <c r="AZ318" s="38">
        <v>0</v>
      </c>
      <c r="BA318" s="39">
        <f>+IFERROR((FT_RF_26[[#This Row],[Calibre &gt;13]]/FT_RF_26[[#This Row],[Muestra]]),"0")</f>
        <v>0</v>
      </c>
      <c r="BB318" s="41"/>
      <c r="BG318" s="42"/>
      <c r="BH318" s="43">
        <v>0</v>
      </c>
      <c r="BI318" s="29" t="s">
        <v>894</v>
      </c>
      <c r="BJ318" s="29" t="s">
        <v>894</v>
      </c>
      <c r="BK31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1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18" s="45">
        <f>1-FT_RF_26[[#This Row],[% Defectos]]</f>
        <v>1</v>
      </c>
      <c r="BO318" s="60"/>
      <c r="BP318" s="12">
        <f>SUM(FT_RF_26[[#This Row],[Hoja (Un.)]:[Larvas Caja]])</f>
        <v>0</v>
      </c>
      <c r="BQ318" s="12">
        <f>SUM(FT_RF_26[[#This Row],[Vidrios]:[Plástico]])</f>
        <v>0</v>
      </c>
      <c r="BR318" s="12" t="str">
        <f>IF(ISBLANK(FT_RF_26[[#This Row],[Descripción del producto]]),"",FT_RF_26[[#This Row],[Descripción del producto]])</f>
        <v/>
      </c>
      <c r="BS318" s="29" t="str">
        <f>IF(ISBLANK(FT_RF_26[[#This Row],[N° de Lote]]),"",FT_RF_26[[#This Row],[N° de Lote]])</f>
        <v/>
      </c>
      <c r="BT318" s="29" t="str">
        <f>IF(ISBLANK(FT_RF_26[[#This Row],[N° de Pallet]]),"",FT_RF_26[[#This Row],[N° de Pallet]])</f>
        <v/>
      </c>
    </row>
    <row r="319" spans="2:72">
      <c r="B319" s="29">
        <f>+_xlfn.ISOWEEKNUM(FT_RF_26[[#This Row],[Fecha]])</f>
        <v>52</v>
      </c>
      <c r="E319" s="31"/>
      <c r="F319" s="12" t="str">
        <f>IFERROR(""&amp;_xlfn.XLOOKUP(FT_RF_26[[#This Row],[Código]],BD_Cod[SKU],BD_Cod[Descripción]),"")</f>
        <v/>
      </c>
      <c r="G319" s="32" t="str">
        <f>IFERROR(""&amp;_xlfn.XLOOKUP(FT_RF_26[[#This Row],[Código]],BD_Cod[SKU],BD_Cod[Familia Calidad]),"")</f>
        <v/>
      </c>
      <c r="J319" s="33">
        <v>1000</v>
      </c>
      <c r="L319" s="30" t="s">
        <v>244</v>
      </c>
      <c r="O319" s="30" t="s">
        <v>894</v>
      </c>
      <c r="P319" s="29" t="s">
        <v>894</v>
      </c>
      <c r="Q319" s="37">
        <f>1-FT_RF_26[[#This Row],[% Defectos]]</f>
        <v>1</v>
      </c>
      <c r="R319" s="38">
        <v>0</v>
      </c>
      <c r="S319" s="39">
        <f>+IFERROR((FT_RF_26[[#This Row],[Inmadura]]/FT_RF_26[[#This Row],[Muestra]]),"0")</f>
        <v>0</v>
      </c>
      <c r="T319" s="38">
        <v>0</v>
      </c>
      <c r="U319" s="39">
        <f>+IFERROR((FT_RF_26[[#This Row],[Partidas]]/FT_RF_26[[#This Row],[Muestra]]),"0")</f>
        <v>0</v>
      </c>
      <c r="V319" s="38">
        <v>0</v>
      </c>
      <c r="W319" s="39">
        <f>+IFERROR((FT_RF_26[[#This Row],[Daño Insecto]]/FT_RF_26[[#This Row],[Muestra]]),"0")</f>
        <v>0</v>
      </c>
      <c r="X319" s="38">
        <v>0</v>
      </c>
      <c r="Y319" s="39">
        <f>+IFERROR((FT_RF_26[[#This Row],[Sobremadura]]/FT_RF_26[[#This Row],[Muestra]]),"0")</f>
        <v>0</v>
      </c>
      <c r="Z319" s="38">
        <v>0</v>
      </c>
      <c r="AA319" s="39">
        <f>+IFERROR((FT_RF_26[[#This Row],[Deforme]]/FT_RF_26[[#This Row],[Muestra]]),"0")</f>
        <v>0</v>
      </c>
      <c r="AB319" s="27"/>
      <c r="AC319" s="38">
        <v>0</v>
      </c>
      <c r="AD319" s="39">
        <f>+IFERROR((FT_RF_26[[#This Row],[Valor Extra 1]]/FT_RF_26[[#This Row],[Muestra]]),"0")</f>
        <v>0</v>
      </c>
      <c r="AF319" s="38">
        <v>0</v>
      </c>
      <c r="AG319" s="39">
        <f>+IFERROR((FT_RF_26[[#This Row],[Valor Extra 2]]/FT_RF_26[[#This Row],[Muestra]]),"0")</f>
        <v>0</v>
      </c>
      <c r="AH319" s="40">
        <v>0</v>
      </c>
      <c r="AI319" s="39">
        <f>+IFERROR((FT_RF_26[[#This Row],[Hongos]]/FT_RF_26[[#This Row],[Muestra]]),"0")</f>
        <v>0</v>
      </c>
      <c r="AJ319" s="38">
        <v>0</v>
      </c>
      <c r="AK319" s="39">
        <f>+IFERROR((FT_RF_26[[#This Row],[Block]]/FT_RF_26[[#This Row],[Muestra]]),"0")</f>
        <v>0</v>
      </c>
      <c r="AL319" s="41">
        <v>0</v>
      </c>
      <c r="AM319" s="42">
        <v>0</v>
      </c>
      <c r="AN319" s="38">
        <v>0</v>
      </c>
      <c r="AO319" s="39">
        <f>+IFERROR((FT_RF_26[[#This Row],[Fuera de calibre &lt;12mm]]/FT_RF_26[[#This Row],[Muestra]]),"0")</f>
        <v>0</v>
      </c>
      <c r="AP319" s="38">
        <v>0</v>
      </c>
      <c r="AQ319" s="39">
        <f>+IFERROR((FT_RF_26[[#This Row],[Calibre &lt;25]]/FT_RF_26[[#This Row],[Muestra]]),"0")</f>
        <v>0</v>
      </c>
      <c r="AR319" s="38">
        <v>0</v>
      </c>
      <c r="AS319" s="39">
        <f>+IFERROR((FT_RF_26[[#This Row],[Calibre &gt;12]]/FT_RF_26[[#This Row],[Muestra]]),"0")</f>
        <v>0</v>
      </c>
      <c r="AT319" s="38">
        <v>0</v>
      </c>
      <c r="AU319" s="39">
        <f>+IFERROR((FT_RF_26[[#This Row],[Calibre &lt;14]]/FT_RF_26[[#This Row],[Muestra]]),"0")</f>
        <v>0</v>
      </c>
      <c r="AV319" s="38">
        <v>0</v>
      </c>
      <c r="AW319" s="39">
        <f>+IFERROR((FT_RF_26[[#This Row],[Calibre &gt;14]]/FT_RF_26[[#This Row],[Muestra]]),"0")</f>
        <v>0</v>
      </c>
      <c r="AX319" s="38">
        <v>0</v>
      </c>
      <c r="AY319" s="39">
        <f>+IFERROR((FT_RF_26[[#This Row],[Calibre &lt;10]]/FT_RF_26[[#This Row],[Muestra]]),"0")</f>
        <v>0</v>
      </c>
      <c r="AZ319" s="38">
        <v>0</v>
      </c>
      <c r="BA319" s="39">
        <f>+IFERROR((FT_RF_26[[#This Row],[Calibre &gt;13]]/FT_RF_26[[#This Row],[Muestra]]),"0")</f>
        <v>0</v>
      </c>
      <c r="BB319" s="41"/>
      <c r="BG319" s="42"/>
      <c r="BH319" s="43">
        <v>0</v>
      </c>
      <c r="BI319" s="29" t="s">
        <v>894</v>
      </c>
      <c r="BJ319" s="29" t="s">
        <v>894</v>
      </c>
      <c r="BK31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1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19" s="45">
        <f>1-FT_RF_26[[#This Row],[% Defectos]]</f>
        <v>1</v>
      </c>
      <c r="BO319" s="60"/>
      <c r="BP319" s="12">
        <f>SUM(FT_RF_26[[#This Row],[Hoja (Un.)]:[Larvas Caja]])</f>
        <v>0</v>
      </c>
      <c r="BQ319" s="12">
        <f>SUM(FT_RF_26[[#This Row],[Vidrios]:[Plástico]])</f>
        <v>0</v>
      </c>
      <c r="BR319" s="12" t="str">
        <f>IF(ISBLANK(FT_RF_26[[#This Row],[Descripción del producto]]),"",FT_RF_26[[#This Row],[Descripción del producto]])</f>
        <v/>
      </c>
      <c r="BS319" s="29" t="str">
        <f>IF(ISBLANK(FT_RF_26[[#This Row],[N° de Lote]]),"",FT_RF_26[[#This Row],[N° de Lote]])</f>
        <v/>
      </c>
      <c r="BT319" s="29" t="str">
        <f>IF(ISBLANK(FT_RF_26[[#This Row],[N° de Pallet]]),"",FT_RF_26[[#This Row],[N° de Pallet]])</f>
        <v/>
      </c>
    </row>
    <row r="320" spans="2:72">
      <c r="B320" s="29">
        <f>+_xlfn.ISOWEEKNUM(FT_RF_26[[#This Row],[Fecha]])</f>
        <v>52</v>
      </c>
      <c r="E320" s="31"/>
      <c r="F320" s="12" t="str">
        <f>IFERROR(""&amp;_xlfn.XLOOKUP(FT_RF_26[[#This Row],[Código]],BD_Cod[SKU],BD_Cod[Descripción]),"")</f>
        <v/>
      </c>
      <c r="G320" s="32" t="str">
        <f>IFERROR(""&amp;_xlfn.XLOOKUP(FT_RF_26[[#This Row],[Código]],BD_Cod[SKU],BD_Cod[Familia Calidad]),"")</f>
        <v/>
      </c>
      <c r="J320" s="33">
        <v>1000</v>
      </c>
      <c r="L320" s="30" t="s">
        <v>244</v>
      </c>
      <c r="O320" s="30" t="s">
        <v>894</v>
      </c>
      <c r="P320" s="29" t="s">
        <v>894</v>
      </c>
      <c r="Q320" s="37">
        <f>1-FT_RF_26[[#This Row],[% Defectos]]</f>
        <v>1</v>
      </c>
      <c r="R320" s="38">
        <v>0</v>
      </c>
      <c r="S320" s="39">
        <f>+IFERROR((FT_RF_26[[#This Row],[Inmadura]]/FT_RF_26[[#This Row],[Muestra]]),"0")</f>
        <v>0</v>
      </c>
      <c r="T320" s="38">
        <v>0</v>
      </c>
      <c r="U320" s="39">
        <f>+IFERROR((FT_RF_26[[#This Row],[Partidas]]/FT_RF_26[[#This Row],[Muestra]]),"0")</f>
        <v>0</v>
      </c>
      <c r="V320" s="38">
        <v>0</v>
      </c>
      <c r="W320" s="39">
        <f>+IFERROR((FT_RF_26[[#This Row],[Daño Insecto]]/FT_RF_26[[#This Row],[Muestra]]),"0")</f>
        <v>0</v>
      </c>
      <c r="X320" s="38">
        <v>0</v>
      </c>
      <c r="Y320" s="39">
        <f>+IFERROR((FT_RF_26[[#This Row],[Sobremadura]]/FT_RF_26[[#This Row],[Muestra]]),"0")</f>
        <v>0</v>
      </c>
      <c r="Z320" s="38">
        <v>0</v>
      </c>
      <c r="AA320" s="39">
        <f>+IFERROR((FT_RF_26[[#This Row],[Deforme]]/FT_RF_26[[#This Row],[Muestra]]),"0")</f>
        <v>0</v>
      </c>
      <c r="AB320" s="27"/>
      <c r="AC320" s="38">
        <v>0</v>
      </c>
      <c r="AD320" s="39">
        <f>+IFERROR((FT_RF_26[[#This Row],[Valor Extra 1]]/FT_RF_26[[#This Row],[Muestra]]),"0")</f>
        <v>0</v>
      </c>
      <c r="AF320" s="38">
        <v>0</v>
      </c>
      <c r="AG320" s="39">
        <f>+IFERROR((FT_RF_26[[#This Row],[Valor Extra 2]]/FT_RF_26[[#This Row],[Muestra]]),"0")</f>
        <v>0</v>
      </c>
      <c r="AH320" s="40">
        <v>0</v>
      </c>
      <c r="AI320" s="39">
        <f>+IFERROR((FT_RF_26[[#This Row],[Hongos]]/FT_RF_26[[#This Row],[Muestra]]),"0")</f>
        <v>0</v>
      </c>
      <c r="AJ320" s="38">
        <v>0</v>
      </c>
      <c r="AK320" s="39">
        <f>+IFERROR((FT_RF_26[[#This Row],[Block]]/FT_RF_26[[#This Row],[Muestra]]),"0")</f>
        <v>0</v>
      </c>
      <c r="AL320" s="41">
        <v>0</v>
      </c>
      <c r="AM320" s="42">
        <v>0</v>
      </c>
      <c r="AN320" s="38">
        <v>0</v>
      </c>
      <c r="AO320" s="39">
        <f>+IFERROR((FT_RF_26[[#This Row],[Fuera de calibre &lt;12mm]]/FT_RF_26[[#This Row],[Muestra]]),"0")</f>
        <v>0</v>
      </c>
      <c r="AP320" s="38">
        <v>0</v>
      </c>
      <c r="AQ320" s="39">
        <f>+IFERROR((FT_RF_26[[#This Row],[Calibre &lt;25]]/FT_RF_26[[#This Row],[Muestra]]),"0")</f>
        <v>0</v>
      </c>
      <c r="AR320" s="38">
        <v>0</v>
      </c>
      <c r="AS320" s="39">
        <f>+IFERROR((FT_RF_26[[#This Row],[Calibre &gt;12]]/FT_RF_26[[#This Row],[Muestra]]),"0")</f>
        <v>0</v>
      </c>
      <c r="AT320" s="38">
        <v>0</v>
      </c>
      <c r="AU320" s="39">
        <f>+IFERROR((FT_RF_26[[#This Row],[Calibre &lt;14]]/FT_RF_26[[#This Row],[Muestra]]),"0")</f>
        <v>0</v>
      </c>
      <c r="AV320" s="38">
        <v>0</v>
      </c>
      <c r="AW320" s="39">
        <f>+IFERROR((FT_RF_26[[#This Row],[Calibre &gt;14]]/FT_RF_26[[#This Row],[Muestra]]),"0")</f>
        <v>0</v>
      </c>
      <c r="AX320" s="38">
        <v>0</v>
      </c>
      <c r="AY320" s="39">
        <f>+IFERROR((FT_RF_26[[#This Row],[Calibre &lt;10]]/FT_RF_26[[#This Row],[Muestra]]),"0")</f>
        <v>0</v>
      </c>
      <c r="AZ320" s="38">
        <v>0</v>
      </c>
      <c r="BA320" s="39">
        <f>+IFERROR((FT_RF_26[[#This Row],[Calibre &gt;13]]/FT_RF_26[[#This Row],[Muestra]]),"0")</f>
        <v>0</v>
      </c>
      <c r="BB320" s="41"/>
      <c r="BG320" s="42"/>
      <c r="BH320" s="43">
        <v>0</v>
      </c>
      <c r="BI320" s="29" t="s">
        <v>894</v>
      </c>
      <c r="BJ320" s="29" t="s">
        <v>894</v>
      </c>
      <c r="BK32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2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20" s="45">
        <f>1-FT_RF_26[[#This Row],[% Defectos]]</f>
        <v>1</v>
      </c>
      <c r="BO320" s="60"/>
      <c r="BP320" s="12">
        <f>SUM(FT_RF_26[[#This Row],[Hoja (Un.)]:[Larvas Caja]])</f>
        <v>0</v>
      </c>
      <c r="BQ320" s="12">
        <f>SUM(FT_RF_26[[#This Row],[Vidrios]:[Plástico]])</f>
        <v>0</v>
      </c>
      <c r="BR320" s="12" t="str">
        <f>IF(ISBLANK(FT_RF_26[[#This Row],[Descripción del producto]]),"",FT_RF_26[[#This Row],[Descripción del producto]])</f>
        <v/>
      </c>
      <c r="BS320" s="29" t="str">
        <f>IF(ISBLANK(FT_RF_26[[#This Row],[N° de Lote]]),"",FT_RF_26[[#This Row],[N° de Lote]])</f>
        <v/>
      </c>
      <c r="BT320" s="29" t="str">
        <f>IF(ISBLANK(FT_RF_26[[#This Row],[N° de Pallet]]),"",FT_RF_26[[#This Row],[N° de Pallet]])</f>
        <v/>
      </c>
    </row>
    <row r="321" spans="2:72">
      <c r="B321" s="29">
        <f>+_xlfn.ISOWEEKNUM(FT_RF_26[[#This Row],[Fecha]])</f>
        <v>52</v>
      </c>
      <c r="E321" s="31"/>
      <c r="F321" s="12" t="str">
        <f>IFERROR(""&amp;_xlfn.XLOOKUP(FT_RF_26[[#This Row],[Código]],BD_Cod[SKU],BD_Cod[Descripción]),"")</f>
        <v/>
      </c>
      <c r="G321" s="32" t="str">
        <f>IFERROR(""&amp;_xlfn.XLOOKUP(FT_RF_26[[#This Row],[Código]],BD_Cod[SKU],BD_Cod[Familia Calidad]),"")</f>
        <v/>
      </c>
      <c r="J321" s="33">
        <v>1000</v>
      </c>
      <c r="L321" s="30" t="s">
        <v>244</v>
      </c>
      <c r="O321" s="30" t="s">
        <v>894</v>
      </c>
      <c r="P321" s="29" t="s">
        <v>894</v>
      </c>
      <c r="Q321" s="37">
        <f>1-FT_RF_26[[#This Row],[% Defectos]]</f>
        <v>1</v>
      </c>
      <c r="R321" s="38">
        <v>0</v>
      </c>
      <c r="S321" s="39">
        <f>+IFERROR((FT_RF_26[[#This Row],[Inmadura]]/FT_RF_26[[#This Row],[Muestra]]),"0")</f>
        <v>0</v>
      </c>
      <c r="T321" s="38">
        <v>0</v>
      </c>
      <c r="U321" s="39">
        <f>+IFERROR((FT_RF_26[[#This Row],[Partidas]]/FT_RF_26[[#This Row],[Muestra]]),"0")</f>
        <v>0</v>
      </c>
      <c r="V321" s="38">
        <v>0</v>
      </c>
      <c r="W321" s="39">
        <f>+IFERROR((FT_RF_26[[#This Row],[Daño Insecto]]/FT_RF_26[[#This Row],[Muestra]]),"0")</f>
        <v>0</v>
      </c>
      <c r="X321" s="38">
        <v>0</v>
      </c>
      <c r="Y321" s="39">
        <f>+IFERROR((FT_RF_26[[#This Row],[Sobremadura]]/FT_RF_26[[#This Row],[Muestra]]),"0")</f>
        <v>0</v>
      </c>
      <c r="Z321" s="38">
        <v>0</v>
      </c>
      <c r="AA321" s="39">
        <f>+IFERROR((FT_RF_26[[#This Row],[Deforme]]/FT_RF_26[[#This Row],[Muestra]]),"0")</f>
        <v>0</v>
      </c>
      <c r="AB321" s="27"/>
      <c r="AC321" s="38">
        <v>0</v>
      </c>
      <c r="AD321" s="39">
        <f>+IFERROR((FT_RF_26[[#This Row],[Valor Extra 1]]/FT_RF_26[[#This Row],[Muestra]]),"0")</f>
        <v>0</v>
      </c>
      <c r="AF321" s="38">
        <v>0</v>
      </c>
      <c r="AG321" s="39">
        <f>+IFERROR((FT_RF_26[[#This Row],[Valor Extra 2]]/FT_RF_26[[#This Row],[Muestra]]),"0")</f>
        <v>0</v>
      </c>
      <c r="AH321" s="40">
        <v>0</v>
      </c>
      <c r="AI321" s="39">
        <f>+IFERROR((FT_RF_26[[#This Row],[Hongos]]/FT_RF_26[[#This Row],[Muestra]]),"0")</f>
        <v>0</v>
      </c>
      <c r="AJ321" s="38">
        <v>0</v>
      </c>
      <c r="AK321" s="39">
        <f>+IFERROR((FT_RF_26[[#This Row],[Block]]/FT_RF_26[[#This Row],[Muestra]]),"0")</f>
        <v>0</v>
      </c>
      <c r="AL321" s="41">
        <v>0</v>
      </c>
      <c r="AM321" s="42">
        <v>0</v>
      </c>
      <c r="AN321" s="38">
        <v>0</v>
      </c>
      <c r="AO321" s="39">
        <f>+IFERROR((FT_RF_26[[#This Row],[Fuera de calibre &lt;12mm]]/FT_RF_26[[#This Row],[Muestra]]),"0")</f>
        <v>0</v>
      </c>
      <c r="AP321" s="38">
        <v>0</v>
      </c>
      <c r="AQ321" s="39">
        <f>+IFERROR((FT_RF_26[[#This Row],[Calibre &lt;25]]/FT_RF_26[[#This Row],[Muestra]]),"0")</f>
        <v>0</v>
      </c>
      <c r="AR321" s="38">
        <v>0</v>
      </c>
      <c r="AS321" s="39">
        <f>+IFERROR((FT_RF_26[[#This Row],[Calibre &gt;12]]/FT_RF_26[[#This Row],[Muestra]]),"0")</f>
        <v>0</v>
      </c>
      <c r="AT321" s="38">
        <v>0</v>
      </c>
      <c r="AU321" s="39">
        <f>+IFERROR((FT_RF_26[[#This Row],[Calibre &lt;14]]/FT_RF_26[[#This Row],[Muestra]]),"0")</f>
        <v>0</v>
      </c>
      <c r="AV321" s="38">
        <v>0</v>
      </c>
      <c r="AW321" s="39">
        <f>+IFERROR((FT_RF_26[[#This Row],[Calibre &gt;14]]/FT_RF_26[[#This Row],[Muestra]]),"0")</f>
        <v>0</v>
      </c>
      <c r="AX321" s="38">
        <v>0</v>
      </c>
      <c r="AY321" s="39">
        <f>+IFERROR((FT_RF_26[[#This Row],[Calibre &lt;10]]/FT_RF_26[[#This Row],[Muestra]]),"0")</f>
        <v>0</v>
      </c>
      <c r="AZ321" s="38">
        <v>0</v>
      </c>
      <c r="BA321" s="39">
        <f>+IFERROR((FT_RF_26[[#This Row],[Calibre &gt;13]]/FT_RF_26[[#This Row],[Muestra]]),"0")</f>
        <v>0</v>
      </c>
      <c r="BB321" s="41"/>
      <c r="BG321" s="42"/>
      <c r="BH321" s="43">
        <v>0</v>
      </c>
      <c r="BI321" s="29" t="s">
        <v>894</v>
      </c>
      <c r="BJ321" s="29" t="s">
        <v>894</v>
      </c>
      <c r="BK32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2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21" s="45">
        <f>1-FT_RF_26[[#This Row],[% Defectos]]</f>
        <v>1</v>
      </c>
      <c r="BO321" s="60"/>
      <c r="BP321" s="12">
        <f>SUM(FT_RF_26[[#This Row],[Hoja (Un.)]:[Larvas Caja]])</f>
        <v>0</v>
      </c>
      <c r="BQ321" s="12">
        <f>SUM(FT_RF_26[[#This Row],[Vidrios]:[Plástico]])</f>
        <v>0</v>
      </c>
      <c r="BR321" s="12" t="str">
        <f>IF(ISBLANK(FT_RF_26[[#This Row],[Descripción del producto]]),"",FT_RF_26[[#This Row],[Descripción del producto]])</f>
        <v/>
      </c>
      <c r="BS321" s="29" t="str">
        <f>IF(ISBLANK(FT_RF_26[[#This Row],[N° de Lote]]),"",FT_RF_26[[#This Row],[N° de Lote]])</f>
        <v/>
      </c>
      <c r="BT321" s="29" t="str">
        <f>IF(ISBLANK(FT_RF_26[[#This Row],[N° de Pallet]]),"",FT_RF_26[[#This Row],[N° de Pallet]])</f>
        <v/>
      </c>
    </row>
    <row r="322" spans="2:72">
      <c r="B322" s="29">
        <f>+_xlfn.ISOWEEKNUM(FT_RF_26[[#This Row],[Fecha]])</f>
        <v>52</v>
      </c>
      <c r="E322" s="31"/>
      <c r="F322" s="12" t="str">
        <f>IFERROR(""&amp;_xlfn.XLOOKUP(FT_RF_26[[#This Row],[Código]],BD_Cod[SKU],BD_Cod[Descripción]),"")</f>
        <v/>
      </c>
      <c r="G322" s="32" t="str">
        <f>IFERROR(""&amp;_xlfn.XLOOKUP(FT_RF_26[[#This Row],[Código]],BD_Cod[SKU],BD_Cod[Familia Calidad]),"")</f>
        <v/>
      </c>
      <c r="J322" s="33">
        <v>1000</v>
      </c>
      <c r="L322" s="30" t="s">
        <v>244</v>
      </c>
      <c r="O322" s="30" t="s">
        <v>894</v>
      </c>
      <c r="P322" s="29" t="s">
        <v>894</v>
      </c>
      <c r="Q322" s="37">
        <f>1-FT_RF_26[[#This Row],[% Defectos]]</f>
        <v>1</v>
      </c>
      <c r="R322" s="38">
        <v>0</v>
      </c>
      <c r="S322" s="39">
        <f>+IFERROR((FT_RF_26[[#This Row],[Inmadura]]/FT_RF_26[[#This Row],[Muestra]]),"0")</f>
        <v>0</v>
      </c>
      <c r="T322" s="38">
        <v>0</v>
      </c>
      <c r="U322" s="39">
        <f>+IFERROR((FT_RF_26[[#This Row],[Partidas]]/FT_RF_26[[#This Row],[Muestra]]),"0")</f>
        <v>0</v>
      </c>
      <c r="V322" s="38">
        <v>0</v>
      </c>
      <c r="W322" s="39">
        <f>+IFERROR((FT_RF_26[[#This Row],[Daño Insecto]]/FT_RF_26[[#This Row],[Muestra]]),"0")</f>
        <v>0</v>
      </c>
      <c r="X322" s="38">
        <v>0</v>
      </c>
      <c r="Y322" s="39">
        <f>+IFERROR((FT_RF_26[[#This Row],[Sobremadura]]/FT_RF_26[[#This Row],[Muestra]]),"0")</f>
        <v>0</v>
      </c>
      <c r="Z322" s="38">
        <v>0</v>
      </c>
      <c r="AA322" s="39">
        <f>+IFERROR((FT_RF_26[[#This Row],[Deforme]]/FT_RF_26[[#This Row],[Muestra]]),"0")</f>
        <v>0</v>
      </c>
      <c r="AB322" s="27"/>
      <c r="AC322" s="38">
        <v>0</v>
      </c>
      <c r="AD322" s="39">
        <f>+IFERROR((FT_RF_26[[#This Row],[Valor Extra 1]]/FT_RF_26[[#This Row],[Muestra]]),"0")</f>
        <v>0</v>
      </c>
      <c r="AF322" s="38">
        <v>0</v>
      </c>
      <c r="AG322" s="39">
        <f>+IFERROR((FT_RF_26[[#This Row],[Valor Extra 2]]/FT_RF_26[[#This Row],[Muestra]]),"0")</f>
        <v>0</v>
      </c>
      <c r="AH322" s="40">
        <v>0</v>
      </c>
      <c r="AI322" s="39">
        <f>+IFERROR((FT_RF_26[[#This Row],[Hongos]]/FT_RF_26[[#This Row],[Muestra]]),"0")</f>
        <v>0</v>
      </c>
      <c r="AJ322" s="38">
        <v>0</v>
      </c>
      <c r="AK322" s="39">
        <f>+IFERROR((FT_RF_26[[#This Row],[Block]]/FT_RF_26[[#This Row],[Muestra]]),"0")</f>
        <v>0</v>
      </c>
      <c r="AL322" s="41">
        <v>0</v>
      </c>
      <c r="AM322" s="42">
        <v>0</v>
      </c>
      <c r="AN322" s="38">
        <v>0</v>
      </c>
      <c r="AO322" s="39">
        <f>+IFERROR((FT_RF_26[[#This Row],[Fuera de calibre &lt;12mm]]/FT_RF_26[[#This Row],[Muestra]]),"0")</f>
        <v>0</v>
      </c>
      <c r="AP322" s="38">
        <v>0</v>
      </c>
      <c r="AQ322" s="39">
        <f>+IFERROR((FT_RF_26[[#This Row],[Calibre &lt;25]]/FT_RF_26[[#This Row],[Muestra]]),"0")</f>
        <v>0</v>
      </c>
      <c r="AR322" s="38">
        <v>0</v>
      </c>
      <c r="AS322" s="39">
        <f>+IFERROR((FT_RF_26[[#This Row],[Calibre &gt;12]]/FT_RF_26[[#This Row],[Muestra]]),"0")</f>
        <v>0</v>
      </c>
      <c r="AT322" s="38">
        <v>0</v>
      </c>
      <c r="AU322" s="39">
        <f>+IFERROR((FT_RF_26[[#This Row],[Calibre &lt;14]]/FT_RF_26[[#This Row],[Muestra]]),"0")</f>
        <v>0</v>
      </c>
      <c r="AV322" s="38">
        <v>0</v>
      </c>
      <c r="AW322" s="39">
        <f>+IFERROR((FT_RF_26[[#This Row],[Calibre &gt;14]]/FT_RF_26[[#This Row],[Muestra]]),"0")</f>
        <v>0</v>
      </c>
      <c r="AX322" s="38">
        <v>0</v>
      </c>
      <c r="AY322" s="39">
        <f>+IFERROR((FT_RF_26[[#This Row],[Calibre &lt;10]]/FT_RF_26[[#This Row],[Muestra]]),"0")</f>
        <v>0</v>
      </c>
      <c r="AZ322" s="38">
        <v>0</v>
      </c>
      <c r="BA322" s="39">
        <f>+IFERROR((FT_RF_26[[#This Row],[Calibre &gt;13]]/FT_RF_26[[#This Row],[Muestra]]),"0")</f>
        <v>0</v>
      </c>
      <c r="BB322" s="41"/>
      <c r="BG322" s="42"/>
      <c r="BH322" s="43">
        <v>0</v>
      </c>
      <c r="BI322" s="29" t="s">
        <v>894</v>
      </c>
      <c r="BJ322" s="29" t="s">
        <v>894</v>
      </c>
      <c r="BK32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2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22" s="45">
        <f>1-FT_RF_26[[#This Row],[% Defectos]]</f>
        <v>1</v>
      </c>
      <c r="BO322" s="60"/>
      <c r="BP322" s="12">
        <f>SUM(FT_RF_26[[#This Row],[Hoja (Un.)]:[Larvas Caja]])</f>
        <v>0</v>
      </c>
      <c r="BQ322" s="12">
        <f>SUM(FT_RF_26[[#This Row],[Vidrios]:[Plástico]])</f>
        <v>0</v>
      </c>
      <c r="BR322" s="12" t="str">
        <f>IF(ISBLANK(FT_RF_26[[#This Row],[Descripción del producto]]),"",FT_RF_26[[#This Row],[Descripción del producto]])</f>
        <v/>
      </c>
      <c r="BS322" s="29" t="str">
        <f>IF(ISBLANK(FT_RF_26[[#This Row],[N° de Lote]]),"",FT_RF_26[[#This Row],[N° de Lote]])</f>
        <v/>
      </c>
      <c r="BT322" s="29" t="str">
        <f>IF(ISBLANK(FT_RF_26[[#This Row],[N° de Pallet]]),"",FT_RF_26[[#This Row],[N° de Pallet]])</f>
        <v/>
      </c>
    </row>
    <row r="323" spans="2:72">
      <c r="B323" s="29">
        <f>+_xlfn.ISOWEEKNUM(FT_RF_26[[#This Row],[Fecha]])</f>
        <v>52</v>
      </c>
      <c r="E323" s="31"/>
      <c r="F323" s="12" t="str">
        <f>IFERROR(""&amp;_xlfn.XLOOKUP(FT_RF_26[[#This Row],[Código]],BD_Cod[SKU],BD_Cod[Descripción]),"")</f>
        <v/>
      </c>
      <c r="G323" s="32" t="str">
        <f>IFERROR(""&amp;_xlfn.XLOOKUP(FT_RF_26[[#This Row],[Código]],BD_Cod[SKU],BD_Cod[Familia Calidad]),"")</f>
        <v/>
      </c>
      <c r="J323" s="33">
        <v>1000</v>
      </c>
      <c r="L323" s="30" t="s">
        <v>244</v>
      </c>
      <c r="O323" s="30" t="s">
        <v>894</v>
      </c>
      <c r="P323" s="29" t="s">
        <v>894</v>
      </c>
      <c r="Q323" s="37">
        <f>1-FT_RF_26[[#This Row],[% Defectos]]</f>
        <v>1</v>
      </c>
      <c r="R323" s="38">
        <v>0</v>
      </c>
      <c r="S323" s="39">
        <f>+IFERROR((FT_RF_26[[#This Row],[Inmadura]]/FT_RF_26[[#This Row],[Muestra]]),"0")</f>
        <v>0</v>
      </c>
      <c r="T323" s="38">
        <v>0</v>
      </c>
      <c r="U323" s="39">
        <f>+IFERROR((FT_RF_26[[#This Row],[Partidas]]/FT_RF_26[[#This Row],[Muestra]]),"0")</f>
        <v>0</v>
      </c>
      <c r="V323" s="38">
        <v>0</v>
      </c>
      <c r="W323" s="39">
        <f>+IFERROR((FT_RF_26[[#This Row],[Daño Insecto]]/FT_RF_26[[#This Row],[Muestra]]),"0")</f>
        <v>0</v>
      </c>
      <c r="X323" s="38">
        <v>0</v>
      </c>
      <c r="Y323" s="39">
        <f>+IFERROR((FT_RF_26[[#This Row],[Sobremadura]]/FT_RF_26[[#This Row],[Muestra]]),"0")</f>
        <v>0</v>
      </c>
      <c r="Z323" s="38">
        <v>0</v>
      </c>
      <c r="AA323" s="39">
        <f>+IFERROR((FT_RF_26[[#This Row],[Deforme]]/FT_RF_26[[#This Row],[Muestra]]),"0")</f>
        <v>0</v>
      </c>
      <c r="AB323" s="27"/>
      <c r="AC323" s="38">
        <v>0</v>
      </c>
      <c r="AD323" s="39">
        <f>+IFERROR((FT_RF_26[[#This Row],[Valor Extra 1]]/FT_RF_26[[#This Row],[Muestra]]),"0")</f>
        <v>0</v>
      </c>
      <c r="AF323" s="38">
        <v>0</v>
      </c>
      <c r="AG323" s="39">
        <f>+IFERROR((FT_RF_26[[#This Row],[Valor Extra 2]]/FT_RF_26[[#This Row],[Muestra]]),"0")</f>
        <v>0</v>
      </c>
      <c r="AH323" s="40">
        <v>0</v>
      </c>
      <c r="AI323" s="39">
        <f>+IFERROR((FT_RF_26[[#This Row],[Hongos]]/FT_RF_26[[#This Row],[Muestra]]),"0")</f>
        <v>0</v>
      </c>
      <c r="AJ323" s="38">
        <v>0</v>
      </c>
      <c r="AK323" s="39">
        <f>+IFERROR((FT_RF_26[[#This Row],[Block]]/FT_RF_26[[#This Row],[Muestra]]),"0")</f>
        <v>0</v>
      </c>
      <c r="AL323" s="41">
        <v>0</v>
      </c>
      <c r="AM323" s="42">
        <v>0</v>
      </c>
      <c r="AN323" s="38">
        <v>0</v>
      </c>
      <c r="AO323" s="39">
        <f>+IFERROR((FT_RF_26[[#This Row],[Fuera de calibre &lt;12mm]]/FT_RF_26[[#This Row],[Muestra]]),"0")</f>
        <v>0</v>
      </c>
      <c r="AP323" s="38">
        <v>0</v>
      </c>
      <c r="AQ323" s="39">
        <f>+IFERROR((FT_RF_26[[#This Row],[Calibre &lt;25]]/FT_RF_26[[#This Row],[Muestra]]),"0")</f>
        <v>0</v>
      </c>
      <c r="AR323" s="38">
        <v>0</v>
      </c>
      <c r="AS323" s="39">
        <f>+IFERROR((FT_RF_26[[#This Row],[Calibre &gt;12]]/FT_RF_26[[#This Row],[Muestra]]),"0")</f>
        <v>0</v>
      </c>
      <c r="AT323" s="38">
        <v>0</v>
      </c>
      <c r="AU323" s="39">
        <f>+IFERROR((FT_RF_26[[#This Row],[Calibre &lt;14]]/FT_RF_26[[#This Row],[Muestra]]),"0")</f>
        <v>0</v>
      </c>
      <c r="AV323" s="38">
        <v>0</v>
      </c>
      <c r="AW323" s="39">
        <f>+IFERROR((FT_RF_26[[#This Row],[Calibre &gt;14]]/FT_RF_26[[#This Row],[Muestra]]),"0")</f>
        <v>0</v>
      </c>
      <c r="AX323" s="38">
        <v>0</v>
      </c>
      <c r="AY323" s="39">
        <f>+IFERROR((FT_RF_26[[#This Row],[Calibre &lt;10]]/FT_RF_26[[#This Row],[Muestra]]),"0")</f>
        <v>0</v>
      </c>
      <c r="AZ323" s="38">
        <v>0</v>
      </c>
      <c r="BA323" s="39">
        <f>+IFERROR((FT_RF_26[[#This Row],[Calibre &gt;13]]/FT_RF_26[[#This Row],[Muestra]]),"0")</f>
        <v>0</v>
      </c>
      <c r="BB323" s="41"/>
      <c r="BG323" s="42"/>
      <c r="BH323" s="43">
        <v>0</v>
      </c>
      <c r="BI323" s="29" t="s">
        <v>894</v>
      </c>
      <c r="BJ323" s="29" t="s">
        <v>894</v>
      </c>
      <c r="BK32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2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23" s="45">
        <f>1-FT_RF_26[[#This Row],[% Defectos]]</f>
        <v>1</v>
      </c>
      <c r="BO323" s="60"/>
      <c r="BP323" s="12">
        <f>SUM(FT_RF_26[[#This Row],[Hoja (Un.)]:[Larvas Caja]])</f>
        <v>0</v>
      </c>
      <c r="BQ323" s="12">
        <f>SUM(FT_RF_26[[#This Row],[Vidrios]:[Plástico]])</f>
        <v>0</v>
      </c>
      <c r="BR323" s="12" t="str">
        <f>IF(ISBLANK(FT_RF_26[[#This Row],[Descripción del producto]]),"",FT_RF_26[[#This Row],[Descripción del producto]])</f>
        <v/>
      </c>
      <c r="BS323" s="29" t="str">
        <f>IF(ISBLANK(FT_RF_26[[#This Row],[N° de Lote]]),"",FT_RF_26[[#This Row],[N° de Lote]])</f>
        <v/>
      </c>
      <c r="BT323" s="29" t="str">
        <f>IF(ISBLANK(FT_RF_26[[#This Row],[N° de Pallet]]),"",FT_RF_26[[#This Row],[N° de Pallet]])</f>
        <v/>
      </c>
    </row>
    <row r="324" spans="2:72">
      <c r="B324" s="29">
        <f>+_xlfn.ISOWEEKNUM(FT_RF_26[[#This Row],[Fecha]])</f>
        <v>52</v>
      </c>
      <c r="E324" s="31"/>
      <c r="F324" s="12" t="str">
        <f>IFERROR(""&amp;_xlfn.XLOOKUP(FT_RF_26[[#This Row],[Código]],BD_Cod[SKU],BD_Cod[Descripción]),"")</f>
        <v/>
      </c>
      <c r="G324" s="32" t="str">
        <f>IFERROR(""&amp;_xlfn.XLOOKUP(FT_RF_26[[#This Row],[Código]],BD_Cod[SKU],BD_Cod[Familia Calidad]),"")</f>
        <v/>
      </c>
      <c r="J324" s="33">
        <v>1000</v>
      </c>
      <c r="L324" s="30" t="s">
        <v>244</v>
      </c>
      <c r="O324" s="30" t="s">
        <v>894</v>
      </c>
      <c r="P324" s="29" t="s">
        <v>894</v>
      </c>
      <c r="Q324" s="37">
        <f>1-FT_RF_26[[#This Row],[% Defectos]]</f>
        <v>1</v>
      </c>
      <c r="R324" s="38">
        <v>0</v>
      </c>
      <c r="S324" s="39">
        <f>+IFERROR((FT_RF_26[[#This Row],[Inmadura]]/FT_RF_26[[#This Row],[Muestra]]),"0")</f>
        <v>0</v>
      </c>
      <c r="T324" s="38">
        <v>0</v>
      </c>
      <c r="U324" s="39">
        <f>+IFERROR((FT_RF_26[[#This Row],[Partidas]]/FT_RF_26[[#This Row],[Muestra]]),"0")</f>
        <v>0</v>
      </c>
      <c r="V324" s="38">
        <v>0</v>
      </c>
      <c r="W324" s="39">
        <f>+IFERROR((FT_RF_26[[#This Row],[Daño Insecto]]/FT_RF_26[[#This Row],[Muestra]]),"0")</f>
        <v>0</v>
      </c>
      <c r="X324" s="38">
        <v>0</v>
      </c>
      <c r="Y324" s="39">
        <f>+IFERROR((FT_RF_26[[#This Row],[Sobremadura]]/FT_RF_26[[#This Row],[Muestra]]),"0")</f>
        <v>0</v>
      </c>
      <c r="Z324" s="38">
        <v>0</v>
      </c>
      <c r="AA324" s="39">
        <f>+IFERROR((FT_RF_26[[#This Row],[Deforme]]/FT_RF_26[[#This Row],[Muestra]]),"0")</f>
        <v>0</v>
      </c>
      <c r="AB324" s="27"/>
      <c r="AC324" s="38">
        <v>0</v>
      </c>
      <c r="AD324" s="39">
        <f>+IFERROR((FT_RF_26[[#This Row],[Valor Extra 1]]/FT_RF_26[[#This Row],[Muestra]]),"0")</f>
        <v>0</v>
      </c>
      <c r="AF324" s="38">
        <v>0</v>
      </c>
      <c r="AG324" s="39">
        <f>+IFERROR((FT_RF_26[[#This Row],[Valor Extra 2]]/FT_RF_26[[#This Row],[Muestra]]),"0")</f>
        <v>0</v>
      </c>
      <c r="AH324" s="40">
        <v>0</v>
      </c>
      <c r="AI324" s="39">
        <f>+IFERROR((FT_RF_26[[#This Row],[Hongos]]/FT_RF_26[[#This Row],[Muestra]]),"0")</f>
        <v>0</v>
      </c>
      <c r="AJ324" s="38">
        <v>0</v>
      </c>
      <c r="AK324" s="39">
        <f>+IFERROR((FT_RF_26[[#This Row],[Block]]/FT_RF_26[[#This Row],[Muestra]]),"0")</f>
        <v>0</v>
      </c>
      <c r="AL324" s="41">
        <v>0</v>
      </c>
      <c r="AM324" s="42">
        <v>0</v>
      </c>
      <c r="AN324" s="38">
        <v>0</v>
      </c>
      <c r="AO324" s="39">
        <f>+IFERROR((FT_RF_26[[#This Row],[Fuera de calibre &lt;12mm]]/FT_RF_26[[#This Row],[Muestra]]),"0")</f>
        <v>0</v>
      </c>
      <c r="AP324" s="38">
        <v>0</v>
      </c>
      <c r="AQ324" s="39">
        <f>+IFERROR((FT_RF_26[[#This Row],[Calibre &lt;25]]/FT_RF_26[[#This Row],[Muestra]]),"0")</f>
        <v>0</v>
      </c>
      <c r="AR324" s="38">
        <v>0</v>
      </c>
      <c r="AS324" s="39">
        <f>+IFERROR((FT_RF_26[[#This Row],[Calibre &gt;12]]/FT_RF_26[[#This Row],[Muestra]]),"0")</f>
        <v>0</v>
      </c>
      <c r="AT324" s="38">
        <v>0</v>
      </c>
      <c r="AU324" s="39">
        <f>+IFERROR((FT_RF_26[[#This Row],[Calibre &lt;14]]/FT_RF_26[[#This Row],[Muestra]]),"0")</f>
        <v>0</v>
      </c>
      <c r="AV324" s="38">
        <v>0</v>
      </c>
      <c r="AW324" s="39">
        <f>+IFERROR((FT_RF_26[[#This Row],[Calibre &gt;14]]/FT_RF_26[[#This Row],[Muestra]]),"0")</f>
        <v>0</v>
      </c>
      <c r="AX324" s="38">
        <v>0</v>
      </c>
      <c r="AY324" s="39">
        <f>+IFERROR((FT_RF_26[[#This Row],[Calibre &lt;10]]/FT_RF_26[[#This Row],[Muestra]]),"0")</f>
        <v>0</v>
      </c>
      <c r="AZ324" s="38">
        <v>0</v>
      </c>
      <c r="BA324" s="39">
        <f>+IFERROR((FT_RF_26[[#This Row],[Calibre &gt;13]]/FT_RF_26[[#This Row],[Muestra]]),"0")</f>
        <v>0</v>
      </c>
      <c r="BB324" s="41"/>
      <c r="BG324" s="42"/>
      <c r="BH324" s="43">
        <v>0</v>
      </c>
      <c r="BI324" s="29" t="s">
        <v>894</v>
      </c>
      <c r="BJ324" s="29" t="s">
        <v>894</v>
      </c>
      <c r="BK32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2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24" s="45">
        <f>1-FT_RF_26[[#This Row],[% Defectos]]</f>
        <v>1</v>
      </c>
      <c r="BO324" s="60"/>
      <c r="BP324" s="12">
        <f>SUM(FT_RF_26[[#This Row],[Hoja (Un.)]:[Larvas Caja]])</f>
        <v>0</v>
      </c>
      <c r="BQ324" s="12">
        <f>SUM(FT_RF_26[[#This Row],[Vidrios]:[Plástico]])</f>
        <v>0</v>
      </c>
      <c r="BR324" s="12" t="str">
        <f>IF(ISBLANK(FT_RF_26[[#This Row],[Descripción del producto]]),"",FT_RF_26[[#This Row],[Descripción del producto]])</f>
        <v/>
      </c>
      <c r="BS324" s="29" t="str">
        <f>IF(ISBLANK(FT_RF_26[[#This Row],[N° de Lote]]),"",FT_RF_26[[#This Row],[N° de Lote]])</f>
        <v/>
      </c>
      <c r="BT324" s="29" t="str">
        <f>IF(ISBLANK(FT_RF_26[[#This Row],[N° de Pallet]]),"",FT_RF_26[[#This Row],[N° de Pallet]])</f>
        <v/>
      </c>
    </row>
    <row r="325" spans="2:72">
      <c r="B325" s="29">
        <f>+_xlfn.ISOWEEKNUM(FT_RF_26[[#This Row],[Fecha]])</f>
        <v>52</v>
      </c>
      <c r="E325" s="31"/>
      <c r="F325" s="12" t="str">
        <f>IFERROR(""&amp;_xlfn.XLOOKUP(FT_RF_26[[#This Row],[Código]],BD_Cod[SKU],BD_Cod[Descripción]),"")</f>
        <v/>
      </c>
      <c r="G325" s="32" t="str">
        <f>IFERROR(""&amp;_xlfn.XLOOKUP(FT_RF_26[[#This Row],[Código]],BD_Cod[SKU],BD_Cod[Familia Calidad]),"")</f>
        <v/>
      </c>
      <c r="J325" s="33">
        <v>1000</v>
      </c>
      <c r="L325" s="30" t="s">
        <v>244</v>
      </c>
      <c r="O325" s="30" t="s">
        <v>894</v>
      </c>
      <c r="P325" s="29" t="s">
        <v>894</v>
      </c>
      <c r="Q325" s="37">
        <f>1-FT_RF_26[[#This Row],[% Defectos]]</f>
        <v>1</v>
      </c>
      <c r="R325" s="38">
        <v>0</v>
      </c>
      <c r="S325" s="39">
        <f>+IFERROR((FT_RF_26[[#This Row],[Inmadura]]/FT_RF_26[[#This Row],[Muestra]]),"0")</f>
        <v>0</v>
      </c>
      <c r="T325" s="38">
        <v>0</v>
      </c>
      <c r="U325" s="39">
        <f>+IFERROR((FT_RF_26[[#This Row],[Partidas]]/FT_RF_26[[#This Row],[Muestra]]),"0")</f>
        <v>0</v>
      </c>
      <c r="V325" s="38">
        <v>0</v>
      </c>
      <c r="W325" s="39">
        <f>+IFERROR((FT_RF_26[[#This Row],[Daño Insecto]]/FT_RF_26[[#This Row],[Muestra]]),"0")</f>
        <v>0</v>
      </c>
      <c r="X325" s="38">
        <v>0</v>
      </c>
      <c r="Y325" s="39">
        <f>+IFERROR((FT_RF_26[[#This Row],[Sobremadura]]/FT_RF_26[[#This Row],[Muestra]]),"0")</f>
        <v>0</v>
      </c>
      <c r="Z325" s="38">
        <v>0</v>
      </c>
      <c r="AA325" s="39">
        <f>+IFERROR((FT_RF_26[[#This Row],[Deforme]]/FT_RF_26[[#This Row],[Muestra]]),"0")</f>
        <v>0</v>
      </c>
      <c r="AB325" s="27"/>
      <c r="AC325" s="38">
        <v>0</v>
      </c>
      <c r="AD325" s="39">
        <f>+IFERROR((FT_RF_26[[#This Row],[Valor Extra 1]]/FT_RF_26[[#This Row],[Muestra]]),"0")</f>
        <v>0</v>
      </c>
      <c r="AF325" s="38">
        <v>0</v>
      </c>
      <c r="AG325" s="39">
        <f>+IFERROR((FT_RF_26[[#This Row],[Valor Extra 2]]/FT_RF_26[[#This Row],[Muestra]]),"0")</f>
        <v>0</v>
      </c>
      <c r="AH325" s="40">
        <v>0</v>
      </c>
      <c r="AI325" s="39">
        <f>+IFERROR((FT_RF_26[[#This Row],[Hongos]]/FT_RF_26[[#This Row],[Muestra]]),"0")</f>
        <v>0</v>
      </c>
      <c r="AJ325" s="38">
        <v>0</v>
      </c>
      <c r="AK325" s="39">
        <f>+IFERROR((FT_RF_26[[#This Row],[Block]]/FT_RF_26[[#This Row],[Muestra]]),"0")</f>
        <v>0</v>
      </c>
      <c r="AL325" s="41">
        <v>0</v>
      </c>
      <c r="AM325" s="42">
        <v>0</v>
      </c>
      <c r="AN325" s="38">
        <v>0</v>
      </c>
      <c r="AO325" s="39">
        <f>+IFERROR((FT_RF_26[[#This Row],[Fuera de calibre &lt;12mm]]/FT_RF_26[[#This Row],[Muestra]]),"0")</f>
        <v>0</v>
      </c>
      <c r="AP325" s="38">
        <v>0</v>
      </c>
      <c r="AQ325" s="39">
        <f>+IFERROR((FT_RF_26[[#This Row],[Calibre &lt;25]]/FT_RF_26[[#This Row],[Muestra]]),"0")</f>
        <v>0</v>
      </c>
      <c r="AR325" s="38">
        <v>0</v>
      </c>
      <c r="AS325" s="39">
        <f>+IFERROR((FT_RF_26[[#This Row],[Calibre &gt;12]]/FT_RF_26[[#This Row],[Muestra]]),"0")</f>
        <v>0</v>
      </c>
      <c r="AT325" s="38">
        <v>0</v>
      </c>
      <c r="AU325" s="39">
        <f>+IFERROR((FT_RF_26[[#This Row],[Calibre &lt;14]]/FT_RF_26[[#This Row],[Muestra]]),"0")</f>
        <v>0</v>
      </c>
      <c r="AV325" s="38">
        <v>0</v>
      </c>
      <c r="AW325" s="39">
        <f>+IFERROR((FT_RF_26[[#This Row],[Calibre &gt;14]]/FT_RF_26[[#This Row],[Muestra]]),"0")</f>
        <v>0</v>
      </c>
      <c r="AX325" s="38">
        <v>0</v>
      </c>
      <c r="AY325" s="39">
        <f>+IFERROR((FT_RF_26[[#This Row],[Calibre &lt;10]]/FT_RF_26[[#This Row],[Muestra]]),"0")</f>
        <v>0</v>
      </c>
      <c r="AZ325" s="38">
        <v>0</v>
      </c>
      <c r="BA325" s="39">
        <f>+IFERROR((FT_RF_26[[#This Row],[Calibre &gt;13]]/FT_RF_26[[#This Row],[Muestra]]),"0")</f>
        <v>0</v>
      </c>
      <c r="BB325" s="41"/>
      <c r="BG325" s="42"/>
      <c r="BH325" s="43">
        <v>0</v>
      </c>
      <c r="BI325" s="29" t="s">
        <v>894</v>
      </c>
      <c r="BJ325" s="29" t="s">
        <v>894</v>
      </c>
      <c r="BK32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2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25" s="45">
        <f>1-FT_RF_26[[#This Row],[% Defectos]]</f>
        <v>1</v>
      </c>
      <c r="BO325" s="60"/>
      <c r="BP325" s="12">
        <f>SUM(FT_RF_26[[#This Row],[Hoja (Un.)]:[Larvas Caja]])</f>
        <v>0</v>
      </c>
      <c r="BQ325" s="12">
        <f>SUM(FT_RF_26[[#This Row],[Vidrios]:[Plástico]])</f>
        <v>0</v>
      </c>
      <c r="BR325" s="12" t="str">
        <f>IF(ISBLANK(FT_RF_26[[#This Row],[Descripción del producto]]),"",FT_RF_26[[#This Row],[Descripción del producto]])</f>
        <v/>
      </c>
      <c r="BS325" s="29" t="str">
        <f>IF(ISBLANK(FT_RF_26[[#This Row],[N° de Lote]]),"",FT_RF_26[[#This Row],[N° de Lote]])</f>
        <v/>
      </c>
      <c r="BT325" s="29" t="str">
        <f>IF(ISBLANK(FT_RF_26[[#This Row],[N° de Pallet]]),"",FT_RF_26[[#This Row],[N° de Pallet]])</f>
        <v/>
      </c>
    </row>
    <row r="326" spans="2:72">
      <c r="B326" s="29">
        <f>+_xlfn.ISOWEEKNUM(FT_RF_26[[#This Row],[Fecha]])</f>
        <v>52</v>
      </c>
      <c r="E326" s="31"/>
      <c r="F326" s="12" t="str">
        <f>IFERROR(""&amp;_xlfn.XLOOKUP(FT_RF_26[[#This Row],[Código]],BD_Cod[SKU],BD_Cod[Descripción]),"")</f>
        <v/>
      </c>
      <c r="G326" s="32" t="str">
        <f>IFERROR(""&amp;_xlfn.XLOOKUP(FT_RF_26[[#This Row],[Código]],BD_Cod[SKU],BD_Cod[Familia Calidad]),"")</f>
        <v/>
      </c>
      <c r="J326" s="33">
        <v>1000</v>
      </c>
      <c r="L326" s="30" t="s">
        <v>244</v>
      </c>
      <c r="O326" s="30" t="s">
        <v>894</v>
      </c>
      <c r="P326" s="29" t="s">
        <v>894</v>
      </c>
      <c r="Q326" s="37">
        <f>1-FT_RF_26[[#This Row],[% Defectos]]</f>
        <v>1</v>
      </c>
      <c r="R326" s="38">
        <v>0</v>
      </c>
      <c r="S326" s="39">
        <f>+IFERROR((FT_RF_26[[#This Row],[Inmadura]]/FT_RF_26[[#This Row],[Muestra]]),"0")</f>
        <v>0</v>
      </c>
      <c r="T326" s="38">
        <v>0</v>
      </c>
      <c r="U326" s="39">
        <f>+IFERROR((FT_RF_26[[#This Row],[Partidas]]/FT_RF_26[[#This Row],[Muestra]]),"0")</f>
        <v>0</v>
      </c>
      <c r="V326" s="38">
        <v>0</v>
      </c>
      <c r="W326" s="39">
        <f>+IFERROR((FT_RF_26[[#This Row],[Daño Insecto]]/FT_RF_26[[#This Row],[Muestra]]),"0")</f>
        <v>0</v>
      </c>
      <c r="X326" s="38">
        <v>0</v>
      </c>
      <c r="Y326" s="39">
        <f>+IFERROR((FT_RF_26[[#This Row],[Sobremadura]]/FT_RF_26[[#This Row],[Muestra]]),"0")</f>
        <v>0</v>
      </c>
      <c r="Z326" s="38">
        <v>0</v>
      </c>
      <c r="AA326" s="39">
        <f>+IFERROR((FT_RF_26[[#This Row],[Deforme]]/FT_RF_26[[#This Row],[Muestra]]),"0")</f>
        <v>0</v>
      </c>
      <c r="AB326" s="27"/>
      <c r="AC326" s="38">
        <v>0</v>
      </c>
      <c r="AD326" s="39">
        <f>+IFERROR((FT_RF_26[[#This Row],[Valor Extra 1]]/FT_RF_26[[#This Row],[Muestra]]),"0")</f>
        <v>0</v>
      </c>
      <c r="AF326" s="38">
        <v>0</v>
      </c>
      <c r="AG326" s="39">
        <f>+IFERROR((FT_RF_26[[#This Row],[Valor Extra 2]]/FT_RF_26[[#This Row],[Muestra]]),"0")</f>
        <v>0</v>
      </c>
      <c r="AH326" s="40">
        <v>0</v>
      </c>
      <c r="AI326" s="39">
        <f>+IFERROR((FT_RF_26[[#This Row],[Hongos]]/FT_RF_26[[#This Row],[Muestra]]),"0")</f>
        <v>0</v>
      </c>
      <c r="AJ326" s="38">
        <v>0</v>
      </c>
      <c r="AK326" s="39">
        <f>+IFERROR((FT_RF_26[[#This Row],[Block]]/FT_RF_26[[#This Row],[Muestra]]),"0")</f>
        <v>0</v>
      </c>
      <c r="AL326" s="41">
        <v>0</v>
      </c>
      <c r="AM326" s="42">
        <v>0</v>
      </c>
      <c r="AN326" s="38">
        <v>0</v>
      </c>
      <c r="AO326" s="39">
        <f>+IFERROR((FT_RF_26[[#This Row],[Fuera de calibre &lt;12mm]]/FT_RF_26[[#This Row],[Muestra]]),"0")</f>
        <v>0</v>
      </c>
      <c r="AP326" s="38">
        <v>0</v>
      </c>
      <c r="AQ326" s="39">
        <f>+IFERROR((FT_RF_26[[#This Row],[Calibre &lt;25]]/FT_RF_26[[#This Row],[Muestra]]),"0")</f>
        <v>0</v>
      </c>
      <c r="AR326" s="38">
        <v>0</v>
      </c>
      <c r="AS326" s="39">
        <f>+IFERROR((FT_RF_26[[#This Row],[Calibre &gt;12]]/FT_RF_26[[#This Row],[Muestra]]),"0")</f>
        <v>0</v>
      </c>
      <c r="AT326" s="38">
        <v>0</v>
      </c>
      <c r="AU326" s="39">
        <f>+IFERROR((FT_RF_26[[#This Row],[Calibre &lt;14]]/FT_RF_26[[#This Row],[Muestra]]),"0")</f>
        <v>0</v>
      </c>
      <c r="AV326" s="38">
        <v>0</v>
      </c>
      <c r="AW326" s="39">
        <f>+IFERROR((FT_RF_26[[#This Row],[Calibre &gt;14]]/FT_RF_26[[#This Row],[Muestra]]),"0")</f>
        <v>0</v>
      </c>
      <c r="AX326" s="38">
        <v>0</v>
      </c>
      <c r="AY326" s="39">
        <f>+IFERROR((FT_RF_26[[#This Row],[Calibre &lt;10]]/FT_RF_26[[#This Row],[Muestra]]),"0")</f>
        <v>0</v>
      </c>
      <c r="AZ326" s="38">
        <v>0</v>
      </c>
      <c r="BA326" s="39">
        <f>+IFERROR((FT_RF_26[[#This Row],[Calibre &gt;13]]/FT_RF_26[[#This Row],[Muestra]]),"0")</f>
        <v>0</v>
      </c>
      <c r="BB326" s="41"/>
      <c r="BG326" s="42"/>
      <c r="BH326" s="43">
        <v>0</v>
      </c>
      <c r="BI326" s="29" t="s">
        <v>894</v>
      </c>
      <c r="BJ326" s="29" t="s">
        <v>894</v>
      </c>
      <c r="BK32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2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26" s="45">
        <f>1-FT_RF_26[[#This Row],[% Defectos]]</f>
        <v>1</v>
      </c>
      <c r="BO326" s="60"/>
      <c r="BP326" s="12">
        <f>SUM(FT_RF_26[[#This Row],[Hoja (Un.)]:[Larvas Caja]])</f>
        <v>0</v>
      </c>
      <c r="BQ326" s="12">
        <f>SUM(FT_RF_26[[#This Row],[Vidrios]:[Plástico]])</f>
        <v>0</v>
      </c>
      <c r="BR326" s="12" t="str">
        <f>IF(ISBLANK(FT_RF_26[[#This Row],[Descripción del producto]]),"",FT_RF_26[[#This Row],[Descripción del producto]])</f>
        <v/>
      </c>
      <c r="BS326" s="29" t="str">
        <f>IF(ISBLANK(FT_RF_26[[#This Row],[N° de Lote]]),"",FT_RF_26[[#This Row],[N° de Lote]])</f>
        <v/>
      </c>
      <c r="BT326" s="29" t="str">
        <f>IF(ISBLANK(FT_RF_26[[#This Row],[N° de Pallet]]),"",FT_RF_26[[#This Row],[N° de Pallet]])</f>
        <v/>
      </c>
    </row>
    <row r="327" spans="2:72">
      <c r="B327" s="29">
        <f>+_xlfn.ISOWEEKNUM(FT_RF_26[[#This Row],[Fecha]])</f>
        <v>52</v>
      </c>
      <c r="E327" s="31"/>
      <c r="F327" s="12" t="str">
        <f>IFERROR(""&amp;_xlfn.XLOOKUP(FT_RF_26[[#This Row],[Código]],BD_Cod[SKU],BD_Cod[Descripción]),"")</f>
        <v/>
      </c>
      <c r="G327" s="32" t="str">
        <f>IFERROR(""&amp;_xlfn.XLOOKUP(FT_RF_26[[#This Row],[Código]],BD_Cod[SKU],BD_Cod[Familia Calidad]),"")</f>
        <v/>
      </c>
      <c r="J327" s="33">
        <v>1000</v>
      </c>
      <c r="L327" s="30" t="s">
        <v>244</v>
      </c>
      <c r="O327" s="30" t="s">
        <v>894</v>
      </c>
      <c r="P327" s="29" t="s">
        <v>894</v>
      </c>
      <c r="Q327" s="37">
        <f>1-FT_RF_26[[#This Row],[% Defectos]]</f>
        <v>1</v>
      </c>
      <c r="R327" s="38">
        <v>0</v>
      </c>
      <c r="S327" s="39">
        <f>+IFERROR((FT_RF_26[[#This Row],[Inmadura]]/FT_RF_26[[#This Row],[Muestra]]),"0")</f>
        <v>0</v>
      </c>
      <c r="T327" s="38">
        <v>0</v>
      </c>
      <c r="U327" s="39">
        <f>+IFERROR((FT_RF_26[[#This Row],[Partidas]]/FT_RF_26[[#This Row],[Muestra]]),"0")</f>
        <v>0</v>
      </c>
      <c r="V327" s="38">
        <v>0</v>
      </c>
      <c r="W327" s="39">
        <f>+IFERROR((FT_RF_26[[#This Row],[Daño Insecto]]/FT_RF_26[[#This Row],[Muestra]]),"0")</f>
        <v>0</v>
      </c>
      <c r="X327" s="38">
        <v>0</v>
      </c>
      <c r="Y327" s="39">
        <f>+IFERROR((FT_RF_26[[#This Row],[Sobremadura]]/FT_RF_26[[#This Row],[Muestra]]),"0")</f>
        <v>0</v>
      </c>
      <c r="Z327" s="38">
        <v>0</v>
      </c>
      <c r="AA327" s="39">
        <f>+IFERROR((FT_RF_26[[#This Row],[Deforme]]/FT_RF_26[[#This Row],[Muestra]]),"0")</f>
        <v>0</v>
      </c>
      <c r="AB327" s="27"/>
      <c r="AC327" s="38">
        <v>0</v>
      </c>
      <c r="AD327" s="39">
        <f>+IFERROR((FT_RF_26[[#This Row],[Valor Extra 1]]/FT_RF_26[[#This Row],[Muestra]]),"0")</f>
        <v>0</v>
      </c>
      <c r="AF327" s="38">
        <v>0</v>
      </c>
      <c r="AG327" s="39">
        <f>+IFERROR((FT_RF_26[[#This Row],[Valor Extra 2]]/FT_RF_26[[#This Row],[Muestra]]),"0")</f>
        <v>0</v>
      </c>
      <c r="AH327" s="40">
        <v>0</v>
      </c>
      <c r="AI327" s="39">
        <f>+IFERROR((FT_RF_26[[#This Row],[Hongos]]/FT_RF_26[[#This Row],[Muestra]]),"0")</f>
        <v>0</v>
      </c>
      <c r="AJ327" s="38">
        <v>0</v>
      </c>
      <c r="AK327" s="39">
        <f>+IFERROR((FT_RF_26[[#This Row],[Block]]/FT_RF_26[[#This Row],[Muestra]]),"0")</f>
        <v>0</v>
      </c>
      <c r="AL327" s="41">
        <v>0</v>
      </c>
      <c r="AM327" s="42">
        <v>0</v>
      </c>
      <c r="AN327" s="38">
        <v>0</v>
      </c>
      <c r="AO327" s="39">
        <f>+IFERROR((FT_RF_26[[#This Row],[Fuera de calibre &lt;12mm]]/FT_RF_26[[#This Row],[Muestra]]),"0")</f>
        <v>0</v>
      </c>
      <c r="AP327" s="38">
        <v>0</v>
      </c>
      <c r="AQ327" s="39">
        <f>+IFERROR((FT_RF_26[[#This Row],[Calibre &lt;25]]/FT_RF_26[[#This Row],[Muestra]]),"0")</f>
        <v>0</v>
      </c>
      <c r="AR327" s="38">
        <v>0</v>
      </c>
      <c r="AS327" s="39">
        <f>+IFERROR((FT_RF_26[[#This Row],[Calibre &gt;12]]/FT_RF_26[[#This Row],[Muestra]]),"0")</f>
        <v>0</v>
      </c>
      <c r="AT327" s="38">
        <v>0</v>
      </c>
      <c r="AU327" s="39">
        <f>+IFERROR((FT_RF_26[[#This Row],[Calibre &lt;14]]/FT_RF_26[[#This Row],[Muestra]]),"0")</f>
        <v>0</v>
      </c>
      <c r="AV327" s="38">
        <v>0</v>
      </c>
      <c r="AW327" s="39">
        <f>+IFERROR((FT_RF_26[[#This Row],[Calibre &gt;14]]/FT_RF_26[[#This Row],[Muestra]]),"0")</f>
        <v>0</v>
      </c>
      <c r="AX327" s="38">
        <v>0</v>
      </c>
      <c r="AY327" s="39">
        <f>+IFERROR((FT_RF_26[[#This Row],[Calibre &lt;10]]/FT_RF_26[[#This Row],[Muestra]]),"0")</f>
        <v>0</v>
      </c>
      <c r="AZ327" s="38">
        <v>0</v>
      </c>
      <c r="BA327" s="39">
        <f>+IFERROR((FT_RF_26[[#This Row],[Calibre &gt;13]]/FT_RF_26[[#This Row],[Muestra]]),"0")</f>
        <v>0</v>
      </c>
      <c r="BB327" s="41"/>
      <c r="BG327" s="42"/>
      <c r="BH327" s="43">
        <v>0</v>
      </c>
      <c r="BI327" s="29" t="s">
        <v>894</v>
      </c>
      <c r="BJ327" s="29" t="s">
        <v>894</v>
      </c>
      <c r="BK32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2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27" s="45">
        <f>1-FT_RF_26[[#This Row],[% Defectos]]</f>
        <v>1</v>
      </c>
      <c r="BO327" s="60"/>
      <c r="BP327" s="12">
        <f>SUM(FT_RF_26[[#This Row],[Hoja (Un.)]:[Larvas Caja]])</f>
        <v>0</v>
      </c>
      <c r="BQ327" s="12">
        <f>SUM(FT_RF_26[[#This Row],[Vidrios]:[Plástico]])</f>
        <v>0</v>
      </c>
      <c r="BR327" s="12" t="str">
        <f>IF(ISBLANK(FT_RF_26[[#This Row],[Descripción del producto]]),"",FT_RF_26[[#This Row],[Descripción del producto]])</f>
        <v/>
      </c>
      <c r="BS327" s="29" t="str">
        <f>IF(ISBLANK(FT_RF_26[[#This Row],[N° de Lote]]),"",FT_RF_26[[#This Row],[N° de Lote]])</f>
        <v/>
      </c>
      <c r="BT327" s="29" t="str">
        <f>IF(ISBLANK(FT_RF_26[[#This Row],[N° de Pallet]]),"",FT_RF_26[[#This Row],[N° de Pallet]])</f>
        <v/>
      </c>
    </row>
    <row r="328" spans="2:72">
      <c r="B328" s="29">
        <f>+_xlfn.ISOWEEKNUM(FT_RF_26[[#This Row],[Fecha]])</f>
        <v>52</v>
      </c>
      <c r="E328" s="31"/>
      <c r="F328" s="12" t="str">
        <f>IFERROR(""&amp;_xlfn.XLOOKUP(FT_RF_26[[#This Row],[Código]],BD_Cod[SKU],BD_Cod[Descripción]),"")</f>
        <v/>
      </c>
      <c r="G328" s="32" t="str">
        <f>IFERROR(""&amp;_xlfn.XLOOKUP(FT_RF_26[[#This Row],[Código]],BD_Cod[SKU],BD_Cod[Familia Calidad]),"")</f>
        <v/>
      </c>
      <c r="J328" s="33">
        <v>1000</v>
      </c>
      <c r="L328" s="30" t="s">
        <v>244</v>
      </c>
      <c r="O328" s="30" t="s">
        <v>894</v>
      </c>
      <c r="P328" s="29" t="s">
        <v>894</v>
      </c>
      <c r="Q328" s="37">
        <f>1-FT_RF_26[[#This Row],[% Defectos]]</f>
        <v>1</v>
      </c>
      <c r="R328" s="38">
        <v>0</v>
      </c>
      <c r="S328" s="39">
        <f>+IFERROR((FT_RF_26[[#This Row],[Inmadura]]/FT_RF_26[[#This Row],[Muestra]]),"0")</f>
        <v>0</v>
      </c>
      <c r="T328" s="38">
        <v>0</v>
      </c>
      <c r="U328" s="39">
        <f>+IFERROR((FT_RF_26[[#This Row],[Partidas]]/FT_RF_26[[#This Row],[Muestra]]),"0")</f>
        <v>0</v>
      </c>
      <c r="V328" s="38">
        <v>0</v>
      </c>
      <c r="W328" s="39">
        <f>+IFERROR((FT_RF_26[[#This Row],[Daño Insecto]]/FT_RF_26[[#This Row],[Muestra]]),"0")</f>
        <v>0</v>
      </c>
      <c r="X328" s="38">
        <v>0</v>
      </c>
      <c r="Y328" s="39">
        <f>+IFERROR((FT_RF_26[[#This Row],[Sobremadura]]/FT_RF_26[[#This Row],[Muestra]]),"0")</f>
        <v>0</v>
      </c>
      <c r="Z328" s="38">
        <v>0</v>
      </c>
      <c r="AA328" s="39">
        <f>+IFERROR((FT_RF_26[[#This Row],[Deforme]]/FT_RF_26[[#This Row],[Muestra]]),"0")</f>
        <v>0</v>
      </c>
      <c r="AB328" s="27"/>
      <c r="AC328" s="38">
        <v>0</v>
      </c>
      <c r="AD328" s="39">
        <f>+IFERROR((FT_RF_26[[#This Row],[Valor Extra 1]]/FT_RF_26[[#This Row],[Muestra]]),"0")</f>
        <v>0</v>
      </c>
      <c r="AF328" s="38">
        <v>0</v>
      </c>
      <c r="AG328" s="39">
        <f>+IFERROR((FT_RF_26[[#This Row],[Valor Extra 2]]/FT_RF_26[[#This Row],[Muestra]]),"0")</f>
        <v>0</v>
      </c>
      <c r="AH328" s="40">
        <v>0</v>
      </c>
      <c r="AI328" s="39">
        <f>+IFERROR((FT_RF_26[[#This Row],[Hongos]]/FT_RF_26[[#This Row],[Muestra]]),"0")</f>
        <v>0</v>
      </c>
      <c r="AJ328" s="38">
        <v>0</v>
      </c>
      <c r="AK328" s="39">
        <f>+IFERROR((FT_RF_26[[#This Row],[Block]]/FT_RF_26[[#This Row],[Muestra]]),"0")</f>
        <v>0</v>
      </c>
      <c r="AL328" s="41">
        <v>0</v>
      </c>
      <c r="AM328" s="42">
        <v>0</v>
      </c>
      <c r="AN328" s="38">
        <v>0</v>
      </c>
      <c r="AO328" s="39">
        <f>+IFERROR((FT_RF_26[[#This Row],[Fuera de calibre &lt;12mm]]/FT_RF_26[[#This Row],[Muestra]]),"0")</f>
        <v>0</v>
      </c>
      <c r="AP328" s="38">
        <v>0</v>
      </c>
      <c r="AQ328" s="39">
        <f>+IFERROR((FT_RF_26[[#This Row],[Calibre &lt;25]]/FT_RF_26[[#This Row],[Muestra]]),"0")</f>
        <v>0</v>
      </c>
      <c r="AR328" s="38">
        <v>0</v>
      </c>
      <c r="AS328" s="39">
        <f>+IFERROR((FT_RF_26[[#This Row],[Calibre &gt;12]]/FT_RF_26[[#This Row],[Muestra]]),"0")</f>
        <v>0</v>
      </c>
      <c r="AT328" s="38">
        <v>0</v>
      </c>
      <c r="AU328" s="39">
        <f>+IFERROR((FT_RF_26[[#This Row],[Calibre &lt;14]]/FT_RF_26[[#This Row],[Muestra]]),"0")</f>
        <v>0</v>
      </c>
      <c r="AV328" s="38">
        <v>0</v>
      </c>
      <c r="AW328" s="39">
        <f>+IFERROR((FT_RF_26[[#This Row],[Calibre &gt;14]]/FT_RF_26[[#This Row],[Muestra]]),"0")</f>
        <v>0</v>
      </c>
      <c r="AX328" s="38">
        <v>0</v>
      </c>
      <c r="AY328" s="39">
        <f>+IFERROR((FT_RF_26[[#This Row],[Calibre &lt;10]]/FT_RF_26[[#This Row],[Muestra]]),"0")</f>
        <v>0</v>
      </c>
      <c r="AZ328" s="38">
        <v>0</v>
      </c>
      <c r="BA328" s="39">
        <f>+IFERROR((FT_RF_26[[#This Row],[Calibre &gt;13]]/FT_RF_26[[#This Row],[Muestra]]),"0")</f>
        <v>0</v>
      </c>
      <c r="BB328" s="41"/>
      <c r="BG328" s="42"/>
      <c r="BH328" s="43">
        <v>0</v>
      </c>
      <c r="BI328" s="29" t="s">
        <v>894</v>
      </c>
      <c r="BJ328" s="29" t="s">
        <v>894</v>
      </c>
      <c r="BK32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2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28" s="45">
        <f>1-FT_RF_26[[#This Row],[% Defectos]]</f>
        <v>1</v>
      </c>
      <c r="BO328" s="60"/>
      <c r="BP328" s="12">
        <f>SUM(FT_RF_26[[#This Row],[Hoja (Un.)]:[Larvas Caja]])</f>
        <v>0</v>
      </c>
      <c r="BQ328" s="12">
        <f>SUM(FT_RF_26[[#This Row],[Vidrios]:[Plástico]])</f>
        <v>0</v>
      </c>
      <c r="BR328" s="12" t="str">
        <f>IF(ISBLANK(FT_RF_26[[#This Row],[Descripción del producto]]),"",FT_RF_26[[#This Row],[Descripción del producto]])</f>
        <v/>
      </c>
      <c r="BS328" s="29" t="str">
        <f>IF(ISBLANK(FT_RF_26[[#This Row],[N° de Lote]]),"",FT_RF_26[[#This Row],[N° de Lote]])</f>
        <v/>
      </c>
      <c r="BT328" s="29" t="str">
        <f>IF(ISBLANK(FT_RF_26[[#This Row],[N° de Pallet]]),"",FT_RF_26[[#This Row],[N° de Pallet]])</f>
        <v/>
      </c>
    </row>
    <row r="329" spans="2:72">
      <c r="B329" s="29">
        <f>+_xlfn.ISOWEEKNUM(FT_RF_26[[#This Row],[Fecha]])</f>
        <v>52</v>
      </c>
      <c r="E329" s="31"/>
      <c r="F329" s="12" t="str">
        <f>IFERROR(""&amp;_xlfn.XLOOKUP(FT_RF_26[[#This Row],[Código]],BD_Cod[SKU],BD_Cod[Descripción]),"")</f>
        <v/>
      </c>
      <c r="G329" s="32" t="str">
        <f>IFERROR(""&amp;_xlfn.XLOOKUP(FT_RF_26[[#This Row],[Código]],BD_Cod[SKU],BD_Cod[Familia Calidad]),"")</f>
        <v/>
      </c>
      <c r="J329" s="33">
        <v>1000</v>
      </c>
      <c r="L329" s="30" t="s">
        <v>244</v>
      </c>
      <c r="O329" s="30" t="s">
        <v>894</v>
      </c>
      <c r="P329" s="29" t="s">
        <v>894</v>
      </c>
      <c r="Q329" s="37">
        <f>1-FT_RF_26[[#This Row],[% Defectos]]</f>
        <v>1</v>
      </c>
      <c r="R329" s="38">
        <v>0</v>
      </c>
      <c r="S329" s="39">
        <f>+IFERROR((FT_RF_26[[#This Row],[Inmadura]]/FT_RF_26[[#This Row],[Muestra]]),"0")</f>
        <v>0</v>
      </c>
      <c r="T329" s="38">
        <v>0</v>
      </c>
      <c r="U329" s="39">
        <f>+IFERROR((FT_RF_26[[#This Row],[Partidas]]/FT_RF_26[[#This Row],[Muestra]]),"0")</f>
        <v>0</v>
      </c>
      <c r="V329" s="38">
        <v>0</v>
      </c>
      <c r="W329" s="39">
        <f>+IFERROR((FT_RF_26[[#This Row],[Daño Insecto]]/FT_RF_26[[#This Row],[Muestra]]),"0")</f>
        <v>0</v>
      </c>
      <c r="X329" s="38">
        <v>0</v>
      </c>
      <c r="Y329" s="39">
        <f>+IFERROR((FT_RF_26[[#This Row],[Sobremadura]]/FT_RF_26[[#This Row],[Muestra]]),"0")</f>
        <v>0</v>
      </c>
      <c r="Z329" s="38">
        <v>0</v>
      </c>
      <c r="AA329" s="39">
        <f>+IFERROR((FT_RF_26[[#This Row],[Deforme]]/FT_RF_26[[#This Row],[Muestra]]),"0")</f>
        <v>0</v>
      </c>
      <c r="AB329" s="27"/>
      <c r="AC329" s="38">
        <v>0</v>
      </c>
      <c r="AD329" s="39">
        <f>+IFERROR((FT_RF_26[[#This Row],[Valor Extra 1]]/FT_RF_26[[#This Row],[Muestra]]),"0")</f>
        <v>0</v>
      </c>
      <c r="AF329" s="38">
        <v>0</v>
      </c>
      <c r="AG329" s="39">
        <f>+IFERROR((FT_RF_26[[#This Row],[Valor Extra 2]]/FT_RF_26[[#This Row],[Muestra]]),"0")</f>
        <v>0</v>
      </c>
      <c r="AH329" s="40">
        <v>0</v>
      </c>
      <c r="AI329" s="39">
        <f>+IFERROR((FT_RF_26[[#This Row],[Hongos]]/FT_RF_26[[#This Row],[Muestra]]),"0")</f>
        <v>0</v>
      </c>
      <c r="AJ329" s="38">
        <v>0</v>
      </c>
      <c r="AK329" s="39">
        <f>+IFERROR((FT_RF_26[[#This Row],[Block]]/FT_RF_26[[#This Row],[Muestra]]),"0")</f>
        <v>0</v>
      </c>
      <c r="AL329" s="41">
        <v>0</v>
      </c>
      <c r="AM329" s="42">
        <v>0</v>
      </c>
      <c r="AN329" s="38">
        <v>0</v>
      </c>
      <c r="AO329" s="39">
        <f>+IFERROR((FT_RF_26[[#This Row],[Fuera de calibre &lt;12mm]]/FT_RF_26[[#This Row],[Muestra]]),"0")</f>
        <v>0</v>
      </c>
      <c r="AP329" s="38">
        <v>0</v>
      </c>
      <c r="AQ329" s="39">
        <f>+IFERROR((FT_RF_26[[#This Row],[Calibre &lt;25]]/FT_RF_26[[#This Row],[Muestra]]),"0")</f>
        <v>0</v>
      </c>
      <c r="AR329" s="38">
        <v>0</v>
      </c>
      <c r="AS329" s="39">
        <f>+IFERROR((FT_RF_26[[#This Row],[Calibre &gt;12]]/FT_RF_26[[#This Row],[Muestra]]),"0")</f>
        <v>0</v>
      </c>
      <c r="AT329" s="38">
        <v>0</v>
      </c>
      <c r="AU329" s="39">
        <f>+IFERROR((FT_RF_26[[#This Row],[Calibre &lt;14]]/FT_RF_26[[#This Row],[Muestra]]),"0")</f>
        <v>0</v>
      </c>
      <c r="AV329" s="38">
        <v>0</v>
      </c>
      <c r="AW329" s="39">
        <f>+IFERROR((FT_RF_26[[#This Row],[Calibre &gt;14]]/FT_RF_26[[#This Row],[Muestra]]),"0")</f>
        <v>0</v>
      </c>
      <c r="AX329" s="38">
        <v>0</v>
      </c>
      <c r="AY329" s="39">
        <f>+IFERROR((FT_RF_26[[#This Row],[Calibre &lt;10]]/FT_RF_26[[#This Row],[Muestra]]),"0")</f>
        <v>0</v>
      </c>
      <c r="AZ329" s="38">
        <v>0</v>
      </c>
      <c r="BA329" s="39">
        <f>+IFERROR((FT_RF_26[[#This Row],[Calibre &gt;13]]/FT_RF_26[[#This Row],[Muestra]]),"0")</f>
        <v>0</v>
      </c>
      <c r="BB329" s="41"/>
      <c r="BG329" s="42"/>
      <c r="BH329" s="43">
        <v>0</v>
      </c>
      <c r="BI329" s="29" t="s">
        <v>894</v>
      </c>
      <c r="BJ329" s="29" t="s">
        <v>894</v>
      </c>
      <c r="BK32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2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29" s="45">
        <f>1-FT_RF_26[[#This Row],[% Defectos]]</f>
        <v>1</v>
      </c>
      <c r="BO329" s="60"/>
      <c r="BP329" s="12">
        <f>SUM(FT_RF_26[[#This Row],[Hoja (Un.)]:[Larvas Caja]])</f>
        <v>0</v>
      </c>
      <c r="BQ329" s="12">
        <f>SUM(FT_RF_26[[#This Row],[Vidrios]:[Plástico]])</f>
        <v>0</v>
      </c>
      <c r="BR329" s="12" t="str">
        <f>IF(ISBLANK(FT_RF_26[[#This Row],[Descripción del producto]]),"",FT_RF_26[[#This Row],[Descripción del producto]])</f>
        <v/>
      </c>
      <c r="BS329" s="29" t="str">
        <f>IF(ISBLANK(FT_RF_26[[#This Row],[N° de Lote]]),"",FT_RF_26[[#This Row],[N° de Lote]])</f>
        <v/>
      </c>
      <c r="BT329" s="29" t="str">
        <f>IF(ISBLANK(FT_RF_26[[#This Row],[N° de Pallet]]),"",FT_RF_26[[#This Row],[N° de Pallet]])</f>
        <v/>
      </c>
    </row>
    <row r="330" spans="2:72">
      <c r="B330" s="29">
        <f>+_xlfn.ISOWEEKNUM(FT_RF_26[[#This Row],[Fecha]])</f>
        <v>52</v>
      </c>
      <c r="E330" s="31"/>
      <c r="F330" s="12" t="str">
        <f>IFERROR(""&amp;_xlfn.XLOOKUP(FT_RF_26[[#This Row],[Código]],BD_Cod[SKU],BD_Cod[Descripción]),"")</f>
        <v/>
      </c>
      <c r="G330" s="32" t="str">
        <f>IFERROR(""&amp;_xlfn.XLOOKUP(FT_RF_26[[#This Row],[Código]],BD_Cod[SKU],BD_Cod[Familia Calidad]),"")</f>
        <v/>
      </c>
      <c r="J330" s="33">
        <v>1000</v>
      </c>
      <c r="L330" s="30" t="s">
        <v>244</v>
      </c>
      <c r="O330" s="30" t="s">
        <v>894</v>
      </c>
      <c r="P330" s="29" t="s">
        <v>894</v>
      </c>
      <c r="Q330" s="37">
        <f>1-FT_RF_26[[#This Row],[% Defectos]]</f>
        <v>1</v>
      </c>
      <c r="R330" s="38">
        <v>0</v>
      </c>
      <c r="S330" s="39">
        <f>+IFERROR((FT_RF_26[[#This Row],[Inmadura]]/FT_RF_26[[#This Row],[Muestra]]),"0")</f>
        <v>0</v>
      </c>
      <c r="T330" s="38">
        <v>0</v>
      </c>
      <c r="U330" s="39">
        <f>+IFERROR((FT_RF_26[[#This Row],[Partidas]]/FT_RF_26[[#This Row],[Muestra]]),"0")</f>
        <v>0</v>
      </c>
      <c r="V330" s="38">
        <v>0</v>
      </c>
      <c r="W330" s="39">
        <f>+IFERROR((FT_RF_26[[#This Row],[Daño Insecto]]/FT_RF_26[[#This Row],[Muestra]]),"0")</f>
        <v>0</v>
      </c>
      <c r="X330" s="38">
        <v>0</v>
      </c>
      <c r="Y330" s="39">
        <f>+IFERROR((FT_RF_26[[#This Row],[Sobremadura]]/FT_RF_26[[#This Row],[Muestra]]),"0")</f>
        <v>0</v>
      </c>
      <c r="Z330" s="38">
        <v>0</v>
      </c>
      <c r="AA330" s="39">
        <f>+IFERROR((FT_RF_26[[#This Row],[Deforme]]/FT_RF_26[[#This Row],[Muestra]]),"0")</f>
        <v>0</v>
      </c>
      <c r="AB330" s="27"/>
      <c r="AC330" s="38">
        <v>0</v>
      </c>
      <c r="AD330" s="39">
        <f>+IFERROR((FT_RF_26[[#This Row],[Valor Extra 1]]/FT_RF_26[[#This Row],[Muestra]]),"0")</f>
        <v>0</v>
      </c>
      <c r="AF330" s="38">
        <v>0</v>
      </c>
      <c r="AG330" s="39">
        <f>+IFERROR((FT_RF_26[[#This Row],[Valor Extra 2]]/FT_RF_26[[#This Row],[Muestra]]),"0")</f>
        <v>0</v>
      </c>
      <c r="AH330" s="40">
        <v>0</v>
      </c>
      <c r="AI330" s="39">
        <f>+IFERROR((FT_RF_26[[#This Row],[Hongos]]/FT_RF_26[[#This Row],[Muestra]]),"0")</f>
        <v>0</v>
      </c>
      <c r="AJ330" s="38">
        <v>0</v>
      </c>
      <c r="AK330" s="39">
        <f>+IFERROR((FT_RF_26[[#This Row],[Block]]/FT_RF_26[[#This Row],[Muestra]]),"0")</f>
        <v>0</v>
      </c>
      <c r="AL330" s="41">
        <v>0</v>
      </c>
      <c r="AM330" s="42">
        <v>0</v>
      </c>
      <c r="AN330" s="38">
        <v>0</v>
      </c>
      <c r="AO330" s="39">
        <f>+IFERROR((FT_RF_26[[#This Row],[Fuera de calibre &lt;12mm]]/FT_RF_26[[#This Row],[Muestra]]),"0")</f>
        <v>0</v>
      </c>
      <c r="AP330" s="38">
        <v>0</v>
      </c>
      <c r="AQ330" s="39">
        <f>+IFERROR((FT_RF_26[[#This Row],[Calibre &lt;25]]/FT_RF_26[[#This Row],[Muestra]]),"0")</f>
        <v>0</v>
      </c>
      <c r="AR330" s="38">
        <v>0</v>
      </c>
      <c r="AS330" s="39">
        <f>+IFERROR((FT_RF_26[[#This Row],[Calibre &gt;12]]/FT_RF_26[[#This Row],[Muestra]]),"0")</f>
        <v>0</v>
      </c>
      <c r="AT330" s="38">
        <v>0</v>
      </c>
      <c r="AU330" s="39">
        <f>+IFERROR((FT_RF_26[[#This Row],[Calibre &lt;14]]/FT_RF_26[[#This Row],[Muestra]]),"0")</f>
        <v>0</v>
      </c>
      <c r="AV330" s="38">
        <v>0</v>
      </c>
      <c r="AW330" s="39">
        <f>+IFERROR((FT_RF_26[[#This Row],[Calibre &gt;14]]/FT_RF_26[[#This Row],[Muestra]]),"0")</f>
        <v>0</v>
      </c>
      <c r="AX330" s="38">
        <v>0</v>
      </c>
      <c r="AY330" s="39">
        <f>+IFERROR((FT_RF_26[[#This Row],[Calibre &lt;10]]/FT_RF_26[[#This Row],[Muestra]]),"0")</f>
        <v>0</v>
      </c>
      <c r="AZ330" s="38">
        <v>0</v>
      </c>
      <c r="BA330" s="39">
        <f>+IFERROR((FT_RF_26[[#This Row],[Calibre &gt;13]]/FT_RF_26[[#This Row],[Muestra]]),"0")</f>
        <v>0</v>
      </c>
      <c r="BB330" s="41"/>
      <c r="BG330" s="42"/>
      <c r="BH330" s="43">
        <v>0</v>
      </c>
      <c r="BI330" s="29" t="s">
        <v>894</v>
      </c>
      <c r="BJ330" s="29" t="s">
        <v>894</v>
      </c>
      <c r="BK33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3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30" s="45">
        <f>1-FT_RF_26[[#This Row],[% Defectos]]</f>
        <v>1</v>
      </c>
      <c r="BO330" s="60"/>
      <c r="BP330" s="12">
        <f>SUM(FT_RF_26[[#This Row],[Hoja (Un.)]:[Larvas Caja]])</f>
        <v>0</v>
      </c>
      <c r="BQ330" s="12">
        <f>SUM(FT_RF_26[[#This Row],[Vidrios]:[Plástico]])</f>
        <v>0</v>
      </c>
      <c r="BR330" s="12" t="str">
        <f>IF(ISBLANK(FT_RF_26[[#This Row],[Descripción del producto]]),"",FT_RF_26[[#This Row],[Descripción del producto]])</f>
        <v/>
      </c>
      <c r="BS330" s="29" t="str">
        <f>IF(ISBLANK(FT_RF_26[[#This Row],[N° de Lote]]),"",FT_RF_26[[#This Row],[N° de Lote]])</f>
        <v/>
      </c>
      <c r="BT330" s="29" t="str">
        <f>IF(ISBLANK(FT_RF_26[[#This Row],[N° de Pallet]]),"",FT_RF_26[[#This Row],[N° de Pallet]])</f>
        <v/>
      </c>
    </row>
    <row r="331" spans="2:72">
      <c r="B331" s="29">
        <f>+_xlfn.ISOWEEKNUM(FT_RF_26[[#This Row],[Fecha]])</f>
        <v>52</v>
      </c>
      <c r="E331" s="31"/>
      <c r="F331" s="12" t="str">
        <f>IFERROR(""&amp;_xlfn.XLOOKUP(FT_RF_26[[#This Row],[Código]],BD_Cod[SKU],BD_Cod[Descripción]),"")</f>
        <v/>
      </c>
      <c r="G331" s="32" t="str">
        <f>IFERROR(""&amp;_xlfn.XLOOKUP(FT_RF_26[[#This Row],[Código]],BD_Cod[SKU],BD_Cod[Familia Calidad]),"")</f>
        <v/>
      </c>
      <c r="J331" s="33">
        <v>1000</v>
      </c>
      <c r="L331" s="30" t="s">
        <v>244</v>
      </c>
      <c r="O331" s="30" t="s">
        <v>894</v>
      </c>
      <c r="P331" s="29" t="s">
        <v>894</v>
      </c>
      <c r="Q331" s="37">
        <f>1-FT_RF_26[[#This Row],[% Defectos]]</f>
        <v>1</v>
      </c>
      <c r="R331" s="38">
        <v>0</v>
      </c>
      <c r="S331" s="39">
        <f>+IFERROR((FT_RF_26[[#This Row],[Inmadura]]/FT_RF_26[[#This Row],[Muestra]]),"0")</f>
        <v>0</v>
      </c>
      <c r="T331" s="38">
        <v>0</v>
      </c>
      <c r="U331" s="39">
        <f>+IFERROR((FT_RF_26[[#This Row],[Partidas]]/FT_RF_26[[#This Row],[Muestra]]),"0")</f>
        <v>0</v>
      </c>
      <c r="V331" s="38">
        <v>0</v>
      </c>
      <c r="W331" s="39">
        <f>+IFERROR((FT_RF_26[[#This Row],[Daño Insecto]]/FT_RF_26[[#This Row],[Muestra]]),"0")</f>
        <v>0</v>
      </c>
      <c r="X331" s="38">
        <v>0</v>
      </c>
      <c r="Y331" s="39">
        <f>+IFERROR((FT_RF_26[[#This Row],[Sobremadura]]/FT_RF_26[[#This Row],[Muestra]]),"0")</f>
        <v>0</v>
      </c>
      <c r="Z331" s="38">
        <v>0</v>
      </c>
      <c r="AA331" s="39">
        <f>+IFERROR((FT_RF_26[[#This Row],[Deforme]]/FT_RF_26[[#This Row],[Muestra]]),"0")</f>
        <v>0</v>
      </c>
      <c r="AB331" s="27"/>
      <c r="AC331" s="38">
        <v>0</v>
      </c>
      <c r="AD331" s="39">
        <f>+IFERROR((FT_RF_26[[#This Row],[Valor Extra 1]]/FT_RF_26[[#This Row],[Muestra]]),"0")</f>
        <v>0</v>
      </c>
      <c r="AF331" s="38">
        <v>0</v>
      </c>
      <c r="AG331" s="39">
        <f>+IFERROR((FT_RF_26[[#This Row],[Valor Extra 2]]/FT_RF_26[[#This Row],[Muestra]]),"0")</f>
        <v>0</v>
      </c>
      <c r="AH331" s="40">
        <v>0</v>
      </c>
      <c r="AI331" s="39">
        <f>+IFERROR((FT_RF_26[[#This Row],[Hongos]]/FT_RF_26[[#This Row],[Muestra]]),"0")</f>
        <v>0</v>
      </c>
      <c r="AJ331" s="38">
        <v>0</v>
      </c>
      <c r="AK331" s="39">
        <f>+IFERROR((FT_RF_26[[#This Row],[Block]]/FT_RF_26[[#This Row],[Muestra]]),"0")</f>
        <v>0</v>
      </c>
      <c r="AL331" s="41">
        <v>0</v>
      </c>
      <c r="AM331" s="42">
        <v>0</v>
      </c>
      <c r="AN331" s="38">
        <v>0</v>
      </c>
      <c r="AO331" s="39">
        <f>+IFERROR((FT_RF_26[[#This Row],[Fuera de calibre &lt;12mm]]/FT_RF_26[[#This Row],[Muestra]]),"0")</f>
        <v>0</v>
      </c>
      <c r="AP331" s="38">
        <v>0</v>
      </c>
      <c r="AQ331" s="39">
        <f>+IFERROR((FT_RF_26[[#This Row],[Calibre &lt;25]]/FT_RF_26[[#This Row],[Muestra]]),"0")</f>
        <v>0</v>
      </c>
      <c r="AR331" s="38">
        <v>0</v>
      </c>
      <c r="AS331" s="39">
        <f>+IFERROR((FT_RF_26[[#This Row],[Calibre &gt;12]]/FT_RF_26[[#This Row],[Muestra]]),"0")</f>
        <v>0</v>
      </c>
      <c r="AT331" s="38">
        <v>0</v>
      </c>
      <c r="AU331" s="39">
        <f>+IFERROR((FT_RF_26[[#This Row],[Calibre &lt;14]]/FT_RF_26[[#This Row],[Muestra]]),"0")</f>
        <v>0</v>
      </c>
      <c r="AV331" s="38">
        <v>0</v>
      </c>
      <c r="AW331" s="39">
        <f>+IFERROR((FT_RF_26[[#This Row],[Calibre &gt;14]]/FT_RF_26[[#This Row],[Muestra]]),"0")</f>
        <v>0</v>
      </c>
      <c r="AX331" s="38">
        <v>0</v>
      </c>
      <c r="AY331" s="39">
        <f>+IFERROR((FT_RF_26[[#This Row],[Calibre &lt;10]]/FT_RF_26[[#This Row],[Muestra]]),"0")</f>
        <v>0</v>
      </c>
      <c r="AZ331" s="38">
        <v>0</v>
      </c>
      <c r="BA331" s="39">
        <f>+IFERROR((FT_RF_26[[#This Row],[Calibre &gt;13]]/FT_RF_26[[#This Row],[Muestra]]),"0")</f>
        <v>0</v>
      </c>
      <c r="BB331" s="41"/>
      <c r="BG331" s="42"/>
      <c r="BH331" s="43">
        <v>0</v>
      </c>
      <c r="BI331" s="29" t="s">
        <v>894</v>
      </c>
      <c r="BJ331" s="29" t="s">
        <v>894</v>
      </c>
      <c r="BK33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3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31" s="45">
        <f>1-FT_RF_26[[#This Row],[% Defectos]]</f>
        <v>1</v>
      </c>
      <c r="BO331" s="60"/>
      <c r="BP331" s="12">
        <f>SUM(FT_RF_26[[#This Row],[Hoja (Un.)]:[Larvas Caja]])</f>
        <v>0</v>
      </c>
      <c r="BQ331" s="12">
        <f>SUM(FT_RF_26[[#This Row],[Vidrios]:[Plástico]])</f>
        <v>0</v>
      </c>
      <c r="BR331" s="12" t="str">
        <f>IF(ISBLANK(FT_RF_26[[#This Row],[Descripción del producto]]),"",FT_RF_26[[#This Row],[Descripción del producto]])</f>
        <v/>
      </c>
      <c r="BS331" s="29" t="str">
        <f>IF(ISBLANK(FT_RF_26[[#This Row],[N° de Lote]]),"",FT_RF_26[[#This Row],[N° de Lote]])</f>
        <v/>
      </c>
      <c r="BT331" s="29" t="str">
        <f>IF(ISBLANK(FT_RF_26[[#This Row],[N° de Pallet]]),"",FT_RF_26[[#This Row],[N° de Pallet]])</f>
        <v/>
      </c>
    </row>
    <row r="332" spans="2:72">
      <c r="B332" s="29">
        <f>+_xlfn.ISOWEEKNUM(FT_RF_26[[#This Row],[Fecha]])</f>
        <v>52</v>
      </c>
      <c r="E332" s="31"/>
      <c r="F332" s="12" t="str">
        <f>IFERROR(""&amp;_xlfn.XLOOKUP(FT_RF_26[[#This Row],[Código]],BD_Cod[SKU],BD_Cod[Descripción]),"")</f>
        <v/>
      </c>
      <c r="G332" s="32" t="str">
        <f>IFERROR(""&amp;_xlfn.XLOOKUP(FT_RF_26[[#This Row],[Código]],BD_Cod[SKU],BD_Cod[Familia Calidad]),"")</f>
        <v/>
      </c>
      <c r="J332" s="33">
        <v>1000</v>
      </c>
      <c r="L332" s="30" t="s">
        <v>244</v>
      </c>
      <c r="O332" s="30" t="s">
        <v>894</v>
      </c>
      <c r="P332" s="29" t="s">
        <v>894</v>
      </c>
      <c r="Q332" s="37">
        <f>1-FT_RF_26[[#This Row],[% Defectos]]</f>
        <v>1</v>
      </c>
      <c r="R332" s="38">
        <v>0</v>
      </c>
      <c r="S332" s="39">
        <f>+IFERROR((FT_RF_26[[#This Row],[Inmadura]]/FT_RF_26[[#This Row],[Muestra]]),"0")</f>
        <v>0</v>
      </c>
      <c r="T332" s="38">
        <v>0</v>
      </c>
      <c r="U332" s="39">
        <f>+IFERROR((FT_RF_26[[#This Row],[Partidas]]/FT_RF_26[[#This Row],[Muestra]]),"0")</f>
        <v>0</v>
      </c>
      <c r="V332" s="38">
        <v>0</v>
      </c>
      <c r="W332" s="39">
        <f>+IFERROR((FT_RF_26[[#This Row],[Daño Insecto]]/FT_RF_26[[#This Row],[Muestra]]),"0")</f>
        <v>0</v>
      </c>
      <c r="X332" s="38">
        <v>0</v>
      </c>
      <c r="Y332" s="39">
        <f>+IFERROR((FT_RF_26[[#This Row],[Sobremadura]]/FT_RF_26[[#This Row],[Muestra]]),"0")</f>
        <v>0</v>
      </c>
      <c r="Z332" s="38">
        <v>0</v>
      </c>
      <c r="AA332" s="39">
        <f>+IFERROR((FT_RF_26[[#This Row],[Deforme]]/FT_RF_26[[#This Row],[Muestra]]),"0")</f>
        <v>0</v>
      </c>
      <c r="AB332" s="27"/>
      <c r="AC332" s="38">
        <v>0</v>
      </c>
      <c r="AD332" s="39">
        <f>+IFERROR((FT_RF_26[[#This Row],[Valor Extra 1]]/FT_RF_26[[#This Row],[Muestra]]),"0")</f>
        <v>0</v>
      </c>
      <c r="AF332" s="38">
        <v>0</v>
      </c>
      <c r="AG332" s="39">
        <f>+IFERROR((FT_RF_26[[#This Row],[Valor Extra 2]]/FT_RF_26[[#This Row],[Muestra]]),"0")</f>
        <v>0</v>
      </c>
      <c r="AH332" s="40">
        <v>0</v>
      </c>
      <c r="AI332" s="39">
        <f>+IFERROR((FT_RF_26[[#This Row],[Hongos]]/FT_RF_26[[#This Row],[Muestra]]),"0")</f>
        <v>0</v>
      </c>
      <c r="AJ332" s="38">
        <v>0</v>
      </c>
      <c r="AK332" s="39">
        <f>+IFERROR((FT_RF_26[[#This Row],[Block]]/FT_RF_26[[#This Row],[Muestra]]),"0")</f>
        <v>0</v>
      </c>
      <c r="AL332" s="41">
        <v>0</v>
      </c>
      <c r="AM332" s="42">
        <v>0</v>
      </c>
      <c r="AN332" s="38">
        <v>0</v>
      </c>
      <c r="AO332" s="39">
        <f>+IFERROR((FT_RF_26[[#This Row],[Fuera de calibre &lt;12mm]]/FT_RF_26[[#This Row],[Muestra]]),"0")</f>
        <v>0</v>
      </c>
      <c r="AP332" s="38">
        <v>0</v>
      </c>
      <c r="AQ332" s="39">
        <f>+IFERROR((FT_RF_26[[#This Row],[Calibre &lt;25]]/FT_RF_26[[#This Row],[Muestra]]),"0")</f>
        <v>0</v>
      </c>
      <c r="AR332" s="38">
        <v>0</v>
      </c>
      <c r="AS332" s="39">
        <f>+IFERROR((FT_RF_26[[#This Row],[Calibre &gt;12]]/FT_RF_26[[#This Row],[Muestra]]),"0")</f>
        <v>0</v>
      </c>
      <c r="AT332" s="38">
        <v>0</v>
      </c>
      <c r="AU332" s="39">
        <f>+IFERROR((FT_RF_26[[#This Row],[Calibre &lt;14]]/FT_RF_26[[#This Row],[Muestra]]),"0")</f>
        <v>0</v>
      </c>
      <c r="AV332" s="38">
        <v>0</v>
      </c>
      <c r="AW332" s="39">
        <f>+IFERROR((FT_RF_26[[#This Row],[Calibre &gt;14]]/FT_RF_26[[#This Row],[Muestra]]),"0")</f>
        <v>0</v>
      </c>
      <c r="AX332" s="38">
        <v>0</v>
      </c>
      <c r="AY332" s="39">
        <f>+IFERROR((FT_RF_26[[#This Row],[Calibre &lt;10]]/FT_RF_26[[#This Row],[Muestra]]),"0")</f>
        <v>0</v>
      </c>
      <c r="AZ332" s="38">
        <v>0</v>
      </c>
      <c r="BA332" s="39">
        <f>+IFERROR((FT_RF_26[[#This Row],[Calibre &gt;13]]/FT_RF_26[[#This Row],[Muestra]]),"0")</f>
        <v>0</v>
      </c>
      <c r="BB332" s="41"/>
      <c r="BG332" s="42"/>
      <c r="BH332" s="43">
        <v>0</v>
      </c>
      <c r="BI332" s="29" t="s">
        <v>894</v>
      </c>
      <c r="BJ332" s="29" t="s">
        <v>894</v>
      </c>
      <c r="BK33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3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32" s="45">
        <f>1-FT_RF_26[[#This Row],[% Defectos]]</f>
        <v>1</v>
      </c>
      <c r="BO332" s="60"/>
      <c r="BP332" s="12">
        <f>SUM(FT_RF_26[[#This Row],[Hoja (Un.)]:[Larvas Caja]])</f>
        <v>0</v>
      </c>
      <c r="BQ332" s="12">
        <f>SUM(FT_RF_26[[#This Row],[Vidrios]:[Plástico]])</f>
        <v>0</v>
      </c>
      <c r="BR332" s="12" t="str">
        <f>IF(ISBLANK(FT_RF_26[[#This Row],[Descripción del producto]]),"",FT_RF_26[[#This Row],[Descripción del producto]])</f>
        <v/>
      </c>
      <c r="BS332" s="29" t="str">
        <f>IF(ISBLANK(FT_RF_26[[#This Row],[N° de Lote]]),"",FT_RF_26[[#This Row],[N° de Lote]])</f>
        <v/>
      </c>
      <c r="BT332" s="29" t="str">
        <f>IF(ISBLANK(FT_RF_26[[#This Row],[N° de Pallet]]),"",FT_RF_26[[#This Row],[N° de Pallet]])</f>
        <v/>
      </c>
    </row>
    <row r="333" spans="2:72">
      <c r="B333" s="29">
        <f>+_xlfn.ISOWEEKNUM(FT_RF_26[[#This Row],[Fecha]])</f>
        <v>52</v>
      </c>
      <c r="E333" s="31"/>
      <c r="F333" s="12" t="str">
        <f>IFERROR(""&amp;_xlfn.XLOOKUP(FT_RF_26[[#This Row],[Código]],BD_Cod[SKU],BD_Cod[Descripción]),"")</f>
        <v/>
      </c>
      <c r="G333" s="32" t="str">
        <f>IFERROR(""&amp;_xlfn.XLOOKUP(FT_RF_26[[#This Row],[Código]],BD_Cod[SKU],BD_Cod[Familia Calidad]),"")</f>
        <v/>
      </c>
      <c r="J333" s="33">
        <v>1000</v>
      </c>
      <c r="L333" s="30" t="s">
        <v>244</v>
      </c>
      <c r="O333" s="30" t="s">
        <v>894</v>
      </c>
      <c r="P333" s="29" t="s">
        <v>894</v>
      </c>
      <c r="Q333" s="37">
        <f>1-FT_RF_26[[#This Row],[% Defectos]]</f>
        <v>1</v>
      </c>
      <c r="R333" s="38">
        <v>0</v>
      </c>
      <c r="S333" s="39">
        <f>+IFERROR((FT_RF_26[[#This Row],[Inmadura]]/FT_RF_26[[#This Row],[Muestra]]),"0")</f>
        <v>0</v>
      </c>
      <c r="T333" s="38">
        <v>0</v>
      </c>
      <c r="U333" s="39">
        <f>+IFERROR((FT_RF_26[[#This Row],[Partidas]]/FT_RF_26[[#This Row],[Muestra]]),"0")</f>
        <v>0</v>
      </c>
      <c r="V333" s="38">
        <v>0</v>
      </c>
      <c r="W333" s="39">
        <f>+IFERROR((FT_RF_26[[#This Row],[Daño Insecto]]/FT_RF_26[[#This Row],[Muestra]]),"0")</f>
        <v>0</v>
      </c>
      <c r="X333" s="38">
        <v>0</v>
      </c>
      <c r="Y333" s="39">
        <f>+IFERROR((FT_RF_26[[#This Row],[Sobremadura]]/FT_RF_26[[#This Row],[Muestra]]),"0")</f>
        <v>0</v>
      </c>
      <c r="Z333" s="38">
        <v>0</v>
      </c>
      <c r="AA333" s="39">
        <f>+IFERROR((FT_RF_26[[#This Row],[Deforme]]/FT_RF_26[[#This Row],[Muestra]]),"0")</f>
        <v>0</v>
      </c>
      <c r="AB333" s="27"/>
      <c r="AC333" s="38">
        <v>0</v>
      </c>
      <c r="AD333" s="39">
        <f>+IFERROR((FT_RF_26[[#This Row],[Valor Extra 1]]/FT_RF_26[[#This Row],[Muestra]]),"0")</f>
        <v>0</v>
      </c>
      <c r="AF333" s="38">
        <v>0</v>
      </c>
      <c r="AG333" s="39">
        <f>+IFERROR((FT_RF_26[[#This Row],[Valor Extra 2]]/FT_RF_26[[#This Row],[Muestra]]),"0")</f>
        <v>0</v>
      </c>
      <c r="AH333" s="40">
        <v>0</v>
      </c>
      <c r="AI333" s="39">
        <f>+IFERROR((FT_RF_26[[#This Row],[Hongos]]/FT_RF_26[[#This Row],[Muestra]]),"0")</f>
        <v>0</v>
      </c>
      <c r="AJ333" s="38">
        <v>0</v>
      </c>
      <c r="AK333" s="39">
        <f>+IFERROR((FT_RF_26[[#This Row],[Block]]/FT_RF_26[[#This Row],[Muestra]]),"0")</f>
        <v>0</v>
      </c>
      <c r="AL333" s="41">
        <v>0</v>
      </c>
      <c r="AM333" s="42">
        <v>0</v>
      </c>
      <c r="AN333" s="38">
        <v>0</v>
      </c>
      <c r="AO333" s="39">
        <f>+IFERROR((FT_RF_26[[#This Row],[Fuera de calibre &lt;12mm]]/FT_RF_26[[#This Row],[Muestra]]),"0")</f>
        <v>0</v>
      </c>
      <c r="AP333" s="38">
        <v>0</v>
      </c>
      <c r="AQ333" s="39">
        <f>+IFERROR((FT_RF_26[[#This Row],[Calibre &lt;25]]/FT_RF_26[[#This Row],[Muestra]]),"0")</f>
        <v>0</v>
      </c>
      <c r="AR333" s="38">
        <v>0</v>
      </c>
      <c r="AS333" s="39">
        <f>+IFERROR((FT_RF_26[[#This Row],[Calibre &gt;12]]/FT_RF_26[[#This Row],[Muestra]]),"0")</f>
        <v>0</v>
      </c>
      <c r="AT333" s="38">
        <v>0</v>
      </c>
      <c r="AU333" s="39">
        <f>+IFERROR((FT_RF_26[[#This Row],[Calibre &lt;14]]/FT_RF_26[[#This Row],[Muestra]]),"0")</f>
        <v>0</v>
      </c>
      <c r="AV333" s="38">
        <v>0</v>
      </c>
      <c r="AW333" s="39">
        <f>+IFERROR((FT_RF_26[[#This Row],[Calibre &gt;14]]/FT_RF_26[[#This Row],[Muestra]]),"0")</f>
        <v>0</v>
      </c>
      <c r="AX333" s="38">
        <v>0</v>
      </c>
      <c r="AY333" s="39">
        <f>+IFERROR((FT_RF_26[[#This Row],[Calibre &lt;10]]/FT_RF_26[[#This Row],[Muestra]]),"0")</f>
        <v>0</v>
      </c>
      <c r="AZ333" s="38">
        <v>0</v>
      </c>
      <c r="BA333" s="39">
        <f>+IFERROR((FT_RF_26[[#This Row],[Calibre &gt;13]]/FT_RF_26[[#This Row],[Muestra]]),"0")</f>
        <v>0</v>
      </c>
      <c r="BB333" s="41"/>
      <c r="BG333" s="42"/>
      <c r="BH333" s="43">
        <v>0</v>
      </c>
      <c r="BI333" s="29" t="s">
        <v>894</v>
      </c>
      <c r="BJ333" s="29" t="s">
        <v>894</v>
      </c>
      <c r="BK333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33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33" s="45">
        <f>1-FT_RF_26[[#This Row],[% Defectos]]</f>
        <v>1</v>
      </c>
      <c r="BO333" s="60"/>
      <c r="BP333" s="12">
        <f>SUM(FT_RF_26[[#This Row],[Hoja (Un.)]:[Larvas Caja]])</f>
        <v>0</v>
      </c>
      <c r="BQ333" s="12">
        <f>SUM(FT_RF_26[[#This Row],[Vidrios]:[Plástico]])</f>
        <v>0</v>
      </c>
      <c r="BR333" s="12" t="str">
        <f>IF(ISBLANK(FT_RF_26[[#This Row],[Descripción del producto]]),"",FT_RF_26[[#This Row],[Descripción del producto]])</f>
        <v/>
      </c>
      <c r="BS333" s="29" t="str">
        <f>IF(ISBLANK(FT_RF_26[[#This Row],[N° de Lote]]),"",FT_RF_26[[#This Row],[N° de Lote]])</f>
        <v/>
      </c>
      <c r="BT333" s="29" t="str">
        <f>IF(ISBLANK(FT_RF_26[[#This Row],[N° de Pallet]]),"",FT_RF_26[[#This Row],[N° de Pallet]])</f>
        <v/>
      </c>
    </row>
    <row r="334" spans="2:72">
      <c r="B334" s="29">
        <f>+_xlfn.ISOWEEKNUM(FT_RF_26[[#This Row],[Fecha]])</f>
        <v>52</v>
      </c>
      <c r="E334" s="31"/>
      <c r="F334" s="12" t="str">
        <f>IFERROR(""&amp;_xlfn.XLOOKUP(FT_RF_26[[#This Row],[Código]],BD_Cod[SKU],BD_Cod[Descripción]),"")</f>
        <v/>
      </c>
      <c r="G334" s="32" t="str">
        <f>IFERROR(""&amp;_xlfn.XLOOKUP(FT_RF_26[[#This Row],[Código]],BD_Cod[SKU],BD_Cod[Familia Calidad]),"")</f>
        <v/>
      </c>
      <c r="J334" s="33">
        <v>1000</v>
      </c>
      <c r="L334" s="30" t="s">
        <v>244</v>
      </c>
      <c r="O334" s="30" t="s">
        <v>894</v>
      </c>
      <c r="P334" s="29" t="s">
        <v>894</v>
      </c>
      <c r="Q334" s="37">
        <f>1-FT_RF_26[[#This Row],[% Defectos]]</f>
        <v>1</v>
      </c>
      <c r="R334" s="38">
        <v>0</v>
      </c>
      <c r="S334" s="39">
        <f>+IFERROR((FT_RF_26[[#This Row],[Inmadura]]/FT_RF_26[[#This Row],[Muestra]]),"0")</f>
        <v>0</v>
      </c>
      <c r="T334" s="38">
        <v>0</v>
      </c>
      <c r="U334" s="39">
        <f>+IFERROR((FT_RF_26[[#This Row],[Partidas]]/FT_RF_26[[#This Row],[Muestra]]),"0")</f>
        <v>0</v>
      </c>
      <c r="V334" s="38">
        <v>0</v>
      </c>
      <c r="W334" s="39">
        <f>+IFERROR((FT_RF_26[[#This Row],[Daño Insecto]]/FT_RF_26[[#This Row],[Muestra]]),"0")</f>
        <v>0</v>
      </c>
      <c r="X334" s="38">
        <v>0</v>
      </c>
      <c r="Y334" s="39">
        <f>+IFERROR((FT_RF_26[[#This Row],[Sobremadura]]/FT_RF_26[[#This Row],[Muestra]]),"0")</f>
        <v>0</v>
      </c>
      <c r="Z334" s="38">
        <v>0</v>
      </c>
      <c r="AA334" s="39">
        <f>+IFERROR((FT_RF_26[[#This Row],[Deforme]]/FT_RF_26[[#This Row],[Muestra]]),"0")</f>
        <v>0</v>
      </c>
      <c r="AB334" s="27"/>
      <c r="AC334" s="38">
        <v>0</v>
      </c>
      <c r="AD334" s="39">
        <f>+IFERROR((FT_RF_26[[#This Row],[Valor Extra 1]]/FT_RF_26[[#This Row],[Muestra]]),"0")</f>
        <v>0</v>
      </c>
      <c r="AF334" s="38">
        <v>0</v>
      </c>
      <c r="AG334" s="39">
        <f>+IFERROR((FT_RF_26[[#This Row],[Valor Extra 2]]/FT_RF_26[[#This Row],[Muestra]]),"0")</f>
        <v>0</v>
      </c>
      <c r="AH334" s="40">
        <v>0</v>
      </c>
      <c r="AI334" s="39">
        <f>+IFERROR((FT_RF_26[[#This Row],[Hongos]]/FT_RF_26[[#This Row],[Muestra]]),"0")</f>
        <v>0</v>
      </c>
      <c r="AJ334" s="38">
        <v>0</v>
      </c>
      <c r="AK334" s="39">
        <f>+IFERROR((FT_RF_26[[#This Row],[Block]]/FT_RF_26[[#This Row],[Muestra]]),"0")</f>
        <v>0</v>
      </c>
      <c r="AL334" s="41">
        <v>0</v>
      </c>
      <c r="AM334" s="42">
        <v>0</v>
      </c>
      <c r="AN334" s="38">
        <v>0</v>
      </c>
      <c r="AO334" s="39">
        <f>+IFERROR((FT_RF_26[[#This Row],[Fuera de calibre &lt;12mm]]/FT_RF_26[[#This Row],[Muestra]]),"0")</f>
        <v>0</v>
      </c>
      <c r="AP334" s="38">
        <v>0</v>
      </c>
      <c r="AQ334" s="39">
        <f>+IFERROR((FT_RF_26[[#This Row],[Calibre &lt;25]]/FT_RF_26[[#This Row],[Muestra]]),"0")</f>
        <v>0</v>
      </c>
      <c r="AR334" s="38">
        <v>0</v>
      </c>
      <c r="AS334" s="39">
        <f>+IFERROR((FT_RF_26[[#This Row],[Calibre &gt;12]]/FT_RF_26[[#This Row],[Muestra]]),"0")</f>
        <v>0</v>
      </c>
      <c r="AT334" s="38">
        <v>0</v>
      </c>
      <c r="AU334" s="39">
        <f>+IFERROR((FT_RF_26[[#This Row],[Calibre &lt;14]]/FT_RF_26[[#This Row],[Muestra]]),"0")</f>
        <v>0</v>
      </c>
      <c r="AV334" s="38">
        <v>0</v>
      </c>
      <c r="AW334" s="39">
        <f>+IFERROR((FT_RF_26[[#This Row],[Calibre &gt;14]]/FT_RF_26[[#This Row],[Muestra]]),"0")</f>
        <v>0</v>
      </c>
      <c r="AX334" s="38">
        <v>0</v>
      </c>
      <c r="AY334" s="39">
        <f>+IFERROR((FT_RF_26[[#This Row],[Calibre &lt;10]]/FT_RF_26[[#This Row],[Muestra]]),"0")</f>
        <v>0</v>
      </c>
      <c r="AZ334" s="38">
        <v>0</v>
      </c>
      <c r="BA334" s="39">
        <f>+IFERROR((FT_RF_26[[#This Row],[Calibre &gt;13]]/FT_RF_26[[#This Row],[Muestra]]),"0")</f>
        <v>0</v>
      </c>
      <c r="BB334" s="41"/>
      <c r="BG334" s="42"/>
      <c r="BH334" s="43">
        <v>0</v>
      </c>
      <c r="BI334" s="29" t="s">
        <v>894</v>
      </c>
      <c r="BJ334" s="29" t="s">
        <v>894</v>
      </c>
      <c r="BK334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34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34" s="45">
        <f>1-FT_RF_26[[#This Row],[% Defectos]]</f>
        <v>1</v>
      </c>
      <c r="BO334" s="60"/>
      <c r="BP334" s="12">
        <f>SUM(FT_RF_26[[#This Row],[Hoja (Un.)]:[Larvas Caja]])</f>
        <v>0</v>
      </c>
      <c r="BQ334" s="12">
        <f>SUM(FT_RF_26[[#This Row],[Vidrios]:[Plástico]])</f>
        <v>0</v>
      </c>
      <c r="BR334" s="12" t="str">
        <f>IF(ISBLANK(FT_RF_26[[#This Row],[Descripción del producto]]),"",FT_RF_26[[#This Row],[Descripción del producto]])</f>
        <v/>
      </c>
      <c r="BS334" s="29" t="str">
        <f>IF(ISBLANK(FT_RF_26[[#This Row],[N° de Lote]]),"",FT_RF_26[[#This Row],[N° de Lote]])</f>
        <v/>
      </c>
      <c r="BT334" s="29" t="str">
        <f>IF(ISBLANK(FT_RF_26[[#This Row],[N° de Pallet]]),"",FT_RF_26[[#This Row],[N° de Pallet]])</f>
        <v/>
      </c>
    </row>
    <row r="335" spans="2:72">
      <c r="B335" s="29">
        <f>+_xlfn.ISOWEEKNUM(FT_RF_26[[#This Row],[Fecha]])</f>
        <v>52</v>
      </c>
      <c r="E335" s="31"/>
      <c r="F335" s="12" t="str">
        <f>IFERROR(""&amp;_xlfn.XLOOKUP(FT_RF_26[[#This Row],[Código]],BD_Cod[SKU],BD_Cod[Descripción]),"")</f>
        <v/>
      </c>
      <c r="G335" s="32" t="str">
        <f>IFERROR(""&amp;_xlfn.XLOOKUP(FT_RF_26[[#This Row],[Código]],BD_Cod[SKU],BD_Cod[Familia Calidad]),"")</f>
        <v/>
      </c>
      <c r="J335" s="33">
        <v>1000</v>
      </c>
      <c r="L335" s="30" t="s">
        <v>244</v>
      </c>
      <c r="O335" s="30" t="s">
        <v>894</v>
      </c>
      <c r="P335" s="29" t="s">
        <v>894</v>
      </c>
      <c r="Q335" s="37">
        <f>1-FT_RF_26[[#This Row],[% Defectos]]</f>
        <v>1</v>
      </c>
      <c r="R335" s="38">
        <v>0</v>
      </c>
      <c r="S335" s="39">
        <f>+IFERROR((FT_RF_26[[#This Row],[Inmadura]]/FT_RF_26[[#This Row],[Muestra]]),"0")</f>
        <v>0</v>
      </c>
      <c r="T335" s="38">
        <v>0</v>
      </c>
      <c r="U335" s="39">
        <f>+IFERROR((FT_RF_26[[#This Row],[Partidas]]/FT_RF_26[[#This Row],[Muestra]]),"0")</f>
        <v>0</v>
      </c>
      <c r="V335" s="38">
        <v>0</v>
      </c>
      <c r="W335" s="39">
        <f>+IFERROR((FT_RF_26[[#This Row],[Daño Insecto]]/FT_RF_26[[#This Row],[Muestra]]),"0")</f>
        <v>0</v>
      </c>
      <c r="X335" s="38">
        <v>0</v>
      </c>
      <c r="Y335" s="39">
        <f>+IFERROR((FT_RF_26[[#This Row],[Sobremadura]]/FT_RF_26[[#This Row],[Muestra]]),"0")</f>
        <v>0</v>
      </c>
      <c r="Z335" s="38">
        <v>0</v>
      </c>
      <c r="AA335" s="39">
        <f>+IFERROR((FT_RF_26[[#This Row],[Deforme]]/FT_RF_26[[#This Row],[Muestra]]),"0")</f>
        <v>0</v>
      </c>
      <c r="AB335" s="27"/>
      <c r="AC335" s="38">
        <v>0</v>
      </c>
      <c r="AD335" s="39">
        <f>+IFERROR((FT_RF_26[[#This Row],[Valor Extra 1]]/FT_RF_26[[#This Row],[Muestra]]),"0")</f>
        <v>0</v>
      </c>
      <c r="AF335" s="38">
        <v>0</v>
      </c>
      <c r="AG335" s="39">
        <f>+IFERROR((FT_RF_26[[#This Row],[Valor Extra 2]]/FT_RF_26[[#This Row],[Muestra]]),"0")</f>
        <v>0</v>
      </c>
      <c r="AH335" s="40">
        <v>0</v>
      </c>
      <c r="AI335" s="39">
        <f>+IFERROR((FT_RF_26[[#This Row],[Hongos]]/FT_RF_26[[#This Row],[Muestra]]),"0")</f>
        <v>0</v>
      </c>
      <c r="AJ335" s="38">
        <v>0</v>
      </c>
      <c r="AK335" s="39">
        <f>+IFERROR((FT_RF_26[[#This Row],[Block]]/FT_RF_26[[#This Row],[Muestra]]),"0")</f>
        <v>0</v>
      </c>
      <c r="AL335" s="41">
        <v>0</v>
      </c>
      <c r="AM335" s="42">
        <v>0</v>
      </c>
      <c r="AN335" s="38">
        <v>0</v>
      </c>
      <c r="AO335" s="39">
        <f>+IFERROR((FT_RF_26[[#This Row],[Fuera de calibre &lt;12mm]]/FT_RF_26[[#This Row],[Muestra]]),"0")</f>
        <v>0</v>
      </c>
      <c r="AP335" s="38">
        <v>0</v>
      </c>
      <c r="AQ335" s="39">
        <f>+IFERROR((FT_RF_26[[#This Row],[Calibre &lt;25]]/FT_RF_26[[#This Row],[Muestra]]),"0")</f>
        <v>0</v>
      </c>
      <c r="AR335" s="38">
        <v>0</v>
      </c>
      <c r="AS335" s="39">
        <f>+IFERROR((FT_RF_26[[#This Row],[Calibre &gt;12]]/FT_RF_26[[#This Row],[Muestra]]),"0")</f>
        <v>0</v>
      </c>
      <c r="AT335" s="38">
        <v>0</v>
      </c>
      <c r="AU335" s="39">
        <f>+IFERROR((FT_RF_26[[#This Row],[Calibre &lt;14]]/FT_RF_26[[#This Row],[Muestra]]),"0")</f>
        <v>0</v>
      </c>
      <c r="AV335" s="38">
        <v>0</v>
      </c>
      <c r="AW335" s="39">
        <f>+IFERROR((FT_RF_26[[#This Row],[Calibre &gt;14]]/FT_RF_26[[#This Row],[Muestra]]),"0")</f>
        <v>0</v>
      </c>
      <c r="AX335" s="38">
        <v>0</v>
      </c>
      <c r="AY335" s="39">
        <f>+IFERROR((FT_RF_26[[#This Row],[Calibre &lt;10]]/FT_RF_26[[#This Row],[Muestra]]),"0")</f>
        <v>0</v>
      </c>
      <c r="AZ335" s="38">
        <v>0</v>
      </c>
      <c r="BA335" s="39">
        <f>+IFERROR((FT_RF_26[[#This Row],[Calibre &gt;13]]/FT_RF_26[[#This Row],[Muestra]]),"0")</f>
        <v>0</v>
      </c>
      <c r="BB335" s="41"/>
      <c r="BG335" s="42"/>
      <c r="BH335" s="43">
        <v>0</v>
      </c>
      <c r="BI335" s="29" t="s">
        <v>894</v>
      </c>
      <c r="BJ335" s="29" t="s">
        <v>894</v>
      </c>
      <c r="BK335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35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35" s="45">
        <f>1-FT_RF_26[[#This Row],[% Defectos]]</f>
        <v>1</v>
      </c>
      <c r="BO335" s="60"/>
      <c r="BP335" s="12">
        <f>SUM(FT_RF_26[[#This Row],[Hoja (Un.)]:[Larvas Caja]])</f>
        <v>0</v>
      </c>
      <c r="BQ335" s="12">
        <f>SUM(FT_RF_26[[#This Row],[Vidrios]:[Plástico]])</f>
        <v>0</v>
      </c>
      <c r="BR335" s="12" t="str">
        <f>IF(ISBLANK(FT_RF_26[[#This Row],[Descripción del producto]]),"",FT_RF_26[[#This Row],[Descripción del producto]])</f>
        <v/>
      </c>
      <c r="BS335" s="29" t="str">
        <f>IF(ISBLANK(FT_RF_26[[#This Row],[N° de Lote]]),"",FT_RF_26[[#This Row],[N° de Lote]])</f>
        <v/>
      </c>
      <c r="BT335" s="29" t="str">
        <f>IF(ISBLANK(FT_RF_26[[#This Row],[N° de Pallet]]),"",FT_RF_26[[#This Row],[N° de Pallet]])</f>
        <v/>
      </c>
    </row>
    <row r="336" spans="2:72">
      <c r="B336" s="29">
        <f>+_xlfn.ISOWEEKNUM(FT_RF_26[[#This Row],[Fecha]])</f>
        <v>52</v>
      </c>
      <c r="E336" s="31"/>
      <c r="F336" s="12" t="str">
        <f>IFERROR(""&amp;_xlfn.XLOOKUP(FT_RF_26[[#This Row],[Código]],BD_Cod[SKU],BD_Cod[Descripción]),"")</f>
        <v/>
      </c>
      <c r="G336" s="32" t="str">
        <f>IFERROR(""&amp;_xlfn.XLOOKUP(FT_RF_26[[#This Row],[Código]],BD_Cod[SKU],BD_Cod[Familia Calidad]),"")</f>
        <v/>
      </c>
      <c r="J336" s="33">
        <v>1000</v>
      </c>
      <c r="L336" s="30" t="s">
        <v>244</v>
      </c>
      <c r="O336" s="30" t="s">
        <v>894</v>
      </c>
      <c r="P336" s="29" t="s">
        <v>894</v>
      </c>
      <c r="Q336" s="37">
        <f>1-FT_RF_26[[#This Row],[% Defectos]]</f>
        <v>1</v>
      </c>
      <c r="R336" s="38">
        <v>0</v>
      </c>
      <c r="S336" s="39">
        <f>+IFERROR((FT_RF_26[[#This Row],[Inmadura]]/FT_RF_26[[#This Row],[Muestra]]),"0")</f>
        <v>0</v>
      </c>
      <c r="T336" s="38">
        <v>0</v>
      </c>
      <c r="U336" s="39">
        <f>+IFERROR((FT_RF_26[[#This Row],[Partidas]]/FT_RF_26[[#This Row],[Muestra]]),"0")</f>
        <v>0</v>
      </c>
      <c r="V336" s="38">
        <v>0</v>
      </c>
      <c r="W336" s="39">
        <f>+IFERROR((FT_RF_26[[#This Row],[Daño Insecto]]/FT_RF_26[[#This Row],[Muestra]]),"0")</f>
        <v>0</v>
      </c>
      <c r="X336" s="38">
        <v>0</v>
      </c>
      <c r="Y336" s="39">
        <f>+IFERROR((FT_RF_26[[#This Row],[Sobremadura]]/FT_RF_26[[#This Row],[Muestra]]),"0")</f>
        <v>0</v>
      </c>
      <c r="Z336" s="38">
        <v>0</v>
      </c>
      <c r="AA336" s="39">
        <f>+IFERROR((FT_RF_26[[#This Row],[Deforme]]/FT_RF_26[[#This Row],[Muestra]]),"0")</f>
        <v>0</v>
      </c>
      <c r="AB336" s="27"/>
      <c r="AC336" s="38">
        <v>0</v>
      </c>
      <c r="AD336" s="39">
        <f>+IFERROR((FT_RF_26[[#This Row],[Valor Extra 1]]/FT_RF_26[[#This Row],[Muestra]]),"0")</f>
        <v>0</v>
      </c>
      <c r="AF336" s="38">
        <v>0</v>
      </c>
      <c r="AG336" s="39">
        <f>+IFERROR((FT_RF_26[[#This Row],[Valor Extra 2]]/FT_RF_26[[#This Row],[Muestra]]),"0")</f>
        <v>0</v>
      </c>
      <c r="AH336" s="40">
        <v>0</v>
      </c>
      <c r="AI336" s="39">
        <f>+IFERROR((FT_RF_26[[#This Row],[Hongos]]/FT_RF_26[[#This Row],[Muestra]]),"0")</f>
        <v>0</v>
      </c>
      <c r="AJ336" s="38">
        <v>0</v>
      </c>
      <c r="AK336" s="39">
        <f>+IFERROR((FT_RF_26[[#This Row],[Block]]/FT_RF_26[[#This Row],[Muestra]]),"0")</f>
        <v>0</v>
      </c>
      <c r="AL336" s="41">
        <v>0</v>
      </c>
      <c r="AM336" s="42">
        <v>0</v>
      </c>
      <c r="AN336" s="38">
        <v>0</v>
      </c>
      <c r="AO336" s="39">
        <f>+IFERROR((FT_RF_26[[#This Row],[Fuera de calibre &lt;12mm]]/FT_RF_26[[#This Row],[Muestra]]),"0")</f>
        <v>0</v>
      </c>
      <c r="AP336" s="38">
        <v>0</v>
      </c>
      <c r="AQ336" s="39">
        <f>+IFERROR((FT_RF_26[[#This Row],[Calibre &lt;25]]/FT_RF_26[[#This Row],[Muestra]]),"0")</f>
        <v>0</v>
      </c>
      <c r="AR336" s="38">
        <v>0</v>
      </c>
      <c r="AS336" s="39">
        <f>+IFERROR((FT_RF_26[[#This Row],[Calibre &gt;12]]/FT_RF_26[[#This Row],[Muestra]]),"0")</f>
        <v>0</v>
      </c>
      <c r="AT336" s="38">
        <v>0</v>
      </c>
      <c r="AU336" s="39">
        <f>+IFERROR((FT_RF_26[[#This Row],[Calibre &lt;14]]/FT_RF_26[[#This Row],[Muestra]]),"0")</f>
        <v>0</v>
      </c>
      <c r="AV336" s="38">
        <v>0</v>
      </c>
      <c r="AW336" s="39">
        <f>+IFERROR((FT_RF_26[[#This Row],[Calibre &gt;14]]/FT_RF_26[[#This Row],[Muestra]]),"0")</f>
        <v>0</v>
      </c>
      <c r="AX336" s="38">
        <v>0</v>
      </c>
      <c r="AY336" s="39">
        <f>+IFERROR((FT_RF_26[[#This Row],[Calibre &lt;10]]/FT_RF_26[[#This Row],[Muestra]]),"0")</f>
        <v>0</v>
      </c>
      <c r="AZ336" s="38">
        <v>0</v>
      </c>
      <c r="BA336" s="39">
        <f>+IFERROR((FT_RF_26[[#This Row],[Calibre &gt;13]]/FT_RF_26[[#This Row],[Muestra]]),"0")</f>
        <v>0</v>
      </c>
      <c r="BB336" s="41"/>
      <c r="BG336" s="42"/>
      <c r="BH336" s="43">
        <v>0</v>
      </c>
      <c r="BI336" s="29" t="s">
        <v>894</v>
      </c>
      <c r="BJ336" s="29" t="s">
        <v>894</v>
      </c>
      <c r="BK336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36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36" s="45">
        <f>1-FT_RF_26[[#This Row],[% Defectos]]</f>
        <v>1</v>
      </c>
      <c r="BO336" s="60"/>
      <c r="BP336" s="12">
        <f>SUM(FT_RF_26[[#This Row],[Hoja (Un.)]:[Larvas Caja]])</f>
        <v>0</v>
      </c>
      <c r="BQ336" s="12">
        <f>SUM(FT_RF_26[[#This Row],[Vidrios]:[Plástico]])</f>
        <v>0</v>
      </c>
      <c r="BR336" s="12" t="str">
        <f>IF(ISBLANK(FT_RF_26[[#This Row],[Descripción del producto]]),"",FT_RF_26[[#This Row],[Descripción del producto]])</f>
        <v/>
      </c>
      <c r="BS336" s="29" t="str">
        <f>IF(ISBLANK(FT_RF_26[[#This Row],[N° de Lote]]),"",FT_RF_26[[#This Row],[N° de Lote]])</f>
        <v/>
      </c>
      <c r="BT336" s="29" t="str">
        <f>IF(ISBLANK(FT_RF_26[[#This Row],[N° de Pallet]]),"",FT_RF_26[[#This Row],[N° de Pallet]])</f>
        <v/>
      </c>
    </row>
    <row r="337" spans="2:72">
      <c r="B337" s="29">
        <f>+_xlfn.ISOWEEKNUM(FT_RF_26[[#This Row],[Fecha]])</f>
        <v>52</v>
      </c>
      <c r="E337" s="31"/>
      <c r="F337" s="12" t="str">
        <f>IFERROR(""&amp;_xlfn.XLOOKUP(FT_RF_26[[#This Row],[Código]],BD_Cod[SKU],BD_Cod[Descripción]),"")</f>
        <v/>
      </c>
      <c r="G337" s="32" t="str">
        <f>IFERROR(""&amp;_xlfn.XLOOKUP(FT_RF_26[[#This Row],[Código]],BD_Cod[SKU],BD_Cod[Familia Calidad]),"")</f>
        <v/>
      </c>
      <c r="J337" s="33">
        <v>1000</v>
      </c>
      <c r="L337" s="30" t="s">
        <v>244</v>
      </c>
      <c r="O337" s="30" t="s">
        <v>894</v>
      </c>
      <c r="P337" s="29" t="s">
        <v>894</v>
      </c>
      <c r="Q337" s="37">
        <f>1-FT_RF_26[[#This Row],[% Defectos]]</f>
        <v>1</v>
      </c>
      <c r="R337" s="38">
        <v>0</v>
      </c>
      <c r="S337" s="39">
        <f>+IFERROR((FT_RF_26[[#This Row],[Inmadura]]/FT_RF_26[[#This Row],[Muestra]]),"0")</f>
        <v>0</v>
      </c>
      <c r="T337" s="38">
        <v>0</v>
      </c>
      <c r="U337" s="39">
        <f>+IFERROR((FT_RF_26[[#This Row],[Partidas]]/FT_RF_26[[#This Row],[Muestra]]),"0")</f>
        <v>0</v>
      </c>
      <c r="V337" s="38">
        <v>0</v>
      </c>
      <c r="W337" s="39">
        <f>+IFERROR((FT_RF_26[[#This Row],[Daño Insecto]]/FT_RF_26[[#This Row],[Muestra]]),"0")</f>
        <v>0</v>
      </c>
      <c r="X337" s="38">
        <v>0</v>
      </c>
      <c r="Y337" s="39">
        <f>+IFERROR((FT_RF_26[[#This Row],[Sobremadura]]/FT_RF_26[[#This Row],[Muestra]]),"0")</f>
        <v>0</v>
      </c>
      <c r="Z337" s="38">
        <v>0</v>
      </c>
      <c r="AA337" s="39">
        <f>+IFERROR((FT_RF_26[[#This Row],[Deforme]]/FT_RF_26[[#This Row],[Muestra]]),"0")</f>
        <v>0</v>
      </c>
      <c r="AB337" s="27"/>
      <c r="AC337" s="38">
        <v>0</v>
      </c>
      <c r="AD337" s="39">
        <f>+IFERROR((FT_RF_26[[#This Row],[Valor Extra 1]]/FT_RF_26[[#This Row],[Muestra]]),"0")</f>
        <v>0</v>
      </c>
      <c r="AF337" s="38">
        <v>0</v>
      </c>
      <c r="AG337" s="39">
        <f>+IFERROR((FT_RF_26[[#This Row],[Valor Extra 2]]/FT_RF_26[[#This Row],[Muestra]]),"0")</f>
        <v>0</v>
      </c>
      <c r="AH337" s="40">
        <v>0</v>
      </c>
      <c r="AI337" s="39">
        <f>+IFERROR((FT_RF_26[[#This Row],[Hongos]]/FT_RF_26[[#This Row],[Muestra]]),"0")</f>
        <v>0</v>
      </c>
      <c r="AJ337" s="38">
        <v>0</v>
      </c>
      <c r="AK337" s="39">
        <f>+IFERROR((FT_RF_26[[#This Row],[Block]]/FT_RF_26[[#This Row],[Muestra]]),"0")</f>
        <v>0</v>
      </c>
      <c r="AL337" s="41">
        <v>0</v>
      </c>
      <c r="AM337" s="42">
        <v>0</v>
      </c>
      <c r="AN337" s="38">
        <v>0</v>
      </c>
      <c r="AO337" s="39">
        <f>+IFERROR((FT_RF_26[[#This Row],[Fuera de calibre &lt;12mm]]/FT_RF_26[[#This Row],[Muestra]]),"0")</f>
        <v>0</v>
      </c>
      <c r="AP337" s="38">
        <v>0</v>
      </c>
      <c r="AQ337" s="39">
        <f>+IFERROR((FT_RF_26[[#This Row],[Calibre &lt;25]]/FT_RF_26[[#This Row],[Muestra]]),"0")</f>
        <v>0</v>
      </c>
      <c r="AR337" s="38">
        <v>0</v>
      </c>
      <c r="AS337" s="39">
        <f>+IFERROR((FT_RF_26[[#This Row],[Calibre &gt;12]]/FT_RF_26[[#This Row],[Muestra]]),"0")</f>
        <v>0</v>
      </c>
      <c r="AT337" s="38">
        <v>0</v>
      </c>
      <c r="AU337" s="39">
        <f>+IFERROR((FT_RF_26[[#This Row],[Calibre &lt;14]]/FT_RF_26[[#This Row],[Muestra]]),"0")</f>
        <v>0</v>
      </c>
      <c r="AV337" s="38">
        <v>0</v>
      </c>
      <c r="AW337" s="39">
        <f>+IFERROR((FT_RF_26[[#This Row],[Calibre &gt;14]]/FT_RF_26[[#This Row],[Muestra]]),"0")</f>
        <v>0</v>
      </c>
      <c r="AX337" s="38">
        <v>0</v>
      </c>
      <c r="AY337" s="39">
        <f>+IFERROR((FT_RF_26[[#This Row],[Calibre &lt;10]]/FT_RF_26[[#This Row],[Muestra]]),"0")</f>
        <v>0</v>
      </c>
      <c r="AZ337" s="38">
        <v>0</v>
      </c>
      <c r="BA337" s="39">
        <f>+IFERROR((FT_RF_26[[#This Row],[Calibre &gt;13]]/FT_RF_26[[#This Row],[Muestra]]),"0")</f>
        <v>0</v>
      </c>
      <c r="BB337" s="41"/>
      <c r="BG337" s="42"/>
      <c r="BH337" s="43">
        <v>0</v>
      </c>
      <c r="BI337" s="29" t="s">
        <v>894</v>
      </c>
      <c r="BJ337" s="29" t="s">
        <v>894</v>
      </c>
      <c r="BK337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37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37" s="45">
        <f>1-FT_RF_26[[#This Row],[% Defectos]]</f>
        <v>1</v>
      </c>
      <c r="BO337" s="60"/>
      <c r="BP337" s="12">
        <f>SUM(FT_RF_26[[#This Row],[Hoja (Un.)]:[Larvas Caja]])</f>
        <v>0</v>
      </c>
      <c r="BQ337" s="12">
        <f>SUM(FT_RF_26[[#This Row],[Vidrios]:[Plástico]])</f>
        <v>0</v>
      </c>
      <c r="BR337" s="12" t="str">
        <f>IF(ISBLANK(FT_RF_26[[#This Row],[Descripción del producto]]),"",FT_RF_26[[#This Row],[Descripción del producto]])</f>
        <v/>
      </c>
      <c r="BS337" s="29" t="str">
        <f>IF(ISBLANK(FT_RF_26[[#This Row],[N° de Lote]]),"",FT_RF_26[[#This Row],[N° de Lote]])</f>
        <v/>
      </c>
      <c r="BT337" s="29" t="str">
        <f>IF(ISBLANK(FT_RF_26[[#This Row],[N° de Pallet]]),"",FT_RF_26[[#This Row],[N° de Pallet]])</f>
        <v/>
      </c>
    </row>
    <row r="338" spans="2:72">
      <c r="B338" s="29">
        <f>+_xlfn.ISOWEEKNUM(FT_RF_26[[#This Row],[Fecha]])</f>
        <v>52</v>
      </c>
      <c r="E338" s="31"/>
      <c r="F338" s="12" t="str">
        <f>IFERROR(""&amp;_xlfn.XLOOKUP(FT_RF_26[[#This Row],[Código]],BD_Cod[SKU],BD_Cod[Descripción]),"")</f>
        <v/>
      </c>
      <c r="G338" s="32" t="str">
        <f>IFERROR(""&amp;_xlfn.XLOOKUP(FT_RF_26[[#This Row],[Código]],BD_Cod[SKU],BD_Cod[Familia Calidad]),"")</f>
        <v/>
      </c>
      <c r="J338" s="33">
        <v>1000</v>
      </c>
      <c r="L338" s="30" t="s">
        <v>244</v>
      </c>
      <c r="O338" s="30" t="s">
        <v>894</v>
      </c>
      <c r="P338" s="29" t="s">
        <v>894</v>
      </c>
      <c r="Q338" s="37">
        <f>1-FT_RF_26[[#This Row],[% Defectos]]</f>
        <v>1</v>
      </c>
      <c r="R338" s="38">
        <v>0</v>
      </c>
      <c r="S338" s="39">
        <f>+IFERROR((FT_RF_26[[#This Row],[Inmadura]]/FT_RF_26[[#This Row],[Muestra]]),"0")</f>
        <v>0</v>
      </c>
      <c r="T338" s="38">
        <v>0</v>
      </c>
      <c r="U338" s="39">
        <f>+IFERROR((FT_RF_26[[#This Row],[Partidas]]/FT_RF_26[[#This Row],[Muestra]]),"0")</f>
        <v>0</v>
      </c>
      <c r="V338" s="38">
        <v>0</v>
      </c>
      <c r="W338" s="39">
        <f>+IFERROR((FT_RF_26[[#This Row],[Daño Insecto]]/FT_RF_26[[#This Row],[Muestra]]),"0")</f>
        <v>0</v>
      </c>
      <c r="X338" s="38">
        <v>0</v>
      </c>
      <c r="Y338" s="39">
        <f>+IFERROR((FT_RF_26[[#This Row],[Sobremadura]]/FT_RF_26[[#This Row],[Muestra]]),"0")</f>
        <v>0</v>
      </c>
      <c r="Z338" s="38">
        <v>0</v>
      </c>
      <c r="AA338" s="39">
        <f>+IFERROR((FT_RF_26[[#This Row],[Deforme]]/FT_RF_26[[#This Row],[Muestra]]),"0")</f>
        <v>0</v>
      </c>
      <c r="AB338" s="27"/>
      <c r="AC338" s="38">
        <v>0</v>
      </c>
      <c r="AD338" s="39">
        <f>+IFERROR((FT_RF_26[[#This Row],[Valor Extra 1]]/FT_RF_26[[#This Row],[Muestra]]),"0")</f>
        <v>0</v>
      </c>
      <c r="AF338" s="38">
        <v>0</v>
      </c>
      <c r="AG338" s="39">
        <f>+IFERROR((FT_RF_26[[#This Row],[Valor Extra 2]]/FT_RF_26[[#This Row],[Muestra]]),"0")</f>
        <v>0</v>
      </c>
      <c r="AH338" s="40">
        <v>0</v>
      </c>
      <c r="AI338" s="39">
        <f>+IFERROR((FT_RF_26[[#This Row],[Hongos]]/FT_RF_26[[#This Row],[Muestra]]),"0")</f>
        <v>0</v>
      </c>
      <c r="AJ338" s="38">
        <v>0</v>
      </c>
      <c r="AK338" s="39">
        <f>+IFERROR((FT_RF_26[[#This Row],[Block]]/FT_RF_26[[#This Row],[Muestra]]),"0")</f>
        <v>0</v>
      </c>
      <c r="AL338" s="41">
        <v>0</v>
      </c>
      <c r="AM338" s="42">
        <v>0</v>
      </c>
      <c r="AN338" s="38">
        <v>0</v>
      </c>
      <c r="AO338" s="39">
        <f>+IFERROR((FT_RF_26[[#This Row],[Fuera de calibre &lt;12mm]]/FT_RF_26[[#This Row],[Muestra]]),"0")</f>
        <v>0</v>
      </c>
      <c r="AP338" s="38">
        <v>0</v>
      </c>
      <c r="AQ338" s="39">
        <f>+IFERROR((FT_RF_26[[#This Row],[Calibre &lt;25]]/FT_RF_26[[#This Row],[Muestra]]),"0")</f>
        <v>0</v>
      </c>
      <c r="AR338" s="38">
        <v>0</v>
      </c>
      <c r="AS338" s="39">
        <f>+IFERROR((FT_RF_26[[#This Row],[Calibre &gt;12]]/FT_RF_26[[#This Row],[Muestra]]),"0")</f>
        <v>0</v>
      </c>
      <c r="AT338" s="38">
        <v>0</v>
      </c>
      <c r="AU338" s="39">
        <f>+IFERROR((FT_RF_26[[#This Row],[Calibre &lt;14]]/FT_RF_26[[#This Row],[Muestra]]),"0")</f>
        <v>0</v>
      </c>
      <c r="AV338" s="38">
        <v>0</v>
      </c>
      <c r="AW338" s="39">
        <f>+IFERROR((FT_RF_26[[#This Row],[Calibre &gt;14]]/FT_RF_26[[#This Row],[Muestra]]),"0")</f>
        <v>0</v>
      </c>
      <c r="AX338" s="38">
        <v>0</v>
      </c>
      <c r="AY338" s="39">
        <f>+IFERROR((FT_RF_26[[#This Row],[Calibre &lt;10]]/FT_RF_26[[#This Row],[Muestra]]),"0")</f>
        <v>0</v>
      </c>
      <c r="AZ338" s="38">
        <v>0</v>
      </c>
      <c r="BA338" s="39">
        <f>+IFERROR((FT_RF_26[[#This Row],[Calibre &gt;13]]/FT_RF_26[[#This Row],[Muestra]]),"0")</f>
        <v>0</v>
      </c>
      <c r="BB338" s="41"/>
      <c r="BG338" s="42"/>
      <c r="BH338" s="43">
        <v>0</v>
      </c>
      <c r="BI338" s="29" t="s">
        <v>894</v>
      </c>
      <c r="BJ338" s="29" t="s">
        <v>894</v>
      </c>
      <c r="BK338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38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38" s="45">
        <f>1-FT_RF_26[[#This Row],[% Defectos]]</f>
        <v>1</v>
      </c>
      <c r="BO338" s="60"/>
      <c r="BP338" s="12">
        <f>SUM(FT_RF_26[[#This Row],[Hoja (Un.)]:[Larvas Caja]])</f>
        <v>0</v>
      </c>
      <c r="BQ338" s="12">
        <f>SUM(FT_RF_26[[#This Row],[Vidrios]:[Plástico]])</f>
        <v>0</v>
      </c>
      <c r="BR338" s="12" t="str">
        <f>IF(ISBLANK(FT_RF_26[[#This Row],[Descripción del producto]]),"",FT_RF_26[[#This Row],[Descripción del producto]])</f>
        <v/>
      </c>
      <c r="BS338" s="29" t="str">
        <f>IF(ISBLANK(FT_RF_26[[#This Row],[N° de Lote]]),"",FT_RF_26[[#This Row],[N° de Lote]])</f>
        <v/>
      </c>
      <c r="BT338" s="29" t="str">
        <f>IF(ISBLANK(FT_RF_26[[#This Row],[N° de Pallet]]),"",FT_RF_26[[#This Row],[N° de Pallet]])</f>
        <v/>
      </c>
    </row>
    <row r="339" spans="2:72">
      <c r="B339" s="29">
        <f>+_xlfn.ISOWEEKNUM(FT_RF_26[[#This Row],[Fecha]])</f>
        <v>52</v>
      </c>
      <c r="E339" s="31"/>
      <c r="F339" s="12" t="str">
        <f>IFERROR(""&amp;_xlfn.XLOOKUP(FT_RF_26[[#This Row],[Código]],BD_Cod[SKU],BD_Cod[Descripción]),"")</f>
        <v/>
      </c>
      <c r="G339" s="32" t="str">
        <f>IFERROR(""&amp;_xlfn.XLOOKUP(FT_RF_26[[#This Row],[Código]],BD_Cod[SKU],BD_Cod[Familia Calidad]),"")</f>
        <v/>
      </c>
      <c r="J339" s="33">
        <v>1000</v>
      </c>
      <c r="L339" s="30" t="s">
        <v>244</v>
      </c>
      <c r="O339" s="30" t="s">
        <v>894</v>
      </c>
      <c r="P339" s="29" t="s">
        <v>894</v>
      </c>
      <c r="Q339" s="37">
        <f>1-FT_RF_26[[#This Row],[% Defectos]]</f>
        <v>1</v>
      </c>
      <c r="R339" s="38">
        <v>0</v>
      </c>
      <c r="S339" s="39">
        <f>+IFERROR((FT_RF_26[[#This Row],[Inmadura]]/FT_RF_26[[#This Row],[Muestra]]),"0")</f>
        <v>0</v>
      </c>
      <c r="T339" s="38">
        <v>0</v>
      </c>
      <c r="U339" s="39">
        <f>+IFERROR((FT_RF_26[[#This Row],[Partidas]]/FT_RF_26[[#This Row],[Muestra]]),"0")</f>
        <v>0</v>
      </c>
      <c r="V339" s="38">
        <v>0</v>
      </c>
      <c r="W339" s="39">
        <f>+IFERROR((FT_RF_26[[#This Row],[Daño Insecto]]/FT_RF_26[[#This Row],[Muestra]]),"0")</f>
        <v>0</v>
      </c>
      <c r="X339" s="38">
        <v>0</v>
      </c>
      <c r="Y339" s="39">
        <f>+IFERROR((FT_RF_26[[#This Row],[Sobremadura]]/FT_RF_26[[#This Row],[Muestra]]),"0")</f>
        <v>0</v>
      </c>
      <c r="Z339" s="38">
        <v>0</v>
      </c>
      <c r="AA339" s="39">
        <f>+IFERROR((FT_RF_26[[#This Row],[Deforme]]/FT_RF_26[[#This Row],[Muestra]]),"0")</f>
        <v>0</v>
      </c>
      <c r="AB339" s="27"/>
      <c r="AC339" s="38">
        <v>0</v>
      </c>
      <c r="AD339" s="39">
        <f>+IFERROR((FT_RF_26[[#This Row],[Valor Extra 1]]/FT_RF_26[[#This Row],[Muestra]]),"0")</f>
        <v>0</v>
      </c>
      <c r="AF339" s="38">
        <v>0</v>
      </c>
      <c r="AG339" s="39">
        <f>+IFERROR((FT_RF_26[[#This Row],[Valor Extra 2]]/FT_RF_26[[#This Row],[Muestra]]),"0")</f>
        <v>0</v>
      </c>
      <c r="AH339" s="40">
        <v>0</v>
      </c>
      <c r="AI339" s="39">
        <f>+IFERROR((FT_RF_26[[#This Row],[Hongos]]/FT_RF_26[[#This Row],[Muestra]]),"0")</f>
        <v>0</v>
      </c>
      <c r="AJ339" s="38">
        <v>0</v>
      </c>
      <c r="AK339" s="39">
        <f>+IFERROR((FT_RF_26[[#This Row],[Block]]/FT_RF_26[[#This Row],[Muestra]]),"0")</f>
        <v>0</v>
      </c>
      <c r="AL339" s="41">
        <v>0</v>
      </c>
      <c r="AM339" s="42">
        <v>0</v>
      </c>
      <c r="AN339" s="38">
        <v>0</v>
      </c>
      <c r="AO339" s="39">
        <f>+IFERROR((FT_RF_26[[#This Row],[Fuera de calibre &lt;12mm]]/FT_RF_26[[#This Row],[Muestra]]),"0")</f>
        <v>0</v>
      </c>
      <c r="AP339" s="38">
        <v>0</v>
      </c>
      <c r="AQ339" s="39">
        <f>+IFERROR((FT_RF_26[[#This Row],[Calibre &lt;25]]/FT_RF_26[[#This Row],[Muestra]]),"0")</f>
        <v>0</v>
      </c>
      <c r="AR339" s="38">
        <v>0</v>
      </c>
      <c r="AS339" s="39">
        <f>+IFERROR((FT_RF_26[[#This Row],[Calibre &gt;12]]/FT_RF_26[[#This Row],[Muestra]]),"0")</f>
        <v>0</v>
      </c>
      <c r="AT339" s="38">
        <v>0</v>
      </c>
      <c r="AU339" s="39">
        <f>+IFERROR((FT_RF_26[[#This Row],[Calibre &lt;14]]/FT_RF_26[[#This Row],[Muestra]]),"0")</f>
        <v>0</v>
      </c>
      <c r="AV339" s="38">
        <v>0</v>
      </c>
      <c r="AW339" s="39">
        <f>+IFERROR((FT_RF_26[[#This Row],[Calibre &gt;14]]/FT_RF_26[[#This Row],[Muestra]]),"0")</f>
        <v>0</v>
      </c>
      <c r="AX339" s="38">
        <v>0</v>
      </c>
      <c r="AY339" s="39">
        <f>+IFERROR((FT_RF_26[[#This Row],[Calibre &lt;10]]/FT_RF_26[[#This Row],[Muestra]]),"0")</f>
        <v>0</v>
      </c>
      <c r="AZ339" s="38">
        <v>0</v>
      </c>
      <c r="BA339" s="39">
        <f>+IFERROR((FT_RF_26[[#This Row],[Calibre &gt;13]]/FT_RF_26[[#This Row],[Muestra]]),"0")</f>
        <v>0</v>
      </c>
      <c r="BB339" s="41"/>
      <c r="BG339" s="42"/>
      <c r="BH339" s="43">
        <v>0</v>
      </c>
      <c r="BI339" s="29" t="s">
        <v>894</v>
      </c>
      <c r="BJ339" s="29" t="s">
        <v>894</v>
      </c>
      <c r="BK339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39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39" s="45">
        <f>1-FT_RF_26[[#This Row],[% Defectos]]</f>
        <v>1</v>
      </c>
      <c r="BO339" s="60"/>
      <c r="BP339" s="12">
        <f>SUM(FT_RF_26[[#This Row],[Hoja (Un.)]:[Larvas Caja]])</f>
        <v>0</v>
      </c>
      <c r="BQ339" s="12">
        <f>SUM(FT_RF_26[[#This Row],[Vidrios]:[Plástico]])</f>
        <v>0</v>
      </c>
      <c r="BR339" s="12" t="str">
        <f>IF(ISBLANK(FT_RF_26[[#This Row],[Descripción del producto]]),"",FT_RF_26[[#This Row],[Descripción del producto]])</f>
        <v/>
      </c>
      <c r="BS339" s="29" t="str">
        <f>IF(ISBLANK(FT_RF_26[[#This Row],[N° de Lote]]),"",FT_RF_26[[#This Row],[N° de Lote]])</f>
        <v/>
      </c>
      <c r="BT339" s="29" t="str">
        <f>IF(ISBLANK(FT_RF_26[[#This Row],[N° de Pallet]]),"",FT_RF_26[[#This Row],[N° de Pallet]])</f>
        <v/>
      </c>
    </row>
    <row r="340" spans="2:72">
      <c r="B340" s="29">
        <f>+_xlfn.ISOWEEKNUM(FT_RF_26[[#This Row],[Fecha]])</f>
        <v>52</v>
      </c>
      <c r="E340" s="31"/>
      <c r="F340" s="12" t="str">
        <f>IFERROR(""&amp;_xlfn.XLOOKUP(FT_RF_26[[#This Row],[Código]],BD_Cod[SKU],BD_Cod[Descripción]),"")</f>
        <v/>
      </c>
      <c r="G340" s="32" t="str">
        <f>IFERROR(""&amp;_xlfn.XLOOKUP(FT_RF_26[[#This Row],[Código]],BD_Cod[SKU],BD_Cod[Familia Calidad]),"")</f>
        <v/>
      </c>
      <c r="J340" s="33">
        <v>1000</v>
      </c>
      <c r="L340" s="30" t="s">
        <v>244</v>
      </c>
      <c r="O340" s="30" t="s">
        <v>894</v>
      </c>
      <c r="P340" s="29" t="s">
        <v>894</v>
      </c>
      <c r="Q340" s="37">
        <f>1-FT_RF_26[[#This Row],[% Defectos]]</f>
        <v>1</v>
      </c>
      <c r="R340" s="38">
        <v>0</v>
      </c>
      <c r="S340" s="39">
        <f>+IFERROR((FT_RF_26[[#This Row],[Inmadura]]/FT_RF_26[[#This Row],[Muestra]]),"0")</f>
        <v>0</v>
      </c>
      <c r="T340" s="38">
        <v>0</v>
      </c>
      <c r="U340" s="39">
        <f>+IFERROR((FT_RF_26[[#This Row],[Partidas]]/FT_RF_26[[#This Row],[Muestra]]),"0")</f>
        <v>0</v>
      </c>
      <c r="V340" s="38">
        <v>0</v>
      </c>
      <c r="W340" s="39">
        <f>+IFERROR((FT_RF_26[[#This Row],[Daño Insecto]]/FT_RF_26[[#This Row],[Muestra]]),"0")</f>
        <v>0</v>
      </c>
      <c r="X340" s="38">
        <v>0</v>
      </c>
      <c r="Y340" s="39">
        <f>+IFERROR((FT_RF_26[[#This Row],[Sobremadura]]/FT_RF_26[[#This Row],[Muestra]]),"0")</f>
        <v>0</v>
      </c>
      <c r="Z340" s="38">
        <v>0</v>
      </c>
      <c r="AA340" s="39">
        <f>+IFERROR((FT_RF_26[[#This Row],[Deforme]]/FT_RF_26[[#This Row],[Muestra]]),"0")</f>
        <v>0</v>
      </c>
      <c r="AB340" s="27"/>
      <c r="AC340" s="38">
        <v>0</v>
      </c>
      <c r="AD340" s="39">
        <f>+IFERROR((FT_RF_26[[#This Row],[Valor Extra 1]]/FT_RF_26[[#This Row],[Muestra]]),"0")</f>
        <v>0</v>
      </c>
      <c r="AF340" s="38">
        <v>0</v>
      </c>
      <c r="AG340" s="39">
        <f>+IFERROR((FT_RF_26[[#This Row],[Valor Extra 2]]/FT_RF_26[[#This Row],[Muestra]]),"0")</f>
        <v>0</v>
      </c>
      <c r="AH340" s="40">
        <v>0</v>
      </c>
      <c r="AI340" s="39">
        <f>+IFERROR((FT_RF_26[[#This Row],[Hongos]]/FT_RF_26[[#This Row],[Muestra]]),"0")</f>
        <v>0</v>
      </c>
      <c r="AJ340" s="38">
        <v>0</v>
      </c>
      <c r="AK340" s="39">
        <f>+IFERROR((FT_RF_26[[#This Row],[Block]]/FT_RF_26[[#This Row],[Muestra]]),"0")</f>
        <v>0</v>
      </c>
      <c r="AL340" s="41">
        <v>0</v>
      </c>
      <c r="AM340" s="42">
        <v>0</v>
      </c>
      <c r="AN340" s="38">
        <v>0</v>
      </c>
      <c r="AO340" s="39">
        <f>+IFERROR((FT_RF_26[[#This Row],[Fuera de calibre &lt;12mm]]/FT_RF_26[[#This Row],[Muestra]]),"0")</f>
        <v>0</v>
      </c>
      <c r="AP340" s="38">
        <v>0</v>
      </c>
      <c r="AQ340" s="39">
        <f>+IFERROR((FT_RF_26[[#This Row],[Calibre &lt;25]]/FT_RF_26[[#This Row],[Muestra]]),"0")</f>
        <v>0</v>
      </c>
      <c r="AR340" s="38">
        <v>0</v>
      </c>
      <c r="AS340" s="39">
        <f>+IFERROR((FT_RF_26[[#This Row],[Calibre &gt;12]]/FT_RF_26[[#This Row],[Muestra]]),"0")</f>
        <v>0</v>
      </c>
      <c r="AT340" s="38">
        <v>0</v>
      </c>
      <c r="AU340" s="39">
        <f>+IFERROR((FT_RF_26[[#This Row],[Calibre &lt;14]]/FT_RF_26[[#This Row],[Muestra]]),"0")</f>
        <v>0</v>
      </c>
      <c r="AV340" s="38">
        <v>0</v>
      </c>
      <c r="AW340" s="39">
        <f>+IFERROR((FT_RF_26[[#This Row],[Calibre &gt;14]]/FT_RF_26[[#This Row],[Muestra]]),"0")</f>
        <v>0</v>
      </c>
      <c r="AX340" s="38">
        <v>0</v>
      </c>
      <c r="AY340" s="39">
        <f>+IFERROR((FT_RF_26[[#This Row],[Calibre &lt;10]]/FT_RF_26[[#This Row],[Muestra]]),"0")</f>
        <v>0</v>
      </c>
      <c r="AZ340" s="38">
        <v>0</v>
      </c>
      <c r="BA340" s="39">
        <f>+IFERROR((FT_RF_26[[#This Row],[Calibre &gt;13]]/FT_RF_26[[#This Row],[Muestra]]),"0")</f>
        <v>0</v>
      </c>
      <c r="BB340" s="41"/>
      <c r="BG340" s="42"/>
      <c r="BH340" s="43">
        <v>0</v>
      </c>
      <c r="BI340" s="29" t="s">
        <v>894</v>
      </c>
      <c r="BJ340" s="29" t="s">
        <v>894</v>
      </c>
      <c r="BK340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40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40" s="45">
        <f>1-FT_RF_26[[#This Row],[% Defectos]]</f>
        <v>1</v>
      </c>
      <c r="BO340" s="60"/>
      <c r="BP340" s="12">
        <f>SUM(FT_RF_26[[#This Row],[Hoja (Un.)]:[Larvas Caja]])</f>
        <v>0</v>
      </c>
      <c r="BQ340" s="12">
        <f>SUM(FT_RF_26[[#This Row],[Vidrios]:[Plástico]])</f>
        <v>0</v>
      </c>
      <c r="BR340" s="12" t="str">
        <f>IF(ISBLANK(FT_RF_26[[#This Row],[Descripción del producto]]),"",FT_RF_26[[#This Row],[Descripción del producto]])</f>
        <v/>
      </c>
      <c r="BS340" s="29" t="str">
        <f>IF(ISBLANK(FT_RF_26[[#This Row],[N° de Lote]]),"",FT_RF_26[[#This Row],[N° de Lote]])</f>
        <v/>
      </c>
      <c r="BT340" s="29" t="str">
        <f>IF(ISBLANK(FT_RF_26[[#This Row],[N° de Pallet]]),"",FT_RF_26[[#This Row],[N° de Pallet]])</f>
        <v/>
      </c>
    </row>
    <row r="341" spans="2:72">
      <c r="B341" s="29">
        <f>+_xlfn.ISOWEEKNUM(FT_RF_26[[#This Row],[Fecha]])</f>
        <v>52</v>
      </c>
      <c r="E341" s="31"/>
      <c r="F341" s="12" t="str">
        <f>IFERROR(""&amp;_xlfn.XLOOKUP(FT_RF_26[[#This Row],[Código]],BD_Cod[SKU],BD_Cod[Descripción]),"")</f>
        <v/>
      </c>
      <c r="G341" s="32" t="str">
        <f>IFERROR(""&amp;_xlfn.XLOOKUP(FT_RF_26[[#This Row],[Código]],BD_Cod[SKU],BD_Cod[Familia Calidad]),"")</f>
        <v/>
      </c>
      <c r="J341" s="33">
        <v>1000</v>
      </c>
      <c r="L341" s="30" t="s">
        <v>244</v>
      </c>
      <c r="O341" s="30" t="s">
        <v>894</v>
      </c>
      <c r="P341" s="29" t="s">
        <v>894</v>
      </c>
      <c r="Q341" s="37">
        <f>1-FT_RF_26[[#This Row],[% Defectos]]</f>
        <v>1</v>
      </c>
      <c r="R341" s="38">
        <v>0</v>
      </c>
      <c r="S341" s="39">
        <f>+IFERROR((FT_RF_26[[#This Row],[Inmadura]]/FT_RF_26[[#This Row],[Muestra]]),"0")</f>
        <v>0</v>
      </c>
      <c r="T341" s="38">
        <v>0</v>
      </c>
      <c r="U341" s="39">
        <f>+IFERROR((FT_RF_26[[#This Row],[Partidas]]/FT_RF_26[[#This Row],[Muestra]]),"0")</f>
        <v>0</v>
      </c>
      <c r="V341" s="38">
        <v>0</v>
      </c>
      <c r="W341" s="39">
        <f>+IFERROR((FT_RF_26[[#This Row],[Daño Insecto]]/FT_RF_26[[#This Row],[Muestra]]),"0")</f>
        <v>0</v>
      </c>
      <c r="X341" s="38">
        <v>0</v>
      </c>
      <c r="Y341" s="39">
        <f>+IFERROR((FT_RF_26[[#This Row],[Sobremadura]]/FT_RF_26[[#This Row],[Muestra]]),"0")</f>
        <v>0</v>
      </c>
      <c r="Z341" s="38">
        <v>0</v>
      </c>
      <c r="AA341" s="39">
        <f>+IFERROR((FT_RF_26[[#This Row],[Deforme]]/FT_RF_26[[#This Row],[Muestra]]),"0")</f>
        <v>0</v>
      </c>
      <c r="AB341" s="27"/>
      <c r="AC341" s="38">
        <v>0</v>
      </c>
      <c r="AD341" s="39">
        <f>+IFERROR((FT_RF_26[[#This Row],[Valor Extra 1]]/FT_RF_26[[#This Row],[Muestra]]),"0")</f>
        <v>0</v>
      </c>
      <c r="AF341" s="38">
        <v>0</v>
      </c>
      <c r="AG341" s="39">
        <f>+IFERROR((FT_RF_26[[#This Row],[Valor Extra 2]]/FT_RF_26[[#This Row],[Muestra]]),"0")</f>
        <v>0</v>
      </c>
      <c r="AH341" s="40">
        <v>0</v>
      </c>
      <c r="AI341" s="39">
        <f>+IFERROR((FT_RF_26[[#This Row],[Hongos]]/FT_RF_26[[#This Row],[Muestra]]),"0")</f>
        <v>0</v>
      </c>
      <c r="AJ341" s="38">
        <v>0</v>
      </c>
      <c r="AK341" s="39">
        <f>+IFERROR((FT_RF_26[[#This Row],[Block]]/FT_RF_26[[#This Row],[Muestra]]),"0")</f>
        <v>0</v>
      </c>
      <c r="AL341" s="41">
        <v>0</v>
      </c>
      <c r="AM341" s="42">
        <v>0</v>
      </c>
      <c r="AN341" s="38">
        <v>0</v>
      </c>
      <c r="AO341" s="39">
        <f>+IFERROR((FT_RF_26[[#This Row],[Fuera de calibre &lt;12mm]]/FT_RF_26[[#This Row],[Muestra]]),"0")</f>
        <v>0</v>
      </c>
      <c r="AP341" s="38">
        <v>0</v>
      </c>
      <c r="AQ341" s="39">
        <f>+IFERROR((FT_RF_26[[#This Row],[Calibre &lt;25]]/FT_RF_26[[#This Row],[Muestra]]),"0")</f>
        <v>0</v>
      </c>
      <c r="AR341" s="38">
        <v>0</v>
      </c>
      <c r="AS341" s="39">
        <f>+IFERROR((FT_RF_26[[#This Row],[Calibre &gt;12]]/FT_RF_26[[#This Row],[Muestra]]),"0")</f>
        <v>0</v>
      </c>
      <c r="AT341" s="38">
        <v>0</v>
      </c>
      <c r="AU341" s="39">
        <f>+IFERROR((FT_RF_26[[#This Row],[Calibre &lt;14]]/FT_RF_26[[#This Row],[Muestra]]),"0")</f>
        <v>0</v>
      </c>
      <c r="AV341" s="38">
        <v>0</v>
      </c>
      <c r="AW341" s="39">
        <f>+IFERROR((FT_RF_26[[#This Row],[Calibre &gt;14]]/FT_RF_26[[#This Row],[Muestra]]),"0")</f>
        <v>0</v>
      </c>
      <c r="AX341" s="38">
        <v>0</v>
      </c>
      <c r="AY341" s="39">
        <f>+IFERROR((FT_RF_26[[#This Row],[Calibre &lt;10]]/FT_RF_26[[#This Row],[Muestra]]),"0")</f>
        <v>0</v>
      </c>
      <c r="AZ341" s="38">
        <v>0</v>
      </c>
      <c r="BA341" s="39">
        <f>+IFERROR((FT_RF_26[[#This Row],[Calibre &gt;13]]/FT_RF_26[[#This Row],[Muestra]]),"0")</f>
        <v>0</v>
      </c>
      <c r="BB341" s="41"/>
      <c r="BG341" s="42"/>
      <c r="BH341" s="43">
        <v>0</v>
      </c>
      <c r="BI341" s="29" t="s">
        <v>894</v>
      </c>
      <c r="BJ341" s="29" t="s">
        <v>894</v>
      </c>
      <c r="BK341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41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41" s="45">
        <f>1-FT_RF_26[[#This Row],[% Defectos]]</f>
        <v>1</v>
      </c>
      <c r="BO341" s="60"/>
      <c r="BP341" s="12">
        <f>SUM(FT_RF_26[[#This Row],[Hoja (Un.)]:[Larvas Caja]])</f>
        <v>0</v>
      </c>
      <c r="BQ341" s="12">
        <f>SUM(FT_RF_26[[#This Row],[Vidrios]:[Plástico]])</f>
        <v>0</v>
      </c>
      <c r="BR341" s="12" t="str">
        <f>IF(ISBLANK(FT_RF_26[[#This Row],[Descripción del producto]]),"",FT_RF_26[[#This Row],[Descripción del producto]])</f>
        <v/>
      </c>
      <c r="BS341" s="29" t="str">
        <f>IF(ISBLANK(FT_RF_26[[#This Row],[N° de Lote]]),"",FT_RF_26[[#This Row],[N° de Lote]])</f>
        <v/>
      </c>
      <c r="BT341" s="29" t="str">
        <f>IF(ISBLANK(FT_RF_26[[#This Row],[N° de Pallet]]),"",FT_RF_26[[#This Row],[N° de Pallet]])</f>
        <v/>
      </c>
    </row>
    <row r="342" spans="2:72">
      <c r="B342" s="29">
        <f>+_xlfn.ISOWEEKNUM(FT_RF_26[[#This Row],[Fecha]])</f>
        <v>52</v>
      </c>
      <c r="E342" s="31"/>
      <c r="F342" s="12" t="str">
        <f>IFERROR(""&amp;_xlfn.XLOOKUP(FT_RF_26[[#This Row],[Código]],BD_Cod[SKU],BD_Cod[Descripción]),"")</f>
        <v/>
      </c>
      <c r="G342" s="32" t="str">
        <f>IFERROR(""&amp;_xlfn.XLOOKUP(FT_RF_26[[#This Row],[Código]],BD_Cod[SKU],BD_Cod[Familia Calidad]),"")</f>
        <v/>
      </c>
      <c r="J342" s="33">
        <v>1000</v>
      </c>
      <c r="L342" s="30" t="s">
        <v>244</v>
      </c>
      <c r="O342" s="30" t="s">
        <v>894</v>
      </c>
      <c r="P342" s="29" t="s">
        <v>894</v>
      </c>
      <c r="Q342" s="37">
        <f>1-FT_RF_26[[#This Row],[% Defectos]]</f>
        <v>1</v>
      </c>
      <c r="R342" s="38">
        <v>0</v>
      </c>
      <c r="S342" s="39">
        <f>+IFERROR((FT_RF_26[[#This Row],[Inmadura]]/FT_RF_26[[#This Row],[Muestra]]),"0")</f>
        <v>0</v>
      </c>
      <c r="T342" s="38">
        <v>0</v>
      </c>
      <c r="U342" s="39">
        <f>+IFERROR((FT_RF_26[[#This Row],[Partidas]]/FT_RF_26[[#This Row],[Muestra]]),"0")</f>
        <v>0</v>
      </c>
      <c r="V342" s="38">
        <v>0</v>
      </c>
      <c r="W342" s="39">
        <f>+IFERROR((FT_RF_26[[#This Row],[Daño Insecto]]/FT_RF_26[[#This Row],[Muestra]]),"0")</f>
        <v>0</v>
      </c>
      <c r="X342" s="38">
        <v>0</v>
      </c>
      <c r="Y342" s="39">
        <f>+IFERROR((FT_RF_26[[#This Row],[Sobremadura]]/FT_RF_26[[#This Row],[Muestra]]),"0")</f>
        <v>0</v>
      </c>
      <c r="Z342" s="38">
        <v>0</v>
      </c>
      <c r="AA342" s="39">
        <f>+IFERROR((FT_RF_26[[#This Row],[Deforme]]/FT_RF_26[[#This Row],[Muestra]]),"0")</f>
        <v>0</v>
      </c>
      <c r="AB342" s="27"/>
      <c r="AC342" s="38">
        <v>0</v>
      </c>
      <c r="AD342" s="39">
        <f>+IFERROR((FT_RF_26[[#This Row],[Valor Extra 1]]/FT_RF_26[[#This Row],[Muestra]]),"0")</f>
        <v>0</v>
      </c>
      <c r="AF342" s="38">
        <v>0</v>
      </c>
      <c r="AG342" s="39">
        <f>+IFERROR((FT_RF_26[[#This Row],[Valor Extra 2]]/FT_RF_26[[#This Row],[Muestra]]),"0")</f>
        <v>0</v>
      </c>
      <c r="AH342" s="40">
        <v>0</v>
      </c>
      <c r="AI342" s="39">
        <f>+IFERROR((FT_RF_26[[#This Row],[Hongos]]/FT_RF_26[[#This Row],[Muestra]]),"0")</f>
        <v>0</v>
      </c>
      <c r="AJ342" s="38">
        <v>0</v>
      </c>
      <c r="AK342" s="39">
        <f>+IFERROR((FT_RF_26[[#This Row],[Block]]/FT_RF_26[[#This Row],[Muestra]]),"0")</f>
        <v>0</v>
      </c>
      <c r="AL342" s="41">
        <v>0</v>
      </c>
      <c r="AM342" s="42">
        <v>0</v>
      </c>
      <c r="AN342" s="38">
        <v>0</v>
      </c>
      <c r="AO342" s="39">
        <f>+IFERROR((FT_RF_26[[#This Row],[Fuera de calibre &lt;12mm]]/FT_RF_26[[#This Row],[Muestra]]),"0")</f>
        <v>0</v>
      </c>
      <c r="AP342" s="38">
        <v>0</v>
      </c>
      <c r="AQ342" s="39">
        <f>+IFERROR((FT_RF_26[[#This Row],[Calibre &lt;25]]/FT_RF_26[[#This Row],[Muestra]]),"0")</f>
        <v>0</v>
      </c>
      <c r="AR342" s="38">
        <v>0</v>
      </c>
      <c r="AS342" s="39">
        <f>+IFERROR((FT_RF_26[[#This Row],[Calibre &gt;12]]/FT_RF_26[[#This Row],[Muestra]]),"0")</f>
        <v>0</v>
      </c>
      <c r="AT342" s="38">
        <v>0</v>
      </c>
      <c r="AU342" s="39">
        <f>+IFERROR((FT_RF_26[[#This Row],[Calibre &lt;14]]/FT_RF_26[[#This Row],[Muestra]]),"0")</f>
        <v>0</v>
      </c>
      <c r="AV342" s="38">
        <v>0</v>
      </c>
      <c r="AW342" s="39">
        <f>+IFERROR((FT_RF_26[[#This Row],[Calibre &gt;14]]/FT_RF_26[[#This Row],[Muestra]]),"0")</f>
        <v>0</v>
      </c>
      <c r="AX342" s="38">
        <v>0</v>
      </c>
      <c r="AY342" s="39">
        <f>+IFERROR((FT_RF_26[[#This Row],[Calibre &lt;10]]/FT_RF_26[[#This Row],[Muestra]]),"0")</f>
        <v>0</v>
      </c>
      <c r="AZ342" s="38">
        <v>0</v>
      </c>
      <c r="BA342" s="39">
        <f>+IFERROR((FT_RF_26[[#This Row],[Calibre &gt;13]]/FT_RF_26[[#This Row],[Muestra]]),"0")</f>
        <v>0</v>
      </c>
      <c r="BB342" s="41"/>
      <c r="BG342" s="42"/>
      <c r="BH342" s="43">
        <v>0</v>
      </c>
      <c r="BI342" s="29" t="s">
        <v>894</v>
      </c>
      <c r="BJ342" s="29" t="s">
        <v>894</v>
      </c>
      <c r="BK342" s="44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42" s="39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42" s="45">
        <f>1-FT_RF_26[[#This Row],[% Defectos]]</f>
        <v>1</v>
      </c>
      <c r="BO342" s="60"/>
      <c r="BP342" s="12">
        <f>SUM(FT_RF_26[[#This Row],[Hoja (Un.)]:[Larvas Caja]])</f>
        <v>0</v>
      </c>
      <c r="BQ342" s="12">
        <f>SUM(FT_RF_26[[#This Row],[Vidrios]:[Plástico]])</f>
        <v>0</v>
      </c>
      <c r="BR342" s="12" t="str">
        <f>IF(ISBLANK(FT_RF_26[[#This Row],[Descripción del producto]]),"",FT_RF_26[[#This Row],[Descripción del producto]])</f>
        <v/>
      </c>
      <c r="BS342" s="29" t="str">
        <f>IF(ISBLANK(FT_RF_26[[#This Row],[N° de Lote]]),"",FT_RF_26[[#This Row],[N° de Lote]])</f>
        <v/>
      </c>
      <c r="BT342" s="29" t="str">
        <f>IF(ISBLANK(FT_RF_26[[#This Row],[N° de Pallet]]),"",FT_RF_26[[#This Row],[N° de Pallet]])</f>
        <v/>
      </c>
    </row>
    <row r="343" spans="2:72">
      <c r="B343" s="29">
        <f>+_xlfn.ISOWEEKNUM(FT_RF_26[[#This Row],[Fecha]])</f>
        <v>52</v>
      </c>
      <c r="E343" s="31"/>
      <c r="F343" s="12" t="str">
        <f>IFERROR(""&amp;_xlfn.XLOOKUP(FT_RF_26[[#This Row],[Código]],BD_Cod[SKU],BD_Cod[Descripción]),"")</f>
        <v/>
      </c>
      <c r="G343" s="32" t="str">
        <f>IFERROR(""&amp;_xlfn.XLOOKUP(FT_RF_26[[#This Row],[Código]],BD_Cod[SKU],BD_Cod[Familia Calidad]),"")</f>
        <v/>
      </c>
      <c r="J343" s="33">
        <v>1000</v>
      </c>
      <c r="L343" s="30" t="s">
        <v>244</v>
      </c>
      <c r="O343" s="30" t="s">
        <v>894</v>
      </c>
      <c r="P343" s="29" t="s">
        <v>894</v>
      </c>
      <c r="Q343" s="46">
        <f>1-FT_RF_26[[#This Row],[% Defectos]]</f>
        <v>1</v>
      </c>
      <c r="R343" s="38">
        <v>0</v>
      </c>
      <c r="S343" s="39">
        <f>+IFERROR((FT_RF_26[[#This Row],[Inmadura]]/FT_RF_26[[#This Row],[Muestra]]),"0")</f>
        <v>0</v>
      </c>
      <c r="T343" s="38">
        <v>0</v>
      </c>
      <c r="U343" s="39">
        <f>+IFERROR((FT_RF_26[[#This Row],[Partidas]]/FT_RF_26[[#This Row],[Muestra]]),"0")</f>
        <v>0</v>
      </c>
      <c r="V343" s="38">
        <v>0</v>
      </c>
      <c r="W343" s="39">
        <f>+IFERROR((FT_RF_26[[#This Row],[Daño Insecto]]/FT_RF_26[[#This Row],[Muestra]]),"0")</f>
        <v>0</v>
      </c>
      <c r="X343" s="38">
        <v>0</v>
      </c>
      <c r="Y343" s="39">
        <f>+IFERROR((FT_RF_26[[#This Row],[Sobremadura]]/FT_RF_26[[#This Row],[Muestra]]),"0")</f>
        <v>0</v>
      </c>
      <c r="Z343" s="38">
        <v>0</v>
      </c>
      <c r="AA343" s="39">
        <f>+IFERROR((FT_RF_26[[#This Row],[Deforme]]/FT_RF_26[[#This Row],[Muestra]]),"0")</f>
        <v>0</v>
      </c>
      <c r="AB343" s="27"/>
      <c r="AC343" s="38">
        <v>0</v>
      </c>
      <c r="AD343" s="39">
        <f>+IFERROR((FT_RF_26[[#This Row],[Valor Extra 1]]/FT_RF_26[[#This Row],[Muestra]]),"0")</f>
        <v>0</v>
      </c>
      <c r="AF343" s="38">
        <v>0</v>
      </c>
      <c r="AG343" s="47">
        <f>+IFERROR((FT_RF_26[[#This Row],[Valor Extra 2]]/FT_RF_26[[#This Row],[Muestra]]),"0")</f>
        <v>0</v>
      </c>
      <c r="AH343" s="40">
        <v>0</v>
      </c>
      <c r="AI343" s="47">
        <f>+IFERROR((FT_RF_26[[#This Row],[Hongos]]/FT_RF_26[[#This Row],[Muestra]]),"0")</f>
        <v>0</v>
      </c>
      <c r="AJ343" s="38">
        <v>0</v>
      </c>
      <c r="AK343" s="47">
        <f>+IFERROR((FT_RF_26[[#This Row],[Block]]/FT_RF_26[[#This Row],[Muestra]]),"0")</f>
        <v>0</v>
      </c>
      <c r="AL343" s="41">
        <v>0</v>
      </c>
      <c r="AM343" s="42">
        <v>0</v>
      </c>
      <c r="AN343" s="38">
        <v>0</v>
      </c>
      <c r="AO343" s="47">
        <f>+IFERROR((FT_RF_26[[#This Row],[Fuera de calibre &lt;12mm]]/FT_RF_26[[#This Row],[Muestra]]),"0")</f>
        <v>0</v>
      </c>
      <c r="AP343" s="38">
        <v>0</v>
      </c>
      <c r="AQ343" s="39">
        <f>+IFERROR((FT_RF_26[[#This Row],[Calibre &lt;25]]/FT_RF_26[[#This Row],[Muestra]]),"0")</f>
        <v>0</v>
      </c>
      <c r="AR343" s="38">
        <v>0</v>
      </c>
      <c r="AS343" s="39">
        <f>+IFERROR((FT_RF_26[[#This Row],[Calibre &gt;12]]/FT_RF_26[[#This Row],[Muestra]]),"0")</f>
        <v>0</v>
      </c>
      <c r="AT343" s="38">
        <v>0</v>
      </c>
      <c r="AU343" s="39">
        <f>+IFERROR((FT_RF_26[[#This Row],[Calibre &lt;14]]/FT_RF_26[[#This Row],[Muestra]]),"0")</f>
        <v>0</v>
      </c>
      <c r="AV343" s="38">
        <v>0</v>
      </c>
      <c r="AW343" s="39">
        <f>+IFERROR((FT_RF_26[[#This Row],[Calibre &gt;14]]/FT_RF_26[[#This Row],[Muestra]]),"0")</f>
        <v>0</v>
      </c>
      <c r="AX343" s="38">
        <v>0</v>
      </c>
      <c r="AY343" s="39">
        <f>+IFERROR((FT_RF_26[[#This Row],[Calibre &lt;10]]/FT_RF_26[[#This Row],[Muestra]]),"0")</f>
        <v>0</v>
      </c>
      <c r="AZ343" s="38">
        <v>0</v>
      </c>
      <c r="BA343" s="47">
        <f>+IFERROR((FT_RF_26[[#This Row],[Calibre &gt;13]]/FT_RF_26[[#This Row],[Muestra]]),"0")</f>
        <v>0</v>
      </c>
      <c r="BB343" s="41"/>
      <c r="BG343" s="42"/>
      <c r="BH343" s="43">
        <v>0</v>
      </c>
      <c r="BI343" s="29" t="s">
        <v>894</v>
      </c>
      <c r="BJ343" s="29" t="s">
        <v>894</v>
      </c>
      <c r="BK343" s="48">
        <f>SUM(FT_RF_26[[#This Row],[Inmadura]],FT_RF_26[[#This Row],[Partidas]],FT_RF_26[[#This Row],[Daño Insecto]],FT_RF_26[[#This Row],[Sobremadura]],FT_RF_26[[#This Row],[Deforme]],FT_RF_26[[#This Row],[Valor Extra 1]],FT_RF_26[[#This Row],[Valor Extra 2]],FT_RF_26[[#This Row],[Hongos]],FT_RF_26[[#This Row],[Block]])</f>
        <v>0</v>
      </c>
      <c r="BL343" s="47">
        <f>SUM(FT_RF_26[[#This Row],[% Inmadura (4%)]],FT_RF_26[[#This Row],[% Partidas]],FT_RF_26[[#This Row],[% Daño Insecto]],FT_RF_26[[#This Row],[% Sobremadura]],FT_RF_26[[#This Row],[% Deforme]],FT_RF_26[[#This Row],[% Extra 1]],FT_RF_26[[#This Row],[% Extra 2]],FT_RF_26[[#This Row],[% Hongos]],FT_RF_26[[#This Row],[% Block]])</f>
        <v>0</v>
      </c>
      <c r="BN343" s="49">
        <f>1-FT_RF_26[[#This Row],[% Defectos]]</f>
        <v>1</v>
      </c>
      <c r="BO343" s="60"/>
      <c r="BP343" s="12">
        <f>SUM(FT_RF_26[[#This Row],[Hoja (Un.)]:[Larvas Caja]])</f>
        <v>0</v>
      </c>
      <c r="BQ343" s="12">
        <f>SUM(FT_RF_26[[#This Row],[Vidrios]:[Plástico]])</f>
        <v>0</v>
      </c>
      <c r="BR343" s="12" t="str">
        <f>IF(ISBLANK(FT_RF_26[[#This Row],[Descripción del producto]]),"",FT_RF_26[[#This Row],[Descripción del producto]])</f>
        <v/>
      </c>
      <c r="BS343" s="29" t="str">
        <f>IF(ISBLANK(FT_RF_26[[#This Row],[N° de Lote]]),"",FT_RF_26[[#This Row],[N° de Lote]])</f>
        <v/>
      </c>
      <c r="BT343" s="29" t="str">
        <f>IF(ISBLANK(FT_RF_26[[#This Row],[N° de Pallet]]),"",FT_RF_26[[#This Row],[N° de Pallet]])</f>
        <v/>
      </c>
    </row>
  </sheetData>
  <phoneticPr fontId="5" type="noConversion"/>
  <conditionalFormatting sqref="O1:P1 O3:P1048576">
    <cfRule type="containsText" dxfId="149" priority="1" operator="containsText" text="N/C">
      <formula>NOT(ISERROR(SEARCH("N/C",O1)))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6638-E53D-40A0-BC78-C13734AEE7A5}">
  <dimension ref="A9:P28"/>
  <sheetViews>
    <sheetView workbookViewId="0">
      <selection activeCell="C24" sqref="C24"/>
    </sheetView>
  </sheetViews>
  <sheetFormatPr defaultColWidth="11.42578125" defaultRowHeight="14.45"/>
  <cols>
    <col min="1" max="1" width="18.7109375" bestFit="1" customWidth="1"/>
    <col min="2" max="2" width="36.42578125" bestFit="1" customWidth="1"/>
    <col min="3" max="3" width="13.28515625" bestFit="1" customWidth="1"/>
    <col min="4" max="4" width="14.5703125" bestFit="1" customWidth="1"/>
    <col min="5" max="5" width="20.5703125" bestFit="1" customWidth="1"/>
    <col min="6" max="6" width="28.28515625" bestFit="1" customWidth="1"/>
    <col min="7" max="7" width="22.5703125" bestFit="1" customWidth="1"/>
    <col min="8" max="8" width="26.85546875" bestFit="1" customWidth="1"/>
    <col min="9" max="9" width="27.28515625" bestFit="1" customWidth="1"/>
    <col min="10" max="10" width="22.85546875" bestFit="1" customWidth="1"/>
    <col min="11" max="11" width="21.85546875" bestFit="1" customWidth="1"/>
    <col min="12" max="12" width="20" bestFit="1" customWidth="1"/>
    <col min="13" max="13" width="23.42578125" bestFit="1" customWidth="1"/>
    <col min="14" max="14" width="24.85546875" bestFit="1" customWidth="1"/>
    <col min="15" max="15" width="27" bestFit="1" customWidth="1"/>
    <col min="16" max="16" width="25.7109375" bestFit="1" customWidth="1"/>
  </cols>
  <sheetData>
    <row r="9" spans="1:16">
      <c r="A9" s="55" t="s">
        <v>891</v>
      </c>
      <c r="B9" t="s">
        <v>902</v>
      </c>
    </row>
    <row r="10" spans="1:16">
      <c r="A10" s="55" t="s">
        <v>892</v>
      </c>
      <c r="B10" t="s">
        <v>902</v>
      </c>
    </row>
    <row r="11" spans="1:16">
      <c r="A11" s="55" t="s">
        <v>893</v>
      </c>
      <c r="B11" t="s">
        <v>902</v>
      </c>
    </row>
    <row r="13" spans="1:16">
      <c r="A13" s="55" t="s">
        <v>903</v>
      </c>
      <c r="B13" s="55" t="s">
        <v>829</v>
      </c>
      <c r="C13" s="55" t="s">
        <v>831</v>
      </c>
      <c r="D13" s="55" t="s">
        <v>830</v>
      </c>
      <c r="E13" t="s">
        <v>904</v>
      </c>
      <c r="F13" t="s">
        <v>905</v>
      </c>
      <c r="G13" t="s">
        <v>906</v>
      </c>
      <c r="H13" t="s">
        <v>907</v>
      </c>
      <c r="I13" t="s">
        <v>908</v>
      </c>
      <c r="J13" t="s">
        <v>909</v>
      </c>
      <c r="K13" t="s">
        <v>910</v>
      </c>
      <c r="L13" t="s">
        <v>911</v>
      </c>
      <c r="M13" t="s">
        <v>912</v>
      </c>
      <c r="N13" t="s">
        <v>913</v>
      </c>
      <c r="O13" t="s">
        <v>914</v>
      </c>
      <c r="P13" t="s">
        <v>915</v>
      </c>
    </row>
    <row r="14" spans="1:16">
      <c r="A14" s="56">
        <v>46024</v>
      </c>
      <c r="B14" s="57" t="s">
        <v>760</v>
      </c>
      <c r="C14" s="57">
        <v>5540</v>
      </c>
      <c r="D14" s="57">
        <v>13712</v>
      </c>
      <c r="E14" s="58">
        <v>0.82750000000000001</v>
      </c>
      <c r="F14" s="58">
        <v>3.0499999999999999E-2</v>
      </c>
      <c r="G14" s="58">
        <v>5.0000000000000001E-3</v>
      </c>
      <c r="H14" s="58">
        <v>4.4999999999999997E-3</v>
      </c>
      <c r="I14" s="58">
        <v>0</v>
      </c>
      <c r="J14" s="58">
        <v>0</v>
      </c>
      <c r="K14" s="58">
        <v>0</v>
      </c>
      <c r="L14" s="58">
        <v>0</v>
      </c>
      <c r="M14" s="59">
        <v>0</v>
      </c>
      <c r="N14" s="59">
        <v>0</v>
      </c>
      <c r="O14" s="61">
        <v>0</v>
      </c>
      <c r="P14" s="61">
        <v>0</v>
      </c>
    </row>
    <row r="15" spans="1:16">
      <c r="A15" s="56">
        <v>46024</v>
      </c>
      <c r="B15" s="57" t="s">
        <v>760</v>
      </c>
      <c r="C15" s="57">
        <v>5540</v>
      </c>
      <c r="D15" s="57">
        <v>13713</v>
      </c>
      <c r="E15" s="58">
        <v>0.90749999999999997</v>
      </c>
      <c r="F15" s="58">
        <v>7.4999999999999997E-3</v>
      </c>
      <c r="G15" s="58">
        <v>5.0000000000000001E-3</v>
      </c>
      <c r="H15" s="58">
        <v>6.4999999999999997E-3</v>
      </c>
      <c r="I15" s="58">
        <v>4.1500000000000002E-2</v>
      </c>
      <c r="J15" s="58">
        <v>0</v>
      </c>
      <c r="K15" s="58">
        <v>9.4999999999999998E-3</v>
      </c>
      <c r="L15" s="58">
        <v>0</v>
      </c>
      <c r="M15" s="59">
        <v>0</v>
      </c>
      <c r="N15" s="59">
        <v>0</v>
      </c>
      <c r="O15" s="61">
        <v>0</v>
      </c>
      <c r="P15" s="61">
        <v>0</v>
      </c>
    </row>
    <row r="16" spans="1:16">
      <c r="A16" s="56">
        <v>46024</v>
      </c>
      <c r="B16" s="57" t="s">
        <v>760</v>
      </c>
      <c r="C16" s="57">
        <v>5540</v>
      </c>
      <c r="D16" s="57">
        <v>13714</v>
      </c>
      <c r="E16" s="58">
        <v>0.81200000000000006</v>
      </c>
      <c r="F16" s="58">
        <v>1.8499999999999999E-2</v>
      </c>
      <c r="G16" s="58">
        <v>0</v>
      </c>
      <c r="H16" s="58">
        <v>3.5499999999999997E-2</v>
      </c>
      <c r="I16" s="58">
        <v>2.8999999999999998E-2</v>
      </c>
      <c r="J16" s="58">
        <v>0</v>
      </c>
      <c r="K16" s="58">
        <v>5.3499999999999999E-2</v>
      </c>
      <c r="L16" s="58">
        <v>0</v>
      </c>
      <c r="M16" s="59">
        <v>0</v>
      </c>
      <c r="N16" s="59">
        <v>0</v>
      </c>
      <c r="O16" s="61">
        <v>0</v>
      </c>
      <c r="P16" s="61">
        <v>0</v>
      </c>
    </row>
    <row r="17" spans="1:16">
      <c r="A17" s="56">
        <v>46024</v>
      </c>
      <c r="B17" s="57" t="s">
        <v>760</v>
      </c>
      <c r="C17" s="57">
        <v>5540</v>
      </c>
      <c r="D17" s="57">
        <v>13715</v>
      </c>
      <c r="E17" s="58">
        <v>0.85250000000000004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9">
        <v>0</v>
      </c>
      <c r="N17" s="59">
        <v>0</v>
      </c>
      <c r="O17" s="61">
        <v>0</v>
      </c>
      <c r="P17" s="61">
        <v>0</v>
      </c>
    </row>
    <row r="18" spans="1:16">
      <c r="A18" s="56">
        <v>46024</v>
      </c>
      <c r="B18" s="57" t="s">
        <v>760</v>
      </c>
      <c r="C18" s="57">
        <v>5546</v>
      </c>
      <c r="D18" s="57">
        <v>13771</v>
      </c>
      <c r="E18" s="58">
        <v>0.85199999999999998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2.1000000000000001E-2</v>
      </c>
      <c r="L18" s="58">
        <v>0</v>
      </c>
      <c r="M18" s="59">
        <v>0</v>
      </c>
      <c r="N18" s="59">
        <v>0</v>
      </c>
      <c r="O18" s="61">
        <v>0</v>
      </c>
      <c r="P18" s="61">
        <v>0</v>
      </c>
    </row>
    <row r="19" spans="1:16">
      <c r="A19" s="56">
        <v>46037</v>
      </c>
      <c r="B19" s="57" t="s">
        <v>749</v>
      </c>
      <c r="C19" s="57">
        <v>304895</v>
      </c>
      <c r="D19" s="57">
        <v>49391</v>
      </c>
      <c r="E19" s="58">
        <v>0.86299999999999999</v>
      </c>
      <c r="F19" s="58">
        <v>0</v>
      </c>
      <c r="G19" s="58">
        <v>0</v>
      </c>
      <c r="H19" s="58">
        <v>3.6999999999999998E-2</v>
      </c>
      <c r="I19" s="58">
        <v>4.2999999999999997E-2</v>
      </c>
      <c r="J19" s="58">
        <v>0</v>
      </c>
      <c r="K19" s="58">
        <v>5.7000000000000002E-2</v>
      </c>
      <c r="L19" s="58">
        <v>0</v>
      </c>
      <c r="M19" s="59">
        <v>0</v>
      </c>
      <c r="N19" s="59">
        <v>0</v>
      </c>
      <c r="O19" s="61">
        <v>0</v>
      </c>
      <c r="P19" s="61">
        <v>0</v>
      </c>
    </row>
    <row r="20" spans="1:16">
      <c r="A20" s="56">
        <v>46037</v>
      </c>
      <c r="B20" s="57" t="s">
        <v>749</v>
      </c>
      <c r="C20" s="57">
        <v>304895</v>
      </c>
      <c r="D20" s="57">
        <v>49392</v>
      </c>
      <c r="E20" s="58">
        <v>0.81400000000000006</v>
      </c>
      <c r="F20" s="58">
        <v>0</v>
      </c>
      <c r="G20" s="58">
        <v>0</v>
      </c>
      <c r="H20" s="58">
        <v>0</v>
      </c>
      <c r="I20" s="58">
        <v>9.0999999999999998E-2</v>
      </c>
      <c r="J20" s="58">
        <v>8.9999999999999993E-3</v>
      </c>
      <c r="K20" s="58">
        <v>8.5999999999999993E-2</v>
      </c>
      <c r="L20" s="58">
        <v>0</v>
      </c>
      <c r="M20" s="59">
        <v>0</v>
      </c>
      <c r="N20" s="59">
        <v>0</v>
      </c>
      <c r="O20" s="61">
        <v>0</v>
      </c>
      <c r="P20" s="61">
        <v>0</v>
      </c>
    </row>
    <row r="21" spans="1:16">
      <c r="A21" s="56">
        <v>46037</v>
      </c>
      <c r="B21" s="57" t="s">
        <v>749</v>
      </c>
      <c r="C21" s="57">
        <v>304895</v>
      </c>
      <c r="D21" s="57">
        <v>49393</v>
      </c>
      <c r="E21" s="58">
        <v>0.77800000000000002</v>
      </c>
      <c r="F21" s="58">
        <v>0</v>
      </c>
      <c r="G21" s="58">
        <v>0</v>
      </c>
      <c r="H21" s="58">
        <v>1.6E-2</v>
      </c>
      <c r="I21" s="58">
        <v>0.16400000000000001</v>
      </c>
      <c r="J21" s="58">
        <v>1.0999999999999999E-2</v>
      </c>
      <c r="K21" s="58">
        <v>3.1E-2</v>
      </c>
      <c r="L21" s="58">
        <v>0</v>
      </c>
      <c r="M21" s="59">
        <v>0</v>
      </c>
      <c r="N21" s="59">
        <v>0</v>
      </c>
      <c r="O21" s="61">
        <v>0</v>
      </c>
      <c r="P21" s="61">
        <v>0</v>
      </c>
    </row>
    <row r="22" spans="1:16">
      <c r="A22" s="56">
        <v>46037</v>
      </c>
      <c r="B22" s="57" t="s">
        <v>749</v>
      </c>
      <c r="C22" s="57">
        <v>304895</v>
      </c>
      <c r="D22" s="57">
        <v>49394</v>
      </c>
      <c r="E22" s="58">
        <v>0.76600000000000001</v>
      </c>
      <c r="F22" s="58">
        <v>0</v>
      </c>
      <c r="G22" s="58">
        <v>0</v>
      </c>
      <c r="H22" s="58">
        <v>0</v>
      </c>
      <c r="I22" s="58">
        <v>9.8000000000000004E-2</v>
      </c>
      <c r="J22" s="58">
        <v>0.01</v>
      </c>
      <c r="K22" s="58">
        <v>0.126</v>
      </c>
      <c r="L22" s="58">
        <v>0</v>
      </c>
      <c r="M22" s="59">
        <v>0</v>
      </c>
      <c r="N22" s="59">
        <v>0</v>
      </c>
      <c r="O22" s="61">
        <v>0</v>
      </c>
      <c r="P22" s="61">
        <v>0</v>
      </c>
    </row>
    <row r="23" spans="1:16">
      <c r="A23" s="56">
        <v>46037</v>
      </c>
      <c r="B23" s="57" t="s">
        <v>749</v>
      </c>
      <c r="C23" s="57">
        <v>304895</v>
      </c>
      <c r="D23" s="57">
        <v>49395</v>
      </c>
      <c r="E23" s="58">
        <v>0.65900000000000003</v>
      </c>
      <c r="F23" s="58">
        <v>0</v>
      </c>
      <c r="G23" s="58">
        <v>4.4999999999999998E-2</v>
      </c>
      <c r="H23" s="58">
        <v>9.9000000000000005E-2</v>
      </c>
      <c r="I23" s="58">
        <v>0.156</v>
      </c>
      <c r="J23" s="58">
        <v>0</v>
      </c>
      <c r="K23" s="58">
        <v>4.1000000000000002E-2</v>
      </c>
      <c r="L23" s="58">
        <v>0</v>
      </c>
      <c r="M23" s="59">
        <v>0</v>
      </c>
      <c r="N23" s="59">
        <v>0</v>
      </c>
      <c r="O23" s="61">
        <v>0</v>
      </c>
      <c r="P23" s="61">
        <v>0</v>
      </c>
    </row>
    <row r="24" spans="1:16">
      <c r="A24" s="56">
        <v>46037</v>
      </c>
      <c r="B24" s="57" t="s">
        <v>749</v>
      </c>
      <c r="C24" s="57">
        <v>304895</v>
      </c>
      <c r="D24" s="57">
        <v>49396</v>
      </c>
      <c r="E24" s="58">
        <v>0.82899999999999996</v>
      </c>
      <c r="F24" s="58">
        <v>0</v>
      </c>
      <c r="G24" s="58">
        <v>0</v>
      </c>
      <c r="H24" s="58">
        <v>0</v>
      </c>
      <c r="I24" s="58">
        <v>0.17100000000000001</v>
      </c>
      <c r="J24" s="58">
        <v>0</v>
      </c>
      <c r="K24" s="58">
        <v>0</v>
      </c>
      <c r="L24" s="58">
        <v>0</v>
      </c>
      <c r="M24" s="59">
        <v>0</v>
      </c>
      <c r="N24" s="59">
        <v>0</v>
      </c>
      <c r="O24" s="61">
        <v>0</v>
      </c>
      <c r="P24" s="61">
        <v>0</v>
      </c>
    </row>
    <row r="25" spans="1:16">
      <c r="A25" s="56">
        <v>46037</v>
      </c>
      <c r="B25" s="57" t="s">
        <v>749</v>
      </c>
      <c r="C25" s="57">
        <v>304895</v>
      </c>
      <c r="D25" s="57">
        <v>49397</v>
      </c>
      <c r="E25" s="58">
        <v>0.71199999999999997</v>
      </c>
      <c r="F25" s="58">
        <v>0</v>
      </c>
      <c r="G25" s="58">
        <v>0</v>
      </c>
      <c r="H25" s="58">
        <v>4.3999999999999997E-2</v>
      </c>
      <c r="I25" s="58">
        <v>0.16</v>
      </c>
      <c r="J25" s="58">
        <v>0</v>
      </c>
      <c r="K25" s="58">
        <v>8.4000000000000005E-2</v>
      </c>
      <c r="L25" s="58">
        <v>0</v>
      </c>
      <c r="M25" s="59">
        <v>0</v>
      </c>
      <c r="N25" s="59">
        <v>0</v>
      </c>
      <c r="O25" s="61">
        <v>0</v>
      </c>
      <c r="P25" s="61">
        <v>0</v>
      </c>
    </row>
    <row r="26" spans="1:16">
      <c r="A26" s="56">
        <v>46038</v>
      </c>
      <c r="B26" s="57" t="s">
        <v>716</v>
      </c>
      <c r="C26" s="57">
        <v>304896</v>
      </c>
      <c r="D26" s="57">
        <v>49403</v>
      </c>
      <c r="E26" s="58">
        <v>0.31499999999999995</v>
      </c>
      <c r="F26" s="58">
        <v>0</v>
      </c>
      <c r="G26" s="58">
        <v>0</v>
      </c>
      <c r="H26" s="58">
        <v>0.05</v>
      </c>
      <c r="I26" s="58">
        <v>0</v>
      </c>
      <c r="J26" s="58">
        <v>0.41499999999999998</v>
      </c>
      <c r="K26" s="58">
        <v>0.02</v>
      </c>
      <c r="L26" s="58">
        <v>0.2</v>
      </c>
      <c r="M26" s="59">
        <v>0</v>
      </c>
      <c r="N26" s="59">
        <v>0</v>
      </c>
      <c r="O26" s="61">
        <v>0</v>
      </c>
      <c r="P26" s="61">
        <v>0</v>
      </c>
    </row>
    <row r="27" spans="1:16">
      <c r="A27" s="56">
        <v>46038</v>
      </c>
      <c r="B27" s="57" t="s">
        <v>749</v>
      </c>
      <c r="C27" s="57">
        <v>304896</v>
      </c>
      <c r="D27" s="57">
        <v>49402</v>
      </c>
      <c r="E27" s="58">
        <v>0.46499999999999997</v>
      </c>
      <c r="F27" s="58">
        <v>0</v>
      </c>
      <c r="G27" s="58">
        <v>0</v>
      </c>
      <c r="H27" s="58">
        <v>0</v>
      </c>
      <c r="I27" s="58">
        <v>0</v>
      </c>
      <c r="J27" s="58">
        <v>0.18</v>
      </c>
      <c r="K27" s="58">
        <v>0.04</v>
      </c>
      <c r="L27" s="58">
        <v>0.315</v>
      </c>
      <c r="M27" s="59">
        <v>0</v>
      </c>
      <c r="N27" s="59">
        <v>0</v>
      </c>
      <c r="O27" s="61">
        <v>0</v>
      </c>
      <c r="P27" s="61">
        <v>0</v>
      </c>
    </row>
    <row r="28" spans="1:16">
      <c r="A28" s="57" t="s">
        <v>916</v>
      </c>
      <c r="E28" s="58">
        <v>0.76955555555555566</v>
      </c>
      <c r="F28" s="58">
        <v>6.2777777777777771E-3</v>
      </c>
      <c r="G28" s="58">
        <v>3.6111111111111114E-3</v>
      </c>
      <c r="H28" s="58">
        <v>1.8833333333333334E-2</v>
      </c>
      <c r="I28" s="58">
        <v>5.6888888888888892E-2</v>
      </c>
      <c r="J28" s="58">
        <v>3.4722222222222224E-2</v>
      </c>
      <c r="K28" s="58">
        <v>3.5111111111111114E-2</v>
      </c>
      <c r="L28" s="58">
        <v>2.8611111111111111E-2</v>
      </c>
      <c r="M28" s="59">
        <v>0</v>
      </c>
      <c r="N28" s="59">
        <v>0</v>
      </c>
      <c r="O28" s="61">
        <v>0</v>
      </c>
      <c r="P28" s="61">
        <v>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04B9-9F3A-42A6-B25F-651AEF246A8D}">
  <dimension ref="A1:BT325"/>
  <sheetViews>
    <sheetView tabSelected="1" topLeftCell="AX1" zoomScale="75" zoomScaleNormal="75" workbookViewId="0">
      <pane ySplit="2" topLeftCell="A3" activePane="bottomLeft" state="frozen"/>
      <selection pane="bottomLeft" activeCell="BG16" sqref="BG16"/>
    </sheetView>
  </sheetViews>
  <sheetFormatPr defaultColWidth="11.5703125" defaultRowHeight="15.6"/>
  <cols>
    <col min="1" max="1" width="13.42578125" style="12" bestFit="1" customWidth="1"/>
    <col min="2" max="2" width="13.28515625" style="29" bestFit="1" customWidth="1"/>
    <col min="3" max="3" width="10.5703125" style="30" bestFit="1" customWidth="1"/>
    <col min="4" max="4" width="9.140625" style="29" bestFit="1" customWidth="1"/>
    <col min="5" max="5" width="13.28515625" style="12" bestFit="1" customWidth="1"/>
    <col min="6" max="6" width="43.85546875" style="12" bestFit="1" customWidth="1"/>
    <col min="7" max="7" width="20.5703125" style="50" bestFit="1" customWidth="1"/>
    <col min="8" max="8" width="16.7109375" style="12" bestFit="1" customWidth="1"/>
    <col min="9" max="9" width="15.42578125" style="12" bestFit="1" customWidth="1"/>
    <col min="10" max="10" width="13.28515625" style="33" bestFit="1" customWidth="1"/>
    <col min="11" max="11" width="24.5703125" style="29" bestFit="1" customWidth="1"/>
    <col min="12" max="12" width="16.28515625" style="30" bestFit="1" customWidth="1"/>
    <col min="13" max="13" width="15" style="35" bestFit="1" customWidth="1"/>
    <col min="14" max="14" width="19.42578125" style="36" bestFit="1" customWidth="1"/>
    <col min="15" max="15" width="19" style="30" bestFit="1" customWidth="1"/>
    <col min="16" max="16" width="17.7109375" style="29" bestFit="1" customWidth="1"/>
    <col min="17" max="17" width="13.42578125" style="51" bestFit="1" customWidth="1"/>
    <col min="18" max="18" width="14.5703125" style="38" bestFit="1" customWidth="1"/>
    <col min="19" max="19" width="16.85546875" style="52" bestFit="1" customWidth="1"/>
    <col min="20" max="20" width="13.42578125" style="38" bestFit="1" customWidth="1"/>
    <col min="21" max="21" width="15.7109375" style="52" bestFit="1" customWidth="1"/>
    <col min="22" max="22" width="18.42578125" style="38" bestFit="1" customWidth="1"/>
    <col min="23" max="23" width="21" style="53" bestFit="1" customWidth="1"/>
    <col min="24" max="24" width="19.140625" style="38" bestFit="1" customWidth="1"/>
    <col min="25" max="25" width="21.7109375" style="53" bestFit="1" customWidth="1"/>
    <col min="26" max="26" width="13.7109375" style="38" bestFit="1" customWidth="1"/>
    <col min="27" max="27" width="16" style="53" bestFit="1" customWidth="1"/>
    <col min="28" max="28" width="25.7109375" style="29" bestFit="1" customWidth="1"/>
    <col min="29" max="29" width="18.28515625" style="38" bestFit="1" customWidth="1"/>
    <col min="30" max="30" width="14.28515625" style="53" bestFit="1" customWidth="1"/>
    <col min="31" max="31" width="25.7109375" style="27" bestFit="1" customWidth="1"/>
    <col min="32" max="32" width="18.28515625" style="38" bestFit="1" customWidth="1"/>
    <col min="33" max="33" width="14.28515625" style="30" bestFit="1" customWidth="1"/>
    <col min="34" max="34" width="12.5703125" style="40" bestFit="1" customWidth="1"/>
    <col min="35" max="35" width="15.140625" style="29" bestFit="1" customWidth="1"/>
    <col min="36" max="36" width="10.42578125" style="38" bestFit="1" customWidth="1"/>
    <col min="37" max="37" width="12.7109375" style="29" bestFit="1" customWidth="1"/>
    <col min="38" max="38" width="16.28515625" style="38" bestFit="1" customWidth="1"/>
    <col min="39" max="39" width="18.5703125" style="38" bestFit="1" customWidth="1"/>
    <col min="40" max="40" width="30.85546875" style="38" bestFit="1" customWidth="1"/>
    <col min="41" max="41" width="28.140625" style="29" bestFit="1" customWidth="1"/>
    <col min="42" max="42" width="16.5703125" style="38" bestFit="1" customWidth="1"/>
    <col min="43" max="43" width="10.5703125" style="29" bestFit="1" customWidth="1"/>
    <col min="44" max="44" width="16.5703125" style="38" bestFit="1" customWidth="1"/>
    <col min="45" max="45" width="10.5703125" style="29" bestFit="1" customWidth="1"/>
    <col min="46" max="46" width="16.5703125" style="38" bestFit="1" customWidth="1"/>
    <col min="47" max="47" width="11.140625" style="29" bestFit="1" customWidth="1"/>
    <col min="48" max="48" width="16.5703125" style="38" bestFit="1" customWidth="1"/>
    <col min="49" max="49" width="10.5703125" style="29" bestFit="1" customWidth="1"/>
    <col min="50" max="50" width="16.5703125" style="38" bestFit="1" customWidth="1"/>
    <col min="51" max="51" width="10.5703125" style="29" bestFit="1" customWidth="1"/>
    <col min="52" max="52" width="16.5703125" style="38" bestFit="1" customWidth="1"/>
    <col min="53" max="53" width="10.5703125" style="29" bestFit="1" customWidth="1"/>
    <col min="54" max="54" width="14.5703125" style="38" bestFit="1" customWidth="1"/>
    <col min="55" max="55" width="19" style="38" bestFit="1" customWidth="1"/>
    <col min="56" max="56" width="17.140625" style="38" bestFit="1" customWidth="1"/>
    <col min="57" max="57" width="12" style="38" bestFit="1" customWidth="1"/>
    <col min="58" max="58" width="12.5703125" style="38" bestFit="1" customWidth="1"/>
    <col min="59" max="59" width="13.140625" style="38" bestFit="1" customWidth="1"/>
    <col min="60" max="60" width="9.7109375" style="54" bestFit="1" customWidth="1"/>
    <col min="61" max="61" width="10.85546875" style="29" bestFit="1" customWidth="1"/>
    <col min="62" max="62" width="8.85546875" style="29" bestFit="1" customWidth="1"/>
    <col min="63" max="63" width="22.85546875" style="29" bestFit="1" customWidth="1"/>
    <col min="64" max="64" width="16.28515625" style="53" bestFit="1" customWidth="1"/>
    <col min="65" max="65" width="20.7109375" style="27" bestFit="1" customWidth="1"/>
    <col min="66" max="66" width="14.7109375" style="29" bestFit="1" customWidth="1"/>
    <col min="67" max="67" width="28.7109375" style="27" bestFit="1" customWidth="1"/>
    <col min="68" max="68" width="20.85546875" style="12" bestFit="1" customWidth="1"/>
    <col min="69" max="69" width="19.5703125" style="12" bestFit="1" customWidth="1"/>
    <col min="70" max="70" width="43.85546875" style="12" bestFit="1" customWidth="1"/>
    <col min="71" max="71" width="15" style="29" bestFit="1" customWidth="1"/>
    <col min="72" max="72" width="16.28515625" style="29" bestFit="1" customWidth="1"/>
    <col min="73" max="16384" width="11.5703125" style="29"/>
  </cols>
  <sheetData>
    <row r="1" spans="1:72" s="12" customFormat="1">
      <c r="A1" s="1"/>
      <c r="B1" s="1"/>
      <c r="C1" s="2"/>
      <c r="D1" s="1"/>
      <c r="E1" s="1"/>
      <c r="F1" s="1"/>
      <c r="G1" s="2"/>
      <c r="H1" s="1"/>
      <c r="I1" s="1"/>
      <c r="J1" s="3"/>
      <c r="K1" s="1"/>
      <c r="L1" s="2"/>
      <c r="M1" s="4"/>
      <c r="N1" s="5"/>
      <c r="O1" s="2"/>
      <c r="P1" s="1"/>
      <c r="Q1" s="6"/>
      <c r="R1" s="7"/>
      <c r="S1" s="8">
        <v>0.04</v>
      </c>
      <c r="T1" s="7"/>
      <c r="U1" s="8">
        <v>7.0000000000000007E-2</v>
      </c>
      <c r="V1" s="7"/>
      <c r="W1" s="6">
        <v>0.04</v>
      </c>
      <c r="X1" s="7"/>
      <c r="Y1" s="6">
        <v>0.04</v>
      </c>
      <c r="Z1" s="7"/>
      <c r="AA1" s="6">
        <v>0.02</v>
      </c>
      <c r="AB1" s="1"/>
      <c r="AC1" s="7"/>
      <c r="AD1" s="6"/>
      <c r="AE1" s="9"/>
      <c r="AF1" s="7"/>
      <c r="AG1" s="2"/>
      <c r="AH1" s="10"/>
      <c r="AI1" s="1">
        <v>0</v>
      </c>
      <c r="AJ1" s="7"/>
      <c r="AK1" s="1">
        <v>3</v>
      </c>
      <c r="AL1" s="7">
        <v>2</v>
      </c>
      <c r="AM1" s="7"/>
      <c r="AN1" s="7"/>
      <c r="AO1" s="1"/>
      <c r="AP1" s="7"/>
      <c r="AQ1" s="1"/>
      <c r="AR1" s="7"/>
      <c r="AS1" s="1"/>
      <c r="AT1" s="7"/>
      <c r="AU1" s="1"/>
      <c r="AV1" s="7"/>
      <c r="AW1" s="1"/>
      <c r="AX1" s="7"/>
      <c r="AY1" s="1"/>
      <c r="AZ1" s="7"/>
      <c r="BA1" s="1"/>
      <c r="BB1" s="7">
        <v>2</v>
      </c>
      <c r="BC1" s="7">
        <v>2</v>
      </c>
      <c r="BD1" s="1">
        <v>0</v>
      </c>
      <c r="BE1" s="1">
        <v>0</v>
      </c>
      <c r="BF1" s="1">
        <v>0</v>
      </c>
      <c r="BG1" s="1">
        <v>0</v>
      </c>
      <c r="BH1" s="11" t="s">
        <v>823</v>
      </c>
      <c r="BI1" s="1"/>
      <c r="BJ1" s="1"/>
      <c r="BK1" s="1"/>
      <c r="BL1" s="6"/>
      <c r="BM1" s="9"/>
      <c r="BN1" s="1"/>
      <c r="BO1" s="9"/>
      <c r="BP1" s="1"/>
      <c r="BQ1" s="1"/>
      <c r="BR1" s="1"/>
      <c r="BS1" s="1"/>
      <c r="BT1" s="1"/>
    </row>
    <row r="2" spans="1:72" s="27" customFormat="1">
      <c r="A2" s="13" t="s">
        <v>824</v>
      </c>
      <c r="B2" s="14" t="s">
        <v>825</v>
      </c>
      <c r="C2" s="15" t="s">
        <v>826</v>
      </c>
      <c r="D2" s="14" t="s">
        <v>827</v>
      </c>
      <c r="E2" s="13" t="s">
        <v>828</v>
      </c>
      <c r="F2" s="13" t="s">
        <v>829</v>
      </c>
      <c r="G2" s="16" t="s">
        <v>7</v>
      </c>
      <c r="H2" s="13" t="s">
        <v>830</v>
      </c>
      <c r="I2" s="13" t="s">
        <v>831</v>
      </c>
      <c r="J2" s="17" t="s">
        <v>832</v>
      </c>
      <c r="K2" s="14" t="s">
        <v>833</v>
      </c>
      <c r="L2" s="15" t="s">
        <v>834</v>
      </c>
      <c r="M2" s="18" t="s">
        <v>835</v>
      </c>
      <c r="N2" s="19" t="s">
        <v>836</v>
      </c>
      <c r="O2" s="15" t="s">
        <v>837</v>
      </c>
      <c r="P2" s="14" t="s">
        <v>838</v>
      </c>
      <c r="Q2" s="20" t="s">
        <v>839</v>
      </c>
      <c r="R2" s="21" t="s">
        <v>840</v>
      </c>
      <c r="S2" s="22" t="s">
        <v>841</v>
      </c>
      <c r="T2" s="21" t="s">
        <v>842</v>
      </c>
      <c r="U2" s="22" t="s">
        <v>843</v>
      </c>
      <c r="V2" s="21" t="s">
        <v>844</v>
      </c>
      <c r="W2" s="23" t="s">
        <v>845</v>
      </c>
      <c r="X2" s="21" t="s">
        <v>846</v>
      </c>
      <c r="Y2" s="23" t="s">
        <v>847</v>
      </c>
      <c r="Z2" s="21" t="s">
        <v>848</v>
      </c>
      <c r="AA2" s="23" t="s">
        <v>849</v>
      </c>
      <c r="AB2" s="14" t="s">
        <v>850</v>
      </c>
      <c r="AC2" s="21" t="s">
        <v>851</v>
      </c>
      <c r="AD2" s="23" t="s">
        <v>852</v>
      </c>
      <c r="AE2" s="14" t="s">
        <v>853</v>
      </c>
      <c r="AF2" s="21" t="s">
        <v>854</v>
      </c>
      <c r="AG2" s="14" t="s">
        <v>855</v>
      </c>
      <c r="AH2" s="24" t="s">
        <v>856</v>
      </c>
      <c r="AI2" s="14" t="s">
        <v>857</v>
      </c>
      <c r="AJ2" s="21" t="s">
        <v>122</v>
      </c>
      <c r="AK2" s="14" t="s">
        <v>858</v>
      </c>
      <c r="AL2" s="25" t="s">
        <v>859</v>
      </c>
      <c r="AM2" s="25" t="s">
        <v>860</v>
      </c>
      <c r="AN2" s="21" t="s">
        <v>861</v>
      </c>
      <c r="AO2" s="14" t="s">
        <v>862</v>
      </c>
      <c r="AP2" s="21" t="s">
        <v>863</v>
      </c>
      <c r="AQ2" s="14" t="s">
        <v>864</v>
      </c>
      <c r="AR2" s="21" t="s">
        <v>865</v>
      </c>
      <c r="AS2" s="14" t="s">
        <v>866</v>
      </c>
      <c r="AT2" s="21" t="s">
        <v>867</v>
      </c>
      <c r="AU2" s="14" t="s">
        <v>868</v>
      </c>
      <c r="AV2" s="21" t="s">
        <v>869</v>
      </c>
      <c r="AW2" s="14" t="s">
        <v>870</v>
      </c>
      <c r="AX2" s="21" t="s">
        <v>871</v>
      </c>
      <c r="AY2" s="14" t="s">
        <v>872</v>
      </c>
      <c r="AZ2" s="21" t="s">
        <v>873</v>
      </c>
      <c r="BA2" s="14" t="s">
        <v>874</v>
      </c>
      <c r="BB2" s="25" t="s">
        <v>875</v>
      </c>
      <c r="BC2" s="25" t="s">
        <v>876</v>
      </c>
      <c r="BD2" s="25" t="s">
        <v>877</v>
      </c>
      <c r="BE2" s="25" t="s">
        <v>878</v>
      </c>
      <c r="BF2" s="25" t="s">
        <v>879</v>
      </c>
      <c r="BG2" s="25" t="s">
        <v>880</v>
      </c>
      <c r="BH2" s="26" t="s">
        <v>881</v>
      </c>
      <c r="BI2" s="14" t="s">
        <v>882</v>
      </c>
      <c r="BJ2" s="14" t="s">
        <v>883</v>
      </c>
      <c r="BK2" s="14" t="s">
        <v>884</v>
      </c>
      <c r="BL2" s="23" t="s">
        <v>885</v>
      </c>
      <c r="BM2" s="14" t="s">
        <v>886</v>
      </c>
      <c r="BN2" s="14" t="s">
        <v>887</v>
      </c>
      <c r="BO2" s="14" t="s">
        <v>888</v>
      </c>
      <c r="BP2" s="13" t="s">
        <v>889</v>
      </c>
      <c r="BQ2" s="13" t="s">
        <v>890</v>
      </c>
      <c r="BR2" s="13" t="s">
        <v>891</v>
      </c>
      <c r="BS2" s="14" t="s">
        <v>892</v>
      </c>
      <c r="BT2" s="14" t="s">
        <v>893</v>
      </c>
    </row>
    <row r="3" spans="1:72">
      <c r="A3" s="28">
        <v>46072</v>
      </c>
      <c r="B3" s="29">
        <f>+_xlfn.ISOWEEKNUM(FT_RF_264[[#This Row],[Fecha]])</f>
        <v>8</v>
      </c>
      <c r="C3" s="30">
        <v>2</v>
      </c>
      <c r="D3" s="29">
        <v>1</v>
      </c>
      <c r="E3" s="31">
        <v>403221000</v>
      </c>
      <c r="F3" s="12" t="str">
        <f>IFERROR(""&amp;_xlfn.XLOOKUP(FT_RF_264[[#This Row],[Código]],BD_Cod[SKU],BD_Cod[Descripción]),"")</f>
        <v>FT S/V Org. C/M IQF A 13,61 kg en Caja</v>
      </c>
      <c r="G3" s="32" t="str">
        <f>IFERROR(""&amp;_xlfn.XLOOKUP(FT_RF_264[[#This Row],[Código]],BD_Cod[SKU],BD_Cod[Familia Calidad]),"")</f>
        <v>PTT</v>
      </c>
      <c r="H3" s="12">
        <v>37923</v>
      </c>
      <c r="I3" s="12">
        <v>11727</v>
      </c>
      <c r="J3" s="33">
        <v>1000</v>
      </c>
      <c r="K3" s="34">
        <v>0.99513888888888891</v>
      </c>
      <c r="L3" s="30" t="s">
        <v>244</v>
      </c>
      <c r="M3" s="35">
        <v>14155</v>
      </c>
      <c r="N3" s="36">
        <v>-14.7</v>
      </c>
      <c r="O3" s="30" t="s">
        <v>894</v>
      </c>
      <c r="P3" s="29" t="s">
        <v>894</v>
      </c>
      <c r="Q3" s="37">
        <f>1-FT_RF_264[[#This Row],[% Defectos]]</f>
        <v>0.93900000000000006</v>
      </c>
      <c r="R3" s="38">
        <v>0</v>
      </c>
      <c r="S3" s="39">
        <f>+IFERROR((FT_RF_264[[#This Row],[Inmadura]]/FT_RF_264[[#This Row],[Muestra]]),"0")</f>
        <v>0</v>
      </c>
      <c r="T3" s="38">
        <v>0</v>
      </c>
      <c r="U3" s="39">
        <f>+IFERROR((FT_RF_264[[#This Row],[Partidas]]/FT_RF_264[[#This Row],[Muestra]]),"0")</f>
        <v>0</v>
      </c>
      <c r="V3" s="38">
        <v>40</v>
      </c>
      <c r="W3" s="39">
        <f>+IFERROR((FT_RF_264[[#This Row],[Daño Insecto]]/FT_RF_264[[#This Row],[Muestra]]),"0")</f>
        <v>0.04</v>
      </c>
      <c r="X3" s="38">
        <v>13</v>
      </c>
      <c r="Y3" s="39">
        <f>+IFERROR((FT_RF_264[[#This Row],[Sobremadura]]/FT_RF_264[[#This Row],[Muestra]]),"0")</f>
        <v>1.2999999999999999E-2</v>
      </c>
      <c r="Z3" s="38">
        <v>8</v>
      </c>
      <c r="AA3" s="39">
        <f>+IFERROR((FT_RF_264[[#This Row],[Deforme]]/FT_RF_264[[#This Row],[Muestra]]),"0")</f>
        <v>8.0000000000000002E-3</v>
      </c>
      <c r="AB3" s="27" t="s">
        <v>917</v>
      </c>
      <c r="AC3" s="38">
        <v>3</v>
      </c>
      <c r="AD3" s="39"/>
      <c r="AF3" s="38">
        <v>0</v>
      </c>
      <c r="AG3" s="39">
        <f>+IFERROR((FT_RF_264[[#This Row],[Valor Extra 2]]/FT_RF_264[[#This Row],[Muestra]]),"0")</f>
        <v>0</v>
      </c>
      <c r="AH3" s="40">
        <v>0</v>
      </c>
      <c r="AI3" s="39">
        <f>+IFERROR((FT_RF_264[[#This Row],[Hongos]]/FT_RF_264[[#This Row],[Muestra]]),"0")</f>
        <v>0</v>
      </c>
      <c r="AJ3" s="38">
        <v>0</v>
      </c>
      <c r="AK3" s="39">
        <f>+IFERROR((FT_RF_264[[#This Row],[Block]]/FT_RF_264[[#This Row],[Muestra]]),"0")</f>
        <v>0</v>
      </c>
      <c r="AL3" s="41">
        <v>0</v>
      </c>
      <c r="AM3" s="42">
        <v>0</v>
      </c>
      <c r="AN3" s="38">
        <v>0</v>
      </c>
      <c r="AO3" s="39">
        <f>+IFERROR((FT_RF_264[[#This Row],[Fuera de calibre &lt;12mm]]/FT_RF_264[[#This Row],[Muestra]]),"0")</f>
        <v>0</v>
      </c>
      <c r="AP3" s="38">
        <v>0</v>
      </c>
      <c r="AQ3" s="39">
        <f>+IFERROR((FT_RF_264[[#This Row],[Calibre &lt;25]]/FT_RF_264[[#This Row],[Muestra]]),"0")</f>
        <v>0</v>
      </c>
      <c r="AR3" s="38">
        <v>0</v>
      </c>
      <c r="AS3" s="39">
        <f>+IFERROR((FT_RF_264[[#This Row],[Calibre &gt;12]]/FT_RF_264[[#This Row],[Muestra]]),"0")</f>
        <v>0</v>
      </c>
      <c r="AT3" s="38">
        <v>0</v>
      </c>
      <c r="AU3" s="39">
        <f>+IFERROR((FT_RF_264[[#This Row],[Calibre &lt;14]]/FT_RF_264[[#This Row],[Muestra]]),"0")</f>
        <v>0</v>
      </c>
      <c r="AV3" s="38">
        <v>0</v>
      </c>
      <c r="AW3" s="39">
        <f>+IFERROR((FT_RF_264[[#This Row],[Calibre &gt;14]]/FT_RF_264[[#This Row],[Muestra]]),"0")</f>
        <v>0</v>
      </c>
      <c r="AX3" s="38">
        <v>0</v>
      </c>
      <c r="AY3" s="39">
        <f>+IFERROR((FT_RF_264[[#This Row],[Calibre &lt;10]]/FT_RF_264[[#This Row],[Muestra]]),"0")</f>
        <v>0</v>
      </c>
      <c r="AZ3" s="38">
        <v>0</v>
      </c>
      <c r="BA3" s="39">
        <f>+IFERROR((FT_RF_264[[#This Row],[Calibre &gt;13]]/FT_RF_264[[#This Row],[Muestra]]),"0")</f>
        <v>0</v>
      </c>
      <c r="BB3" s="41" t="s">
        <v>897</v>
      </c>
      <c r="BC3" s="38" t="s">
        <v>897</v>
      </c>
      <c r="BD3" s="38" t="s">
        <v>897</v>
      </c>
      <c r="BE3" s="38" t="s">
        <v>897</v>
      </c>
      <c r="BF3" s="38" t="s">
        <v>897</v>
      </c>
      <c r="BG3" s="42" t="s">
        <v>897</v>
      </c>
      <c r="BH3" s="43">
        <v>0</v>
      </c>
      <c r="BI3" s="29" t="s">
        <v>894</v>
      </c>
      <c r="BJ3" s="29" t="s">
        <v>894</v>
      </c>
      <c r="BK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64</v>
      </c>
      <c r="BL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6.0999999999999999E-2</v>
      </c>
      <c r="BM3" s="27" t="s">
        <v>899</v>
      </c>
      <c r="BN3" s="45">
        <f>1-FT_RF_264[[#This Row],[% Defectos]]</f>
        <v>0.93900000000000006</v>
      </c>
      <c r="BO3" s="60" t="s">
        <v>918</v>
      </c>
      <c r="BP3" s="12">
        <f>SUM(FT_RF_264[[#This Row],[Hoja (Un.)]:[Larvas Caja]])</f>
        <v>0</v>
      </c>
      <c r="BQ3" s="12">
        <f>SUM(FT_RF_264[[#This Row],[Vidrios]:[Plástico]])</f>
        <v>0</v>
      </c>
      <c r="BR3" s="12" t="str">
        <f>IF(ISBLANK(FT_RF_264[[#This Row],[Descripción del producto]]),"",FT_RF_264[[#This Row],[Descripción del producto]])</f>
        <v>FT S/V Org. C/M IQF A 13,61 kg en Caja</v>
      </c>
      <c r="BS3" s="29">
        <f>IF(ISBLANK(FT_RF_264[[#This Row],[N° de Lote]]),"",FT_RF_264[[#This Row],[N° de Lote]])</f>
        <v>11727</v>
      </c>
      <c r="BT3" s="29">
        <f>IF(ISBLANK(FT_RF_264[[#This Row],[N° de Pallet]]),"",FT_RF_264[[#This Row],[N° de Pallet]])</f>
        <v>37923</v>
      </c>
    </row>
    <row r="4" spans="1:72">
      <c r="B4" s="29">
        <f>+_xlfn.ISOWEEKNUM(FT_RF_264[[#This Row],[Fecha]])</f>
        <v>52</v>
      </c>
      <c r="E4" s="31"/>
      <c r="F4" s="12" t="str">
        <f>IFERROR(""&amp;_xlfn.XLOOKUP(FT_RF_264[[#This Row],[Código]],BD_Cod[SKU],BD_Cod[Descripción]),"")</f>
        <v/>
      </c>
      <c r="G4" s="32" t="str">
        <f>IFERROR(""&amp;_xlfn.XLOOKUP(FT_RF_264[[#This Row],[Código]],BD_Cod[SKU],BD_Cod[Familia Calidad]),"")</f>
        <v/>
      </c>
      <c r="J4" s="33">
        <v>1000</v>
      </c>
      <c r="L4" s="30" t="s">
        <v>244</v>
      </c>
      <c r="O4" s="30" t="s">
        <v>894</v>
      </c>
      <c r="P4" s="29" t="s">
        <v>894</v>
      </c>
      <c r="Q4" s="37">
        <f>1-FT_RF_264[[#This Row],[% Defectos]]</f>
        <v>1</v>
      </c>
      <c r="R4" s="38">
        <v>0</v>
      </c>
      <c r="S4" s="39">
        <f>+IFERROR((FT_RF_264[[#This Row],[Inmadura]]/FT_RF_264[[#This Row],[Muestra]]),"0")</f>
        <v>0</v>
      </c>
      <c r="T4" s="38">
        <v>0</v>
      </c>
      <c r="U4" s="39">
        <f>+IFERROR((FT_RF_264[[#This Row],[Partidas]]/FT_RF_264[[#This Row],[Muestra]]),"0")</f>
        <v>0</v>
      </c>
      <c r="V4" s="38">
        <v>0</v>
      </c>
      <c r="W4" s="39">
        <f>+IFERROR((FT_RF_264[[#This Row],[Daño Insecto]]/FT_RF_264[[#This Row],[Muestra]]),"0")</f>
        <v>0</v>
      </c>
      <c r="X4" s="38">
        <v>0</v>
      </c>
      <c r="Y4" s="39">
        <f>+IFERROR((FT_RF_264[[#This Row],[Sobremadura]]/FT_RF_264[[#This Row],[Muestra]]),"0")</f>
        <v>0</v>
      </c>
      <c r="Z4" s="38">
        <v>0</v>
      </c>
      <c r="AA4" s="39">
        <f>+IFERROR((FT_RF_264[[#This Row],[Deforme]]/FT_RF_264[[#This Row],[Muestra]]),"0")</f>
        <v>0</v>
      </c>
      <c r="AB4" s="27"/>
      <c r="AC4" s="38">
        <v>0</v>
      </c>
      <c r="AD4" s="39">
        <f>+IFERROR((FT_RF_264[[#This Row],[Valor Extra 1]]/FT_RF_264[[#This Row],[Muestra]]),"0")</f>
        <v>0</v>
      </c>
      <c r="AF4" s="38">
        <v>0</v>
      </c>
      <c r="AG4" s="39">
        <f>+IFERROR((FT_RF_264[[#This Row],[Valor Extra 2]]/FT_RF_264[[#This Row],[Muestra]]),"0")</f>
        <v>0</v>
      </c>
      <c r="AH4" s="40">
        <v>0</v>
      </c>
      <c r="AI4" s="39">
        <f>+IFERROR((FT_RF_264[[#This Row],[Hongos]]/FT_RF_264[[#This Row],[Muestra]]),"0")</f>
        <v>0</v>
      </c>
      <c r="AJ4" s="38">
        <v>0</v>
      </c>
      <c r="AK4" s="39">
        <f>+IFERROR((FT_RF_264[[#This Row],[Block]]/FT_RF_264[[#This Row],[Muestra]]),"0")</f>
        <v>0</v>
      </c>
      <c r="AL4" s="41">
        <v>0</v>
      </c>
      <c r="AM4" s="42">
        <v>0</v>
      </c>
      <c r="AN4" s="38">
        <v>0</v>
      </c>
      <c r="AO4" s="39">
        <f>+IFERROR((FT_RF_264[[#This Row],[Fuera de calibre &lt;12mm]]/FT_RF_264[[#This Row],[Muestra]]),"0")</f>
        <v>0</v>
      </c>
      <c r="AP4" s="38">
        <v>0</v>
      </c>
      <c r="AQ4" s="39">
        <f>+IFERROR((FT_RF_264[[#This Row],[Calibre &lt;25]]/FT_RF_264[[#This Row],[Muestra]]),"0")</f>
        <v>0</v>
      </c>
      <c r="AR4" s="38">
        <v>0</v>
      </c>
      <c r="AS4" s="39">
        <f>+IFERROR((FT_RF_264[[#This Row],[Calibre &gt;12]]/FT_RF_264[[#This Row],[Muestra]]),"0")</f>
        <v>0</v>
      </c>
      <c r="AT4" s="38">
        <v>0</v>
      </c>
      <c r="AU4" s="39">
        <f>+IFERROR((FT_RF_264[[#This Row],[Calibre &lt;14]]/FT_RF_264[[#This Row],[Muestra]]),"0")</f>
        <v>0</v>
      </c>
      <c r="AV4" s="38">
        <v>0</v>
      </c>
      <c r="AW4" s="39">
        <f>+IFERROR((FT_RF_264[[#This Row],[Calibre &gt;14]]/FT_RF_264[[#This Row],[Muestra]]),"0")</f>
        <v>0</v>
      </c>
      <c r="AX4" s="38">
        <v>0</v>
      </c>
      <c r="AY4" s="39">
        <f>+IFERROR((FT_RF_264[[#This Row],[Calibre &lt;10]]/FT_RF_264[[#This Row],[Muestra]]),"0")</f>
        <v>0</v>
      </c>
      <c r="AZ4" s="38">
        <v>0</v>
      </c>
      <c r="BA4" s="39">
        <f>+IFERROR((FT_RF_264[[#This Row],[Calibre &gt;13]]/FT_RF_264[[#This Row],[Muestra]]),"0")</f>
        <v>0</v>
      </c>
      <c r="BB4" s="41"/>
      <c r="BG4" s="42"/>
      <c r="BH4" s="43">
        <v>0</v>
      </c>
      <c r="BI4" s="29" t="s">
        <v>894</v>
      </c>
      <c r="BJ4" s="29" t="s">
        <v>894</v>
      </c>
      <c r="BK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4" s="45">
        <f>1-FT_RF_264[[#This Row],[% Defectos]]</f>
        <v>1</v>
      </c>
      <c r="BO4" s="60"/>
      <c r="BP4" s="12">
        <f>SUM(FT_RF_264[[#This Row],[Hoja (Un.)]:[Larvas Caja]])</f>
        <v>0</v>
      </c>
      <c r="BQ4" s="12">
        <f>SUM(FT_RF_264[[#This Row],[Vidrios]:[Plástico]])</f>
        <v>0</v>
      </c>
      <c r="BR4" s="12" t="str">
        <f>IF(ISBLANK(FT_RF_264[[#This Row],[Descripción del producto]]),"",FT_RF_264[[#This Row],[Descripción del producto]])</f>
        <v/>
      </c>
      <c r="BS4" s="29" t="str">
        <f>IF(ISBLANK(FT_RF_264[[#This Row],[N° de Lote]]),"",FT_RF_264[[#This Row],[N° de Lote]])</f>
        <v/>
      </c>
      <c r="BT4" s="29" t="str">
        <f>IF(ISBLANK(FT_RF_264[[#This Row],[N° de Pallet]]),"",FT_RF_264[[#This Row],[N° de Pallet]])</f>
        <v/>
      </c>
    </row>
    <row r="5" spans="1:72">
      <c r="B5" s="29">
        <f>+_xlfn.ISOWEEKNUM(FT_RF_264[[#This Row],[Fecha]])</f>
        <v>52</v>
      </c>
      <c r="E5" s="31"/>
      <c r="F5" s="12" t="str">
        <f>IFERROR(""&amp;_xlfn.XLOOKUP(FT_RF_264[[#This Row],[Código]],BD_Cod[SKU],BD_Cod[Descripción]),"")</f>
        <v/>
      </c>
      <c r="G5" s="32" t="str">
        <f>IFERROR(""&amp;_xlfn.XLOOKUP(FT_RF_264[[#This Row],[Código]],BD_Cod[SKU],BD_Cod[Familia Calidad]),"")</f>
        <v/>
      </c>
      <c r="J5" s="33">
        <v>1000</v>
      </c>
      <c r="L5" s="30" t="s">
        <v>244</v>
      </c>
      <c r="O5" s="30" t="s">
        <v>894</v>
      </c>
      <c r="P5" s="29" t="s">
        <v>894</v>
      </c>
      <c r="Q5" s="37">
        <f>1-FT_RF_264[[#This Row],[% Defectos]]</f>
        <v>1</v>
      </c>
      <c r="R5" s="38">
        <v>0</v>
      </c>
      <c r="S5" s="39">
        <f>+IFERROR((FT_RF_264[[#This Row],[Inmadura]]/FT_RF_264[[#This Row],[Muestra]]),"0")</f>
        <v>0</v>
      </c>
      <c r="T5" s="38">
        <v>0</v>
      </c>
      <c r="U5" s="39">
        <f>+IFERROR((FT_RF_264[[#This Row],[Partidas]]/FT_RF_264[[#This Row],[Muestra]]),"0")</f>
        <v>0</v>
      </c>
      <c r="V5" s="38">
        <v>0</v>
      </c>
      <c r="W5" s="39">
        <f>+IFERROR((FT_RF_264[[#This Row],[Daño Insecto]]/FT_RF_264[[#This Row],[Muestra]]),"0")</f>
        <v>0</v>
      </c>
      <c r="X5" s="38">
        <v>0</v>
      </c>
      <c r="Y5" s="39">
        <f>+IFERROR((FT_RF_264[[#This Row],[Sobremadura]]/FT_RF_264[[#This Row],[Muestra]]),"0")</f>
        <v>0</v>
      </c>
      <c r="Z5" s="38">
        <v>0</v>
      </c>
      <c r="AA5" s="39">
        <f>+IFERROR((FT_RF_264[[#This Row],[Deforme]]/FT_RF_264[[#This Row],[Muestra]]),"0")</f>
        <v>0</v>
      </c>
      <c r="AB5" s="27"/>
      <c r="AC5" s="38">
        <v>0</v>
      </c>
      <c r="AD5" s="39">
        <f>+IFERROR((FT_RF_264[[#This Row],[Valor Extra 1]]/FT_RF_264[[#This Row],[Muestra]]),"0")</f>
        <v>0</v>
      </c>
      <c r="AF5" s="38">
        <v>0</v>
      </c>
      <c r="AG5" s="39">
        <f>+IFERROR((FT_RF_264[[#This Row],[Valor Extra 2]]/FT_RF_264[[#This Row],[Muestra]]),"0")</f>
        <v>0</v>
      </c>
      <c r="AH5" s="40">
        <v>0</v>
      </c>
      <c r="AI5" s="39">
        <f>+IFERROR((FT_RF_264[[#This Row],[Hongos]]/FT_RF_264[[#This Row],[Muestra]]),"0")</f>
        <v>0</v>
      </c>
      <c r="AJ5" s="38">
        <v>0</v>
      </c>
      <c r="AK5" s="39">
        <f>+IFERROR((FT_RF_264[[#This Row],[Block]]/FT_RF_264[[#This Row],[Muestra]]),"0")</f>
        <v>0</v>
      </c>
      <c r="AL5" s="41">
        <v>0</v>
      </c>
      <c r="AM5" s="42">
        <v>0</v>
      </c>
      <c r="AN5" s="38">
        <v>0</v>
      </c>
      <c r="AO5" s="39">
        <f>+IFERROR((FT_RF_264[[#This Row],[Fuera de calibre &lt;12mm]]/FT_RF_264[[#This Row],[Muestra]]),"0")</f>
        <v>0</v>
      </c>
      <c r="AP5" s="38">
        <v>0</v>
      </c>
      <c r="AQ5" s="39">
        <f>+IFERROR((FT_RF_264[[#This Row],[Calibre &lt;25]]/FT_RF_264[[#This Row],[Muestra]]),"0")</f>
        <v>0</v>
      </c>
      <c r="AR5" s="38">
        <v>0</v>
      </c>
      <c r="AS5" s="39">
        <f>+IFERROR((FT_RF_264[[#This Row],[Calibre &gt;12]]/FT_RF_264[[#This Row],[Muestra]]),"0")</f>
        <v>0</v>
      </c>
      <c r="AT5" s="38">
        <v>0</v>
      </c>
      <c r="AU5" s="39">
        <f>+IFERROR((FT_RF_264[[#This Row],[Calibre &lt;14]]/FT_RF_264[[#This Row],[Muestra]]),"0")</f>
        <v>0</v>
      </c>
      <c r="AV5" s="38">
        <v>0</v>
      </c>
      <c r="AW5" s="39">
        <f>+IFERROR((FT_RF_264[[#This Row],[Calibre &gt;14]]/FT_RF_264[[#This Row],[Muestra]]),"0")</f>
        <v>0</v>
      </c>
      <c r="AX5" s="38">
        <v>0</v>
      </c>
      <c r="AY5" s="39">
        <f>+IFERROR((FT_RF_264[[#This Row],[Calibre &lt;10]]/FT_RF_264[[#This Row],[Muestra]]),"0")</f>
        <v>0</v>
      </c>
      <c r="AZ5" s="38">
        <v>0</v>
      </c>
      <c r="BA5" s="39">
        <f>+IFERROR((FT_RF_264[[#This Row],[Calibre &gt;13]]/FT_RF_264[[#This Row],[Muestra]]),"0")</f>
        <v>0</v>
      </c>
      <c r="BB5" s="41"/>
      <c r="BG5" s="42"/>
      <c r="BH5" s="43">
        <v>0</v>
      </c>
      <c r="BI5" s="29" t="s">
        <v>894</v>
      </c>
      <c r="BJ5" s="29" t="s">
        <v>894</v>
      </c>
      <c r="BK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5" s="45">
        <f>1-FT_RF_264[[#This Row],[% Defectos]]</f>
        <v>1</v>
      </c>
      <c r="BO5" s="60"/>
      <c r="BP5" s="12">
        <f>SUM(FT_RF_264[[#This Row],[Hoja (Un.)]:[Larvas Caja]])</f>
        <v>0</v>
      </c>
      <c r="BQ5" s="12">
        <f>SUM(FT_RF_264[[#This Row],[Vidrios]:[Plástico]])</f>
        <v>0</v>
      </c>
      <c r="BR5" s="12" t="str">
        <f>IF(ISBLANK(FT_RF_264[[#This Row],[Descripción del producto]]),"",FT_RF_264[[#This Row],[Descripción del producto]])</f>
        <v/>
      </c>
      <c r="BS5" s="29" t="str">
        <f>IF(ISBLANK(FT_RF_264[[#This Row],[N° de Lote]]),"",FT_RF_264[[#This Row],[N° de Lote]])</f>
        <v/>
      </c>
      <c r="BT5" s="29" t="str">
        <f>IF(ISBLANK(FT_RF_264[[#This Row],[N° de Pallet]]),"",FT_RF_264[[#This Row],[N° de Pallet]])</f>
        <v/>
      </c>
    </row>
    <row r="6" spans="1:72">
      <c r="B6" s="29">
        <f>+_xlfn.ISOWEEKNUM(FT_RF_264[[#This Row],[Fecha]])</f>
        <v>52</v>
      </c>
      <c r="E6" s="31"/>
      <c r="F6" s="12" t="str">
        <f>IFERROR(""&amp;_xlfn.XLOOKUP(FT_RF_264[[#This Row],[Código]],BD_Cod[SKU],BD_Cod[Descripción]),"")</f>
        <v/>
      </c>
      <c r="G6" s="32" t="str">
        <f>IFERROR(""&amp;_xlfn.XLOOKUP(FT_RF_264[[#This Row],[Código]],BD_Cod[SKU],BD_Cod[Familia Calidad]),"")</f>
        <v/>
      </c>
      <c r="J6" s="33">
        <v>1000</v>
      </c>
      <c r="L6" s="30" t="s">
        <v>244</v>
      </c>
      <c r="O6" s="30" t="s">
        <v>894</v>
      </c>
      <c r="P6" s="29" t="s">
        <v>894</v>
      </c>
      <c r="Q6" s="37">
        <f>1-FT_RF_264[[#This Row],[% Defectos]]</f>
        <v>1</v>
      </c>
      <c r="R6" s="38">
        <v>0</v>
      </c>
      <c r="S6" s="39">
        <f>+IFERROR((FT_RF_264[[#This Row],[Inmadura]]/FT_RF_264[[#This Row],[Muestra]]),"0")</f>
        <v>0</v>
      </c>
      <c r="T6" s="38">
        <v>0</v>
      </c>
      <c r="U6" s="39">
        <f>+IFERROR((FT_RF_264[[#This Row],[Partidas]]/FT_RF_264[[#This Row],[Muestra]]),"0")</f>
        <v>0</v>
      </c>
      <c r="V6" s="38">
        <v>0</v>
      </c>
      <c r="W6" s="39">
        <f>+IFERROR((FT_RF_264[[#This Row],[Daño Insecto]]/FT_RF_264[[#This Row],[Muestra]]),"0")</f>
        <v>0</v>
      </c>
      <c r="X6" s="38">
        <v>0</v>
      </c>
      <c r="Y6" s="39">
        <f>+IFERROR((FT_RF_264[[#This Row],[Sobremadura]]/FT_RF_264[[#This Row],[Muestra]]),"0")</f>
        <v>0</v>
      </c>
      <c r="Z6" s="38">
        <v>0</v>
      </c>
      <c r="AA6" s="39">
        <f>+IFERROR((FT_RF_264[[#This Row],[Deforme]]/FT_RF_264[[#This Row],[Muestra]]),"0")</f>
        <v>0</v>
      </c>
      <c r="AB6" s="27"/>
      <c r="AC6" s="38">
        <v>0</v>
      </c>
      <c r="AD6" s="39">
        <f>+IFERROR((FT_RF_264[[#This Row],[Valor Extra 1]]/FT_RF_264[[#This Row],[Muestra]]),"0")</f>
        <v>0</v>
      </c>
      <c r="AF6" s="38">
        <v>0</v>
      </c>
      <c r="AG6" s="39">
        <f>+IFERROR((FT_RF_264[[#This Row],[Valor Extra 2]]/FT_RF_264[[#This Row],[Muestra]]),"0")</f>
        <v>0</v>
      </c>
      <c r="AH6" s="40">
        <v>0</v>
      </c>
      <c r="AI6" s="39">
        <f>+IFERROR((FT_RF_264[[#This Row],[Hongos]]/FT_RF_264[[#This Row],[Muestra]]),"0")</f>
        <v>0</v>
      </c>
      <c r="AJ6" s="38">
        <v>0</v>
      </c>
      <c r="AK6" s="39">
        <f>+IFERROR((FT_RF_264[[#This Row],[Block]]/FT_RF_264[[#This Row],[Muestra]]),"0")</f>
        <v>0</v>
      </c>
      <c r="AL6" s="41">
        <v>0</v>
      </c>
      <c r="AM6" s="42">
        <v>0</v>
      </c>
      <c r="AN6" s="38">
        <v>0</v>
      </c>
      <c r="AO6" s="39">
        <f>+IFERROR((FT_RF_264[[#This Row],[Fuera de calibre &lt;12mm]]/FT_RF_264[[#This Row],[Muestra]]),"0")</f>
        <v>0</v>
      </c>
      <c r="AP6" s="38">
        <v>0</v>
      </c>
      <c r="AQ6" s="39">
        <f>+IFERROR((FT_RF_264[[#This Row],[Calibre &lt;25]]/FT_RF_264[[#This Row],[Muestra]]),"0")</f>
        <v>0</v>
      </c>
      <c r="AR6" s="38">
        <v>0</v>
      </c>
      <c r="AS6" s="39">
        <f>+IFERROR((FT_RF_264[[#This Row],[Calibre &gt;12]]/FT_RF_264[[#This Row],[Muestra]]),"0")</f>
        <v>0</v>
      </c>
      <c r="AT6" s="38">
        <v>0</v>
      </c>
      <c r="AU6" s="39">
        <f>+IFERROR((FT_RF_264[[#This Row],[Calibre &lt;14]]/FT_RF_264[[#This Row],[Muestra]]),"0")</f>
        <v>0</v>
      </c>
      <c r="AV6" s="38">
        <v>0</v>
      </c>
      <c r="AW6" s="39">
        <f>+IFERROR((FT_RF_264[[#This Row],[Calibre &gt;14]]/FT_RF_264[[#This Row],[Muestra]]),"0")</f>
        <v>0</v>
      </c>
      <c r="AX6" s="38">
        <v>0</v>
      </c>
      <c r="AY6" s="39">
        <f>+IFERROR((FT_RF_264[[#This Row],[Calibre &lt;10]]/FT_RF_264[[#This Row],[Muestra]]),"0")</f>
        <v>0</v>
      </c>
      <c r="AZ6" s="38">
        <v>0</v>
      </c>
      <c r="BA6" s="39">
        <f>+IFERROR((FT_RF_264[[#This Row],[Calibre &gt;13]]/FT_RF_264[[#This Row],[Muestra]]),"0")</f>
        <v>0</v>
      </c>
      <c r="BB6" s="41"/>
      <c r="BG6" s="42"/>
      <c r="BH6" s="43">
        <v>0</v>
      </c>
      <c r="BI6" s="29" t="s">
        <v>894</v>
      </c>
      <c r="BJ6" s="29" t="s">
        <v>894</v>
      </c>
      <c r="BK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6" s="45">
        <f>1-FT_RF_264[[#This Row],[% Defectos]]</f>
        <v>1</v>
      </c>
      <c r="BO6" s="60"/>
      <c r="BP6" s="12">
        <f>SUM(FT_RF_264[[#This Row],[Hoja (Un.)]:[Larvas Caja]])</f>
        <v>0</v>
      </c>
      <c r="BQ6" s="12">
        <f>SUM(FT_RF_264[[#This Row],[Vidrios]:[Plástico]])</f>
        <v>0</v>
      </c>
      <c r="BR6" s="12" t="str">
        <f>IF(ISBLANK(FT_RF_264[[#This Row],[Descripción del producto]]),"",FT_RF_264[[#This Row],[Descripción del producto]])</f>
        <v/>
      </c>
      <c r="BS6" s="29" t="str">
        <f>IF(ISBLANK(FT_RF_264[[#This Row],[N° de Lote]]),"",FT_RF_264[[#This Row],[N° de Lote]])</f>
        <v/>
      </c>
      <c r="BT6" s="29" t="str">
        <f>IF(ISBLANK(FT_RF_264[[#This Row],[N° de Pallet]]),"",FT_RF_264[[#This Row],[N° de Pallet]])</f>
        <v/>
      </c>
    </row>
    <row r="7" spans="1:72">
      <c r="B7" s="29">
        <f>+_xlfn.ISOWEEKNUM(FT_RF_264[[#This Row],[Fecha]])</f>
        <v>52</v>
      </c>
      <c r="E7" s="31"/>
      <c r="F7" s="12" t="str">
        <f>IFERROR(""&amp;_xlfn.XLOOKUP(FT_RF_264[[#This Row],[Código]],BD_Cod[SKU],BD_Cod[Descripción]),"")</f>
        <v/>
      </c>
      <c r="G7" s="32" t="str">
        <f>IFERROR(""&amp;_xlfn.XLOOKUP(FT_RF_264[[#This Row],[Código]],BD_Cod[SKU],BD_Cod[Familia Calidad]),"")</f>
        <v/>
      </c>
      <c r="J7" s="33">
        <v>1000</v>
      </c>
      <c r="L7" s="30" t="s">
        <v>244</v>
      </c>
      <c r="O7" s="30" t="s">
        <v>894</v>
      </c>
      <c r="P7" s="29" t="s">
        <v>894</v>
      </c>
      <c r="Q7" s="37">
        <f>1-FT_RF_264[[#This Row],[% Defectos]]</f>
        <v>1</v>
      </c>
      <c r="R7" s="38">
        <v>0</v>
      </c>
      <c r="S7" s="39">
        <f>+IFERROR((FT_RF_264[[#This Row],[Inmadura]]/FT_RF_264[[#This Row],[Muestra]]),"0")</f>
        <v>0</v>
      </c>
      <c r="T7" s="38">
        <v>0</v>
      </c>
      <c r="U7" s="39">
        <f>+IFERROR((FT_RF_264[[#This Row],[Partidas]]/FT_RF_264[[#This Row],[Muestra]]),"0")</f>
        <v>0</v>
      </c>
      <c r="V7" s="38">
        <v>0</v>
      </c>
      <c r="W7" s="39">
        <f>+IFERROR((FT_RF_264[[#This Row],[Daño Insecto]]/FT_RF_264[[#This Row],[Muestra]]),"0")</f>
        <v>0</v>
      </c>
      <c r="X7" s="38">
        <v>0</v>
      </c>
      <c r="Y7" s="39">
        <f>+IFERROR((FT_RF_264[[#This Row],[Sobremadura]]/FT_RF_264[[#This Row],[Muestra]]),"0")</f>
        <v>0</v>
      </c>
      <c r="Z7" s="38">
        <v>0</v>
      </c>
      <c r="AA7" s="39">
        <f>+IFERROR((FT_RF_264[[#This Row],[Deforme]]/FT_RF_264[[#This Row],[Muestra]]),"0")</f>
        <v>0</v>
      </c>
      <c r="AB7" s="27"/>
      <c r="AC7" s="38">
        <v>0</v>
      </c>
      <c r="AD7" s="39">
        <f>+IFERROR((FT_RF_264[[#This Row],[Valor Extra 1]]/FT_RF_264[[#This Row],[Muestra]]),"0")</f>
        <v>0</v>
      </c>
      <c r="AF7" s="38">
        <v>0</v>
      </c>
      <c r="AG7" s="39">
        <f>+IFERROR((FT_RF_264[[#This Row],[Valor Extra 2]]/FT_RF_264[[#This Row],[Muestra]]),"0")</f>
        <v>0</v>
      </c>
      <c r="AH7" s="40">
        <v>0</v>
      </c>
      <c r="AI7" s="39">
        <f>+IFERROR((FT_RF_264[[#This Row],[Hongos]]/FT_RF_264[[#This Row],[Muestra]]),"0")</f>
        <v>0</v>
      </c>
      <c r="AJ7" s="38">
        <v>0</v>
      </c>
      <c r="AK7" s="39">
        <f>+IFERROR((FT_RF_264[[#This Row],[Block]]/FT_RF_264[[#This Row],[Muestra]]),"0")</f>
        <v>0</v>
      </c>
      <c r="AL7" s="41">
        <v>0</v>
      </c>
      <c r="AM7" s="42">
        <v>0</v>
      </c>
      <c r="AN7" s="38">
        <v>0</v>
      </c>
      <c r="AO7" s="39">
        <f>+IFERROR((FT_RF_264[[#This Row],[Fuera de calibre &lt;12mm]]/FT_RF_264[[#This Row],[Muestra]]),"0")</f>
        <v>0</v>
      </c>
      <c r="AP7" s="38">
        <v>0</v>
      </c>
      <c r="AQ7" s="39">
        <f>+IFERROR((FT_RF_264[[#This Row],[Calibre &lt;25]]/FT_RF_264[[#This Row],[Muestra]]),"0")</f>
        <v>0</v>
      </c>
      <c r="AR7" s="38">
        <v>0</v>
      </c>
      <c r="AS7" s="39">
        <f>+IFERROR((FT_RF_264[[#This Row],[Calibre &gt;12]]/FT_RF_264[[#This Row],[Muestra]]),"0")</f>
        <v>0</v>
      </c>
      <c r="AT7" s="38">
        <v>0</v>
      </c>
      <c r="AU7" s="39">
        <f>+IFERROR((FT_RF_264[[#This Row],[Calibre &lt;14]]/FT_RF_264[[#This Row],[Muestra]]),"0")</f>
        <v>0</v>
      </c>
      <c r="AV7" s="38">
        <v>0</v>
      </c>
      <c r="AW7" s="39">
        <f>+IFERROR((FT_RF_264[[#This Row],[Calibre &gt;14]]/FT_RF_264[[#This Row],[Muestra]]),"0")</f>
        <v>0</v>
      </c>
      <c r="AX7" s="38">
        <v>0</v>
      </c>
      <c r="AY7" s="39">
        <f>+IFERROR((FT_RF_264[[#This Row],[Calibre &lt;10]]/FT_RF_264[[#This Row],[Muestra]]),"0")</f>
        <v>0</v>
      </c>
      <c r="AZ7" s="38">
        <v>0</v>
      </c>
      <c r="BA7" s="39">
        <f>+IFERROR((FT_RF_264[[#This Row],[Calibre &gt;13]]/FT_RF_264[[#This Row],[Muestra]]),"0")</f>
        <v>0</v>
      </c>
      <c r="BB7" s="41"/>
      <c r="BG7" s="42"/>
      <c r="BH7" s="43">
        <v>0</v>
      </c>
      <c r="BI7" s="29" t="s">
        <v>894</v>
      </c>
      <c r="BJ7" s="29" t="s">
        <v>894</v>
      </c>
      <c r="BK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7" s="45">
        <f>1-FT_RF_264[[#This Row],[% Defectos]]</f>
        <v>1</v>
      </c>
      <c r="BO7" s="60"/>
      <c r="BP7" s="12">
        <f>SUM(FT_RF_264[[#This Row],[Hoja (Un.)]:[Larvas Caja]])</f>
        <v>0</v>
      </c>
      <c r="BQ7" s="12">
        <f>SUM(FT_RF_264[[#This Row],[Vidrios]:[Plástico]])</f>
        <v>0</v>
      </c>
      <c r="BR7" s="12" t="str">
        <f>IF(ISBLANK(FT_RF_264[[#This Row],[Descripción del producto]]),"",FT_RF_264[[#This Row],[Descripción del producto]])</f>
        <v/>
      </c>
      <c r="BS7" s="29" t="str">
        <f>IF(ISBLANK(FT_RF_264[[#This Row],[N° de Lote]]),"",FT_RF_264[[#This Row],[N° de Lote]])</f>
        <v/>
      </c>
      <c r="BT7" s="29" t="str">
        <f>IF(ISBLANK(FT_RF_264[[#This Row],[N° de Pallet]]),"",FT_RF_264[[#This Row],[N° de Pallet]])</f>
        <v/>
      </c>
    </row>
    <row r="8" spans="1:72">
      <c r="B8" s="29">
        <f>+_xlfn.ISOWEEKNUM(FT_RF_264[[#This Row],[Fecha]])</f>
        <v>52</v>
      </c>
      <c r="E8" s="31"/>
      <c r="F8" s="12" t="str">
        <f>IFERROR(""&amp;_xlfn.XLOOKUP(FT_RF_264[[#This Row],[Código]],BD_Cod[SKU],BD_Cod[Descripción]),"")</f>
        <v/>
      </c>
      <c r="G8" s="32" t="str">
        <f>IFERROR(""&amp;_xlfn.XLOOKUP(FT_RF_264[[#This Row],[Código]],BD_Cod[SKU],BD_Cod[Familia Calidad]),"")</f>
        <v/>
      </c>
      <c r="J8" s="33">
        <v>1000</v>
      </c>
      <c r="L8" s="30" t="s">
        <v>244</v>
      </c>
      <c r="O8" s="30" t="s">
        <v>894</v>
      </c>
      <c r="P8" s="29" t="s">
        <v>894</v>
      </c>
      <c r="Q8" s="37">
        <f>1-FT_RF_264[[#This Row],[% Defectos]]</f>
        <v>1</v>
      </c>
      <c r="R8" s="38">
        <v>0</v>
      </c>
      <c r="S8" s="39">
        <f>+IFERROR((FT_RF_264[[#This Row],[Inmadura]]/FT_RF_264[[#This Row],[Muestra]]),"0")</f>
        <v>0</v>
      </c>
      <c r="T8" s="38">
        <v>0</v>
      </c>
      <c r="U8" s="39">
        <f>+IFERROR((FT_RF_264[[#This Row],[Partidas]]/FT_RF_264[[#This Row],[Muestra]]),"0")</f>
        <v>0</v>
      </c>
      <c r="V8" s="38">
        <v>0</v>
      </c>
      <c r="W8" s="39">
        <f>+IFERROR((FT_RF_264[[#This Row],[Daño Insecto]]/FT_RF_264[[#This Row],[Muestra]]),"0")</f>
        <v>0</v>
      </c>
      <c r="X8" s="38">
        <v>0</v>
      </c>
      <c r="Y8" s="39">
        <f>+IFERROR((FT_RF_264[[#This Row],[Sobremadura]]/FT_RF_264[[#This Row],[Muestra]]),"0")</f>
        <v>0</v>
      </c>
      <c r="Z8" s="38">
        <v>0</v>
      </c>
      <c r="AA8" s="39">
        <f>+IFERROR((FT_RF_264[[#This Row],[Deforme]]/FT_RF_264[[#This Row],[Muestra]]),"0")</f>
        <v>0</v>
      </c>
      <c r="AB8" s="27"/>
      <c r="AC8" s="38">
        <v>0</v>
      </c>
      <c r="AD8" s="39">
        <f>+IFERROR((FT_RF_264[[#This Row],[Valor Extra 1]]/FT_RF_264[[#This Row],[Muestra]]),"0")</f>
        <v>0</v>
      </c>
      <c r="AF8" s="38">
        <v>0</v>
      </c>
      <c r="AG8" s="39">
        <f>+IFERROR((FT_RF_264[[#This Row],[Valor Extra 2]]/FT_RF_264[[#This Row],[Muestra]]),"0")</f>
        <v>0</v>
      </c>
      <c r="AH8" s="40">
        <v>0</v>
      </c>
      <c r="AI8" s="39">
        <f>+IFERROR((FT_RF_264[[#This Row],[Hongos]]/FT_RF_264[[#This Row],[Muestra]]),"0")</f>
        <v>0</v>
      </c>
      <c r="AJ8" s="38">
        <v>0</v>
      </c>
      <c r="AK8" s="39">
        <f>+IFERROR((FT_RF_264[[#This Row],[Block]]/FT_RF_264[[#This Row],[Muestra]]),"0")</f>
        <v>0</v>
      </c>
      <c r="AL8" s="41">
        <v>0</v>
      </c>
      <c r="AM8" s="42">
        <v>0</v>
      </c>
      <c r="AN8" s="38">
        <v>0</v>
      </c>
      <c r="AO8" s="39">
        <f>+IFERROR((FT_RF_264[[#This Row],[Fuera de calibre &lt;12mm]]/FT_RF_264[[#This Row],[Muestra]]),"0")</f>
        <v>0</v>
      </c>
      <c r="AP8" s="38">
        <v>0</v>
      </c>
      <c r="AQ8" s="39">
        <f>+IFERROR((FT_RF_264[[#This Row],[Calibre &lt;25]]/FT_RF_264[[#This Row],[Muestra]]),"0")</f>
        <v>0</v>
      </c>
      <c r="AR8" s="38">
        <v>0</v>
      </c>
      <c r="AS8" s="39">
        <f>+IFERROR((FT_RF_264[[#This Row],[Calibre &gt;12]]/FT_RF_264[[#This Row],[Muestra]]),"0")</f>
        <v>0</v>
      </c>
      <c r="AT8" s="38">
        <v>0</v>
      </c>
      <c r="AU8" s="39">
        <f>+IFERROR((FT_RF_264[[#This Row],[Calibre &lt;14]]/FT_RF_264[[#This Row],[Muestra]]),"0")</f>
        <v>0</v>
      </c>
      <c r="AV8" s="38">
        <v>0</v>
      </c>
      <c r="AW8" s="39">
        <f>+IFERROR((FT_RF_264[[#This Row],[Calibre &gt;14]]/FT_RF_264[[#This Row],[Muestra]]),"0")</f>
        <v>0</v>
      </c>
      <c r="AX8" s="38">
        <v>0</v>
      </c>
      <c r="AY8" s="39">
        <f>+IFERROR((FT_RF_264[[#This Row],[Calibre &lt;10]]/FT_RF_264[[#This Row],[Muestra]]),"0")</f>
        <v>0</v>
      </c>
      <c r="AZ8" s="38">
        <v>0</v>
      </c>
      <c r="BA8" s="39">
        <f>+IFERROR((FT_RF_264[[#This Row],[Calibre &gt;13]]/FT_RF_264[[#This Row],[Muestra]]),"0")</f>
        <v>0</v>
      </c>
      <c r="BB8" s="41"/>
      <c r="BG8" s="42"/>
      <c r="BH8" s="43">
        <v>0</v>
      </c>
      <c r="BI8" s="29" t="s">
        <v>894</v>
      </c>
      <c r="BJ8" s="29" t="s">
        <v>894</v>
      </c>
      <c r="BK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8" s="45">
        <f>1-FT_RF_264[[#This Row],[% Defectos]]</f>
        <v>1</v>
      </c>
      <c r="BO8" s="60"/>
      <c r="BP8" s="12">
        <f>SUM(FT_RF_264[[#This Row],[Hoja (Un.)]:[Larvas Caja]])</f>
        <v>0</v>
      </c>
      <c r="BQ8" s="12">
        <f>SUM(FT_RF_264[[#This Row],[Vidrios]:[Plástico]])</f>
        <v>0</v>
      </c>
      <c r="BR8" s="12" t="str">
        <f>IF(ISBLANK(FT_RF_264[[#This Row],[Descripción del producto]]),"",FT_RF_264[[#This Row],[Descripción del producto]])</f>
        <v/>
      </c>
      <c r="BS8" s="29" t="str">
        <f>IF(ISBLANK(FT_RF_264[[#This Row],[N° de Lote]]),"",FT_RF_264[[#This Row],[N° de Lote]])</f>
        <v/>
      </c>
      <c r="BT8" s="29" t="str">
        <f>IF(ISBLANK(FT_RF_264[[#This Row],[N° de Pallet]]),"",FT_RF_264[[#This Row],[N° de Pallet]])</f>
        <v/>
      </c>
    </row>
    <row r="9" spans="1:72">
      <c r="B9" s="29">
        <f>+_xlfn.ISOWEEKNUM(FT_RF_264[[#This Row],[Fecha]])</f>
        <v>52</v>
      </c>
      <c r="E9" s="31"/>
      <c r="F9" s="12" t="str">
        <f>IFERROR(""&amp;_xlfn.XLOOKUP(FT_RF_264[[#This Row],[Código]],BD_Cod[SKU],BD_Cod[Descripción]),"")</f>
        <v/>
      </c>
      <c r="G9" s="32" t="str">
        <f>IFERROR(""&amp;_xlfn.XLOOKUP(FT_RF_264[[#This Row],[Código]],BD_Cod[SKU],BD_Cod[Familia Calidad]),"")</f>
        <v/>
      </c>
      <c r="J9" s="33">
        <v>1000</v>
      </c>
      <c r="L9" s="30" t="s">
        <v>244</v>
      </c>
      <c r="O9" s="30" t="s">
        <v>894</v>
      </c>
      <c r="P9" s="29" t="s">
        <v>894</v>
      </c>
      <c r="Q9" s="37">
        <f>1-FT_RF_264[[#This Row],[% Defectos]]</f>
        <v>1</v>
      </c>
      <c r="R9" s="38">
        <v>0</v>
      </c>
      <c r="S9" s="39">
        <f>+IFERROR((FT_RF_264[[#This Row],[Inmadura]]/FT_RF_264[[#This Row],[Muestra]]),"0")</f>
        <v>0</v>
      </c>
      <c r="T9" s="38">
        <v>0</v>
      </c>
      <c r="U9" s="39">
        <f>+IFERROR((FT_RF_264[[#This Row],[Partidas]]/FT_RF_264[[#This Row],[Muestra]]),"0")</f>
        <v>0</v>
      </c>
      <c r="V9" s="38">
        <v>0</v>
      </c>
      <c r="W9" s="39">
        <f>+IFERROR((FT_RF_264[[#This Row],[Daño Insecto]]/FT_RF_264[[#This Row],[Muestra]]),"0")</f>
        <v>0</v>
      </c>
      <c r="X9" s="38">
        <v>0</v>
      </c>
      <c r="Y9" s="39">
        <f>+IFERROR((FT_RF_264[[#This Row],[Sobremadura]]/FT_RF_264[[#This Row],[Muestra]]),"0")</f>
        <v>0</v>
      </c>
      <c r="Z9" s="38">
        <v>0</v>
      </c>
      <c r="AA9" s="39">
        <f>+IFERROR((FT_RF_264[[#This Row],[Deforme]]/FT_RF_264[[#This Row],[Muestra]]),"0")</f>
        <v>0</v>
      </c>
      <c r="AB9" s="27"/>
      <c r="AC9" s="38">
        <v>0</v>
      </c>
      <c r="AD9" s="39">
        <f>+IFERROR((FT_RF_264[[#This Row],[Valor Extra 1]]/FT_RF_264[[#This Row],[Muestra]]),"0")</f>
        <v>0</v>
      </c>
      <c r="AF9" s="38">
        <v>0</v>
      </c>
      <c r="AG9" s="39">
        <f>+IFERROR((FT_RF_264[[#This Row],[Valor Extra 2]]/FT_RF_264[[#This Row],[Muestra]]),"0")</f>
        <v>0</v>
      </c>
      <c r="AH9" s="40">
        <v>0</v>
      </c>
      <c r="AI9" s="39">
        <f>+IFERROR((FT_RF_264[[#This Row],[Hongos]]/FT_RF_264[[#This Row],[Muestra]]),"0")</f>
        <v>0</v>
      </c>
      <c r="AJ9" s="38">
        <v>0</v>
      </c>
      <c r="AK9" s="39">
        <f>+IFERROR((FT_RF_264[[#This Row],[Block]]/FT_RF_264[[#This Row],[Muestra]]),"0")</f>
        <v>0</v>
      </c>
      <c r="AL9" s="41">
        <v>0</v>
      </c>
      <c r="AM9" s="42">
        <v>0</v>
      </c>
      <c r="AN9" s="38">
        <v>0</v>
      </c>
      <c r="AO9" s="39">
        <f>+IFERROR((FT_RF_264[[#This Row],[Fuera de calibre &lt;12mm]]/FT_RF_264[[#This Row],[Muestra]]),"0")</f>
        <v>0</v>
      </c>
      <c r="AP9" s="38">
        <v>0</v>
      </c>
      <c r="AQ9" s="39">
        <f>+IFERROR((FT_RF_264[[#This Row],[Calibre &lt;25]]/FT_RF_264[[#This Row],[Muestra]]),"0")</f>
        <v>0</v>
      </c>
      <c r="AR9" s="38">
        <v>0</v>
      </c>
      <c r="AS9" s="39">
        <f>+IFERROR((FT_RF_264[[#This Row],[Calibre &gt;12]]/FT_RF_264[[#This Row],[Muestra]]),"0")</f>
        <v>0</v>
      </c>
      <c r="AT9" s="38">
        <v>0</v>
      </c>
      <c r="AU9" s="39">
        <f>+IFERROR((FT_RF_264[[#This Row],[Calibre &lt;14]]/FT_RF_264[[#This Row],[Muestra]]),"0")</f>
        <v>0</v>
      </c>
      <c r="AV9" s="38">
        <v>0</v>
      </c>
      <c r="AW9" s="39">
        <f>+IFERROR((FT_RF_264[[#This Row],[Calibre &gt;14]]/FT_RF_264[[#This Row],[Muestra]]),"0")</f>
        <v>0</v>
      </c>
      <c r="AX9" s="38">
        <v>0</v>
      </c>
      <c r="AY9" s="39">
        <f>+IFERROR((FT_RF_264[[#This Row],[Calibre &lt;10]]/FT_RF_264[[#This Row],[Muestra]]),"0")</f>
        <v>0</v>
      </c>
      <c r="AZ9" s="38">
        <v>0</v>
      </c>
      <c r="BA9" s="39">
        <f>+IFERROR((FT_RF_264[[#This Row],[Calibre &gt;13]]/FT_RF_264[[#This Row],[Muestra]]),"0")</f>
        <v>0</v>
      </c>
      <c r="BB9" s="41"/>
      <c r="BG9" s="42"/>
      <c r="BH9" s="43">
        <v>0</v>
      </c>
      <c r="BI9" s="29" t="s">
        <v>894</v>
      </c>
      <c r="BJ9" s="29" t="s">
        <v>894</v>
      </c>
      <c r="BK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9" s="45">
        <f>1-FT_RF_264[[#This Row],[% Defectos]]</f>
        <v>1</v>
      </c>
      <c r="BO9" s="60"/>
      <c r="BP9" s="12">
        <f>SUM(FT_RF_264[[#This Row],[Hoja (Un.)]:[Larvas Caja]])</f>
        <v>0</v>
      </c>
      <c r="BQ9" s="12">
        <f>SUM(FT_RF_264[[#This Row],[Vidrios]:[Plástico]])</f>
        <v>0</v>
      </c>
      <c r="BR9" s="12" t="str">
        <f>IF(ISBLANK(FT_RF_264[[#This Row],[Descripción del producto]]),"",FT_RF_264[[#This Row],[Descripción del producto]])</f>
        <v/>
      </c>
      <c r="BS9" s="29" t="str">
        <f>IF(ISBLANK(FT_RF_264[[#This Row],[N° de Lote]]),"",FT_RF_264[[#This Row],[N° de Lote]])</f>
        <v/>
      </c>
      <c r="BT9" s="29" t="str">
        <f>IF(ISBLANK(FT_RF_264[[#This Row],[N° de Pallet]]),"",FT_RF_264[[#This Row],[N° de Pallet]])</f>
        <v/>
      </c>
    </row>
    <row r="10" spans="1:72">
      <c r="B10" s="29">
        <f>+_xlfn.ISOWEEKNUM(FT_RF_264[[#This Row],[Fecha]])</f>
        <v>52</v>
      </c>
      <c r="E10" s="31"/>
      <c r="F10" s="12" t="str">
        <f>IFERROR(""&amp;_xlfn.XLOOKUP(FT_RF_264[[#This Row],[Código]],BD_Cod[SKU],BD_Cod[Descripción]),"")</f>
        <v/>
      </c>
      <c r="G10" s="32" t="str">
        <f>IFERROR(""&amp;_xlfn.XLOOKUP(FT_RF_264[[#This Row],[Código]],BD_Cod[SKU],BD_Cod[Familia Calidad]),"")</f>
        <v/>
      </c>
      <c r="J10" s="33">
        <v>1000</v>
      </c>
      <c r="L10" s="30" t="s">
        <v>244</v>
      </c>
      <c r="O10" s="30" t="s">
        <v>894</v>
      </c>
      <c r="P10" s="29" t="s">
        <v>894</v>
      </c>
      <c r="Q10" s="37">
        <f>1-FT_RF_264[[#This Row],[% Defectos]]</f>
        <v>1</v>
      </c>
      <c r="R10" s="38">
        <v>0</v>
      </c>
      <c r="S10" s="39">
        <f>+IFERROR((FT_RF_264[[#This Row],[Inmadura]]/FT_RF_264[[#This Row],[Muestra]]),"0")</f>
        <v>0</v>
      </c>
      <c r="T10" s="38">
        <v>0</v>
      </c>
      <c r="U10" s="39">
        <f>+IFERROR((FT_RF_264[[#This Row],[Partidas]]/FT_RF_264[[#This Row],[Muestra]]),"0")</f>
        <v>0</v>
      </c>
      <c r="V10" s="38">
        <v>0</v>
      </c>
      <c r="W10" s="39">
        <f>+IFERROR((FT_RF_264[[#This Row],[Daño Insecto]]/FT_RF_264[[#This Row],[Muestra]]),"0")</f>
        <v>0</v>
      </c>
      <c r="X10" s="38">
        <v>0</v>
      </c>
      <c r="Y10" s="39">
        <f>+IFERROR((FT_RF_264[[#This Row],[Sobremadura]]/FT_RF_264[[#This Row],[Muestra]]),"0")</f>
        <v>0</v>
      </c>
      <c r="Z10" s="38">
        <v>0</v>
      </c>
      <c r="AA10" s="39">
        <f>+IFERROR((FT_RF_264[[#This Row],[Deforme]]/FT_RF_264[[#This Row],[Muestra]]),"0")</f>
        <v>0</v>
      </c>
      <c r="AB10" s="27"/>
      <c r="AC10" s="38">
        <v>0</v>
      </c>
      <c r="AD10" s="39">
        <f>+IFERROR((FT_RF_264[[#This Row],[Valor Extra 1]]/FT_RF_264[[#This Row],[Muestra]]),"0")</f>
        <v>0</v>
      </c>
      <c r="AF10" s="38">
        <v>0</v>
      </c>
      <c r="AG10" s="39">
        <f>+IFERROR((FT_RF_264[[#This Row],[Valor Extra 2]]/FT_RF_264[[#This Row],[Muestra]]),"0")</f>
        <v>0</v>
      </c>
      <c r="AH10" s="40">
        <v>0</v>
      </c>
      <c r="AI10" s="39">
        <f>+IFERROR((FT_RF_264[[#This Row],[Hongos]]/FT_RF_264[[#This Row],[Muestra]]),"0")</f>
        <v>0</v>
      </c>
      <c r="AJ10" s="38">
        <v>0</v>
      </c>
      <c r="AK10" s="39">
        <f>+IFERROR((FT_RF_264[[#This Row],[Block]]/FT_RF_264[[#This Row],[Muestra]]),"0")</f>
        <v>0</v>
      </c>
      <c r="AL10" s="41">
        <v>0</v>
      </c>
      <c r="AM10" s="42">
        <v>0</v>
      </c>
      <c r="AN10" s="38">
        <v>0</v>
      </c>
      <c r="AO10" s="39">
        <f>+IFERROR((FT_RF_264[[#This Row],[Fuera de calibre &lt;12mm]]/FT_RF_264[[#This Row],[Muestra]]),"0")</f>
        <v>0</v>
      </c>
      <c r="AP10" s="38">
        <v>0</v>
      </c>
      <c r="AQ10" s="39">
        <f>+IFERROR((FT_RF_264[[#This Row],[Calibre &lt;25]]/FT_RF_264[[#This Row],[Muestra]]),"0")</f>
        <v>0</v>
      </c>
      <c r="AR10" s="38">
        <v>0</v>
      </c>
      <c r="AS10" s="39">
        <f>+IFERROR((FT_RF_264[[#This Row],[Calibre &gt;12]]/FT_RF_264[[#This Row],[Muestra]]),"0")</f>
        <v>0</v>
      </c>
      <c r="AT10" s="38">
        <v>0</v>
      </c>
      <c r="AU10" s="39">
        <f>+IFERROR((FT_RF_264[[#This Row],[Calibre &lt;14]]/FT_RF_264[[#This Row],[Muestra]]),"0")</f>
        <v>0</v>
      </c>
      <c r="AV10" s="38">
        <v>0</v>
      </c>
      <c r="AW10" s="39">
        <f>+IFERROR((FT_RF_264[[#This Row],[Calibre &gt;14]]/FT_RF_264[[#This Row],[Muestra]]),"0")</f>
        <v>0</v>
      </c>
      <c r="AX10" s="38">
        <v>0</v>
      </c>
      <c r="AY10" s="39">
        <f>+IFERROR((FT_RF_264[[#This Row],[Calibre &lt;10]]/FT_RF_264[[#This Row],[Muestra]]),"0")</f>
        <v>0</v>
      </c>
      <c r="AZ10" s="38">
        <v>0</v>
      </c>
      <c r="BA10" s="39">
        <f>+IFERROR((FT_RF_264[[#This Row],[Calibre &gt;13]]/FT_RF_264[[#This Row],[Muestra]]),"0")</f>
        <v>0</v>
      </c>
      <c r="BB10" s="41"/>
      <c r="BG10" s="42"/>
      <c r="BH10" s="43">
        <v>0</v>
      </c>
      <c r="BI10" s="29" t="s">
        <v>894</v>
      </c>
      <c r="BJ10" s="29" t="s">
        <v>894</v>
      </c>
      <c r="BK1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0" s="45">
        <f>1-FT_RF_264[[#This Row],[% Defectos]]</f>
        <v>1</v>
      </c>
      <c r="BO10" s="60"/>
      <c r="BP10" s="12">
        <f>SUM(FT_RF_264[[#This Row],[Hoja (Un.)]:[Larvas Caja]])</f>
        <v>0</v>
      </c>
      <c r="BQ10" s="12">
        <f>SUM(FT_RF_264[[#This Row],[Vidrios]:[Plástico]])</f>
        <v>0</v>
      </c>
      <c r="BR10" s="12" t="str">
        <f>IF(ISBLANK(FT_RF_264[[#This Row],[Descripción del producto]]),"",FT_RF_264[[#This Row],[Descripción del producto]])</f>
        <v/>
      </c>
      <c r="BS10" s="29" t="str">
        <f>IF(ISBLANK(FT_RF_264[[#This Row],[N° de Lote]]),"",FT_RF_264[[#This Row],[N° de Lote]])</f>
        <v/>
      </c>
      <c r="BT10" s="29" t="str">
        <f>IF(ISBLANK(FT_RF_264[[#This Row],[N° de Pallet]]),"",FT_RF_264[[#This Row],[N° de Pallet]])</f>
        <v/>
      </c>
    </row>
    <row r="11" spans="1:72">
      <c r="B11" s="29">
        <f>+_xlfn.ISOWEEKNUM(FT_RF_264[[#This Row],[Fecha]])</f>
        <v>52</v>
      </c>
      <c r="E11" s="31"/>
      <c r="F11" s="12" t="str">
        <f>IFERROR(""&amp;_xlfn.XLOOKUP(FT_RF_264[[#This Row],[Código]],BD_Cod[SKU],BD_Cod[Descripción]),"")</f>
        <v/>
      </c>
      <c r="G11" s="32" t="str">
        <f>IFERROR(""&amp;_xlfn.XLOOKUP(FT_RF_264[[#This Row],[Código]],BD_Cod[SKU],BD_Cod[Familia Calidad]),"")</f>
        <v/>
      </c>
      <c r="J11" s="33">
        <v>1000</v>
      </c>
      <c r="L11" s="30" t="s">
        <v>244</v>
      </c>
      <c r="O11" s="30" t="s">
        <v>894</v>
      </c>
      <c r="P11" s="29" t="s">
        <v>894</v>
      </c>
      <c r="Q11" s="37">
        <f>1-FT_RF_264[[#This Row],[% Defectos]]</f>
        <v>1</v>
      </c>
      <c r="R11" s="38">
        <v>0</v>
      </c>
      <c r="S11" s="39">
        <f>+IFERROR((FT_RF_264[[#This Row],[Inmadura]]/FT_RF_264[[#This Row],[Muestra]]),"0")</f>
        <v>0</v>
      </c>
      <c r="T11" s="38">
        <v>0</v>
      </c>
      <c r="U11" s="39">
        <f>+IFERROR((FT_RF_264[[#This Row],[Partidas]]/FT_RF_264[[#This Row],[Muestra]]),"0")</f>
        <v>0</v>
      </c>
      <c r="V11" s="38">
        <v>0</v>
      </c>
      <c r="W11" s="39">
        <f>+IFERROR((FT_RF_264[[#This Row],[Daño Insecto]]/FT_RF_264[[#This Row],[Muestra]]),"0")</f>
        <v>0</v>
      </c>
      <c r="X11" s="38">
        <v>0</v>
      </c>
      <c r="Y11" s="39">
        <f>+IFERROR((FT_RF_264[[#This Row],[Sobremadura]]/FT_RF_264[[#This Row],[Muestra]]),"0")</f>
        <v>0</v>
      </c>
      <c r="Z11" s="38">
        <v>0</v>
      </c>
      <c r="AA11" s="39">
        <f>+IFERROR((FT_RF_264[[#This Row],[Deforme]]/FT_RF_264[[#This Row],[Muestra]]),"0")</f>
        <v>0</v>
      </c>
      <c r="AB11" s="27"/>
      <c r="AC11" s="38">
        <v>0</v>
      </c>
      <c r="AD11" s="39">
        <f>+IFERROR((FT_RF_264[[#This Row],[Valor Extra 1]]/FT_RF_264[[#This Row],[Muestra]]),"0")</f>
        <v>0</v>
      </c>
      <c r="AF11" s="38">
        <v>0</v>
      </c>
      <c r="AG11" s="39">
        <f>+IFERROR((FT_RF_264[[#This Row],[Valor Extra 2]]/FT_RF_264[[#This Row],[Muestra]]),"0")</f>
        <v>0</v>
      </c>
      <c r="AH11" s="40">
        <v>0</v>
      </c>
      <c r="AI11" s="39">
        <f>+IFERROR((FT_RF_264[[#This Row],[Hongos]]/FT_RF_264[[#This Row],[Muestra]]),"0")</f>
        <v>0</v>
      </c>
      <c r="AJ11" s="38">
        <v>0</v>
      </c>
      <c r="AK11" s="39">
        <f>+IFERROR((FT_RF_264[[#This Row],[Block]]/FT_RF_264[[#This Row],[Muestra]]),"0")</f>
        <v>0</v>
      </c>
      <c r="AL11" s="41">
        <v>0</v>
      </c>
      <c r="AM11" s="42">
        <v>0</v>
      </c>
      <c r="AN11" s="38">
        <v>0</v>
      </c>
      <c r="AO11" s="39">
        <f>+IFERROR((FT_RF_264[[#This Row],[Fuera de calibre &lt;12mm]]/FT_RF_264[[#This Row],[Muestra]]),"0")</f>
        <v>0</v>
      </c>
      <c r="AP11" s="38">
        <v>0</v>
      </c>
      <c r="AQ11" s="39">
        <f>+IFERROR((FT_RF_264[[#This Row],[Calibre &lt;25]]/FT_RF_264[[#This Row],[Muestra]]),"0")</f>
        <v>0</v>
      </c>
      <c r="AR11" s="38">
        <v>0</v>
      </c>
      <c r="AS11" s="39">
        <f>+IFERROR((FT_RF_264[[#This Row],[Calibre &gt;12]]/FT_RF_264[[#This Row],[Muestra]]),"0")</f>
        <v>0</v>
      </c>
      <c r="AT11" s="38">
        <v>0</v>
      </c>
      <c r="AU11" s="39">
        <f>+IFERROR((FT_RF_264[[#This Row],[Calibre &lt;14]]/FT_RF_264[[#This Row],[Muestra]]),"0")</f>
        <v>0</v>
      </c>
      <c r="AV11" s="38">
        <v>0</v>
      </c>
      <c r="AW11" s="39">
        <f>+IFERROR((FT_RF_264[[#This Row],[Calibre &gt;14]]/FT_RF_264[[#This Row],[Muestra]]),"0")</f>
        <v>0</v>
      </c>
      <c r="AX11" s="38">
        <v>0</v>
      </c>
      <c r="AY11" s="39">
        <f>+IFERROR((FT_RF_264[[#This Row],[Calibre &lt;10]]/FT_RF_264[[#This Row],[Muestra]]),"0")</f>
        <v>0</v>
      </c>
      <c r="AZ11" s="38">
        <v>0</v>
      </c>
      <c r="BA11" s="39">
        <f>+IFERROR((FT_RF_264[[#This Row],[Calibre &gt;13]]/FT_RF_264[[#This Row],[Muestra]]),"0")</f>
        <v>0</v>
      </c>
      <c r="BB11" s="41"/>
      <c r="BG11" s="42"/>
      <c r="BH11" s="43">
        <v>0</v>
      </c>
      <c r="BI11" s="29" t="s">
        <v>894</v>
      </c>
      <c r="BJ11" s="29" t="s">
        <v>894</v>
      </c>
      <c r="BK1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1" s="45">
        <f>1-FT_RF_264[[#This Row],[% Defectos]]</f>
        <v>1</v>
      </c>
      <c r="BO11" s="60"/>
      <c r="BP11" s="12">
        <f>SUM(FT_RF_264[[#This Row],[Hoja (Un.)]:[Larvas Caja]])</f>
        <v>0</v>
      </c>
      <c r="BQ11" s="12">
        <f>SUM(FT_RF_264[[#This Row],[Vidrios]:[Plástico]])</f>
        <v>0</v>
      </c>
      <c r="BR11" s="12" t="str">
        <f>IF(ISBLANK(FT_RF_264[[#This Row],[Descripción del producto]]),"",FT_RF_264[[#This Row],[Descripción del producto]])</f>
        <v/>
      </c>
      <c r="BS11" s="29" t="str">
        <f>IF(ISBLANK(FT_RF_264[[#This Row],[N° de Lote]]),"",FT_RF_264[[#This Row],[N° de Lote]])</f>
        <v/>
      </c>
      <c r="BT11" s="29" t="str">
        <f>IF(ISBLANK(FT_RF_264[[#This Row],[N° de Pallet]]),"",FT_RF_264[[#This Row],[N° de Pallet]])</f>
        <v/>
      </c>
    </row>
    <row r="12" spans="1:72">
      <c r="B12" s="29">
        <f>+_xlfn.ISOWEEKNUM(FT_RF_264[[#This Row],[Fecha]])</f>
        <v>52</v>
      </c>
      <c r="E12" s="31"/>
      <c r="F12" s="12" t="str">
        <f>IFERROR(""&amp;_xlfn.XLOOKUP(FT_RF_264[[#This Row],[Código]],BD_Cod[SKU],BD_Cod[Descripción]),"")</f>
        <v/>
      </c>
      <c r="G12" s="32" t="str">
        <f>IFERROR(""&amp;_xlfn.XLOOKUP(FT_RF_264[[#This Row],[Código]],BD_Cod[SKU],BD_Cod[Familia Calidad]),"")</f>
        <v/>
      </c>
      <c r="J12" s="33">
        <v>1000</v>
      </c>
      <c r="L12" s="30" t="s">
        <v>244</v>
      </c>
      <c r="O12" s="30" t="s">
        <v>894</v>
      </c>
      <c r="P12" s="29" t="s">
        <v>894</v>
      </c>
      <c r="Q12" s="37">
        <f>1-FT_RF_264[[#This Row],[% Defectos]]</f>
        <v>1</v>
      </c>
      <c r="R12" s="38">
        <v>0</v>
      </c>
      <c r="S12" s="39">
        <f>+IFERROR((FT_RF_264[[#This Row],[Inmadura]]/FT_RF_264[[#This Row],[Muestra]]),"0")</f>
        <v>0</v>
      </c>
      <c r="T12" s="38">
        <v>0</v>
      </c>
      <c r="U12" s="39">
        <f>+IFERROR((FT_RF_264[[#This Row],[Partidas]]/FT_RF_264[[#This Row],[Muestra]]),"0")</f>
        <v>0</v>
      </c>
      <c r="V12" s="38">
        <v>0</v>
      </c>
      <c r="W12" s="39">
        <f>+IFERROR((FT_RF_264[[#This Row],[Daño Insecto]]/FT_RF_264[[#This Row],[Muestra]]),"0")</f>
        <v>0</v>
      </c>
      <c r="X12" s="38">
        <v>0</v>
      </c>
      <c r="Y12" s="39">
        <f>+IFERROR((FT_RF_264[[#This Row],[Sobremadura]]/FT_RF_264[[#This Row],[Muestra]]),"0")</f>
        <v>0</v>
      </c>
      <c r="Z12" s="38">
        <v>0</v>
      </c>
      <c r="AA12" s="39">
        <f>+IFERROR((FT_RF_264[[#This Row],[Deforme]]/FT_RF_264[[#This Row],[Muestra]]),"0")</f>
        <v>0</v>
      </c>
      <c r="AB12" s="27"/>
      <c r="AC12" s="38">
        <v>0</v>
      </c>
      <c r="AD12" s="39">
        <f>+IFERROR((FT_RF_264[[#This Row],[Valor Extra 1]]/FT_RF_264[[#This Row],[Muestra]]),"0")</f>
        <v>0</v>
      </c>
      <c r="AF12" s="38">
        <v>0</v>
      </c>
      <c r="AG12" s="39">
        <f>+IFERROR((FT_RF_264[[#This Row],[Valor Extra 2]]/FT_RF_264[[#This Row],[Muestra]]),"0")</f>
        <v>0</v>
      </c>
      <c r="AH12" s="40">
        <v>0</v>
      </c>
      <c r="AI12" s="39">
        <f>+IFERROR((FT_RF_264[[#This Row],[Hongos]]/FT_RF_264[[#This Row],[Muestra]]),"0")</f>
        <v>0</v>
      </c>
      <c r="AJ12" s="38">
        <v>0</v>
      </c>
      <c r="AK12" s="39">
        <f>+IFERROR((FT_RF_264[[#This Row],[Block]]/FT_RF_264[[#This Row],[Muestra]]),"0")</f>
        <v>0</v>
      </c>
      <c r="AL12" s="41">
        <v>0</v>
      </c>
      <c r="AM12" s="42">
        <v>0</v>
      </c>
      <c r="AN12" s="38">
        <v>0</v>
      </c>
      <c r="AO12" s="39">
        <f>+IFERROR((FT_RF_264[[#This Row],[Fuera de calibre &lt;12mm]]/FT_RF_264[[#This Row],[Muestra]]),"0")</f>
        <v>0</v>
      </c>
      <c r="AP12" s="38">
        <v>0</v>
      </c>
      <c r="AQ12" s="39">
        <f>+IFERROR((FT_RF_264[[#This Row],[Calibre &lt;25]]/FT_RF_264[[#This Row],[Muestra]]),"0")</f>
        <v>0</v>
      </c>
      <c r="AR12" s="38">
        <v>0</v>
      </c>
      <c r="AS12" s="39">
        <f>+IFERROR((FT_RF_264[[#This Row],[Calibre &gt;12]]/FT_RF_264[[#This Row],[Muestra]]),"0")</f>
        <v>0</v>
      </c>
      <c r="AT12" s="38">
        <v>0</v>
      </c>
      <c r="AU12" s="39">
        <f>+IFERROR((FT_RF_264[[#This Row],[Calibre &lt;14]]/FT_RF_264[[#This Row],[Muestra]]),"0")</f>
        <v>0</v>
      </c>
      <c r="AV12" s="38">
        <v>0</v>
      </c>
      <c r="AW12" s="39">
        <f>+IFERROR((FT_RF_264[[#This Row],[Calibre &gt;14]]/FT_RF_264[[#This Row],[Muestra]]),"0")</f>
        <v>0</v>
      </c>
      <c r="AX12" s="38">
        <v>0</v>
      </c>
      <c r="AY12" s="39">
        <f>+IFERROR((FT_RF_264[[#This Row],[Calibre &lt;10]]/FT_RF_264[[#This Row],[Muestra]]),"0")</f>
        <v>0</v>
      </c>
      <c r="AZ12" s="38">
        <v>0</v>
      </c>
      <c r="BA12" s="39">
        <f>+IFERROR((FT_RF_264[[#This Row],[Calibre &gt;13]]/FT_RF_264[[#This Row],[Muestra]]),"0")</f>
        <v>0</v>
      </c>
      <c r="BB12" s="41"/>
      <c r="BG12" s="42"/>
      <c r="BH12" s="43">
        <v>0</v>
      </c>
      <c r="BI12" s="29" t="s">
        <v>894</v>
      </c>
      <c r="BJ12" s="29" t="s">
        <v>894</v>
      </c>
      <c r="BK1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2" s="45">
        <f>1-FT_RF_264[[#This Row],[% Defectos]]</f>
        <v>1</v>
      </c>
      <c r="BO12" s="60"/>
      <c r="BP12" s="12">
        <f>SUM(FT_RF_264[[#This Row],[Hoja (Un.)]:[Larvas Caja]])</f>
        <v>0</v>
      </c>
      <c r="BQ12" s="12">
        <f>SUM(FT_RF_264[[#This Row],[Vidrios]:[Plástico]])</f>
        <v>0</v>
      </c>
      <c r="BR12" s="12" t="str">
        <f>IF(ISBLANK(FT_RF_264[[#This Row],[Descripción del producto]]),"",FT_RF_264[[#This Row],[Descripción del producto]])</f>
        <v/>
      </c>
      <c r="BS12" s="29" t="str">
        <f>IF(ISBLANK(FT_RF_264[[#This Row],[N° de Lote]]),"",FT_RF_264[[#This Row],[N° de Lote]])</f>
        <v/>
      </c>
      <c r="BT12" s="29" t="str">
        <f>IF(ISBLANK(FT_RF_264[[#This Row],[N° de Pallet]]),"",FT_RF_264[[#This Row],[N° de Pallet]])</f>
        <v/>
      </c>
    </row>
    <row r="13" spans="1:72">
      <c r="B13" s="29">
        <f>+_xlfn.ISOWEEKNUM(FT_RF_264[[#This Row],[Fecha]])</f>
        <v>52</v>
      </c>
      <c r="E13" s="31"/>
      <c r="F13" s="12" t="str">
        <f>IFERROR(""&amp;_xlfn.XLOOKUP(FT_RF_264[[#This Row],[Código]],BD_Cod[SKU],BD_Cod[Descripción]),"")</f>
        <v/>
      </c>
      <c r="G13" s="32" t="str">
        <f>IFERROR(""&amp;_xlfn.XLOOKUP(FT_RF_264[[#This Row],[Código]],BD_Cod[SKU],BD_Cod[Familia Calidad]),"")</f>
        <v/>
      </c>
      <c r="J13" s="33">
        <v>1000</v>
      </c>
      <c r="L13" s="30" t="s">
        <v>244</v>
      </c>
      <c r="O13" s="30" t="s">
        <v>894</v>
      </c>
      <c r="P13" s="29" t="s">
        <v>894</v>
      </c>
      <c r="Q13" s="37">
        <f>1-FT_RF_264[[#This Row],[% Defectos]]</f>
        <v>1</v>
      </c>
      <c r="R13" s="38">
        <v>0</v>
      </c>
      <c r="S13" s="39">
        <f>+IFERROR((FT_RF_264[[#This Row],[Inmadura]]/FT_RF_264[[#This Row],[Muestra]]),"0")</f>
        <v>0</v>
      </c>
      <c r="T13" s="38">
        <v>0</v>
      </c>
      <c r="U13" s="39">
        <f>+IFERROR((FT_RF_264[[#This Row],[Partidas]]/FT_RF_264[[#This Row],[Muestra]]),"0")</f>
        <v>0</v>
      </c>
      <c r="V13" s="38">
        <v>0</v>
      </c>
      <c r="W13" s="39">
        <f>+IFERROR((FT_RF_264[[#This Row],[Daño Insecto]]/FT_RF_264[[#This Row],[Muestra]]),"0")</f>
        <v>0</v>
      </c>
      <c r="X13" s="38">
        <v>0</v>
      </c>
      <c r="Y13" s="39">
        <f>+IFERROR((FT_RF_264[[#This Row],[Sobremadura]]/FT_RF_264[[#This Row],[Muestra]]),"0")</f>
        <v>0</v>
      </c>
      <c r="Z13" s="38">
        <v>0</v>
      </c>
      <c r="AA13" s="39">
        <f>+IFERROR((FT_RF_264[[#This Row],[Deforme]]/FT_RF_264[[#This Row],[Muestra]]),"0")</f>
        <v>0</v>
      </c>
      <c r="AB13" s="27"/>
      <c r="AC13" s="38">
        <v>0</v>
      </c>
      <c r="AD13" s="39">
        <f>+IFERROR((FT_RF_264[[#This Row],[Valor Extra 1]]/FT_RF_264[[#This Row],[Muestra]]),"0")</f>
        <v>0</v>
      </c>
      <c r="AF13" s="38">
        <v>0</v>
      </c>
      <c r="AG13" s="39">
        <f>+IFERROR((FT_RF_264[[#This Row],[Valor Extra 2]]/FT_RF_264[[#This Row],[Muestra]]),"0")</f>
        <v>0</v>
      </c>
      <c r="AH13" s="40">
        <v>0</v>
      </c>
      <c r="AI13" s="39">
        <f>+IFERROR((FT_RF_264[[#This Row],[Hongos]]/FT_RF_264[[#This Row],[Muestra]]),"0")</f>
        <v>0</v>
      </c>
      <c r="AJ13" s="38">
        <v>0</v>
      </c>
      <c r="AK13" s="39">
        <f>+IFERROR((FT_RF_264[[#This Row],[Block]]/FT_RF_264[[#This Row],[Muestra]]),"0")</f>
        <v>0</v>
      </c>
      <c r="AL13" s="41">
        <v>0</v>
      </c>
      <c r="AM13" s="42">
        <v>0</v>
      </c>
      <c r="AN13" s="38">
        <v>0</v>
      </c>
      <c r="AO13" s="39">
        <f>+IFERROR((FT_RF_264[[#This Row],[Fuera de calibre &lt;12mm]]/FT_RF_264[[#This Row],[Muestra]]),"0")</f>
        <v>0</v>
      </c>
      <c r="AP13" s="38">
        <v>0</v>
      </c>
      <c r="AQ13" s="39">
        <f>+IFERROR((FT_RF_264[[#This Row],[Calibre &lt;25]]/FT_RF_264[[#This Row],[Muestra]]),"0")</f>
        <v>0</v>
      </c>
      <c r="AR13" s="38">
        <v>0</v>
      </c>
      <c r="AS13" s="39">
        <f>+IFERROR((FT_RF_264[[#This Row],[Calibre &gt;12]]/FT_RF_264[[#This Row],[Muestra]]),"0")</f>
        <v>0</v>
      </c>
      <c r="AT13" s="38">
        <v>0</v>
      </c>
      <c r="AU13" s="39">
        <f>+IFERROR((FT_RF_264[[#This Row],[Calibre &lt;14]]/FT_RF_264[[#This Row],[Muestra]]),"0")</f>
        <v>0</v>
      </c>
      <c r="AV13" s="38">
        <v>0</v>
      </c>
      <c r="AW13" s="39">
        <f>+IFERROR((FT_RF_264[[#This Row],[Calibre &gt;14]]/FT_RF_264[[#This Row],[Muestra]]),"0")</f>
        <v>0</v>
      </c>
      <c r="AX13" s="38">
        <v>0</v>
      </c>
      <c r="AY13" s="39">
        <f>+IFERROR((FT_RF_264[[#This Row],[Calibre &lt;10]]/FT_RF_264[[#This Row],[Muestra]]),"0")</f>
        <v>0</v>
      </c>
      <c r="AZ13" s="38">
        <v>0</v>
      </c>
      <c r="BA13" s="39">
        <f>+IFERROR((FT_RF_264[[#This Row],[Calibre &gt;13]]/FT_RF_264[[#This Row],[Muestra]]),"0")</f>
        <v>0</v>
      </c>
      <c r="BB13" s="41"/>
      <c r="BG13" s="42"/>
      <c r="BH13" s="43">
        <v>0</v>
      </c>
      <c r="BI13" s="29" t="s">
        <v>894</v>
      </c>
      <c r="BJ13" s="29" t="s">
        <v>894</v>
      </c>
      <c r="BK1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3" s="45">
        <f>1-FT_RF_264[[#This Row],[% Defectos]]</f>
        <v>1</v>
      </c>
      <c r="BO13" s="60"/>
      <c r="BP13" s="12">
        <f>SUM(FT_RF_264[[#This Row],[Hoja (Un.)]:[Larvas Caja]])</f>
        <v>0</v>
      </c>
      <c r="BQ13" s="12">
        <f>SUM(FT_RF_264[[#This Row],[Vidrios]:[Plástico]])</f>
        <v>0</v>
      </c>
      <c r="BR13" s="12" t="str">
        <f>IF(ISBLANK(FT_RF_264[[#This Row],[Descripción del producto]]),"",FT_RF_264[[#This Row],[Descripción del producto]])</f>
        <v/>
      </c>
      <c r="BS13" s="29" t="str">
        <f>IF(ISBLANK(FT_RF_264[[#This Row],[N° de Lote]]),"",FT_RF_264[[#This Row],[N° de Lote]])</f>
        <v/>
      </c>
      <c r="BT13" s="29" t="str">
        <f>IF(ISBLANK(FT_RF_264[[#This Row],[N° de Pallet]]),"",FT_RF_264[[#This Row],[N° de Pallet]])</f>
        <v/>
      </c>
    </row>
    <row r="14" spans="1:72">
      <c r="B14" s="29">
        <f>+_xlfn.ISOWEEKNUM(FT_RF_264[[#This Row],[Fecha]])</f>
        <v>52</v>
      </c>
      <c r="E14" s="31"/>
      <c r="F14" s="12" t="str">
        <f>IFERROR(""&amp;_xlfn.XLOOKUP(FT_RF_264[[#This Row],[Código]],BD_Cod[SKU],BD_Cod[Descripción]),"")</f>
        <v/>
      </c>
      <c r="G14" s="32" t="str">
        <f>IFERROR(""&amp;_xlfn.XLOOKUP(FT_RF_264[[#This Row],[Código]],BD_Cod[SKU],BD_Cod[Familia Calidad]),"")</f>
        <v/>
      </c>
      <c r="J14" s="33">
        <v>1000</v>
      </c>
      <c r="L14" s="30" t="s">
        <v>244</v>
      </c>
      <c r="O14" s="30" t="s">
        <v>894</v>
      </c>
      <c r="P14" s="29" t="s">
        <v>894</v>
      </c>
      <c r="Q14" s="37">
        <f>1-FT_RF_264[[#This Row],[% Defectos]]</f>
        <v>1</v>
      </c>
      <c r="R14" s="38">
        <v>0</v>
      </c>
      <c r="S14" s="39">
        <f>+IFERROR((FT_RF_264[[#This Row],[Inmadura]]/FT_RF_264[[#This Row],[Muestra]]),"0")</f>
        <v>0</v>
      </c>
      <c r="T14" s="38">
        <v>0</v>
      </c>
      <c r="U14" s="39">
        <f>+IFERROR((FT_RF_264[[#This Row],[Partidas]]/FT_RF_264[[#This Row],[Muestra]]),"0")</f>
        <v>0</v>
      </c>
      <c r="V14" s="38">
        <v>0</v>
      </c>
      <c r="W14" s="39">
        <f>+IFERROR((FT_RF_264[[#This Row],[Daño Insecto]]/FT_RF_264[[#This Row],[Muestra]]),"0")</f>
        <v>0</v>
      </c>
      <c r="X14" s="38">
        <v>0</v>
      </c>
      <c r="Y14" s="39">
        <f>+IFERROR((FT_RF_264[[#This Row],[Sobremadura]]/FT_RF_264[[#This Row],[Muestra]]),"0")</f>
        <v>0</v>
      </c>
      <c r="Z14" s="38">
        <v>0</v>
      </c>
      <c r="AA14" s="39">
        <f>+IFERROR((FT_RF_264[[#This Row],[Deforme]]/FT_RF_264[[#This Row],[Muestra]]),"0")</f>
        <v>0</v>
      </c>
      <c r="AB14" s="27"/>
      <c r="AC14" s="38">
        <v>0</v>
      </c>
      <c r="AD14" s="39">
        <f>+IFERROR((FT_RF_264[[#This Row],[Valor Extra 1]]/FT_RF_264[[#This Row],[Muestra]]),"0")</f>
        <v>0</v>
      </c>
      <c r="AF14" s="38">
        <v>0</v>
      </c>
      <c r="AG14" s="39">
        <f>+IFERROR((FT_RF_264[[#This Row],[Valor Extra 2]]/FT_RF_264[[#This Row],[Muestra]]),"0")</f>
        <v>0</v>
      </c>
      <c r="AH14" s="40">
        <v>0</v>
      </c>
      <c r="AI14" s="39">
        <f>+IFERROR((FT_RF_264[[#This Row],[Hongos]]/FT_RF_264[[#This Row],[Muestra]]),"0")</f>
        <v>0</v>
      </c>
      <c r="AJ14" s="38">
        <v>0</v>
      </c>
      <c r="AK14" s="39">
        <f>+IFERROR((FT_RF_264[[#This Row],[Block]]/FT_RF_264[[#This Row],[Muestra]]),"0")</f>
        <v>0</v>
      </c>
      <c r="AL14" s="41">
        <v>0</v>
      </c>
      <c r="AM14" s="42">
        <v>0</v>
      </c>
      <c r="AN14" s="38">
        <v>0</v>
      </c>
      <c r="AO14" s="39">
        <f>+IFERROR((FT_RF_264[[#This Row],[Fuera de calibre &lt;12mm]]/FT_RF_264[[#This Row],[Muestra]]),"0")</f>
        <v>0</v>
      </c>
      <c r="AP14" s="38">
        <v>0</v>
      </c>
      <c r="AQ14" s="39">
        <f>+IFERROR((FT_RF_264[[#This Row],[Calibre &lt;25]]/FT_RF_264[[#This Row],[Muestra]]),"0")</f>
        <v>0</v>
      </c>
      <c r="AR14" s="38">
        <v>0</v>
      </c>
      <c r="AS14" s="39">
        <f>+IFERROR((FT_RF_264[[#This Row],[Calibre &gt;12]]/FT_RF_264[[#This Row],[Muestra]]),"0")</f>
        <v>0</v>
      </c>
      <c r="AT14" s="38">
        <v>0</v>
      </c>
      <c r="AU14" s="39">
        <f>+IFERROR((FT_RF_264[[#This Row],[Calibre &lt;14]]/FT_RF_264[[#This Row],[Muestra]]),"0")</f>
        <v>0</v>
      </c>
      <c r="AV14" s="38">
        <v>0</v>
      </c>
      <c r="AW14" s="39">
        <f>+IFERROR((FT_RF_264[[#This Row],[Calibre &gt;14]]/FT_RF_264[[#This Row],[Muestra]]),"0")</f>
        <v>0</v>
      </c>
      <c r="AX14" s="38">
        <v>0</v>
      </c>
      <c r="AY14" s="39">
        <f>+IFERROR((FT_RF_264[[#This Row],[Calibre &lt;10]]/FT_RF_264[[#This Row],[Muestra]]),"0")</f>
        <v>0</v>
      </c>
      <c r="AZ14" s="38">
        <v>0</v>
      </c>
      <c r="BA14" s="39">
        <f>+IFERROR((FT_RF_264[[#This Row],[Calibre &gt;13]]/FT_RF_264[[#This Row],[Muestra]]),"0")</f>
        <v>0</v>
      </c>
      <c r="BB14" s="41"/>
      <c r="BG14" s="42"/>
      <c r="BH14" s="43">
        <v>0</v>
      </c>
      <c r="BI14" s="29" t="s">
        <v>894</v>
      </c>
      <c r="BJ14" s="29" t="s">
        <v>894</v>
      </c>
      <c r="BK1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4" s="45">
        <f>1-FT_RF_264[[#This Row],[% Defectos]]</f>
        <v>1</v>
      </c>
      <c r="BO14" s="60"/>
      <c r="BP14" s="12">
        <f>SUM(FT_RF_264[[#This Row],[Hoja (Un.)]:[Larvas Caja]])</f>
        <v>0</v>
      </c>
      <c r="BQ14" s="12">
        <f>SUM(FT_RF_264[[#This Row],[Vidrios]:[Plástico]])</f>
        <v>0</v>
      </c>
      <c r="BR14" s="12" t="str">
        <f>IF(ISBLANK(FT_RF_264[[#This Row],[Descripción del producto]]),"",FT_RF_264[[#This Row],[Descripción del producto]])</f>
        <v/>
      </c>
      <c r="BS14" s="29" t="str">
        <f>IF(ISBLANK(FT_RF_264[[#This Row],[N° de Lote]]),"",FT_RF_264[[#This Row],[N° de Lote]])</f>
        <v/>
      </c>
      <c r="BT14" s="29" t="str">
        <f>IF(ISBLANK(FT_RF_264[[#This Row],[N° de Pallet]]),"",FT_RF_264[[#This Row],[N° de Pallet]])</f>
        <v/>
      </c>
    </row>
    <row r="15" spans="1:72">
      <c r="B15" s="29">
        <f>+_xlfn.ISOWEEKNUM(FT_RF_264[[#This Row],[Fecha]])</f>
        <v>52</v>
      </c>
      <c r="E15" s="31"/>
      <c r="F15" s="12" t="str">
        <f>IFERROR(""&amp;_xlfn.XLOOKUP(FT_RF_264[[#This Row],[Código]],BD_Cod[SKU],BD_Cod[Descripción]),"")</f>
        <v/>
      </c>
      <c r="G15" s="32" t="str">
        <f>IFERROR(""&amp;_xlfn.XLOOKUP(FT_RF_264[[#This Row],[Código]],BD_Cod[SKU],BD_Cod[Familia Calidad]),"")</f>
        <v/>
      </c>
      <c r="J15" s="33">
        <v>1000</v>
      </c>
      <c r="L15" s="30" t="s">
        <v>244</v>
      </c>
      <c r="O15" s="30" t="s">
        <v>894</v>
      </c>
      <c r="P15" s="29" t="s">
        <v>894</v>
      </c>
      <c r="Q15" s="37">
        <f>1-FT_RF_264[[#This Row],[% Defectos]]</f>
        <v>1</v>
      </c>
      <c r="R15" s="38">
        <v>0</v>
      </c>
      <c r="S15" s="39">
        <f>+IFERROR((FT_RF_264[[#This Row],[Inmadura]]/FT_RF_264[[#This Row],[Muestra]]),"0")</f>
        <v>0</v>
      </c>
      <c r="T15" s="38">
        <v>0</v>
      </c>
      <c r="U15" s="39">
        <f>+IFERROR((FT_RF_264[[#This Row],[Partidas]]/FT_RF_264[[#This Row],[Muestra]]),"0")</f>
        <v>0</v>
      </c>
      <c r="V15" s="38">
        <v>0</v>
      </c>
      <c r="W15" s="39">
        <f>+IFERROR((FT_RF_264[[#This Row],[Daño Insecto]]/FT_RF_264[[#This Row],[Muestra]]),"0")</f>
        <v>0</v>
      </c>
      <c r="X15" s="38">
        <v>0</v>
      </c>
      <c r="Y15" s="39">
        <f>+IFERROR((FT_RF_264[[#This Row],[Sobremadura]]/FT_RF_264[[#This Row],[Muestra]]),"0")</f>
        <v>0</v>
      </c>
      <c r="Z15" s="38">
        <v>0</v>
      </c>
      <c r="AA15" s="39">
        <f>+IFERROR((FT_RF_264[[#This Row],[Deforme]]/FT_RF_264[[#This Row],[Muestra]]),"0")</f>
        <v>0</v>
      </c>
      <c r="AB15" s="27"/>
      <c r="AC15" s="38">
        <v>0</v>
      </c>
      <c r="AD15" s="39">
        <f>+IFERROR((FT_RF_264[[#This Row],[Valor Extra 1]]/FT_RF_264[[#This Row],[Muestra]]),"0")</f>
        <v>0</v>
      </c>
      <c r="AF15" s="38">
        <v>0</v>
      </c>
      <c r="AG15" s="39">
        <f>+IFERROR((FT_RF_264[[#This Row],[Valor Extra 2]]/FT_RF_264[[#This Row],[Muestra]]),"0")</f>
        <v>0</v>
      </c>
      <c r="AH15" s="40">
        <v>0</v>
      </c>
      <c r="AI15" s="39">
        <f>+IFERROR((FT_RF_264[[#This Row],[Hongos]]/FT_RF_264[[#This Row],[Muestra]]),"0")</f>
        <v>0</v>
      </c>
      <c r="AJ15" s="38">
        <v>0</v>
      </c>
      <c r="AK15" s="39">
        <f>+IFERROR((FT_RF_264[[#This Row],[Block]]/FT_RF_264[[#This Row],[Muestra]]),"0")</f>
        <v>0</v>
      </c>
      <c r="AL15" s="41">
        <v>0</v>
      </c>
      <c r="AM15" s="42">
        <v>0</v>
      </c>
      <c r="AN15" s="38">
        <v>0</v>
      </c>
      <c r="AO15" s="39">
        <f>+IFERROR((FT_RF_264[[#This Row],[Fuera de calibre &lt;12mm]]/FT_RF_264[[#This Row],[Muestra]]),"0")</f>
        <v>0</v>
      </c>
      <c r="AP15" s="38">
        <v>0</v>
      </c>
      <c r="AQ15" s="39">
        <f>+IFERROR((FT_RF_264[[#This Row],[Calibre &lt;25]]/FT_RF_264[[#This Row],[Muestra]]),"0")</f>
        <v>0</v>
      </c>
      <c r="AR15" s="38">
        <v>0</v>
      </c>
      <c r="AS15" s="39">
        <f>+IFERROR((FT_RF_264[[#This Row],[Calibre &gt;12]]/FT_RF_264[[#This Row],[Muestra]]),"0")</f>
        <v>0</v>
      </c>
      <c r="AT15" s="38">
        <v>0</v>
      </c>
      <c r="AU15" s="39">
        <f>+IFERROR((FT_RF_264[[#This Row],[Calibre &lt;14]]/FT_RF_264[[#This Row],[Muestra]]),"0")</f>
        <v>0</v>
      </c>
      <c r="AV15" s="38">
        <v>0</v>
      </c>
      <c r="AW15" s="39">
        <f>+IFERROR((FT_RF_264[[#This Row],[Calibre &gt;14]]/FT_RF_264[[#This Row],[Muestra]]),"0")</f>
        <v>0</v>
      </c>
      <c r="AX15" s="38">
        <v>0</v>
      </c>
      <c r="AY15" s="39">
        <f>+IFERROR((FT_RF_264[[#This Row],[Calibre &lt;10]]/FT_RF_264[[#This Row],[Muestra]]),"0")</f>
        <v>0</v>
      </c>
      <c r="AZ15" s="38">
        <v>0</v>
      </c>
      <c r="BA15" s="39">
        <f>+IFERROR((FT_RF_264[[#This Row],[Calibre &gt;13]]/FT_RF_264[[#This Row],[Muestra]]),"0")</f>
        <v>0</v>
      </c>
      <c r="BB15" s="41"/>
      <c r="BG15" s="42"/>
      <c r="BH15" s="43">
        <v>0</v>
      </c>
      <c r="BI15" s="29" t="s">
        <v>894</v>
      </c>
      <c r="BJ15" s="29" t="s">
        <v>894</v>
      </c>
      <c r="BK1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5" s="45">
        <f>1-FT_RF_264[[#This Row],[% Defectos]]</f>
        <v>1</v>
      </c>
      <c r="BO15" s="60"/>
      <c r="BP15" s="12">
        <f>SUM(FT_RF_264[[#This Row],[Hoja (Un.)]:[Larvas Caja]])</f>
        <v>0</v>
      </c>
      <c r="BQ15" s="12">
        <f>SUM(FT_RF_264[[#This Row],[Vidrios]:[Plástico]])</f>
        <v>0</v>
      </c>
      <c r="BR15" s="12" t="str">
        <f>IF(ISBLANK(FT_RF_264[[#This Row],[Descripción del producto]]),"",FT_RF_264[[#This Row],[Descripción del producto]])</f>
        <v/>
      </c>
      <c r="BS15" s="29" t="str">
        <f>IF(ISBLANK(FT_RF_264[[#This Row],[N° de Lote]]),"",FT_RF_264[[#This Row],[N° de Lote]])</f>
        <v/>
      </c>
      <c r="BT15" s="29" t="str">
        <f>IF(ISBLANK(FT_RF_264[[#This Row],[N° de Pallet]]),"",FT_RF_264[[#This Row],[N° de Pallet]])</f>
        <v/>
      </c>
    </row>
    <row r="16" spans="1:72">
      <c r="B16" s="29">
        <f>+_xlfn.ISOWEEKNUM(FT_RF_264[[#This Row],[Fecha]])</f>
        <v>52</v>
      </c>
      <c r="E16" s="31"/>
      <c r="F16" s="12" t="str">
        <f>IFERROR(""&amp;_xlfn.XLOOKUP(FT_RF_264[[#This Row],[Código]],BD_Cod[SKU],BD_Cod[Descripción]),"")</f>
        <v/>
      </c>
      <c r="G16" s="32" t="str">
        <f>IFERROR(""&amp;_xlfn.XLOOKUP(FT_RF_264[[#This Row],[Código]],BD_Cod[SKU],BD_Cod[Familia Calidad]),"")</f>
        <v/>
      </c>
      <c r="J16" s="33">
        <v>1000</v>
      </c>
      <c r="L16" s="30" t="s">
        <v>244</v>
      </c>
      <c r="O16" s="30" t="s">
        <v>894</v>
      </c>
      <c r="P16" s="29" t="s">
        <v>894</v>
      </c>
      <c r="Q16" s="37">
        <f>1-FT_RF_264[[#This Row],[% Defectos]]</f>
        <v>1</v>
      </c>
      <c r="R16" s="38">
        <v>0</v>
      </c>
      <c r="S16" s="39">
        <f>+IFERROR((FT_RF_264[[#This Row],[Inmadura]]/FT_RF_264[[#This Row],[Muestra]]),"0")</f>
        <v>0</v>
      </c>
      <c r="T16" s="38">
        <v>0</v>
      </c>
      <c r="U16" s="39">
        <f>+IFERROR((FT_RF_264[[#This Row],[Partidas]]/FT_RF_264[[#This Row],[Muestra]]),"0")</f>
        <v>0</v>
      </c>
      <c r="V16" s="38">
        <v>0</v>
      </c>
      <c r="W16" s="39">
        <f>+IFERROR((FT_RF_264[[#This Row],[Daño Insecto]]/FT_RF_264[[#This Row],[Muestra]]),"0")</f>
        <v>0</v>
      </c>
      <c r="X16" s="38">
        <v>0</v>
      </c>
      <c r="Y16" s="39">
        <f>+IFERROR((FT_RF_264[[#This Row],[Sobremadura]]/FT_RF_264[[#This Row],[Muestra]]),"0")</f>
        <v>0</v>
      </c>
      <c r="Z16" s="38">
        <v>0</v>
      </c>
      <c r="AA16" s="39">
        <f>+IFERROR((FT_RF_264[[#This Row],[Deforme]]/FT_RF_264[[#This Row],[Muestra]]),"0")</f>
        <v>0</v>
      </c>
      <c r="AB16" s="27"/>
      <c r="AC16" s="38">
        <v>0</v>
      </c>
      <c r="AD16" s="39">
        <f>+IFERROR((FT_RF_264[[#This Row],[Valor Extra 1]]/FT_RF_264[[#This Row],[Muestra]]),"0")</f>
        <v>0</v>
      </c>
      <c r="AF16" s="38">
        <v>0</v>
      </c>
      <c r="AG16" s="39">
        <f>+IFERROR((FT_RF_264[[#This Row],[Valor Extra 2]]/FT_RF_264[[#This Row],[Muestra]]),"0")</f>
        <v>0</v>
      </c>
      <c r="AH16" s="40">
        <v>0</v>
      </c>
      <c r="AI16" s="39">
        <f>+IFERROR((FT_RF_264[[#This Row],[Hongos]]/FT_RF_264[[#This Row],[Muestra]]),"0")</f>
        <v>0</v>
      </c>
      <c r="AJ16" s="38">
        <v>0</v>
      </c>
      <c r="AK16" s="39">
        <f>+IFERROR((FT_RF_264[[#This Row],[Block]]/FT_RF_264[[#This Row],[Muestra]]),"0")</f>
        <v>0</v>
      </c>
      <c r="AL16" s="41">
        <v>0</v>
      </c>
      <c r="AM16" s="42">
        <v>0</v>
      </c>
      <c r="AN16" s="38">
        <v>0</v>
      </c>
      <c r="AO16" s="39">
        <f>+IFERROR((FT_RF_264[[#This Row],[Fuera de calibre &lt;12mm]]/FT_RF_264[[#This Row],[Muestra]]),"0")</f>
        <v>0</v>
      </c>
      <c r="AP16" s="38">
        <v>0</v>
      </c>
      <c r="AQ16" s="39">
        <f>+IFERROR((FT_RF_264[[#This Row],[Calibre &lt;25]]/FT_RF_264[[#This Row],[Muestra]]),"0")</f>
        <v>0</v>
      </c>
      <c r="AR16" s="38">
        <v>0</v>
      </c>
      <c r="AS16" s="39">
        <f>+IFERROR((FT_RF_264[[#This Row],[Calibre &gt;12]]/FT_RF_264[[#This Row],[Muestra]]),"0")</f>
        <v>0</v>
      </c>
      <c r="AT16" s="38">
        <v>0</v>
      </c>
      <c r="AU16" s="39">
        <f>+IFERROR((FT_RF_264[[#This Row],[Calibre &lt;14]]/FT_RF_264[[#This Row],[Muestra]]),"0")</f>
        <v>0</v>
      </c>
      <c r="AV16" s="38">
        <v>0</v>
      </c>
      <c r="AW16" s="39">
        <f>+IFERROR((FT_RF_264[[#This Row],[Calibre &gt;14]]/FT_RF_264[[#This Row],[Muestra]]),"0")</f>
        <v>0</v>
      </c>
      <c r="AX16" s="38">
        <v>0</v>
      </c>
      <c r="AY16" s="39">
        <f>+IFERROR((FT_RF_264[[#This Row],[Calibre &lt;10]]/FT_RF_264[[#This Row],[Muestra]]),"0")</f>
        <v>0</v>
      </c>
      <c r="AZ16" s="38">
        <v>0</v>
      </c>
      <c r="BA16" s="39">
        <f>+IFERROR((FT_RF_264[[#This Row],[Calibre &gt;13]]/FT_RF_264[[#This Row],[Muestra]]),"0")</f>
        <v>0</v>
      </c>
      <c r="BB16" s="41"/>
      <c r="BG16" s="42"/>
      <c r="BH16" s="43">
        <v>0</v>
      </c>
      <c r="BI16" s="29" t="s">
        <v>894</v>
      </c>
      <c r="BJ16" s="29" t="s">
        <v>894</v>
      </c>
      <c r="BK1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6" s="45">
        <f>1-FT_RF_264[[#This Row],[% Defectos]]</f>
        <v>1</v>
      </c>
      <c r="BO16" s="60"/>
      <c r="BP16" s="12">
        <f>SUM(FT_RF_264[[#This Row],[Hoja (Un.)]:[Larvas Caja]])</f>
        <v>0</v>
      </c>
      <c r="BQ16" s="12">
        <f>SUM(FT_RF_264[[#This Row],[Vidrios]:[Plástico]])</f>
        <v>0</v>
      </c>
      <c r="BR16" s="12" t="str">
        <f>IF(ISBLANK(FT_RF_264[[#This Row],[Descripción del producto]]),"",FT_RF_264[[#This Row],[Descripción del producto]])</f>
        <v/>
      </c>
      <c r="BS16" s="29" t="str">
        <f>IF(ISBLANK(FT_RF_264[[#This Row],[N° de Lote]]),"",FT_RF_264[[#This Row],[N° de Lote]])</f>
        <v/>
      </c>
      <c r="BT16" s="29" t="str">
        <f>IF(ISBLANK(FT_RF_264[[#This Row],[N° de Pallet]]),"",FT_RF_264[[#This Row],[N° de Pallet]])</f>
        <v/>
      </c>
    </row>
    <row r="17" spans="2:72">
      <c r="B17" s="29">
        <f>+_xlfn.ISOWEEKNUM(FT_RF_264[[#This Row],[Fecha]])</f>
        <v>52</v>
      </c>
      <c r="E17" s="31"/>
      <c r="F17" s="12" t="str">
        <f>IFERROR(""&amp;_xlfn.XLOOKUP(FT_RF_264[[#This Row],[Código]],BD_Cod[SKU],BD_Cod[Descripción]),"")</f>
        <v/>
      </c>
      <c r="G17" s="32" t="str">
        <f>IFERROR(""&amp;_xlfn.XLOOKUP(FT_RF_264[[#This Row],[Código]],BD_Cod[SKU],BD_Cod[Familia Calidad]),"")</f>
        <v/>
      </c>
      <c r="J17" s="33">
        <v>1000</v>
      </c>
      <c r="L17" s="30" t="s">
        <v>244</v>
      </c>
      <c r="O17" s="30" t="s">
        <v>894</v>
      </c>
      <c r="P17" s="29" t="s">
        <v>894</v>
      </c>
      <c r="Q17" s="37">
        <f>1-FT_RF_264[[#This Row],[% Defectos]]</f>
        <v>1</v>
      </c>
      <c r="R17" s="38">
        <v>0</v>
      </c>
      <c r="S17" s="39">
        <f>+IFERROR((FT_RF_264[[#This Row],[Inmadura]]/FT_RF_264[[#This Row],[Muestra]]),"0")</f>
        <v>0</v>
      </c>
      <c r="T17" s="38">
        <v>0</v>
      </c>
      <c r="U17" s="39">
        <f>+IFERROR((FT_RF_264[[#This Row],[Partidas]]/FT_RF_264[[#This Row],[Muestra]]),"0")</f>
        <v>0</v>
      </c>
      <c r="V17" s="38">
        <v>0</v>
      </c>
      <c r="W17" s="39">
        <f>+IFERROR((FT_RF_264[[#This Row],[Daño Insecto]]/FT_RF_264[[#This Row],[Muestra]]),"0")</f>
        <v>0</v>
      </c>
      <c r="X17" s="38">
        <v>0</v>
      </c>
      <c r="Y17" s="39">
        <f>+IFERROR((FT_RF_264[[#This Row],[Sobremadura]]/FT_RF_264[[#This Row],[Muestra]]),"0")</f>
        <v>0</v>
      </c>
      <c r="Z17" s="38">
        <v>0</v>
      </c>
      <c r="AA17" s="39">
        <f>+IFERROR((FT_RF_264[[#This Row],[Deforme]]/FT_RF_264[[#This Row],[Muestra]]),"0")</f>
        <v>0</v>
      </c>
      <c r="AB17" s="27"/>
      <c r="AC17" s="38">
        <v>0</v>
      </c>
      <c r="AD17" s="39">
        <f>+IFERROR((FT_RF_264[[#This Row],[Valor Extra 1]]/FT_RF_264[[#This Row],[Muestra]]),"0")</f>
        <v>0</v>
      </c>
      <c r="AF17" s="38">
        <v>0</v>
      </c>
      <c r="AG17" s="39">
        <f>+IFERROR((FT_RF_264[[#This Row],[Valor Extra 2]]/FT_RF_264[[#This Row],[Muestra]]),"0")</f>
        <v>0</v>
      </c>
      <c r="AH17" s="40">
        <v>0</v>
      </c>
      <c r="AI17" s="39">
        <f>+IFERROR((FT_RF_264[[#This Row],[Hongos]]/FT_RF_264[[#This Row],[Muestra]]),"0")</f>
        <v>0</v>
      </c>
      <c r="AJ17" s="38">
        <v>0</v>
      </c>
      <c r="AK17" s="39">
        <f>+IFERROR((FT_RF_264[[#This Row],[Block]]/FT_RF_264[[#This Row],[Muestra]]),"0")</f>
        <v>0</v>
      </c>
      <c r="AL17" s="41">
        <v>0</v>
      </c>
      <c r="AM17" s="42">
        <v>0</v>
      </c>
      <c r="AN17" s="38">
        <v>0</v>
      </c>
      <c r="AO17" s="39">
        <f>+IFERROR((FT_RF_264[[#This Row],[Fuera de calibre &lt;12mm]]/FT_RF_264[[#This Row],[Muestra]]),"0")</f>
        <v>0</v>
      </c>
      <c r="AP17" s="38">
        <v>0</v>
      </c>
      <c r="AQ17" s="39">
        <f>+IFERROR((FT_RF_264[[#This Row],[Calibre &lt;25]]/FT_RF_264[[#This Row],[Muestra]]),"0")</f>
        <v>0</v>
      </c>
      <c r="AR17" s="38">
        <v>0</v>
      </c>
      <c r="AS17" s="39">
        <f>+IFERROR((FT_RF_264[[#This Row],[Calibre &gt;12]]/FT_RF_264[[#This Row],[Muestra]]),"0")</f>
        <v>0</v>
      </c>
      <c r="AT17" s="38">
        <v>0</v>
      </c>
      <c r="AU17" s="39">
        <f>+IFERROR((FT_RF_264[[#This Row],[Calibre &lt;14]]/FT_RF_264[[#This Row],[Muestra]]),"0")</f>
        <v>0</v>
      </c>
      <c r="AV17" s="38">
        <v>0</v>
      </c>
      <c r="AW17" s="39">
        <f>+IFERROR((FT_RF_264[[#This Row],[Calibre &gt;14]]/FT_RF_264[[#This Row],[Muestra]]),"0")</f>
        <v>0</v>
      </c>
      <c r="AX17" s="38">
        <v>0</v>
      </c>
      <c r="AY17" s="39">
        <f>+IFERROR((FT_RF_264[[#This Row],[Calibre &lt;10]]/FT_RF_264[[#This Row],[Muestra]]),"0")</f>
        <v>0</v>
      </c>
      <c r="AZ17" s="38">
        <v>0</v>
      </c>
      <c r="BA17" s="39">
        <f>+IFERROR((FT_RF_264[[#This Row],[Calibre &gt;13]]/FT_RF_264[[#This Row],[Muestra]]),"0")</f>
        <v>0</v>
      </c>
      <c r="BB17" s="41"/>
      <c r="BG17" s="42"/>
      <c r="BH17" s="43">
        <v>0</v>
      </c>
      <c r="BI17" s="29" t="s">
        <v>894</v>
      </c>
      <c r="BJ17" s="29" t="s">
        <v>894</v>
      </c>
      <c r="BK1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7" s="45">
        <f>1-FT_RF_264[[#This Row],[% Defectos]]</f>
        <v>1</v>
      </c>
      <c r="BO17" s="60"/>
      <c r="BP17" s="12">
        <f>SUM(FT_RF_264[[#This Row],[Hoja (Un.)]:[Larvas Caja]])</f>
        <v>0</v>
      </c>
      <c r="BQ17" s="12">
        <f>SUM(FT_RF_264[[#This Row],[Vidrios]:[Plástico]])</f>
        <v>0</v>
      </c>
      <c r="BR17" s="12" t="str">
        <f>IF(ISBLANK(FT_RF_264[[#This Row],[Descripción del producto]]),"",FT_RF_264[[#This Row],[Descripción del producto]])</f>
        <v/>
      </c>
      <c r="BS17" s="29" t="str">
        <f>IF(ISBLANK(FT_RF_264[[#This Row],[N° de Lote]]),"",FT_RF_264[[#This Row],[N° de Lote]])</f>
        <v/>
      </c>
      <c r="BT17" s="29" t="str">
        <f>IF(ISBLANK(FT_RF_264[[#This Row],[N° de Pallet]]),"",FT_RF_264[[#This Row],[N° de Pallet]])</f>
        <v/>
      </c>
    </row>
    <row r="18" spans="2:72">
      <c r="B18" s="29">
        <f>+_xlfn.ISOWEEKNUM(FT_RF_264[[#This Row],[Fecha]])</f>
        <v>52</v>
      </c>
      <c r="E18" s="31"/>
      <c r="F18" s="12" t="str">
        <f>IFERROR(""&amp;_xlfn.XLOOKUP(FT_RF_264[[#This Row],[Código]],BD_Cod[SKU],BD_Cod[Descripción]),"")</f>
        <v/>
      </c>
      <c r="G18" s="32" t="str">
        <f>IFERROR(""&amp;_xlfn.XLOOKUP(FT_RF_264[[#This Row],[Código]],BD_Cod[SKU],BD_Cod[Familia Calidad]),"")</f>
        <v/>
      </c>
      <c r="J18" s="33">
        <v>1000</v>
      </c>
      <c r="L18" s="30" t="s">
        <v>244</v>
      </c>
      <c r="O18" s="30" t="s">
        <v>894</v>
      </c>
      <c r="P18" s="29" t="s">
        <v>894</v>
      </c>
      <c r="Q18" s="37">
        <f>1-FT_RF_264[[#This Row],[% Defectos]]</f>
        <v>1</v>
      </c>
      <c r="R18" s="38">
        <v>0</v>
      </c>
      <c r="S18" s="39">
        <f>+IFERROR((FT_RF_264[[#This Row],[Inmadura]]/FT_RF_264[[#This Row],[Muestra]]),"0")</f>
        <v>0</v>
      </c>
      <c r="T18" s="38">
        <v>0</v>
      </c>
      <c r="U18" s="39">
        <f>+IFERROR((FT_RF_264[[#This Row],[Partidas]]/FT_RF_264[[#This Row],[Muestra]]),"0")</f>
        <v>0</v>
      </c>
      <c r="V18" s="38">
        <v>0</v>
      </c>
      <c r="W18" s="39">
        <f>+IFERROR((FT_RF_264[[#This Row],[Daño Insecto]]/FT_RF_264[[#This Row],[Muestra]]),"0")</f>
        <v>0</v>
      </c>
      <c r="X18" s="38">
        <v>0</v>
      </c>
      <c r="Y18" s="39">
        <f>+IFERROR((FT_RF_264[[#This Row],[Sobremadura]]/FT_RF_264[[#This Row],[Muestra]]),"0")</f>
        <v>0</v>
      </c>
      <c r="Z18" s="38">
        <v>0</v>
      </c>
      <c r="AA18" s="39">
        <f>+IFERROR((FT_RF_264[[#This Row],[Deforme]]/FT_RF_264[[#This Row],[Muestra]]),"0")</f>
        <v>0</v>
      </c>
      <c r="AB18" s="27"/>
      <c r="AC18" s="38">
        <v>0</v>
      </c>
      <c r="AD18" s="39">
        <f>+IFERROR((FT_RF_264[[#This Row],[Valor Extra 1]]/FT_RF_264[[#This Row],[Muestra]]),"0")</f>
        <v>0</v>
      </c>
      <c r="AF18" s="38">
        <v>0</v>
      </c>
      <c r="AG18" s="39">
        <f>+IFERROR((FT_RF_264[[#This Row],[Valor Extra 2]]/FT_RF_264[[#This Row],[Muestra]]),"0")</f>
        <v>0</v>
      </c>
      <c r="AH18" s="40">
        <v>0</v>
      </c>
      <c r="AI18" s="39">
        <f>+IFERROR((FT_RF_264[[#This Row],[Hongos]]/FT_RF_264[[#This Row],[Muestra]]),"0")</f>
        <v>0</v>
      </c>
      <c r="AJ18" s="38">
        <v>0</v>
      </c>
      <c r="AK18" s="39">
        <f>+IFERROR((FT_RF_264[[#This Row],[Block]]/FT_RF_264[[#This Row],[Muestra]]),"0")</f>
        <v>0</v>
      </c>
      <c r="AL18" s="41">
        <v>0</v>
      </c>
      <c r="AM18" s="42">
        <v>0</v>
      </c>
      <c r="AN18" s="38">
        <v>0</v>
      </c>
      <c r="AO18" s="39">
        <f>+IFERROR((FT_RF_264[[#This Row],[Fuera de calibre &lt;12mm]]/FT_RF_264[[#This Row],[Muestra]]),"0")</f>
        <v>0</v>
      </c>
      <c r="AP18" s="38">
        <v>0</v>
      </c>
      <c r="AQ18" s="39">
        <f>+IFERROR((FT_RF_264[[#This Row],[Calibre &lt;25]]/FT_RF_264[[#This Row],[Muestra]]),"0")</f>
        <v>0</v>
      </c>
      <c r="AR18" s="38">
        <v>0</v>
      </c>
      <c r="AS18" s="39">
        <f>+IFERROR((FT_RF_264[[#This Row],[Calibre &gt;12]]/FT_RF_264[[#This Row],[Muestra]]),"0")</f>
        <v>0</v>
      </c>
      <c r="AT18" s="38">
        <v>0</v>
      </c>
      <c r="AU18" s="39">
        <f>+IFERROR((FT_RF_264[[#This Row],[Calibre &lt;14]]/FT_RF_264[[#This Row],[Muestra]]),"0")</f>
        <v>0</v>
      </c>
      <c r="AV18" s="38">
        <v>0</v>
      </c>
      <c r="AW18" s="39">
        <f>+IFERROR((FT_RF_264[[#This Row],[Calibre &gt;14]]/FT_RF_264[[#This Row],[Muestra]]),"0")</f>
        <v>0</v>
      </c>
      <c r="AX18" s="38">
        <v>0</v>
      </c>
      <c r="AY18" s="39">
        <f>+IFERROR((FT_RF_264[[#This Row],[Calibre &lt;10]]/FT_RF_264[[#This Row],[Muestra]]),"0")</f>
        <v>0</v>
      </c>
      <c r="AZ18" s="38">
        <v>0</v>
      </c>
      <c r="BA18" s="39">
        <f>+IFERROR((FT_RF_264[[#This Row],[Calibre &gt;13]]/FT_RF_264[[#This Row],[Muestra]]),"0")</f>
        <v>0</v>
      </c>
      <c r="BB18" s="41"/>
      <c r="BG18" s="42"/>
      <c r="BH18" s="43">
        <v>0</v>
      </c>
      <c r="BI18" s="29" t="s">
        <v>894</v>
      </c>
      <c r="BJ18" s="29" t="s">
        <v>894</v>
      </c>
      <c r="BK1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8" s="45">
        <f>1-FT_RF_264[[#This Row],[% Defectos]]</f>
        <v>1</v>
      </c>
      <c r="BO18" s="60"/>
      <c r="BP18" s="12">
        <f>SUM(FT_RF_264[[#This Row],[Hoja (Un.)]:[Larvas Caja]])</f>
        <v>0</v>
      </c>
      <c r="BQ18" s="12">
        <f>SUM(FT_RF_264[[#This Row],[Vidrios]:[Plástico]])</f>
        <v>0</v>
      </c>
      <c r="BR18" s="12" t="str">
        <f>IF(ISBLANK(FT_RF_264[[#This Row],[Descripción del producto]]),"",FT_RF_264[[#This Row],[Descripción del producto]])</f>
        <v/>
      </c>
      <c r="BS18" s="29" t="str">
        <f>IF(ISBLANK(FT_RF_264[[#This Row],[N° de Lote]]),"",FT_RF_264[[#This Row],[N° de Lote]])</f>
        <v/>
      </c>
      <c r="BT18" s="29" t="str">
        <f>IF(ISBLANK(FT_RF_264[[#This Row],[N° de Pallet]]),"",FT_RF_264[[#This Row],[N° de Pallet]])</f>
        <v/>
      </c>
    </row>
    <row r="19" spans="2:72">
      <c r="B19" s="29">
        <f>+_xlfn.ISOWEEKNUM(FT_RF_264[[#This Row],[Fecha]])</f>
        <v>52</v>
      </c>
      <c r="E19" s="31"/>
      <c r="F19" s="12" t="str">
        <f>IFERROR(""&amp;_xlfn.XLOOKUP(FT_RF_264[[#This Row],[Código]],BD_Cod[SKU],BD_Cod[Descripción]),"")</f>
        <v/>
      </c>
      <c r="G19" s="32" t="str">
        <f>IFERROR(""&amp;_xlfn.XLOOKUP(FT_RF_264[[#This Row],[Código]],BD_Cod[SKU],BD_Cod[Familia Calidad]),"")</f>
        <v/>
      </c>
      <c r="J19" s="33">
        <v>1000</v>
      </c>
      <c r="L19" s="30" t="s">
        <v>244</v>
      </c>
      <c r="O19" s="30" t="s">
        <v>894</v>
      </c>
      <c r="P19" s="29" t="s">
        <v>894</v>
      </c>
      <c r="Q19" s="37">
        <f>1-FT_RF_264[[#This Row],[% Defectos]]</f>
        <v>1</v>
      </c>
      <c r="R19" s="38">
        <v>0</v>
      </c>
      <c r="S19" s="39">
        <f>+IFERROR((FT_RF_264[[#This Row],[Inmadura]]/FT_RF_264[[#This Row],[Muestra]]),"0")</f>
        <v>0</v>
      </c>
      <c r="T19" s="38">
        <v>0</v>
      </c>
      <c r="U19" s="39">
        <f>+IFERROR((FT_RF_264[[#This Row],[Partidas]]/FT_RF_264[[#This Row],[Muestra]]),"0")</f>
        <v>0</v>
      </c>
      <c r="V19" s="38">
        <v>0</v>
      </c>
      <c r="W19" s="39">
        <f>+IFERROR((FT_RF_264[[#This Row],[Daño Insecto]]/FT_RF_264[[#This Row],[Muestra]]),"0")</f>
        <v>0</v>
      </c>
      <c r="X19" s="38">
        <v>0</v>
      </c>
      <c r="Y19" s="39">
        <f>+IFERROR((FT_RF_264[[#This Row],[Sobremadura]]/FT_RF_264[[#This Row],[Muestra]]),"0")</f>
        <v>0</v>
      </c>
      <c r="Z19" s="38">
        <v>0</v>
      </c>
      <c r="AA19" s="39">
        <f>+IFERROR((FT_RF_264[[#This Row],[Deforme]]/FT_RF_264[[#This Row],[Muestra]]),"0")</f>
        <v>0</v>
      </c>
      <c r="AB19" s="27"/>
      <c r="AC19" s="38">
        <v>0</v>
      </c>
      <c r="AD19" s="39">
        <f>+IFERROR((FT_RF_264[[#This Row],[Valor Extra 1]]/FT_RF_264[[#This Row],[Muestra]]),"0")</f>
        <v>0</v>
      </c>
      <c r="AF19" s="38">
        <v>0</v>
      </c>
      <c r="AG19" s="39">
        <f>+IFERROR((FT_RF_264[[#This Row],[Valor Extra 2]]/FT_RF_264[[#This Row],[Muestra]]),"0")</f>
        <v>0</v>
      </c>
      <c r="AH19" s="40">
        <v>0</v>
      </c>
      <c r="AI19" s="39">
        <f>+IFERROR((FT_RF_264[[#This Row],[Hongos]]/FT_RF_264[[#This Row],[Muestra]]),"0")</f>
        <v>0</v>
      </c>
      <c r="AJ19" s="38">
        <v>0</v>
      </c>
      <c r="AK19" s="39">
        <f>+IFERROR((FT_RF_264[[#This Row],[Block]]/FT_RF_264[[#This Row],[Muestra]]),"0")</f>
        <v>0</v>
      </c>
      <c r="AL19" s="41">
        <v>0</v>
      </c>
      <c r="AM19" s="42">
        <v>0</v>
      </c>
      <c r="AN19" s="38">
        <v>0</v>
      </c>
      <c r="AO19" s="39">
        <f>+IFERROR((FT_RF_264[[#This Row],[Fuera de calibre &lt;12mm]]/FT_RF_264[[#This Row],[Muestra]]),"0")</f>
        <v>0</v>
      </c>
      <c r="AP19" s="38">
        <v>0</v>
      </c>
      <c r="AQ19" s="39">
        <f>+IFERROR((FT_RF_264[[#This Row],[Calibre &lt;25]]/FT_RF_264[[#This Row],[Muestra]]),"0")</f>
        <v>0</v>
      </c>
      <c r="AR19" s="38">
        <v>0</v>
      </c>
      <c r="AS19" s="39">
        <f>+IFERROR((FT_RF_264[[#This Row],[Calibre &gt;12]]/FT_RF_264[[#This Row],[Muestra]]),"0")</f>
        <v>0</v>
      </c>
      <c r="AT19" s="38">
        <v>0</v>
      </c>
      <c r="AU19" s="39">
        <f>+IFERROR((FT_RF_264[[#This Row],[Calibre &lt;14]]/FT_RF_264[[#This Row],[Muestra]]),"0")</f>
        <v>0</v>
      </c>
      <c r="AV19" s="38">
        <v>0</v>
      </c>
      <c r="AW19" s="39">
        <f>+IFERROR((FT_RF_264[[#This Row],[Calibre &gt;14]]/FT_RF_264[[#This Row],[Muestra]]),"0")</f>
        <v>0</v>
      </c>
      <c r="AX19" s="38">
        <v>0</v>
      </c>
      <c r="AY19" s="39">
        <f>+IFERROR((FT_RF_264[[#This Row],[Calibre &lt;10]]/FT_RF_264[[#This Row],[Muestra]]),"0")</f>
        <v>0</v>
      </c>
      <c r="AZ19" s="38">
        <v>0</v>
      </c>
      <c r="BA19" s="39">
        <f>+IFERROR((FT_RF_264[[#This Row],[Calibre &gt;13]]/FT_RF_264[[#This Row],[Muestra]]),"0")</f>
        <v>0</v>
      </c>
      <c r="BB19" s="41"/>
      <c r="BG19" s="42"/>
      <c r="BH19" s="43">
        <v>0</v>
      </c>
      <c r="BI19" s="29" t="s">
        <v>894</v>
      </c>
      <c r="BJ19" s="29" t="s">
        <v>894</v>
      </c>
      <c r="BK1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9" s="45">
        <f>1-FT_RF_264[[#This Row],[% Defectos]]</f>
        <v>1</v>
      </c>
      <c r="BO19" s="60"/>
      <c r="BP19" s="12">
        <f>SUM(FT_RF_264[[#This Row],[Hoja (Un.)]:[Larvas Caja]])</f>
        <v>0</v>
      </c>
      <c r="BQ19" s="12">
        <f>SUM(FT_RF_264[[#This Row],[Vidrios]:[Plástico]])</f>
        <v>0</v>
      </c>
      <c r="BR19" s="12" t="str">
        <f>IF(ISBLANK(FT_RF_264[[#This Row],[Descripción del producto]]),"",FT_RF_264[[#This Row],[Descripción del producto]])</f>
        <v/>
      </c>
      <c r="BS19" s="29" t="str">
        <f>IF(ISBLANK(FT_RF_264[[#This Row],[N° de Lote]]),"",FT_RF_264[[#This Row],[N° de Lote]])</f>
        <v/>
      </c>
      <c r="BT19" s="29" t="str">
        <f>IF(ISBLANK(FT_RF_264[[#This Row],[N° de Pallet]]),"",FT_RF_264[[#This Row],[N° de Pallet]])</f>
        <v/>
      </c>
    </row>
    <row r="20" spans="2:72">
      <c r="B20" s="29">
        <f>+_xlfn.ISOWEEKNUM(FT_RF_264[[#This Row],[Fecha]])</f>
        <v>52</v>
      </c>
      <c r="E20" s="31"/>
      <c r="F20" s="12" t="str">
        <f>IFERROR(""&amp;_xlfn.XLOOKUP(FT_RF_264[[#This Row],[Código]],BD_Cod[SKU],BD_Cod[Descripción]),"")</f>
        <v/>
      </c>
      <c r="G20" s="32" t="str">
        <f>IFERROR(""&amp;_xlfn.XLOOKUP(FT_RF_264[[#This Row],[Código]],BD_Cod[SKU],BD_Cod[Familia Calidad]),"")</f>
        <v/>
      </c>
      <c r="J20" s="33">
        <v>1000</v>
      </c>
      <c r="L20" s="30" t="s">
        <v>244</v>
      </c>
      <c r="O20" s="30" t="s">
        <v>894</v>
      </c>
      <c r="P20" s="29" t="s">
        <v>894</v>
      </c>
      <c r="Q20" s="37">
        <f>1-FT_RF_264[[#This Row],[% Defectos]]</f>
        <v>1</v>
      </c>
      <c r="R20" s="38">
        <v>0</v>
      </c>
      <c r="S20" s="39">
        <f>+IFERROR((FT_RF_264[[#This Row],[Inmadura]]/FT_RF_264[[#This Row],[Muestra]]),"0")</f>
        <v>0</v>
      </c>
      <c r="T20" s="38">
        <v>0</v>
      </c>
      <c r="U20" s="39">
        <f>+IFERROR((FT_RF_264[[#This Row],[Partidas]]/FT_RF_264[[#This Row],[Muestra]]),"0")</f>
        <v>0</v>
      </c>
      <c r="V20" s="38">
        <v>0</v>
      </c>
      <c r="W20" s="39">
        <f>+IFERROR((FT_RF_264[[#This Row],[Daño Insecto]]/FT_RF_264[[#This Row],[Muestra]]),"0")</f>
        <v>0</v>
      </c>
      <c r="X20" s="38">
        <v>0</v>
      </c>
      <c r="Y20" s="39">
        <f>+IFERROR((FT_RF_264[[#This Row],[Sobremadura]]/FT_RF_264[[#This Row],[Muestra]]),"0")</f>
        <v>0</v>
      </c>
      <c r="Z20" s="38">
        <v>0</v>
      </c>
      <c r="AA20" s="39">
        <f>+IFERROR((FT_RF_264[[#This Row],[Deforme]]/FT_RF_264[[#This Row],[Muestra]]),"0")</f>
        <v>0</v>
      </c>
      <c r="AB20" s="27"/>
      <c r="AC20" s="38">
        <v>0</v>
      </c>
      <c r="AD20" s="39">
        <f>+IFERROR((FT_RF_264[[#This Row],[Valor Extra 1]]/FT_RF_264[[#This Row],[Muestra]]),"0")</f>
        <v>0</v>
      </c>
      <c r="AF20" s="38">
        <v>0</v>
      </c>
      <c r="AG20" s="39">
        <f>+IFERROR((FT_RF_264[[#This Row],[Valor Extra 2]]/FT_RF_264[[#This Row],[Muestra]]),"0")</f>
        <v>0</v>
      </c>
      <c r="AH20" s="40">
        <v>0</v>
      </c>
      <c r="AI20" s="39">
        <f>+IFERROR((FT_RF_264[[#This Row],[Hongos]]/FT_RF_264[[#This Row],[Muestra]]),"0")</f>
        <v>0</v>
      </c>
      <c r="AJ20" s="38">
        <v>0</v>
      </c>
      <c r="AK20" s="39">
        <f>+IFERROR((FT_RF_264[[#This Row],[Block]]/FT_RF_264[[#This Row],[Muestra]]),"0")</f>
        <v>0</v>
      </c>
      <c r="AL20" s="41">
        <v>0</v>
      </c>
      <c r="AM20" s="42">
        <v>0</v>
      </c>
      <c r="AN20" s="38">
        <v>0</v>
      </c>
      <c r="AO20" s="39">
        <f>+IFERROR((FT_RF_264[[#This Row],[Fuera de calibre &lt;12mm]]/FT_RF_264[[#This Row],[Muestra]]),"0")</f>
        <v>0</v>
      </c>
      <c r="AP20" s="38">
        <v>0</v>
      </c>
      <c r="AQ20" s="39">
        <f>+IFERROR((FT_RF_264[[#This Row],[Calibre &lt;25]]/FT_RF_264[[#This Row],[Muestra]]),"0")</f>
        <v>0</v>
      </c>
      <c r="AR20" s="38">
        <v>0</v>
      </c>
      <c r="AS20" s="39">
        <f>+IFERROR((FT_RF_264[[#This Row],[Calibre &gt;12]]/FT_RF_264[[#This Row],[Muestra]]),"0")</f>
        <v>0</v>
      </c>
      <c r="AT20" s="38">
        <v>0</v>
      </c>
      <c r="AU20" s="39">
        <f>+IFERROR((FT_RF_264[[#This Row],[Calibre &lt;14]]/FT_RF_264[[#This Row],[Muestra]]),"0")</f>
        <v>0</v>
      </c>
      <c r="AV20" s="38">
        <v>0</v>
      </c>
      <c r="AW20" s="39">
        <f>+IFERROR((FT_RF_264[[#This Row],[Calibre &gt;14]]/FT_RF_264[[#This Row],[Muestra]]),"0")</f>
        <v>0</v>
      </c>
      <c r="AX20" s="38">
        <v>0</v>
      </c>
      <c r="AY20" s="39">
        <f>+IFERROR((FT_RF_264[[#This Row],[Calibre &lt;10]]/FT_RF_264[[#This Row],[Muestra]]),"0")</f>
        <v>0</v>
      </c>
      <c r="AZ20" s="38">
        <v>0</v>
      </c>
      <c r="BA20" s="39">
        <f>+IFERROR((FT_RF_264[[#This Row],[Calibre &gt;13]]/FT_RF_264[[#This Row],[Muestra]]),"0")</f>
        <v>0</v>
      </c>
      <c r="BB20" s="41"/>
      <c r="BG20" s="42"/>
      <c r="BH20" s="43">
        <v>0</v>
      </c>
      <c r="BI20" s="29" t="s">
        <v>894</v>
      </c>
      <c r="BJ20" s="29" t="s">
        <v>894</v>
      </c>
      <c r="BK2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0" s="45">
        <f>1-FT_RF_264[[#This Row],[% Defectos]]</f>
        <v>1</v>
      </c>
      <c r="BO20" s="60"/>
      <c r="BP20" s="12">
        <f>SUM(FT_RF_264[[#This Row],[Hoja (Un.)]:[Larvas Caja]])</f>
        <v>0</v>
      </c>
      <c r="BQ20" s="12">
        <f>SUM(FT_RF_264[[#This Row],[Vidrios]:[Plástico]])</f>
        <v>0</v>
      </c>
      <c r="BR20" s="12" t="str">
        <f>IF(ISBLANK(FT_RF_264[[#This Row],[Descripción del producto]]),"",FT_RF_264[[#This Row],[Descripción del producto]])</f>
        <v/>
      </c>
      <c r="BS20" s="29" t="str">
        <f>IF(ISBLANK(FT_RF_264[[#This Row],[N° de Lote]]),"",FT_RF_264[[#This Row],[N° de Lote]])</f>
        <v/>
      </c>
      <c r="BT20" s="29" t="str">
        <f>IF(ISBLANK(FT_RF_264[[#This Row],[N° de Pallet]]),"",FT_RF_264[[#This Row],[N° de Pallet]])</f>
        <v/>
      </c>
    </row>
    <row r="21" spans="2:72">
      <c r="B21" s="29">
        <f>+_xlfn.ISOWEEKNUM(FT_RF_264[[#This Row],[Fecha]])</f>
        <v>52</v>
      </c>
      <c r="E21" s="31"/>
      <c r="F21" s="12" t="str">
        <f>IFERROR(""&amp;_xlfn.XLOOKUP(FT_RF_264[[#This Row],[Código]],BD_Cod[SKU],BD_Cod[Descripción]),"")</f>
        <v/>
      </c>
      <c r="G21" s="32" t="str">
        <f>IFERROR(""&amp;_xlfn.XLOOKUP(FT_RF_264[[#This Row],[Código]],BD_Cod[SKU],BD_Cod[Familia Calidad]),"")</f>
        <v/>
      </c>
      <c r="J21" s="33">
        <v>1000</v>
      </c>
      <c r="L21" s="30" t="s">
        <v>244</v>
      </c>
      <c r="O21" s="30" t="s">
        <v>894</v>
      </c>
      <c r="P21" s="29" t="s">
        <v>894</v>
      </c>
      <c r="Q21" s="37">
        <f>1-FT_RF_264[[#This Row],[% Defectos]]</f>
        <v>1</v>
      </c>
      <c r="R21" s="38">
        <v>0</v>
      </c>
      <c r="S21" s="39">
        <f>+IFERROR((FT_RF_264[[#This Row],[Inmadura]]/FT_RF_264[[#This Row],[Muestra]]),"0")</f>
        <v>0</v>
      </c>
      <c r="T21" s="38">
        <v>0</v>
      </c>
      <c r="U21" s="39">
        <f>+IFERROR((FT_RF_264[[#This Row],[Partidas]]/FT_RF_264[[#This Row],[Muestra]]),"0")</f>
        <v>0</v>
      </c>
      <c r="V21" s="38">
        <v>0</v>
      </c>
      <c r="W21" s="39">
        <f>+IFERROR((FT_RF_264[[#This Row],[Daño Insecto]]/FT_RF_264[[#This Row],[Muestra]]),"0")</f>
        <v>0</v>
      </c>
      <c r="X21" s="38">
        <v>0</v>
      </c>
      <c r="Y21" s="39">
        <f>+IFERROR((FT_RF_264[[#This Row],[Sobremadura]]/FT_RF_264[[#This Row],[Muestra]]),"0")</f>
        <v>0</v>
      </c>
      <c r="Z21" s="38">
        <v>0</v>
      </c>
      <c r="AA21" s="39">
        <f>+IFERROR((FT_RF_264[[#This Row],[Deforme]]/FT_RF_264[[#This Row],[Muestra]]),"0")</f>
        <v>0</v>
      </c>
      <c r="AB21" s="27"/>
      <c r="AC21" s="38">
        <v>0</v>
      </c>
      <c r="AD21" s="39">
        <f>+IFERROR((FT_RF_264[[#This Row],[Valor Extra 1]]/FT_RF_264[[#This Row],[Muestra]]),"0")</f>
        <v>0</v>
      </c>
      <c r="AF21" s="38">
        <v>0</v>
      </c>
      <c r="AG21" s="39">
        <f>+IFERROR((FT_RF_264[[#This Row],[Valor Extra 2]]/FT_RF_264[[#This Row],[Muestra]]),"0")</f>
        <v>0</v>
      </c>
      <c r="AH21" s="40">
        <v>0</v>
      </c>
      <c r="AI21" s="39">
        <f>+IFERROR((FT_RF_264[[#This Row],[Hongos]]/FT_RF_264[[#This Row],[Muestra]]),"0")</f>
        <v>0</v>
      </c>
      <c r="AJ21" s="38">
        <v>0</v>
      </c>
      <c r="AK21" s="39">
        <f>+IFERROR((FT_RF_264[[#This Row],[Block]]/FT_RF_264[[#This Row],[Muestra]]),"0")</f>
        <v>0</v>
      </c>
      <c r="AL21" s="41">
        <v>0</v>
      </c>
      <c r="AM21" s="42">
        <v>0</v>
      </c>
      <c r="AN21" s="38">
        <v>0</v>
      </c>
      <c r="AO21" s="39">
        <f>+IFERROR((FT_RF_264[[#This Row],[Fuera de calibre &lt;12mm]]/FT_RF_264[[#This Row],[Muestra]]),"0")</f>
        <v>0</v>
      </c>
      <c r="AP21" s="38">
        <v>0</v>
      </c>
      <c r="AQ21" s="39">
        <f>+IFERROR((FT_RF_264[[#This Row],[Calibre &lt;25]]/FT_RF_264[[#This Row],[Muestra]]),"0")</f>
        <v>0</v>
      </c>
      <c r="AR21" s="38">
        <v>0</v>
      </c>
      <c r="AS21" s="39">
        <f>+IFERROR((FT_RF_264[[#This Row],[Calibre &gt;12]]/FT_RF_264[[#This Row],[Muestra]]),"0")</f>
        <v>0</v>
      </c>
      <c r="AT21" s="38">
        <v>0</v>
      </c>
      <c r="AU21" s="39">
        <f>+IFERROR((FT_RF_264[[#This Row],[Calibre &lt;14]]/FT_RF_264[[#This Row],[Muestra]]),"0")</f>
        <v>0</v>
      </c>
      <c r="AV21" s="38">
        <v>0</v>
      </c>
      <c r="AW21" s="39">
        <f>+IFERROR((FT_RF_264[[#This Row],[Calibre &gt;14]]/FT_RF_264[[#This Row],[Muestra]]),"0")</f>
        <v>0</v>
      </c>
      <c r="AX21" s="38">
        <v>0</v>
      </c>
      <c r="AY21" s="39">
        <f>+IFERROR((FT_RF_264[[#This Row],[Calibre &lt;10]]/FT_RF_264[[#This Row],[Muestra]]),"0")</f>
        <v>0</v>
      </c>
      <c r="AZ21" s="38">
        <v>0</v>
      </c>
      <c r="BA21" s="39">
        <f>+IFERROR((FT_RF_264[[#This Row],[Calibre &gt;13]]/FT_RF_264[[#This Row],[Muestra]]),"0")</f>
        <v>0</v>
      </c>
      <c r="BB21" s="41"/>
      <c r="BG21" s="42"/>
      <c r="BH21" s="43">
        <v>0</v>
      </c>
      <c r="BI21" s="29" t="s">
        <v>894</v>
      </c>
      <c r="BJ21" s="29" t="s">
        <v>894</v>
      </c>
      <c r="BK2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1" s="45">
        <f>1-FT_RF_264[[#This Row],[% Defectos]]</f>
        <v>1</v>
      </c>
      <c r="BO21" s="60"/>
      <c r="BP21" s="12">
        <f>SUM(FT_RF_264[[#This Row],[Hoja (Un.)]:[Larvas Caja]])</f>
        <v>0</v>
      </c>
      <c r="BQ21" s="12">
        <f>SUM(FT_RF_264[[#This Row],[Vidrios]:[Plástico]])</f>
        <v>0</v>
      </c>
      <c r="BR21" s="12" t="str">
        <f>IF(ISBLANK(FT_RF_264[[#This Row],[Descripción del producto]]),"",FT_RF_264[[#This Row],[Descripción del producto]])</f>
        <v/>
      </c>
      <c r="BS21" s="29" t="str">
        <f>IF(ISBLANK(FT_RF_264[[#This Row],[N° de Lote]]),"",FT_RF_264[[#This Row],[N° de Lote]])</f>
        <v/>
      </c>
      <c r="BT21" s="29" t="str">
        <f>IF(ISBLANK(FT_RF_264[[#This Row],[N° de Pallet]]),"",FT_RF_264[[#This Row],[N° de Pallet]])</f>
        <v/>
      </c>
    </row>
    <row r="22" spans="2:72">
      <c r="B22" s="29">
        <f>+_xlfn.ISOWEEKNUM(FT_RF_264[[#This Row],[Fecha]])</f>
        <v>52</v>
      </c>
      <c r="E22" s="31"/>
      <c r="F22" s="12" t="str">
        <f>IFERROR(""&amp;_xlfn.XLOOKUP(FT_RF_264[[#This Row],[Código]],BD_Cod[SKU],BD_Cod[Descripción]),"")</f>
        <v/>
      </c>
      <c r="G22" s="32" t="str">
        <f>IFERROR(""&amp;_xlfn.XLOOKUP(FT_RF_264[[#This Row],[Código]],BD_Cod[SKU],BD_Cod[Familia Calidad]),"")</f>
        <v/>
      </c>
      <c r="J22" s="33">
        <v>1000</v>
      </c>
      <c r="L22" s="30" t="s">
        <v>244</v>
      </c>
      <c r="O22" s="30" t="s">
        <v>894</v>
      </c>
      <c r="P22" s="29" t="s">
        <v>894</v>
      </c>
      <c r="Q22" s="37">
        <f>1-FT_RF_264[[#This Row],[% Defectos]]</f>
        <v>1</v>
      </c>
      <c r="R22" s="38">
        <v>0</v>
      </c>
      <c r="S22" s="39">
        <f>+IFERROR((FT_RF_264[[#This Row],[Inmadura]]/FT_RF_264[[#This Row],[Muestra]]),"0")</f>
        <v>0</v>
      </c>
      <c r="T22" s="38">
        <v>0</v>
      </c>
      <c r="U22" s="39">
        <f>+IFERROR((FT_RF_264[[#This Row],[Partidas]]/FT_RF_264[[#This Row],[Muestra]]),"0")</f>
        <v>0</v>
      </c>
      <c r="V22" s="38">
        <v>0</v>
      </c>
      <c r="W22" s="39">
        <f>+IFERROR((FT_RF_264[[#This Row],[Daño Insecto]]/FT_RF_264[[#This Row],[Muestra]]),"0")</f>
        <v>0</v>
      </c>
      <c r="X22" s="38">
        <v>0</v>
      </c>
      <c r="Y22" s="39">
        <f>+IFERROR((FT_RF_264[[#This Row],[Sobremadura]]/FT_RF_264[[#This Row],[Muestra]]),"0")</f>
        <v>0</v>
      </c>
      <c r="Z22" s="38">
        <v>0</v>
      </c>
      <c r="AA22" s="39">
        <f>+IFERROR((FT_RF_264[[#This Row],[Deforme]]/FT_RF_264[[#This Row],[Muestra]]),"0")</f>
        <v>0</v>
      </c>
      <c r="AB22" s="27"/>
      <c r="AC22" s="38">
        <v>0</v>
      </c>
      <c r="AD22" s="39">
        <f>+IFERROR((FT_RF_264[[#This Row],[Valor Extra 1]]/FT_RF_264[[#This Row],[Muestra]]),"0")</f>
        <v>0</v>
      </c>
      <c r="AF22" s="38">
        <v>0</v>
      </c>
      <c r="AG22" s="39">
        <f>+IFERROR((FT_RF_264[[#This Row],[Valor Extra 2]]/FT_RF_264[[#This Row],[Muestra]]),"0")</f>
        <v>0</v>
      </c>
      <c r="AH22" s="40">
        <v>0</v>
      </c>
      <c r="AI22" s="39">
        <f>+IFERROR((FT_RF_264[[#This Row],[Hongos]]/FT_RF_264[[#This Row],[Muestra]]),"0")</f>
        <v>0</v>
      </c>
      <c r="AJ22" s="38">
        <v>0</v>
      </c>
      <c r="AK22" s="39">
        <f>+IFERROR((FT_RF_264[[#This Row],[Block]]/FT_RF_264[[#This Row],[Muestra]]),"0")</f>
        <v>0</v>
      </c>
      <c r="AL22" s="41">
        <v>0</v>
      </c>
      <c r="AM22" s="42">
        <v>0</v>
      </c>
      <c r="AN22" s="38">
        <v>0</v>
      </c>
      <c r="AO22" s="39">
        <f>+IFERROR((FT_RF_264[[#This Row],[Fuera de calibre &lt;12mm]]/FT_RF_264[[#This Row],[Muestra]]),"0")</f>
        <v>0</v>
      </c>
      <c r="AP22" s="38">
        <v>0</v>
      </c>
      <c r="AQ22" s="39">
        <f>+IFERROR((FT_RF_264[[#This Row],[Calibre &lt;25]]/FT_RF_264[[#This Row],[Muestra]]),"0")</f>
        <v>0</v>
      </c>
      <c r="AR22" s="38">
        <v>0</v>
      </c>
      <c r="AS22" s="39">
        <f>+IFERROR((FT_RF_264[[#This Row],[Calibre &gt;12]]/FT_RF_264[[#This Row],[Muestra]]),"0")</f>
        <v>0</v>
      </c>
      <c r="AT22" s="38">
        <v>0</v>
      </c>
      <c r="AU22" s="39">
        <f>+IFERROR((FT_RF_264[[#This Row],[Calibre &lt;14]]/FT_RF_264[[#This Row],[Muestra]]),"0")</f>
        <v>0</v>
      </c>
      <c r="AV22" s="38">
        <v>0</v>
      </c>
      <c r="AW22" s="39">
        <f>+IFERROR((FT_RF_264[[#This Row],[Calibre &gt;14]]/FT_RF_264[[#This Row],[Muestra]]),"0")</f>
        <v>0</v>
      </c>
      <c r="AX22" s="38">
        <v>0</v>
      </c>
      <c r="AY22" s="39">
        <f>+IFERROR((FT_RF_264[[#This Row],[Calibre &lt;10]]/FT_RF_264[[#This Row],[Muestra]]),"0")</f>
        <v>0</v>
      </c>
      <c r="AZ22" s="38">
        <v>0</v>
      </c>
      <c r="BA22" s="39">
        <f>+IFERROR((FT_RF_264[[#This Row],[Calibre &gt;13]]/FT_RF_264[[#This Row],[Muestra]]),"0")</f>
        <v>0</v>
      </c>
      <c r="BB22" s="41"/>
      <c r="BG22" s="42"/>
      <c r="BH22" s="43">
        <v>0</v>
      </c>
      <c r="BI22" s="29" t="s">
        <v>894</v>
      </c>
      <c r="BJ22" s="29" t="s">
        <v>894</v>
      </c>
      <c r="BK2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2" s="45">
        <f>1-FT_RF_264[[#This Row],[% Defectos]]</f>
        <v>1</v>
      </c>
      <c r="BO22" s="60"/>
      <c r="BP22" s="12">
        <f>SUM(FT_RF_264[[#This Row],[Hoja (Un.)]:[Larvas Caja]])</f>
        <v>0</v>
      </c>
      <c r="BQ22" s="12">
        <f>SUM(FT_RF_264[[#This Row],[Vidrios]:[Plástico]])</f>
        <v>0</v>
      </c>
      <c r="BR22" s="12" t="str">
        <f>IF(ISBLANK(FT_RF_264[[#This Row],[Descripción del producto]]),"",FT_RF_264[[#This Row],[Descripción del producto]])</f>
        <v/>
      </c>
      <c r="BS22" s="29" t="str">
        <f>IF(ISBLANK(FT_RF_264[[#This Row],[N° de Lote]]),"",FT_RF_264[[#This Row],[N° de Lote]])</f>
        <v/>
      </c>
      <c r="BT22" s="29" t="str">
        <f>IF(ISBLANK(FT_RF_264[[#This Row],[N° de Pallet]]),"",FT_RF_264[[#This Row],[N° de Pallet]])</f>
        <v/>
      </c>
    </row>
    <row r="23" spans="2:72">
      <c r="B23" s="29">
        <f>+_xlfn.ISOWEEKNUM(FT_RF_264[[#This Row],[Fecha]])</f>
        <v>52</v>
      </c>
      <c r="E23" s="31"/>
      <c r="F23" s="12" t="str">
        <f>IFERROR(""&amp;_xlfn.XLOOKUP(FT_RF_264[[#This Row],[Código]],BD_Cod[SKU],BD_Cod[Descripción]),"")</f>
        <v/>
      </c>
      <c r="G23" s="32" t="str">
        <f>IFERROR(""&amp;_xlfn.XLOOKUP(FT_RF_264[[#This Row],[Código]],BD_Cod[SKU],BD_Cod[Familia Calidad]),"")</f>
        <v/>
      </c>
      <c r="J23" s="33">
        <v>1000</v>
      </c>
      <c r="L23" s="30" t="s">
        <v>244</v>
      </c>
      <c r="O23" s="30" t="s">
        <v>894</v>
      </c>
      <c r="P23" s="29" t="s">
        <v>894</v>
      </c>
      <c r="Q23" s="37">
        <f>1-FT_RF_264[[#This Row],[% Defectos]]</f>
        <v>1</v>
      </c>
      <c r="R23" s="38">
        <v>0</v>
      </c>
      <c r="S23" s="39">
        <f>+IFERROR((FT_RF_264[[#This Row],[Inmadura]]/FT_RF_264[[#This Row],[Muestra]]),"0")</f>
        <v>0</v>
      </c>
      <c r="T23" s="38">
        <v>0</v>
      </c>
      <c r="U23" s="39">
        <f>+IFERROR((FT_RF_264[[#This Row],[Partidas]]/FT_RF_264[[#This Row],[Muestra]]),"0")</f>
        <v>0</v>
      </c>
      <c r="V23" s="38">
        <v>0</v>
      </c>
      <c r="W23" s="39">
        <f>+IFERROR((FT_RF_264[[#This Row],[Daño Insecto]]/FT_RF_264[[#This Row],[Muestra]]),"0")</f>
        <v>0</v>
      </c>
      <c r="X23" s="38">
        <v>0</v>
      </c>
      <c r="Y23" s="39">
        <f>+IFERROR((FT_RF_264[[#This Row],[Sobremadura]]/FT_RF_264[[#This Row],[Muestra]]),"0")</f>
        <v>0</v>
      </c>
      <c r="Z23" s="38">
        <v>0</v>
      </c>
      <c r="AA23" s="39">
        <f>+IFERROR((FT_RF_264[[#This Row],[Deforme]]/FT_RF_264[[#This Row],[Muestra]]),"0")</f>
        <v>0</v>
      </c>
      <c r="AB23" s="27"/>
      <c r="AC23" s="38">
        <v>0</v>
      </c>
      <c r="AD23" s="39">
        <f>+IFERROR((FT_RF_264[[#This Row],[Valor Extra 1]]/FT_RF_264[[#This Row],[Muestra]]),"0")</f>
        <v>0</v>
      </c>
      <c r="AF23" s="38">
        <v>0</v>
      </c>
      <c r="AG23" s="39">
        <f>+IFERROR((FT_RF_264[[#This Row],[Valor Extra 2]]/FT_RF_264[[#This Row],[Muestra]]),"0")</f>
        <v>0</v>
      </c>
      <c r="AH23" s="40">
        <v>0</v>
      </c>
      <c r="AI23" s="39">
        <f>+IFERROR((FT_RF_264[[#This Row],[Hongos]]/FT_RF_264[[#This Row],[Muestra]]),"0")</f>
        <v>0</v>
      </c>
      <c r="AJ23" s="38">
        <v>0</v>
      </c>
      <c r="AK23" s="39">
        <f>+IFERROR((FT_RF_264[[#This Row],[Block]]/FT_RF_264[[#This Row],[Muestra]]),"0")</f>
        <v>0</v>
      </c>
      <c r="AL23" s="41">
        <v>0</v>
      </c>
      <c r="AM23" s="42">
        <v>0</v>
      </c>
      <c r="AN23" s="38">
        <v>0</v>
      </c>
      <c r="AO23" s="39">
        <f>+IFERROR((FT_RF_264[[#This Row],[Fuera de calibre &lt;12mm]]/FT_RF_264[[#This Row],[Muestra]]),"0")</f>
        <v>0</v>
      </c>
      <c r="AP23" s="38">
        <v>0</v>
      </c>
      <c r="AQ23" s="39">
        <f>+IFERROR((FT_RF_264[[#This Row],[Calibre &lt;25]]/FT_RF_264[[#This Row],[Muestra]]),"0")</f>
        <v>0</v>
      </c>
      <c r="AR23" s="38">
        <v>0</v>
      </c>
      <c r="AS23" s="39">
        <f>+IFERROR((FT_RF_264[[#This Row],[Calibre &gt;12]]/FT_RF_264[[#This Row],[Muestra]]),"0")</f>
        <v>0</v>
      </c>
      <c r="AT23" s="38">
        <v>0</v>
      </c>
      <c r="AU23" s="39">
        <f>+IFERROR((FT_RF_264[[#This Row],[Calibre &lt;14]]/FT_RF_264[[#This Row],[Muestra]]),"0")</f>
        <v>0</v>
      </c>
      <c r="AV23" s="38">
        <v>0</v>
      </c>
      <c r="AW23" s="39">
        <f>+IFERROR((FT_RF_264[[#This Row],[Calibre &gt;14]]/FT_RF_264[[#This Row],[Muestra]]),"0")</f>
        <v>0</v>
      </c>
      <c r="AX23" s="38">
        <v>0</v>
      </c>
      <c r="AY23" s="39">
        <f>+IFERROR((FT_RF_264[[#This Row],[Calibre &lt;10]]/FT_RF_264[[#This Row],[Muestra]]),"0")</f>
        <v>0</v>
      </c>
      <c r="AZ23" s="38">
        <v>0</v>
      </c>
      <c r="BA23" s="39">
        <f>+IFERROR((FT_RF_264[[#This Row],[Calibre &gt;13]]/FT_RF_264[[#This Row],[Muestra]]),"0")</f>
        <v>0</v>
      </c>
      <c r="BB23" s="41"/>
      <c r="BG23" s="42"/>
      <c r="BH23" s="43">
        <v>0</v>
      </c>
      <c r="BI23" s="29" t="s">
        <v>894</v>
      </c>
      <c r="BJ23" s="29" t="s">
        <v>894</v>
      </c>
      <c r="BK2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3" s="45">
        <f>1-FT_RF_264[[#This Row],[% Defectos]]</f>
        <v>1</v>
      </c>
      <c r="BO23" s="60"/>
      <c r="BP23" s="12">
        <f>SUM(FT_RF_264[[#This Row],[Hoja (Un.)]:[Larvas Caja]])</f>
        <v>0</v>
      </c>
      <c r="BQ23" s="12">
        <f>SUM(FT_RF_264[[#This Row],[Vidrios]:[Plástico]])</f>
        <v>0</v>
      </c>
      <c r="BR23" s="12" t="str">
        <f>IF(ISBLANK(FT_RF_264[[#This Row],[Descripción del producto]]),"",FT_RF_264[[#This Row],[Descripción del producto]])</f>
        <v/>
      </c>
      <c r="BS23" s="29" t="str">
        <f>IF(ISBLANK(FT_RF_264[[#This Row],[N° de Lote]]),"",FT_RF_264[[#This Row],[N° de Lote]])</f>
        <v/>
      </c>
      <c r="BT23" s="29" t="str">
        <f>IF(ISBLANK(FT_RF_264[[#This Row],[N° de Pallet]]),"",FT_RF_264[[#This Row],[N° de Pallet]])</f>
        <v/>
      </c>
    </row>
    <row r="24" spans="2:72">
      <c r="B24" s="29">
        <f>+_xlfn.ISOWEEKNUM(FT_RF_264[[#This Row],[Fecha]])</f>
        <v>52</v>
      </c>
      <c r="E24" s="31"/>
      <c r="F24" s="12" t="str">
        <f>IFERROR(""&amp;_xlfn.XLOOKUP(FT_RF_264[[#This Row],[Código]],BD_Cod[SKU],BD_Cod[Descripción]),"")</f>
        <v/>
      </c>
      <c r="G24" s="32" t="str">
        <f>IFERROR(""&amp;_xlfn.XLOOKUP(FT_RF_264[[#This Row],[Código]],BD_Cod[SKU],BD_Cod[Familia Calidad]),"")</f>
        <v/>
      </c>
      <c r="J24" s="33">
        <v>1000</v>
      </c>
      <c r="L24" s="30" t="s">
        <v>244</v>
      </c>
      <c r="O24" s="30" t="s">
        <v>894</v>
      </c>
      <c r="P24" s="29" t="s">
        <v>894</v>
      </c>
      <c r="Q24" s="37">
        <f>1-FT_RF_264[[#This Row],[% Defectos]]</f>
        <v>1</v>
      </c>
      <c r="R24" s="38">
        <v>0</v>
      </c>
      <c r="S24" s="39">
        <f>+IFERROR((FT_RF_264[[#This Row],[Inmadura]]/FT_RF_264[[#This Row],[Muestra]]),"0")</f>
        <v>0</v>
      </c>
      <c r="T24" s="38">
        <v>0</v>
      </c>
      <c r="U24" s="39">
        <f>+IFERROR((FT_RF_264[[#This Row],[Partidas]]/FT_RF_264[[#This Row],[Muestra]]),"0")</f>
        <v>0</v>
      </c>
      <c r="V24" s="38">
        <v>0</v>
      </c>
      <c r="W24" s="39">
        <f>+IFERROR((FT_RF_264[[#This Row],[Daño Insecto]]/FT_RF_264[[#This Row],[Muestra]]),"0")</f>
        <v>0</v>
      </c>
      <c r="X24" s="38">
        <v>0</v>
      </c>
      <c r="Y24" s="39">
        <f>+IFERROR((FT_RF_264[[#This Row],[Sobremadura]]/FT_RF_264[[#This Row],[Muestra]]),"0")</f>
        <v>0</v>
      </c>
      <c r="Z24" s="38">
        <v>0</v>
      </c>
      <c r="AA24" s="39">
        <f>+IFERROR((FT_RF_264[[#This Row],[Deforme]]/FT_RF_264[[#This Row],[Muestra]]),"0")</f>
        <v>0</v>
      </c>
      <c r="AB24" s="27"/>
      <c r="AC24" s="38">
        <v>0</v>
      </c>
      <c r="AD24" s="39">
        <f>+IFERROR((FT_RF_264[[#This Row],[Valor Extra 1]]/FT_RF_264[[#This Row],[Muestra]]),"0")</f>
        <v>0</v>
      </c>
      <c r="AF24" s="38">
        <v>0</v>
      </c>
      <c r="AG24" s="39">
        <f>+IFERROR((FT_RF_264[[#This Row],[Valor Extra 2]]/FT_RF_264[[#This Row],[Muestra]]),"0")</f>
        <v>0</v>
      </c>
      <c r="AH24" s="40">
        <v>0</v>
      </c>
      <c r="AI24" s="39">
        <f>+IFERROR((FT_RF_264[[#This Row],[Hongos]]/FT_RF_264[[#This Row],[Muestra]]),"0")</f>
        <v>0</v>
      </c>
      <c r="AJ24" s="38">
        <v>0</v>
      </c>
      <c r="AK24" s="39">
        <f>+IFERROR((FT_RF_264[[#This Row],[Block]]/FT_RF_264[[#This Row],[Muestra]]),"0")</f>
        <v>0</v>
      </c>
      <c r="AL24" s="41">
        <v>0</v>
      </c>
      <c r="AM24" s="42">
        <v>0</v>
      </c>
      <c r="AN24" s="38">
        <v>0</v>
      </c>
      <c r="AO24" s="39">
        <f>+IFERROR((FT_RF_264[[#This Row],[Fuera de calibre &lt;12mm]]/FT_RF_264[[#This Row],[Muestra]]),"0")</f>
        <v>0</v>
      </c>
      <c r="AP24" s="38">
        <v>0</v>
      </c>
      <c r="AQ24" s="39">
        <f>+IFERROR((FT_RF_264[[#This Row],[Calibre &lt;25]]/FT_RF_264[[#This Row],[Muestra]]),"0")</f>
        <v>0</v>
      </c>
      <c r="AR24" s="38">
        <v>0</v>
      </c>
      <c r="AS24" s="39">
        <f>+IFERROR((FT_RF_264[[#This Row],[Calibre &gt;12]]/FT_RF_264[[#This Row],[Muestra]]),"0")</f>
        <v>0</v>
      </c>
      <c r="AT24" s="38">
        <v>0</v>
      </c>
      <c r="AU24" s="39">
        <f>+IFERROR((FT_RF_264[[#This Row],[Calibre &lt;14]]/FT_RF_264[[#This Row],[Muestra]]),"0")</f>
        <v>0</v>
      </c>
      <c r="AV24" s="38">
        <v>0</v>
      </c>
      <c r="AW24" s="39">
        <f>+IFERROR((FT_RF_264[[#This Row],[Calibre &gt;14]]/FT_RF_264[[#This Row],[Muestra]]),"0")</f>
        <v>0</v>
      </c>
      <c r="AX24" s="38">
        <v>0</v>
      </c>
      <c r="AY24" s="39">
        <f>+IFERROR((FT_RF_264[[#This Row],[Calibre &lt;10]]/FT_RF_264[[#This Row],[Muestra]]),"0")</f>
        <v>0</v>
      </c>
      <c r="AZ24" s="38">
        <v>0</v>
      </c>
      <c r="BA24" s="39">
        <f>+IFERROR((FT_RF_264[[#This Row],[Calibre &gt;13]]/FT_RF_264[[#This Row],[Muestra]]),"0")</f>
        <v>0</v>
      </c>
      <c r="BB24" s="41"/>
      <c r="BG24" s="42"/>
      <c r="BH24" s="43">
        <v>0</v>
      </c>
      <c r="BI24" s="29" t="s">
        <v>894</v>
      </c>
      <c r="BJ24" s="29" t="s">
        <v>894</v>
      </c>
      <c r="BK2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4" s="45">
        <f>1-FT_RF_264[[#This Row],[% Defectos]]</f>
        <v>1</v>
      </c>
      <c r="BO24" s="60"/>
      <c r="BP24" s="12">
        <f>SUM(FT_RF_264[[#This Row],[Hoja (Un.)]:[Larvas Caja]])</f>
        <v>0</v>
      </c>
      <c r="BQ24" s="12">
        <f>SUM(FT_RF_264[[#This Row],[Vidrios]:[Plástico]])</f>
        <v>0</v>
      </c>
      <c r="BR24" s="12" t="str">
        <f>IF(ISBLANK(FT_RF_264[[#This Row],[Descripción del producto]]),"",FT_RF_264[[#This Row],[Descripción del producto]])</f>
        <v/>
      </c>
      <c r="BS24" s="29" t="str">
        <f>IF(ISBLANK(FT_RF_264[[#This Row],[N° de Lote]]),"",FT_RF_264[[#This Row],[N° de Lote]])</f>
        <v/>
      </c>
      <c r="BT24" s="29" t="str">
        <f>IF(ISBLANK(FT_RF_264[[#This Row],[N° de Pallet]]),"",FT_RF_264[[#This Row],[N° de Pallet]])</f>
        <v/>
      </c>
    </row>
    <row r="25" spans="2:72">
      <c r="B25" s="29">
        <f>+_xlfn.ISOWEEKNUM(FT_RF_264[[#This Row],[Fecha]])</f>
        <v>52</v>
      </c>
      <c r="E25" s="31"/>
      <c r="F25" s="12" t="str">
        <f>IFERROR(""&amp;_xlfn.XLOOKUP(FT_RF_264[[#This Row],[Código]],BD_Cod[SKU],BD_Cod[Descripción]),"")</f>
        <v/>
      </c>
      <c r="G25" s="32" t="str">
        <f>IFERROR(""&amp;_xlfn.XLOOKUP(FT_RF_264[[#This Row],[Código]],BD_Cod[SKU],BD_Cod[Familia Calidad]),"")</f>
        <v/>
      </c>
      <c r="J25" s="33">
        <v>1000</v>
      </c>
      <c r="L25" s="30" t="s">
        <v>244</v>
      </c>
      <c r="O25" s="30" t="s">
        <v>894</v>
      </c>
      <c r="P25" s="29" t="s">
        <v>894</v>
      </c>
      <c r="Q25" s="37">
        <f>1-FT_RF_264[[#This Row],[% Defectos]]</f>
        <v>1</v>
      </c>
      <c r="R25" s="38">
        <v>0</v>
      </c>
      <c r="S25" s="39">
        <f>+IFERROR((FT_RF_264[[#This Row],[Inmadura]]/FT_RF_264[[#This Row],[Muestra]]),"0")</f>
        <v>0</v>
      </c>
      <c r="T25" s="38">
        <v>0</v>
      </c>
      <c r="U25" s="39">
        <f>+IFERROR((FT_RF_264[[#This Row],[Partidas]]/FT_RF_264[[#This Row],[Muestra]]),"0")</f>
        <v>0</v>
      </c>
      <c r="V25" s="38">
        <v>0</v>
      </c>
      <c r="W25" s="39">
        <f>+IFERROR((FT_RF_264[[#This Row],[Daño Insecto]]/FT_RF_264[[#This Row],[Muestra]]),"0")</f>
        <v>0</v>
      </c>
      <c r="X25" s="38">
        <v>0</v>
      </c>
      <c r="Y25" s="39">
        <f>+IFERROR((FT_RF_264[[#This Row],[Sobremadura]]/FT_RF_264[[#This Row],[Muestra]]),"0")</f>
        <v>0</v>
      </c>
      <c r="Z25" s="38">
        <v>0</v>
      </c>
      <c r="AA25" s="39">
        <f>+IFERROR((FT_RF_264[[#This Row],[Deforme]]/FT_RF_264[[#This Row],[Muestra]]),"0")</f>
        <v>0</v>
      </c>
      <c r="AB25" s="27"/>
      <c r="AC25" s="38">
        <v>0</v>
      </c>
      <c r="AD25" s="39">
        <f>+IFERROR((FT_RF_264[[#This Row],[Valor Extra 1]]/FT_RF_264[[#This Row],[Muestra]]),"0")</f>
        <v>0</v>
      </c>
      <c r="AF25" s="38">
        <v>0</v>
      </c>
      <c r="AG25" s="39">
        <f>+IFERROR((FT_RF_264[[#This Row],[Valor Extra 2]]/FT_RF_264[[#This Row],[Muestra]]),"0")</f>
        <v>0</v>
      </c>
      <c r="AH25" s="40">
        <v>0</v>
      </c>
      <c r="AI25" s="39">
        <f>+IFERROR((FT_RF_264[[#This Row],[Hongos]]/FT_RF_264[[#This Row],[Muestra]]),"0")</f>
        <v>0</v>
      </c>
      <c r="AJ25" s="38">
        <v>0</v>
      </c>
      <c r="AK25" s="39">
        <f>+IFERROR((FT_RF_264[[#This Row],[Block]]/FT_RF_264[[#This Row],[Muestra]]),"0")</f>
        <v>0</v>
      </c>
      <c r="AL25" s="41">
        <v>0</v>
      </c>
      <c r="AM25" s="42">
        <v>0</v>
      </c>
      <c r="AN25" s="38">
        <v>0</v>
      </c>
      <c r="AO25" s="39">
        <f>+IFERROR((FT_RF_264[[#This Row],[Fuera de calibre &lt;12mm]]/FT_RF_264[[#This Row],[Muestra]]),"0")</f>
        <v>0</v>
      </c>
      <c r="AP25" s="38">
        <v>0</v>
      </c>
      <c r="AQ25" s="39">
        <f>+IFERROR((FT_RF_264[[#This Row],[Calibre &lt;25]]/FT_RF_264[[#This Row],[Muestra]]),"0")</f>
        <v>0</v>
      </c>
      <c r="AR25" s="38">
        <v>0</v>
      </c>
      <c r="AS25" s="39">
        <f>+IFERROR((FT_RF_264[[#This Row],[Calibre &gt;12]]/FT_RF_264[[#This Row],[Muestra]]),"0")</f>
        <v>0</v>
      </c>
      <c r="AT25" s="38">
        <v>0</v>
      </c>
      <c r="AU25" s="39">
        <f>+IFERROR((FT_RF_264[[#This Row],[Calibre &lt;14]]/FT_RF_264[[#This Row],[Muestra]]),"0")</f>
        <v>0</v>
      </c>
      <c r="AV25" s="38">
        <v>0</v>
      </c>
      <c r="AW25" s="39">
        <f>+IFERROR((FT_RF_264[[#This Row],[Calibre &gt;14]]/FT_RF_264[[#This Row],[Muestra]]),"0")</f>
        <v>0</v>
      </c>
      <c r="AX25" s="38">
        <v>0</v>
      </c>
      <c r="AY25" s="39">
        <f>+IFERROR((FT_RF_264[[#This Row],[Calibre &lt;10]]/FT_RF_264[[#This Row],[Muestra]]),"0")</f>
        <v>0</v>
      </c>
      <c r="AZ25" s="38">
        <v>0</v>
      </c>
      <c r="BA25" s="39">
        <f>+IFERROR((FT_RF_264[[#This Row],[Calibre &gt;13]]/FT_RF_264[[#This Row],[Muestra]]),"0")</f>
        <v>0</v>
      </c>
      <c r="BB25" s="41"/>
      <c r="BG25" s="42"/>
      <c r="BH25" s="43">
        <v>0</v>
      </c>
      <c r="BI25" s="29" t="s">
        <v>894</v>
      </c>
      <c r="BJ25" s="29" t="s">
        <v>894</v>
      </c>
      <c r="BK2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5" s="45">
        <f>1-FT_RF_264[[#This Row],[% Defectos]]</f>
        <v>1</v>
      </c>
      <c r="BO25" s="60"/>
      <c r="BP25" s="12">
        <f>SUM(FT_RF_264[[#This Row],[Hoja (Un.)]:[Larvas Caja]])</f>
        <v>0</v>
      </c>
      <c r="BQ25" s="12">
        <f>SUM(FT_RF_264[[#This Row],[Vidrios]:[Plástico]])</f>
        <v>0</v>
      </c>
      <c r="BR25" s="12" t="str">
        <f>IF(ISBLANK(FT_RF_264[[#This Row],[Descripción del producto]]),"",FT_RF_264[[#This Row],[Descripción del producto]])</f>
        <v/>
      </c>
      <c r="BS25" s="29" t="str">
        <f>IF(ISBLANK(FT_RF_264[[#This Row],[N° de Lote]]),"",FT_RF_264[[#This Row],[N° de Lote]])</f>
        <v/>
      </c>
      <c r="BT25" s="29" t="str">
        <f>IF(ISBLANK(FT_RF_264[[#This Row],[N° de Pallet]]),"",FT_RF_264[[#This Row],[N° de Pallet]])</f>
        <v/>
      </c>
    </row>
    <row r="26" spans="2:72">
      <c r="B26" s="29">
        <f>+_xlfn.ISOWEEKNUM(FT_RF_264[[#This Row],[Fecha]])</f>
        <v>52</v>
      </c>
      <c r="E26" s="31"/>
      <c r="F26" s="12" t="str">
        <f>IFERROR(""&amp;_xlfn.XLOOKUP(FT_RF_264[[#This Row],[Código]],BD_Cod[SKU],BD_Cod[Descripción]),"")</f>
        <v/>
      </c>
      <c r="G26" s="32" t="str">
        <f>IFERROR(""&amp;_xlfn.XLOOKUP(FT_RF_264[[#This Row],[Código]],BD_Cod[SKU],BD_Cod[Familia Calidad]),"")</f>
        <v/>
      </c>
      <c r="J26" s="33">
        <v>1000</v>
      </c>
      <c r="L26" s="30" t="s">
        <v>244</v>
      </c>
      <c r="O26" s="30" t="s">
        <v>894</v>
      </c>
      <c r="P26" s="29" t="s">
        <v>894</v>
      </c>
      <c r="Q26" s="37">
        <f>1-FT_RF_264[[#This Row],[% Defectos]]</f>
        <v>1</v>
      </c>
      <c r="R26" s="38">
        <v>0</v>
      </c>
      <c r="S26" s="39">
        <f>+IFERROR((FT_RF_264[[#This Row],[Inmadura]]/FT_RF_264[[#This Row],[Muestra]]),"0")</f>
        <v>0</v>
      </c>
      <c r="T26" s="38">
        <v>0</v>
      </c>
      <c r="U26" s="39">
        <f>+IFERROR((FT_RF_264[[#This Row],[Partidas]]/FT_RF_264[[#This Row],[Muestra]]),"0")</f>
        <v>0</v>
      </c>
      <c r="V26" s="38">
        <v>0</v>
      </c>
      <c r="W26" s="39">
        <f>+IFERROR((FT_RF_264[[#This Row],[Daño Insecto]]/FT_RF_264[[#This Row],[Muestra]]),"0")</f>
        <v>0</v>
      </c>
      <c r="X26" s="38">
        <v>0</v>
      </c>
      <c r="Y26" s="39">
        <f>+IFERROR((FT_RF_264[[#This Row],[Sobremadura]]/FT_RF_264[[#This Row],[Muestra]]),"0")</f>
        <v>0</v>
      </c>
      <c r="Z26" s="38">
        <v>0</v>
      </c>
      <c r="AA26" s="39">
        <f>+IFERROR((FT_RF_264[[#This Row],[Deforme]]/FT_RF_264[[#This Row],[Muestra]]),"0")</f>
        <v>0</v>
      </c>
      <c r="AB26" s="27"/>
      <c r="AC26" s="38">
        <v>0</v>
      </c>
      <c r="AD26" s="39">
        <f>+IFERROR((FT_RF_264[[#This Row],[Valor Extra 1]]/FT_RF_264[[#This Row],[Muestra]]),"0")</f>
        <v>0</v>
      </c>
      <c r="AF26" s="38">
        <v>0</v>
      </c>
      <c r="AG26" s="39">
        <f>+IFERROR((FT_RF_264[[#This Row],[Valor Extra 2]]/FT_RF_264[[#This Row],[Muestra]]),"0")</f>
        <v>0</v>
      </c>
      <c r="AH26" s="40">
        <v>0</v>
      </c>
      <c r="AI26" s="39">
        <f>+IFERROR((FT_RF_264[[#This Row],[Hongos]]/FT_RF_264[[#This Row],[Muestra]]),"0")</f>
        <v>0</v>
      </c>
      <c r="AJ26" s="38">
        <v>0</v>
      </c>
      <c r="AK26" s="39">
        <f>+IFERROR((FT_RF_264[[#This Row],[Block]]/FT_RF_264[[#This Row],[Muestra]]),"0")</f>
        <v>0</v>
      </c>
      <c r="AL26" s="41">
        <v>0</v>
      </c>
      <c r="AM26" s="42">
        <v>0</v>
      </c>
      <c r="AN26" s="38">
        <v>0</v>
      </c>
      <c r="AO26" s="39">
        <f>+IFERROR((FT_RF_264[[#This Row],[Fuera de calibre &lt;12mm]]/FT_RF_264[[#This Row],[Muestra]]),"0")</f>
        <v>0</v>
      </c>
      <c r="AP26" s="38">
        <v>0</v>
      </c>
      <c r="AQ26" s="39">
        <f>+IFERROR((FT_RF_264[[#This Row],[Calibre &lt;25]]/FT_RF_264[[#This Row],[Muestra]]),"0")</f>
        <v>0</v>
      </c>
      <c r="AR26" s="38">
        <v>0</v>
      </c>
      <c r="AS26" s="39">
        <f>+IFERROR((FT_RF_264[[#This Row],[Calibre &gt;12]]/FT_RF_264[[#This Row],[Muestra]]),"0")</f>
        <v>0</v>
      </c>
      <c r="AT26" s="38">
        <v>0</v>
      </c>
      <c r="AU26" s="39">
        <f>+IFERROR((FT_RF_264[[#This Row],[Calibre &lt;14]]/FT_RF_264[[#This Row],[Muestra]]),"0")</f>
        <v>0</v>
      </c>
      <c r="AV26" s="38">
        <v>0</v>
      </c>
      <c r="AW26" s="39">
        <f>+IFERROR((FT_RF_264[[#This Row],[Calibre &gt;14]]/FT_RF_264[[#This Row],[Muestra]]),"0")</f>
        <v>0</v>
      </c>
      <c r="AX26" s="38">
        <v>0</v>
      </c>
      <c r="AY26" s="39">
        <f>+IFERROR((FT_RF_264[[#This Row],[Calibre &lt;10]]/FT_RF_264[[#This Row],[Muestra]]),"0")</f>
        <v>0</v>
      </c>
      <c r="AZ26" s="38">
        <v>0</v>
      </c>
      <c r="BA26" s="39">
        <f>+IFERROR((FT_RF_264[[#This Row],[Calibre &gt;13]]/FT_RF_264[[#This Row],[Muestra]]),"0")</f>
        <v>0</v>
      </c>
      <c r="BB26" s="41"/>
      <c r="BG26" s="42"/>
      <c r="BH26" s="43">
        <v>0</v>
      </c>
      <c r="BI26" s="29" t="s">
        <v>894</v>
      </c>
      <c r="BJ26" s="29" t="s">
        <v>894</v>
      </c>
      <c r="BK2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6" s="45">
        <f>1-FT_RF_264[[#This Row],[% Defectos]]</f>
        <v>1</v>
      </c>
      <c r="BO26" s="60"/>
      <c r="BP26" s="12">
        <f>SUM(FT_RF_264[[#This Row],[Hoja (Un.)]:[Larvas Caja]])</f>
        <v>0</v>
      </c>
      <c r="BQ26" s="12">
        <f>SUM(FT_RF_264[[#This Row],[Vidrios]:[Plástico]])</f>
        <v>0</v>
      </c>
      <c r="BR26" s="12" t="str">
        <f>IF(ISBLANK(FT_RF_264[[#This Row],[Descripción del producto]]),"",FT_RF_264[[#This Row],[Descripción del producto]])</f>
        <v/>
      </c>
      <c r="BS26" s="29" t="str">
        <f>IF(ISBLANK(FT_RF_264[[#This Row],[N° de Lote]]),"",FT_RF_264[[#This Row],[N° de Lote]])</f>
        <v/>
      </c>
      <c r="BT26" s="29" t="str">
        <f>IF(ISBLANK(FT_RF_264[[#This Row],[N° de Pallet]]),"",FT_RF_264[[#This Row],[N° de Pallet]])</f>
        <v/>
      </c>
    </row>
    <row r="27" spans="2:72">
      <c r="B27" s="29">
        <f>+_xlfn.ISOWEEKNUM(FT_RF_264[[#This Row],[Fecha]])</f>
        <v>52</v>
      </c>
      <c r="E27" s="31"/>
      <c r="F27" s="12" t="str">
        <f>IFERROR(""&amp;_xlfn.XLOOKUP(FT_RF_264[[#This Row],[Código]],BD_Cod[SKU],BD_Cod[Descripción]),"")</f>
        <v/>
      </c>
      <c r="G27" s="32" t="str">
        <f>IFERROR(""&amp;_xlfn.XLOOKUP(FT_RF_264[[#This Row],[Código]],BD_Cod[SKU],BD_Cod[Familia Calidad]),"")</f>
        <v/>
      </c>
      <c r="J27" s="33">
        <v>1000</v>
      </c>
      <c r="L27" s="30" t="s">
        <v>244</v>
      </c>
      <c r="O27" s="30" t="s">
        <v>894</v>
      </c>
      <c r="P27" s="29" t="s">
        <v>894</v>
      </c>
      <c r="Q27" s="37">
        <f>1-FT_RF_264[[#This Row],[% Defectos]]</f>
        <v>1</v>
      </c>
      <c r="R27" s="38">
        <v>0</v>
      </c>
      <c r="S27" s="39">
        <f>+IFERROR((FT_RF_264[[#This Row],[Inmadura]]/FT_RF_264[[#This Row],[Muestra]]),"0")</f>
        <v>0</v>
      </c>
      <c r="T27" s="38">
        <v>0</v>
      </c>
      <c r="U27" s="39">
        <f>+IFERROR((FT_RF_264[[#This Row],[Partidas]]/FT_RF_264[[#This Row],[Muestra]]),"0")</f>
        <v>0</v>
      </c>
      <c r="V27" s="38">
        <v>0</v>
      </c>
      <c r="W27" s="39">
        <f>+IFERROR((FT_RF_264[[#This Row],[Daño Insecto]]/FT_RF_264[[#This Row],[Muestra]]),"0")</f>
        <v>0</v>
      </c>
      <c r="X27" s="38">
        <v>0</v>
      </c>
      <c r="Y27" s="39">
        <f>+IFERROR((FT_RF_264[[#This Row],[Sobremadura]]/FT_RF_264[[#This Row],[Muestra]]),"0")</f>
        <v>0</v>
      </c>
      <c r="Z27" s="38">
        <v>0</v>
      </c>
      <c r="AA27" s="39">
        <f>+IFERROR((FT_RF_264[[#This Row],[Deforme]]/FT_RF_264[[#This Row],[Muestra]]),"0")</f>
        <v>0</v>
      </c>
      <c r="AB27" s="27"/>
      <c r="AC27" s="38">
        <v>0</v>
      </c>
      <c r="AD27" s="39">
        <f>+IFERROR((FT_RF_264[[#This Row],[Valor Extra 1]]/FT_RF_264[[#This Row],[Muestra]]),"0")</f>
        <v>0</v>
      </c>
      <c r="AF27" s="38">
        <v>0</v>
      </c>
      <c r="AG27" s="39">
        <f>+IFERROR((FT_RF_264[[#This Row],[Valor Extra 2]]/FT_RF_264[[#This Row],[Muestra]]),"0")</f>
        <v>0</v>
      </c>
      <c r="AH27" s="40">
        <v>0</v>
      </c>
      <c r="AI27" s="39">
        <f>+IFERROR((FT_RF_264[[#This Row],[Hongos]]/FT_RF_264[[#This Row],[Muestra]]),"0")</f>
        <v>0</v>
      </c>
      <c r="AJ27" s="38">
        <v>0</v>
      </c>
      <c r="AK27" s="39">
        <f>+IFERROR((FT_RF_264[[#This Row],[Block]]/FT_RF_264[[#This Row],[Muestra]]),"0")</f>
        <v>0</v>
      </c>
      <c r="AL27" s="41">
        <v>0</v>
      </c>
      <c r="AM27" s="42">
        <v>0</v>
      </c>
      <c r="AN27" s="38">
        <v>0</v>
      </c>
      <c r="AO27" s="39">
        <f>+IFERROR((FT_RF_264[[#This Row],[Fuera de calibre &lt;12mm]]/FT_RF_264[[#This Row],[Muestra]]),"0")</f>
        <v>0</v>
      </c>
      <c r="AP27" s="38">
        <v>0</v>
      </c>
      <c r="AQ27" s="39">
        <f>+IFERROR((FT_RF_264[[#This Row],[Calibre &lt;25]]/FT_RF_264[[#This Row],[Muestra]]),"0")</f>
        <v>0</v>
      </c>
      <c r="AR27" s="38">
        <v>0</v>
      </c>
      <c r="AS27" s="39">
        <f>+IFERROR((FT_RF_264[[#This Row],[Calibre &gt;12]]/FT_RF_264[[#This Row],[Muestra]]),"0")</f>
        <v>0</v>
      </c>
      <c r="AT27" s="38">
        <v>0</v>
      </c>
      <c r="AU27" s="39">
        <f>+IFERROR((FT_RF_264[[#This Row],[Calibre &lt;14]]/FT_RF_264[[#This Row],[Muestra]]),"0")</f>
        <v>0</v>
      </c>
      <c r="AV27" s="38">
        <v>0</v>
      </c>
      <c r="AW27" s="39">
        <f>+IFERROR((FT_RF_264[[#This Row],[Calibre &gt;14]]/FT_RF_264[[#This Row],[Muestra]]),"0")</f>
        <v>0</v>
      </c>
      <c r="AX27" s="38">
        <v>0</v>
      </c>
      <c r="AY27" s="39">
        <f>+IFERROR((FT_RF_264[[#This Row],[Calibre &lt;10]]/FT_RF_264[[#This Row],[Muestra]]),"0")</f>
        <v>0</v>
      </c>
      <c r="AZ27" s="38">
        <v>0</v>
      </c>
      <c r="BA27" s="39">
        <f>+IFERROR((FT_RF_264[[#This Row],[Calibre &gt;13]]/FT_RF_264[[#This Row],[Muestra]]),"0")</f>
        <v>0</v>
      </c>
      <c r="BB27" s="41"/>
      <c r="BG27" s="42"/>
      <c r="BH27" s="43">
        <v>0</v>
      </c>
      <c r="BI27" s="29" t="s">
        <v>894</v>
      </c>
      <c r="BJ27" s="29" t="s">
        <v>894</v>
      </c>
      <c r="BK2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7" s="45">
        <f>1-FT_RF_264[[#This Row],[% Defectos]]</f>
        <v>1</v>
      </c>
      <c r="BO27" s="60"/>
      <c r="BP27" s="12">
        <f>SUM(FT_RF_264[[#This Row],[Hoja (Un.)]:[Larvas Caja]])</f>
        <v>0</v>
      </c>
      <c r="BQ27" s="12">
        <f>SUM(FT_RF_264[[#This Row],[Vidrios]:[Plástico]])</f>
        <v>0</v>
      </c>
      <c r="BR27" s="12" t="str">
        <f>IF(ISBLANK(FT_RF_264[[#This Row],[Descripción del producto]]),"",FT_RF_264[[#This Row],[Descripción del producto]])</f>
        <v/>
      </c>
      <c r="BS27" s="29" t="str">
        <f>IF(ISBLANK(FT_RF_264[[#This Row],[N° de Lote]]),"",FT_RF_264[[#This Row],[N° de Lote]])</f>
        <v/>
      </c>
      <c r="BT27" s="29" t="str">
        <f>IF(ISBLANK(FT_RF_264[[#This Row],[N° de Pallet]]),"",FT_RF_264[[#This Row],[N° de Pallet]])</f>
        <v/>
      </c>
    </row>
    <row r="28" spans="2:72">
      <c r="B28" s="29">
        <f>+_xlfn.ISOWEEKNUM(FT_RF_264[[#This Row],[Fecha]])</f>
        <v>52</v>
      </c>
      <c r="E28" s="31"/>
      <c r="F28" s="12" t="str">
        <f>IFERROR(""&amp;_xlfn.XLOOKUP(FT_RF_264[[#This Row],[Código]],BD_Cod[SKU],BD_Cod[Descripción]),"")</f>
        <v/>
      </c>
      <c r="G28" s="32" t="str">
        <f>IFERROR(""&amp;_xlfn.XLOOKUP(FT_RF_264[[#This Row],[Código]],BD_Cod[SKU],BD_Cod[Familia Calidad]),"")</f>
        <v/>
      </c>
      <c r="J28" s="33">
        <v>1000</v>
      </c>
      <c r="L28" s="30" t="s">
        <v>244</v>
      </c>
      <c r="O28" s="30" t="s">
        <v>894</v>
      </c>
      <c r="P28" s="29" t="s">
        <v>894</v>
      </c>
      <c r="Q28" s="37">
        <f>1-FT_RF_264[[#This Row],[% Defectos]]</f>
        <v>1</v>
      </c>
      <c r="R28" s="38">
        <v>0</v>
      </c>
      <c r="S28" s="39">
        <f>+IFERROR((FT_RF_264[[#This Row],[Inmadura]]/FT_RF_264[[#This Row],[Muestra]]),"0")</f>
        <v>0</v>
      </c>
      <c r="T28" s="38">
        <v>0</v>
      </c>
      <c r="U28" s="39">
        <f>+IFERROR((FT_RF_264[[#This Row],[Partidas]]/FT_RF_264[[#This Row],[Muestra]]),"0")</f>
        <v>0</v>
      </c>
      <c r="V28" s="38">
        <v>0</v>
      </c>
      <c r="W28" s="39">
        <f>+IFERROR((FT_RF_264[[#This Row],[Daño Insecto]]/FT_RF_264[[#This Row],[Muestra]]),"0")</f>
        <v>0</v>
      </c>
      <c r="X28" s="38">
        <v>0</v>
      </c>
      <c r="Y28" s="39">
        <f>+IFERROR((FT_RF_264[[#This Row],[Sobremadura]]/FT_RF_264[[#This Row],[Muestra]]),"0")</f>
        <v>0</v>
      </c>
      <c r="Z28" s="38">
        <v>0</v>
      </c>
      <c r="AA28" s="39">
        <f>+IFERROR((FT_RF_264[[#This Row],[Deforme]]/FT_RF_264[[#This Row],[Muestra]]),"0")</f>
        <v>0</v>
      </c>
      <c r="AB28" s="27"/>
      <c r="AC28" s="38">
        <v>0</v>
      </c>
      <c r="AD28" s="39">
        <f>+IFERROR((FT_RF_264[[#This Row],[Valor Extra 1]]/FT_RF_264[[#This Row],[Muestra]]),"0")</f>
        <v>0</v>
      </c>
      <c r="AF28" s="38">
        <v>0</v>
      </c>
      <c r="AG28" s="39">
        <f>+IFERROR((FT_RF_264[[#This Row],[Valor Extra 2]]/FT_RF_264[[#This Row],[Muestra]]),"0")</f>
        <v>0</v>
      </c>
      <c r="AH28" s="40">
        <v>0</v>
      </c>
      <c r="AI28" s="39">
        <f>+IFERROR((FT_RF_264[[#This Row],[Hongos]]/FT_RF_264[[#This Row],[Muestra]]),"0")</f>
        <v>0</v>
      </c>
      <c r="AJ28" s="38">
        <v>0</v>
      </c>
      <c r="AK28" s="39">
        <f>+IFERROR((FT_RF_264[[#This Row],[Block]]/FT_RF_264[[#This Row],[Muestra]]),"0")</f>
        <v>0</v>
      </c>
      <c r="AL28" s="41">
        <v>0</v>
      </c>
      <c r="AM28" s="42">
        <v>0</v>
      </c>
      <c r="AN28" s="38">
        <v>0</v>
      </c>
      <c r="AO28" s="39">
        <f>+IFERROR((FT_RF_264[[#This Row],[Fuera de calibre &lt;12mm]]/FT_RF_264[[#This Row],[Muestra]]),"0")</f>
        <v>0</v>
      </c>
      <c r="AP28" s="38">
        <v>0</v>
      </c>
      <c r="AQ28" s="39">
        <f>+IFERROR((FT_RF_264[[#This Row],[Calibre &lt;25]]/FT_RF_264[[#This Row],[Muestra]]),"0")</f>
        <v>0</v>
      </c>
      <c r="AR28" s="38">
        <v>0</v>
      </c>
      <c r="AS28" s="39">
        <f>+IFERROR((FT_RF_264[[#This Row],[Calibre &gt;12]]/FT_RF_264[[#This Row],[Muestra]]),"0")</f>
        <v>0</v>
      </c>
      <c r="AT28" s="38">
        <v>0</v>
      </c>
      <c r="AU28" s="39">
        <f>+IFERROR((FT_RF_264[[#This Row],[Calibre &lt;14]]/FT_RF_264[[#This Row],[Muestra]]),"0")</f>
        <v>0</v>
      </c>
      <c r="AV28" s="38">
        <v>0</v>
      </c>
      <c r="AW28" s="39">
        <f>+IFERROR((FT_RF_264[[#This Row],[Calibre &gt;14]]/FT_RF_264[[#This Row],[Muestra]]),"0")</f>
        <v>0</v>
      </c>
      <c r="AX28" s="38">
        <v>0</v>
      </c>
      <c r="AY28" s="39">
        <f>+IFERROR((FT_RF_264[[#This Row],[Calibre &lt;10]]/FT_RF_264[[#This Row],[Muestra]]),"0")</f>
        <v>0</v>
      </c>
      <c r="AZ28" s="38">
        <v>0</v>
      </c>
      <c r="BA28" s="39">
        <f>+IFERROR((FT_RF_264[[#This Row],[Calibre &gt;13]]/FT_RF_264[[#This Row],[Muestra]]),"0")</f>
        <v>0</v>
      </c>
      <c r="BB28" s="41"/>
      <c r="BG28" s="42"/>
      <c r="BH28" s="43">
        <v>0</v>
      </c>
      <c r="BI28" s="29" t="s">
        <v>894</v>
      </c>
      <c r="BJ28" s="29" t="s">
        <v>894</v>
      </c>
      <c r="BK2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8" s="45">
        <f>1-FT_RF_264[[#This Row],[% Defectos]]</f>
        <v>1</v>
      </c>
      <c r="BO28" s="60"/>
      <c r="BP28" s="12">
        <f>SUM(FT_RF_264[[#This Row],[Hoja (Un.)]:[Larvas Caja]])</f>
        <v>0</v>
      </c>
      <c r="BQ28" s="12">
        <f>SUM(FT_RF_264[[#This Row],[Vidrios]:[Plástico]])</f>
        <v>0</v>
      </c>
      <c r="BR28" s="12" t="str">
        <f>IF(ISBLANK(FT_RF_264[[#This Row],[Descripción del producto]]),"",FT_RF_264[[#This Row],[Descripción del producto]])</f>
        <v/>
      </c>
      <c r="BS28" s="29" t="str">
        <f>IF(ISBLANK(FT_RF_264[[#This Row],[N° de Lote]]),"",FT_RF_264[[#This Row],[N° de Lote]])</f>
        <v/>
      </c>
      <c r="BT28" s="29" t="str">
        <f>IF(ISBLANK(FT_RF_264[[#This Row],[N° de Pallet]]),"",FT_RF_264[[#This Row],[N° de Pallet]])</f>
        <v/>
      </c>
    </row>
    <row r="29" spans="2:72">
      <c r="B29" s="29">
        <f>+_xlfn.ISOWEEKNUM(FT_RF_264[[#This Row],[Fecha]])</f>
        <v>52</v>
      </c>
      <c r="E29" s="31"/>
      <c r="F29" s="12" t="str">
        <f>IFERROR(""&amp;_xlfn.XLOOKUP(FT_RF_264[[#This Row],[Código]],BD_Cod[SKU],BD_Cod[Descripción]),"")</f>
        <v/>
      </c>
      <c r="G29" s="32" t="str">
        <f>IFERROR(""&amp;_xlfn.XLOOKUP(FT_RF_264[[#This Row],[Código]],BD_Cod[SKU],BD_Cod[Familia Calidad]),"")</f>
        <v/>
      </c>
      <c r="J29" s="33">
        <v>1000</v>
      </c>
      <c r="L29" s="30" t="s">
        <v>244</v>
      </c>
      <c r="O29" s="30" t="s">
        <v>894</v>
      </c>
      <c r="P29" s="29" t="s">
        <v>894</v>
      </c>
      <c r="Q29" s="37">
        <f>1-FT_RF_264[[#This Row],[% Defectos]]</f>
        <v>1</v>
      </c>
      <c r="R29" s="38">
        <v>0</v>
      </c>
      <c r="S29" s="39">
        <f>+IFERROR((FT_RF_264[[#This Row],[Inmadura]]/FT_RF_264[[#This Row],[Muestra]]),"0")</f>
        <v>0</v>
      </c>
      <c r="T29" s="38">
        <v>0</v>
      </c>
      <c r="U29" s="39">
        <f>+IFERROR((FT_RF_264[[#This Row],[Partidas]]/FT_RF_264[[#This Row],[Muestra]]),"0")</f>
        <v>0</v>
      </c>
      <c r="V29" s="38">
        <v>0</v>
      </c>
      <c r="W29" s="39">
        <f>+IFERROR((FT_RF_264[[#This Row],[Daño Insecto]]/FT_RF_264[[#This Row],[Muestra]]),"0")</f>
        <v>0</v>
      </c>
      <c r="X29" s="38">
        <v>0</v>
      </c>
      <c r="Y29" s="39">
        <f>+IFERROR((FT_RF_264[[#This Row],[Sobremadura]]/FT_RF_264[[#This Row],[Muestra]]),"0")</f>
        <v>0</v>
      </c>
      <c r="Z29" s="38">
        <v>0</v>
      </c>
      <c r="AA29" s="39">
        <f>+IFERROR((FT_RF_264[[#This Row],[Deforme]]/FT_RF_264[[#This Row],[Muestra]]),"0")</f>
        <v>0</v>
      </c>
      <c r="AB29" s="27"/>
      <c r="AC29" s="38">
        <v>0</v>
      </c>
      <c r="AD29" s="39">
        <f>+IFERROR((FT_RF_264[[#This Row],[Valor Extra 1]]/FT_RF_264[[#This Row],[Muestra]]),"0")</f>
        <v>0</v>
      </c>
      <c r="AF29" s="38">
        <v>0</v>
      </c>
      <c r="AG29" s="39">
        <f>+IFERROR((FT_RF_264[[#This Row],[Valor Extra 2]]/FT_RF_264[[#This Row],[Muestra]]),"0")</f>
        <v>0</v>
      </c>
      <c r="AH29" s="40">
        <v>0</v>
      </c>
      <c r="AI29" s="39">
        <f>+IFERROR((FT_RF_264[[#This Row],[Hongos]]/FT_RF_264[[#This Row],[Muestra]]),"0")</f>
        <v>0</v>
      </c>
      <c r="AJ29" s="38">
        <v>0</v>
      </c>
      <c r="AK29" s="39">
        <f>+IFERROR((FT_RF_264[[#This Row],[Block]]/FT_RF_264[[#This Row],[Muestra]]),"0")</f>
        <v>0</v>
      </c>
      <c r="AL29" s="41">
        <v>0</v>
      </c>
      <c r="AM29" s="42">
        <v>0</v>
      </c>
      <c r="AN29" s="38">
        <v>0</v>
      </c>
      <c r="AO29" s="39">
        <f>+IFERROR((FT_RF_264[[#This Row],[Fuera de calibre &lt;12mm]]/FT_RF_264[[#This Row],[Muestra]]),"0")</f>
        <v>0</v>
      </c>
      <c r="AP29" s="38">
        <v>0</v>
      </c>
      <c r="AQ29" s="39">
        <f>+IFERROR((FT_RF_264[[#This Row],[Calibre &lt;25]]/FT_RF_264[[#This Row],[Muestra]]),"0")</f>
        <v>0</v>
      </c>
      <c r="AR29" s="38">
        <v>0</v>
      </c>
      <c r="AS29" s="39">
        <f>+IFERROR((FT_RF_264[[#This Row],[Calibre &gt;12]]/FT_RF_264[[#This Row],[Muestra]]),"0")</f>
        <v>0</v>
      </c>
      <c r="AT29" s="38">
        <v>0</v>
      </c>
      <c r="AU29" s="39">
        <f>+IFERROR((FT_RF_264[[#This Row],[Calibre &lt;14]]/FT_RF_264[[#This Row],[Muestra]]),"0")</f>
        <v>0</v>
      </c>
      <c r="AV29" s="38">
        <v>0</v>
      </c>
      <c r="AW29" s="39">
        <f>+IFERROR((FT_RF_264[[#This Row],[Calibre &gt;14]]/FT_RF_264[[#This Row],[Muestra]]),"0")</f>
        <v>0</v>
      </c>
      <c r="AX29" s="38">
        <v>0</v>
      </c>
      <c r="AY29" s="39">
        <f>+IFERROR((FT_RF_264[[#This Row],[Calibre &lt;10]]/FT_RF_264[[#This Row],[Muestra]]),"0")</f>
        <v>0</v>
      </c>
      <c r="AZ29" s="38">
        <v>0</v>
      </c>
      <c r="BA29" s="39">
        <f>+IFERROR((FT_RF_264[[#This Row],[Calibre &gt;13]]/FT_RF_264[[#This Row],[Muestra]]),"0")</f>
        <v>0</v>
      </c>
      <c r="BB29" s="41"/>
      <c r="BG29" s="42"/>
      <c r="BH29" s="43">
        <v>0</v>
      </c>
      <c r="BI29" s="29" t="s">
        <v>894</v>
      </c>
      <c r="BJ29" s="29" t="s">
        <v>894</v>
      </c>
      <c r="BK2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9" s="45">
        <f>1-FT_RF_264[[#This Row],[% Defectos]]</f>
        <v>1</v>
      </c>
      <c r="BO29" s="60"/>
      <c r="BP29" s="12">
        <f>SUM(FT_RF_264[[#This Row],[Hoja (Un.)]:[Larvas Caja]])</f>
        <v>0</v>
      </c>
      <c r="BQ29" s="12">
        <f>SUM(FT_RF_264[[#This Row],[Vidrios]:[Plástico]])</f>
        <v>0</v>
      </c>
      <c r="BR29" s="12" t="str">
        <f>IF(ISBLANK(FT_RF_264[[#This Row],[Descripción del producto]]),"",FT_RF_264[[#This Row],[Descripción del producto]])</f>
        <v/>
      </c>
      <c r="BS29" s="29" t="str">
        <f>IF(ISBLANK(FT_RF_264[[#This Row],[N° de Lote]]),"",FT_RF_264[[#This Row],[N° de Lote]])</f>
        <v/>
      </c>
      <c r="BT29" s="29" t="str">
        <f>IF(ISBLANK(FT_RF_264[[#This Row],[N° de Pallet]]),"",FT_RF_264[[#This Row],[N° de Pallet]])</f>
        <v/>
      </c>
    </row>
    <row r="30" spans="2:72">
      <c r="B30" s="29">
        <f>+_xlfn.ISOWEEKNUM(FT_RF_264[[#This Row],[Fecha]])</f>
        <v>52</v>
      </c>
      <c r="E30" s="31"/>
      <c r="F30" s="12" t="str">
        <f>IFERROR(""&amp;_xlfn.XLOOKUP(FT_RF_264[[#This Row],[Código]],BD_Cod[SKU],BD_Cod[Descripción]),"")</f>
        <v/>
      </c>
      <c r="G30" s="32" t="str">
        <f>IFERROR(""&amp;_xlfn.XLOOKUP(FT_RF_264[[#This Row],[Código]],BD_Cod[SKU],BD_Cod[Familia Calidad]),"")</f>
        <v/>
      </c>
      <c r="J30" s="33">
        <v>1000</v>
      </c>
      <c r="L30" s="30" t="s">
        <v>244</v>
      </c>
      <c r="O30" s="30" t="s">
        <v>894</v>
      </c>
      <c r="P30" s="29" t="s">
        <v>894</v>
      </c>
      <c r="Q30" s="37">
        <f>1-FT_RF_264[[#This Row],[% Defectos]]</f>
        <v>1</v>
      </c>
      <c r="R30" s="38">
        <v>0</v>
      </c>
      <c r="S30" s="39">
        <f>+IFERROR((FT_RF_264[[#This Row],[Inmadura]]/FT_RF_264[[#This Row],[Muestra]]),"0")</f>
        <v>0</v>
      </c>
      <c r="T30" s="38">
        <v>0</v>
      </c>
      <c r="U30" s="39">
        <f>+IFERROR((FT_RF_264[[#This Row],[Partidas]]/FT_RF_264[[#This Row],[Muestra]]),"0")</f>
        <v>0</v>
      </c>
      <c r="V30" s="38">
        <v>0</v>
      </c>
      <c r="W30" s="39">
        <f>+IFERROR((FT_RF_264[[#This Row],[Daño Insecto]]/FT_RF_264[[#This Row],[Muestra]]),"0")</f>
        <v>0</v>
      </c>
      <c r="X30" s="38">
        <v>0</v>
      </c>
      <c r="Y30" s="39">
        <f>+IFERROR((FT_RF_264[[#This Row],[Sobremadura]]/FT_RF_264[[#This Row],[Muestra]]),"0")</f>
        <v>0</v>
      </c>
      <c r="Z30" s="38">
        <v>0</v>
      </c>
      <c r="AA30" s="39">
        <f>+IFERROR((FT_RF_264[[#This Row],[Deforme]]/FT_RF_264[[#This Row],[Muestra]]),"0")</f>
        <v>0</v>
      </c>
      <c r="AB30" s="27"/>
      <c r="AC30" s="38">
        <v>0</v>
      </c>
      <c r="AD30" s="39">
        <f>+IFERROR((FT_RF_264[[#This Row],[Valor Extra 1]]/FT_RF_264[[#This Row],[Muestra]]),"0")</f>
        <v>0</v>
      </c>
      <c r="AF30" s="38">
        <v>0</v>
      </c>
      <c r="AG30" s="39">
        <f>+IFERROR((FT_RF_264[[#This Row],[Valor Extra 2]]/FT_RF_264[[#This Row],[Muestra]]),"0")</f>
        <v>0</v>
      </c>
      <c r="AH30" s="40">
        <v>0</v>
      </c>
      <c r="AI30" s="39">
        <f>+IFERROR((FT_RF_264[[#This Row],[Hongos]]/FT_RF_264[[#This Row],[Muestra]]),"0")</f>
        <v>0</v>
      </c>
      <c r="AJ30" s="38">
        <v>0</v>
      </c>
      <c r="AK30" s="39">
        <f>+IFERROR((FT_RF_264[[#This Row],[Block]]/FT_RF_264[[#This Row],[Muestra]]),"0")</f>
        <v>0</v>
      </c>
      <c r="AL30" s="41">
        <v>0</v>
      </c>
      <c r="AM30" s="42">
        <v>0</v>
      </c>
      <c r="AN30" s="38">
        <v>0</v>
      </c>
      <c r="AO30" s="39">
        <f>+IFERROR((FT_RF_264[[#This Row],[Fuera de calibre &lt;12mm]]/FT_RF_264[[#This Row],[Muestra]]),"0")</f>
        <v>0</v>
      </c>
      <c r="AP30" s="38">
        <v>0</v>
      </c>
      <c r="AQ30" s="39">
        <f>+IFERROR((FT_RF_264[[#This Row],[Calibre &lt;25]]/FT_RF_264[[#This Row],[Muestra]]),"0")</f>
        <v>0</v>
      </c>
      <c r="AR30" s="38">
        <v>0</v>
      </c>
      <c r="AS30" s="39">
        <f>+IFERROR((FT_RF_264[[#This Row],[Calibre &gt;12]]/FT_RF_264[[#This Row],[Muestra]]),"0")</f>
        <v>0</v>
      </c>
      <c r="AT30" s="38">
        <v>0</v>
      </c>
      <c r="AU30" s="39">
        <f>+IFERROR((FT_RF_264[[#This Row],[Calibre &lt;14]]/FT_RF_264[[#This Row],[Muestra]]),"0")</f>
        <v>0</v>
      </c>
      <c r="AV30" s="38">
        <v>0</v>
      </c>
      <c r="AW30" s="39">
        <f>+IFERROR((FT_RF_264[[#This Row],[Calibre &gt;14]]/FT_RF_264[[#This Row],[Muestra]]),"0")</f>
        <v>0</v>
      </c>
      <c r="AX30" s="38">
        <v>0</v>
      </c>
      <c r="AY30" s="39">
        <f>+IFERROR((FT_RF_264[[#This Row],[Calibre &lt;10]]/FT_RF_264[[#This Row],[Muestra]]),"0")</f>
        <v>0</v>
      </c>
      <c r="AZ30" s="38">
        <v>0</v>
      </c>
      <c r="BA30" s="39">
        <f>+IFERROR((FT_RF_264[[#This Row],[Calibre &gt;13]]/FT_RF_264[[#This Row],[Muestra]]),"0")</f>
        <v>0</v>
      </c>
      <c r="BB30" s="41"/>
      <c r="BG30" s="42"/>
      <c r="BH30" s="43">
        <v>0</v>
      </c>
      <c r="BI30" s="29" t="s">
        <v>894</v>
      </c>
      <c r="BJ30" s="29" t="s">
        <v>894</v>
      </c>
      <c r="BK3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0" s="45">
        <f>1-FT_RF_264[[#This Row],[% Defectos]]</f>
        <v>1</v>
      </c>
      <c r="BO30" s="60"/>
      <c r="BP30" s="12">
        <f>SUM(FT_RF_264[[#This Row],[Hoja (Un.)]:[Larvas Caja]])</f>
        <v>0</v>
      </c>
      <c r="BQ30" s="12">
        <f>SUM(FT_RF_264[[#This Row],[Vidrios]:[Plástico]])</f>
        <v>0</v>
      </c>
      <c r="BR30" s="12" t="str">
        <f>IF(ISBLANK(FT_RF_264[[#This Row],[Descripción del producto]]),"",FT_RF_264[[#This Row],[Descripción del producto]])</f>
        <v/>
      </c>
      <c r="BS30" s="29" t="str">
        <f>IF(ISBLANK(FT_RF_264[[#This Row],[N° de Lote]]),"",FT_RF_264[[#This Row],[N° de Lote]])</f>
        <v/>
      </c>
      <c r="BT30" s="29" t="str">
        <f>IF(ISBLANK(FT_RF_264[[#This Row],[N° de Pallet]]),"",FT_RF_264[[#This Row],[N° de Pallet]])</f>
        <v/>
      </c>
    </row>
    <row r="31" spans="2:72">
      <c r="B31" s="29">
        <f>+_xlfn.ISOWEEKNUM(FT_RF_264[[#This Row],[Fecha]])</f>
        <v>52</v>
      </c>
      <c r="E31" s="31"/>
      <c r="F31" s="12" t="str">
        <f>IFERROR(""&amp;_xlfn.XLOOKUP(FT_RF_264[[#This Row],[Código]],BD_Cod[SKU],BD_Cod[Descripción]),"")</f>
        <v/>
      </c>
      <c r="G31" s="32" t="str">
        <f>IFERROR(""&amp;_xlfn.XLOOKUP(FT_RF_264[[#This Row],[Código]],BD_Cod[SKU],BD_Cod[Familia Calidad]),"")</f>
        <v/>
      </c>
      <c r="J31" s="33">
        <v>1000</v>
      </c>
      <c r="L31" s="30" t="s">
        <v>244</v>
      </c>
      <c r="O31" s="30" t="s">
        <v>894</v>
      </c>
      <c r="P31" s="29" t="s">
        <v>894</v>
      </c>
      <c r="Q31" s="37">
        <f>1-FT_RF_264[[#This Row],[% Defectos]]</f>
        <v>1</v>
      </c>
      <c r="R31" s="38">
        <v>0</v>
      </c>
      <c r="S31" s="39">
        <f>+IFERROR((FT_RF_264[[#This Row],[Inmadura]]/FT_RF_264[[#This Row],[Muestra]]),"0")</f>
        <v>0</v>
      </c>
      <c r="T31" s="38">
        <v>0</v>
      </c>
      <c r="U31" s="39">
        <f>+IFERROR((FT_RF_264[[#This Row],[Partidas]]/FT_RF_264[[#This Row],[Muestra]]),"0")</f>
        <v>0</v>
      </c>
      <c r="V31" s="38">
        <v>0</v>
      </c>
      <c r="W31" s="39">
        <f>+IFERROR((FT_RF_264[[#This Row],[Daño Insecto]]/FT_RF_264[[#This Row],[Muestra]]),"0")</f>
        <v>0</v>
      </c>
      <c r="X31" s="38">
        <v>0</v>
      </c>
      <c r="Y31" s="39">
        <f>+IFERROR((FT_RF_264[[#This Row],[Sobremadura]]/FT_RF_264[[#This Row],[Muestra]]),"0")</f>
        <v>0</v>
      </c>
      <c r="Z31" s="38">
        <v>0</v>
      </c>
      <c r="AA31" s="39">
        <f>+IFERROR((FT_RF_264[[#This Row],[Deforme]]/FT_RF_264[[#This Row],[Muestra]]),"0")</f>
        <v>0</v>
      </c>
      <c r="AB31" s="27"/>
      <c r="AC31" s="38">
        <v>0</v>
      </c>
      <c r="AD31" s="39">
        <f>+IFERROR((FT_RF_264[[#This Row],[Valor Extra 1]]/FT_RF_264[[#This Row],[Muestra]]),"0")</f>
        <v>0</v>
      </c>
      <c r="AF31" s="38">
        <v>0</v>
      </c>
      <c r="AG31" s="39">
        <f>+IFERROR((FT_RF_264[[#This Row],[Valor Extra 2]]/FT_RF_264[[#This Row],[Muestra]]),"0")</f>
        <v>0</v>
      </c>
      <c r="AH31" s="40">
        <v>0</v>
      </c>
      <c r="AI31" s="39">
        <f>+IFERROR((FT_RF_264[[#This Row],[Hongos]]/FT_RF_264[[#This Row],[Muestra]]),"0")</f>
        <v>0</v>
      </c>
      <c r="AJ31" s="38">
        <v>0</v>
      </c>
      <c r="AK31" s="39">
        <f>+IFERROR((FT_RF_264[[#This Row],[Block]]/FT_RF_264[[#This Row],[Muestra]]),"0")</f>
        <v>0</v>
      </c>
      <c r="AL31" s="41">
        <v>0</v>
      </c>
      <c r="AM31" s="42">
        <v>0</v>
      </c>
      <c r="AN31" s="38">
        <v>0</v>
      </c>
      <c r="AO31" s="39">
        <f>+IFERROR((FT_RF_264[[#This Row],[Fuera de calibre &lt;12mm]]/FT_RF_264[[#This Row],[Muestra]]),"0")</f>
        <v>0</v>
      </c>
      <c r="AP31" s="38">
        <v>0</v>
      </c>
      <c r="AQ31" s="39">
        <f>+IFERROR((FT_RF_264[[#This Row],[Calibre &lt;25]]/FT_RF_264[[#This Row],[Muestra]]),"0")</f>
        <v>0</v>
      </c>
      <c r="AR31" s="38">
        <v>0</v>
      </c>
      <c r="AS31" s="39">
        <f>+IFERROR((FT_RF_264[[#This Row],[Calibre &gt;12]]/FT_RF_264[[#This Row],[Muestra]]),"0")</f>
        <v>0</v>
      </c>
      <c r="AT31" s="38">
        <v>0</v>
      </c>
      <c r="AU31" s="39">
        <f>+IFERROR((FT_RF_264[[#This Row],[Calibre &lt;14]]/FT_RF_264[[#This Row],[Muestra]]),"0")</f>
        <v>0</v>
      </c>
      <c r="AV31" s="38">
        <v>0</v>
      </c>
      <c r="AW31" s="39">
        <f>+IFERROR((FT_RF_264[[#This Row],[Calibre &gt;14]]/FT_RF_264[[#This Row],[Muestra]]),"0")</f>
        <v>0</v>
      </c>
      <c r="AX31" s="38">
        <v>0</v>
      </c>
      <c r="AY31" s="39">
        <f>+IFERROR((FT_RF_264[[#This Row],[Calibre &lt;10]]/FT_RF_264[[#This Row],[Muestra]]),"0")</f>
        <v>0</v>
      </c>
      <c r="AZ31" s="38">
        <v>0</v>
      </c>
      <c r="BA31" s="39">
        <f>+IFERROR((FT_RF_264[[#This Row],[Calibre &gt;13]]/FT_RF_264[[#This Row],[Muestra]]),"0")</f>
        <v>0</v>
      </c>
      <c r="BB31" s="41"/>
      <c r="BG31" s="42"/>
      <c r="BH31" s="43">
        <v>0</v>
      </c>
      <c r="BI31" s="29" t="s">
        <v>894</v>
      </c>
      <c r="BJ31" s="29" t="s">
        <v>894</v>
      </c>
      <c r="BK3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1" s="45">
        <f>1-FT_RF_264[[#This Row],[% Defectos]]</f>
        <v>1</v>
      </c>
      <c r="BO31" s="60"/>
      <c r="BP31" s="12">
        <f>SUM(FT_RF_264[[#This Row],[Hoja (Un.)]:[Larvas Caja]])</f>
        <v>0</v>
      </c>
      <c r="BQ31" s="12">
        <f>SUM(FT_RF_264[[#This Row],[Vidrios]:[Plástico]])</f>
        <v>0</v>
      </c>
      <c r="BR31" s="12" t="str">
        <f>IF(ISBLANK(FT_RF_264[[#This Row],[Descripción del producto]]),"",FT_RF_264[[#This Row],[Descripción del producto]])</f>
        <v/>
      </c>
      <c r="BS31" s="29" t="str">
        <f>IF(ISBLANK(FT_RF_264[[#This Row],[N° de Lote]]),"",FT_RF_264[[#This Row],[N° de Lote]])</f>
        <v/>
      </c>
      <c r="BT31" s="29" t="str">
        <f>IF(ISBLANK(FT_RF_264[[#This Row],[N° de Pallet]]),"",FT_RF_264[[#This Row],[N° de Pallet]])</f>
        <v/>
      </c>
    </row>
    <row r="32" spans="2:72">
      <c r="B32" s="29">
        <f>+_xlfn.ISOWEEKNUM(FT_RF_264[[#This Row],[Fecha]])</f>
        <v>52</v>
      </c>
      <c r="E32" s="31"/>
      <c r="F32" s="12" t="str">
        <f>IFERROR(""&amp;_xlfn.XLOOKUP(FT_RF_264[[#This Row],[Código]],BD_Cod[SKU],BD_Cod[Descripción]),"")</f>
        <v/>
      </c>
      <c r="G32" s="32" t="str">
        <f>IFERROR(""&amp;_xlfn.XLOOKUP(FT_RF_264[[#This Row],[Código]],BD_Cod[SKU],BD_Cod[Familia Calidad]),"")</f>
        <v/>
      </c>
      <c r="J32" s="33">
        <v>1000</v>
      </c>
      <c r="L32" s="30" t="s">
        <v>244</v>
      </c>
      <c r="O32" s="30" t="s">
        <v>894</v>
      </c>
      <c r="P32" s="29" t="s">
        <v>894</v>
      </c>
      <c r="Q32" s="37">
        <f>1-FT_RF_264[[#This Row],[% Defectos]]</f>
        <v>1</v>
      </c>
      <c r="R32" s="38">
        <v>0</v>
      </c>
      <c r="S32" s="39">
        <f>+IFERROR((FT_RF_264[[#This Row],[Inmadura]]/FT_RF_264[[#This Row],[Muestra]]),"0")</f>
        <v>0</v>
      </c>
      <c r="T32" s="38">
        <v>0</v>
      </c>
      <c r="U32" s="39">
        <f>+IFERROR((FT_RF_264[[#This Row],[Partidas]]/FT_RF_264[[#This Row],[Muestra]]),"0")</f>
        <v>0</v>
      </c>
      <c r="V32" s="38">
        <v>0</v>
      </c>
      <c r="W32" s="39">
        <f>+IFERROR((FT_RF_264[[#This Row],[Daño Insecto]]/FT_RF_264[[#This Row],[Muestra]]),"0")</f>
        <v>0</v>
      </c>
      <c r="X32" s="38">
        <v>0</v>
      </c>
      <c r="Y32" s="39">
        <f>+IFERROR((FT_RF_264[[#This Row],[Sobremadura]]/FT_RF_264[[#This Row],[Muestra]]),"0")</f>
        <v>0</v>
      </c>
      <c r="Z32" s="38">
        <v>0</v>
      </c>
      <c r="AA32" s="39">
        <f>+IFERROR((FT_RF_264[[#This Row],[Deforme]]/FT_RF_264[[#This Row],[Muestra]]),"0")</f>
        <v>0</v>
      </c>
      <c r="AB32" s="27"/>
      <c r="AC32" s="38">
        <v>0</v>
      </c>
      <c r="AD32" s="39">
        <f>+IFERROR((FT_RF_264[[#This Row],[Valor Extra 1]]/FT_RF_264[[#This Row],[Muestra]]),"0")</f>
        <v>0</v>
      </c>
      <c r="AF32" s="38">
        <v>0</v>
      </c>
      <c r="AG32" s="39">
        <f>+IFERROR((FT_RF_264[[#This Row],[Valor Extra 2]]/FT_RF_264[[#This Row],[Muestra]]),"0")</f>
        <v>0</v>
      </c>
      <c r="AH32" s="40">
        <v>0</v>
      </c>
      <c r="AI32" s="39">
        <f>+IFERROR((FT_RF_264[[#This Row],[Hongos]]/FT_RF_264[[#This Row],[Muestra]]),"0")</f>
        <v>0</v>
      </c>
      <c r="AJ32" s="38">
        <v>0</v>
      </c>
      <c r="AK32" s="39">
        <f>+IFERROR((FT_RF_264[[#This Row],[Block]]/FT_RF_264[[#This Row],[Muestra]]),"0")</f>
        <v>0</v>
      </c>
      <c r="AL32" s="41">
        <v>0</v>
      </c>
      <c r="AM32" s="42">
        <v>0</v>
      </c>
      <c r="AN32" s="38">
        <v>0</v>
      </c>
      <c r="AO32" s="39">
        <f>+IFERROR((FT_RF_264[[#This Row],[Fuera de calibre &lt;12mm]]/FT_RF_264[[#This Row],[Muestra]]),"0")</f>
        <v>0</v>
      </c>
      <c r="AP32" s="38">
        <v>0</v>
      </c>
      <c r="AQ32" s="39">
        <f>+IFERROR((FT_RF_264[[#This Row],[Calibre &lt;25]]/FT_RF_264[[#This Row],[Muestra]]),"0")</f>
        <v>0</v>
      </c>
      <c r="AR32" s="38">
        <v>0</v>
      </c>
      <c r="AS32" s="39">
        <f>+IFERROR((FT_RF_264[[#This Row],[Calibre &gt;12]]/FT_RF_264[[#This Row],[Muestra]]),"0")</f>
        <v>0</v>
      </c>
      <c r="AT32" s="38">
        <v>0</v>
      </c>
      <c r="AU32" s="39">
        <f>+IFERROR((FT_RF_264[[#This Row],[Calibre &lt;14]]/FT_RF_264[[#This Row],[Muestra]]),"0")</f>
        <v>0</v>
      </c>
      <c r="AV32" s="38">
        <v>0</v>
      </c>
      <c r="AW32" s="39">
        <f>+IFERROR((FT_RF_264[[#This Row],[Calibre &gt;14]]/FT_RF_264[[#This Row],[Muestra]]),"0")</f>
        <v>0</v>
      </c>
      <c r="AX32" s="38">
        <v>0</v>
      </c>
      <c r="AY32" s="39">
        <f>+IFERROR((FT_RF_264[[#This Row],[Calibre &lt;10]]/FT_RF_264[[#This Row],[Muestra]]),"0")</f>
        <v>0</v>
      </c>
      <c r="AZ32" s="38">
        <v>0</v>
      </c>
      <c r="BA32" s="39">
        <f>+IFERROR((FT_RF_264[[#This Row],[Calibre &gt;13]]/FT_RF_264[[#This Row],[Muestra]]),"0")</f>
        <v>0</v>
      </c>
      <c r="BB32" s="41"/>
      <c r="BG32" s="42"/>
      <c r="BH32" s="43">
        <v>0</v>
      </c>
      <c r="BI32" s="29" t="s">
        <v>894</v>
      </c>
      <c r="BJ32" s="29" t="s">
        <v>894</v>
      </c>
      <c r="BK3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2" s="45">
        <f>1-FT_RF_264[[#This Row],[% Defectos]]</f>
        <v>1</v>
      </c>
      <c r="BO32" s="60"/>
      <c r="BP32" s="12">
        <f>SUM(FT_RF_264[[#This Row],[Hoja (Un.)]:[Larvas Caja]])</f>
        <v>0</v>
      </c>
      <c r="BQ32" s="12">
        <f>SUM(FT_RF_264[[#This Row],[Vidrios]:[Plástico]])</f>
        <v>0</v>
      </c>
      <c r="BR32" s="12" t="str">
        <f>IF(ISBLANK(FT_RF_264[[#This Row],[Descripción del producto]]),"",FT_RF_264[[#This Row],[Descripción del producto]])</f>
        <v/>
      </c>
      <c r="BS32" s="29" t="str">
        <f>IF(ISBLANK(FT_RF_264[[#This Row],[N° de Lote]]),"",FT_RF_264[[#This Row],[N° de Lote]])</f>
        <v/>
      </c>
      <c r="BT32" s="29" t="str">
        <f>IF(ISBLANK(FT_RF_264[[#This Row],[N° de Pallet]]),"",FT_RF_264[[#This Row],[N° de Pallet]])</f>
        <v/>
      </c>
    </row>
    <row r="33" spans="2:72">
      <c r="B33" s="29">
        <f>+_xlfn.ISOWEEKNUM(FT_RF_264[[#This Row],[Fecha]])</f>
        <v>52</v>
      </c>
      <c r="E33" s="31"/>
      <c r="F33" s="12" t="str">
        <f>IFERROR(""&amp;_xlfn.XLOOKUP(FT_RF_264[[#This Row],[Código]],BD_Cod[SKU],BD_Cod[Descripción]),"")</f>
        <v/>
      </c>
      <c r="G33" s="32" t="str">
        <f>IFERROR(""&amp;_xlfn.XLOOKUP(FT_RF_264[[#This Row],[Código]],BD_Cod[SKU],BD_Cod[Familia Calidad]),"")</f>
        <v/>
      </c>
      <c r="J33" s="33">
        <v>1000</v>
      </c>
      <c r="L33" s="30" t="s">
        <v>244</v>
      </c>
      <c r="O33" s="30" t="s">
        <v>894</v>
      </c>
      <c r="P33" s="29" t="s">
        <v>894</v>
      </c>
      <c r="Q33" s="37">
        <f>1-FT_RF_264[[#This Row],[% Defectos]]</f>
        <v>1</v>
      </c>
      <c r="R33" s="38">
        <v>0</v>
      </c>
      <c r="S33" s="39">
        <f>+IFERROR((FT_RF_264[[#This Row],[Inmadura]]/FT_RF_264[[#This Row],[Muestra]]),"0")</f>
        <v>0</v>
      </c>
      <c r="T33" s="38">
        <v>0</v>
      </c>
      <c r="U33" s="39">
        <f>+IFERROR((FT_RF_264[[#This Row],[Partidas]]/FT_RF_264[[#This Row],[Muestra]]),"0")</f>
        <v>0</v>
      </c>
      <c r="V33" s="38">
        <v>0</v>
      </c>
      <c r="W33" s="39">
        <f>+IFERROR((FT_RF_264[[#This Row],[Daño Insecto]]/FT_RF_264[[#This Row],[Muestra]]),"0")</f>
        <v>0</v>
      </c>
      <c r="X33" s="38">
        <v>0</v>
      </c>
      <c r="Y33" s="39">
        <f>+IFERROR((FT_RF_264[[#This Row],[Sobremadura]]/FT_RF_264[[#This Row],[Muestra]]),"0")</f>
        <v>0</v>
      </c>
      <c r="Z33" s="38">
        <v>0</v>
      </c>
      <c r="AA33" s="39">
        <f>+IFERROR((FT_RF_264[[#This Row],[Deforme]]/FT_RF_264[[#This Row],[Muestra]]),"0")</f>
        <v>0</v>
      </c>
      <c r="AB33" s="27"/>
      <c r="AC33" s="38">
        <v>0</v>
      </c>
      <c r="AD33" s="39">
        <f>+IFERROR((FT_RF_264[[#This Row],[Valor Extra 1]]/FT_RF_264[[#This Row],[Muestra]]),"0")</f>
        <v>0</v>
      </c>
      <c r="AF33" s="38">
        <v>0</v>
      </c>
      <c r="AG33" s="39">
        <f>+IFERROR((FT_RF_264[[#This Row],[Valor Extra 2]]/FT_RF_264[[#This Row],[Muestra]]),"0")</f>
        <v>0</v>
      </c>
      <c r="AH33" s="40">
        <v>0</v>
      </c>
      <c r="AI33" s="39">
        <f>+IFERROR((FT_RF_264[[#This Row],[Hongos]]/FT_RF_264[[#This Row],[Muestra]]),"0")</f>
        <v>0</v>
      </c>
      <c r="AJ33" s="38">
        <v>0</v>
      </c>
      <c r="AK33" s="39">
        <f>+IFERROR((FT_RF_264[[#This Row],[Block]]/FT_RF_264[[#This Row],[Muestra]]),"0")</f>
        <v>0</v>
      </c>
      <c r="AL33" s="41">
        <v>0</v>
      </c>
      <c r="AM33" s="42">
        <v>0</v>
      </c>
      <c r="AN33" s="38">
        <v>0</v>
      </c>
      <c r="AO33" s="39">
        <f>+IFERROR((FT_RF_264[[#This Row],[Fuera de calibre &lt;12mm]]/FT_RF_264[[#This Row],[Muestra]]),"0")</f>
        <v>0</v>
      </c>
      <c r="AP33" s="38">
        <v>0</v>
      </c>
      <c r="AQ33" s="39">
        <f>+IFERROR((FT_RF_264[[#This Row],[Calibre &lt;25]]/FT_RF_264[[#This Row],[Muestra]]),"0")</f>
        <v>0</v>
      </c>
      <c r="AR33" s="38">
        <v>0</v>
      </c>
      <c r="AS33" s="39">
        <f>+IFERROR((FT_RF_264[[#This Row],[Calibre &gt;12]]/FT_RF_264[[#This Row],[Muestra]]),"0")</f>
        <v>0</v>
      </c>
      <c r="AT33" s="38">
        <v>0</v>
      </c>
      <c r="AU33" s="39">
        <f>+IFERROR((FT_RF_264[[#This Row],[Calibre &lt;14]]/FT_RF_264[[#This Row],[Muestra]]),"0")</f>
        <v>0</v>
      </c>
      <c r="AV33" s="38">
        <v>0</v>
      </c>
      <c r="AW33" s="39">
        <f>+IFERROR((FT_RF_264[[#This Row],[Calibre &gt;14]]/FT_RF_264[[#This Row],[Muestra]]),"0")</f>
        <v>0</v>
      </c>
      <c r="AX33" s="38">
        <v>0</v>
      </c>
      <c r="AY33" s="39">
        <f>+IFERROR((FT_RF_264[[#This Row],[Calibre &lt;10]]/FT_RF_264[[#This Row],[Muestra]]),"0")</f>
        <v>0</v>
      </c>
      <c r="AZ33" s="38">
        <v>0</v>
      </c>
      <c r="BA33" s="39">
        <f>+IFERROR((FT_RF_264[[#This Row],[Calibre &gt;13]]/FT_RF_264[[#This Row],[Muestra]]),"0")</f>
        <v>0</v>
      </c>
      <c r="BB33" s="41"/>
      <c r="BG33" s="42"/>
      <c r="BH33" s="43">
        <v>0</v>
      </c>
      <c r="BI33" s="29" t="s">
        <v>894</v>
      </c>
      <c r="BJ33" s="29" t="s">
        <v>894</v>
      </c>
      <c r="BK3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3" s="45">
        <f>1-FT_RF_264[[#This Row],[% Defectos]]</f>
        <v>1</v>
      </c>
      <c r="BO33" s="60"/>
      <c r="BP33" s="12">
        <f>SUM(FT_RF_264[[#This Row],[Hoja (Un.)]:[Larvas Caja]])</f>
        <v>0</v>
      </c>
      <c r="BQ33" s="12">
        <f>SUM(FT_RF_264[[#This Row],[Vidrios]:[Plástico]])</f>
        <v>0</v>
      </c>
      <c r="BR33" s="12" t="str">
        <f>IF(ISBLANK(FT_RF_264[[#This Row],[Descripción del producto]]),"",FT_RF_264[[#This Row],[Descripción del producto]])</f>
        <v/>
      </c>
      <c r="BS33" s="29" t="str">
        <f>IF(ISBLANK(FT_RF_264[[#This Row],[N° de Lote]]),"",FT_RF_264[[#This Row],[N° de Lote]])</f>
        <v/>
      </c>
      <c r="BT33" s="29" t="str">
        <f>IF(ISBLANK(FT_RF_264[[#This Row],[N° de Pallet]]),"",FT_RF_264[[#This Row],[N° de Pallet]])</f>
        <v/>
      </c>
    </row>
    <row r="34" spans="2:72">
      <c r="B34" s="29">
        <f>+_xlfn.ISOWEEKNUM(FT_RF_264[[#This Row],[Fecha]])</f>
        <v>52</v>
      </c>
      <c r="E34" s="31"/>
      <c r="F34" s="12" t="str">
        <f>IFERROR(""&amp;_xlfn.XLOOKUP(FT_RF_264[[#This Row],[Código]],BD_Cod[SKU],BD_Cod[Descripción]),"")</f>
        <v/>
      </c>
      <c r="G34" s="32" t="str">
        <f>IFERROR(""&amp;_xlfn.XLOOKUP(FT_RF_264[[#This Row],[Código]],BD_Cod[SKU],BD_Cod[Familia Calidad]),"")</f>
        <v/>
      </c>
      <c r="J34" s="33">
        <v>1000</v>
      </c>
      <c r="L34" s="30" t="s">
        <v>244</v>
      </c>
      <c r="O34" s="30" t="s">
        <v>894</v>
      </c>
      <c r="P34" s="29" t="s">
        <v>894</v>
      </c>
      <c r="Q34" s="37">
        <f>1-FT_RF_264[[#This Row],[% Defectos]]</f>
        <v>1</v>
      </c>
      <c r="R34" s="38">
        <v>0</v>
      </c>
      <c r="S34" s="39">
        <f>+IFERROR((FT_RF_264[[#This Row],[Inmadura]]/FT_RF_264[[#This Row],[Muestra]]),"0")</f>
        <v>0</v>
      </c>
      <c r="T34" s="38">
        <v>0</v>
      </c>
      <c r="U34" s="39">
        <f>+IFERROR((FT_RF_264[[#This Row],[Partidas]]/FT_RF_264[[#This Row],[Muestra]]),"0")</f>
        <v>0</v>
      </c>
      <c r="V34" s="38">
        <v>0</v>
      </c>
      <c r="W34" s="39">
        <f>+IFERROR((FT_RF_264[[#This Row],[Daño Insecto]]/FT_RF_264[[#This Row],[Muestra]]),"0")</f>
        <v>0</v>
      </c>
      <c r="X34" s="38">
        <v>0</v>
      </c>
      <c r="Y34" s="39">
        <f>+IFERROR((FT_RF_264[[#This Row],[Sobremadura]]/FT_RF_264[[#This Row],[Muestra]]),"0")</f>
        <v>0</v>
      </c>
      <c r="Z34" s="38">
        <v>0</v>
      </c>
      <c r="AA34" s="39">
        <f>+IFERROR((FT_RF_264[[#This Row],[Deforme]]/FT_RF_264[[#This Row],[Muestra]]),"0")</f>
        <v>0</v>
      </c>
      <c r="AB34" s="27"/>
      <c r="AC34" s="38">
        <v>0</v>
      </c>
      <c r="AD34" s="39">
        <f>+IFERROR((FT_RF_264[[#This Row],[Valor Extra 1]]/FT_RF_264[[#This Row],[Muestra]]),"0")</f>
        <v>0</v>
      </c>
      <c r="AF34" s="38">
        <v>0</v>
      </c>
      <c r="AG34" s="39">
        <f>+IFERROR((FT_RF_264[[#This Row],[Valor Extra 2]]/FT_RF_264[[#This Row],[Muestra]]),"0")</f>
        <v>0</v>
      </c>
      <c r="AH34" s="40">
        <v>0</v>
      </c>
      <c r="AI34" s="39">
        <f>+IFERROR((FT_RF_264[[#This Row],[Hongos]]/FT_RF_264[[#This Row],[Muestra]]),"0")</f>
        <v>0</v>
      </c>
      <c r="AJ34" s="38">
        <v>0</v>
      </c>
      <c r="AK34" s="39">
        <f>+IFERROR((FT_RF_264[[#This Row],[Block]]/FT_RF_264[[#This Row],[Muestra]]),"0")</f>
        <v>0</v>
      </c>
      <c r="AL34" s="41">
        <v>0</v>
      </c>
      <c r="AM34" s="42">
        <v>0</v>
      </c>
      <c r="AN34" s="38">
        <v>0</v>
      </c>
      <c r="AO34" s="39">
        <f>+IFERROR((FT_RF_264[[#This Row],[Fuera de calibre &lt;12mm]]/FT_RF_264[[#This Row],[Muestra]]),"0")</f>
        <v>0</v>
      </c>
      <c r="AP34" s="38">
        <v>0</v>
      </c>
      <c r="AQ34" s="39">
        <f>+IFERROR((FT_RF_264[[#This Row],[Calibre &lt;25]]/FT_RF_264[[#This Row],[Muestra]]),"0")</f>
        <v>0</v>
      </c>
      <c r="AR34" s="38">
        <v>0</v>
      </c>
      <c r="AS34" s="39">
        <f>+IFERROR((FT_RF_264[[#This Row],[Calibre &gt;12]]/FT_RF_264[[#This Row],[Muestra]]),"0")</f>
        <v>0</v>
      </c>
      <c r="AT34" s="38">
        <v>0</v>
      </c>
      <c r="AU34" s="39">
        <f>+IFERROR((FT_RF_264[[#This Row],[Calibre &lt;14]]/FT_RF_264[[#This Row],[Muestra]]),"0")</f>
        <v>0</v>
      </c>
      <c r="AV34" s="38">
        <v>0</v>
      </c>
      <c r="AW34" s="39">
        <f>+IFERROR((FT_RF_264[[#This Row],[Calibre &gt;14]]/FT_RF_264[[#This Row],[Muestra]]),"0")</f>
        <v>0</v>
      </c>
      <c r="AX34" s="38">
        <v>0</v>
      </c>
      <c r="AY34" s="39">
        <f>+IFERROR((FT_RF_264[[#This Row],[Calibre &lt;10]]/FT_RF_264[[#This Row],[Muestra]]),"0")</f>
        <v>0</v>
      </c>
      <c r="AZ34" s="38">
        <v>0</v>
      </c>
      <c r="BA34" s="39">
        <f>+IFERROR((FT_RF_264[[#This Row],[Calibre &gt;13]]/FT_RF_264[[#This Row],[Muestra]]),"0")</f>
        <v>0</v>
      </c>
      <c r="BB34" s="41"/>
      <c r="BG34" s="42"/>
      <c r="BH34" s="43">
        <v>0</v>
      </c>
      <c r="BI34" s="29" t="s">
        <v>894</v>
      </c>
      <c r="BJ34" s="29" t="s">
        <v>894</v>
      </c>
      <c r="BK3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4" s="45">
        <f>1-FT_RF_264[[#This Row],[% Defectos]]</f>
        <v>1</v>
      </c>
      <c r="BO34" s="60"/>
      <c r="BP34" s="12">
        <f>SUM(FT_RF_264[[#This Row],[Hoja (Un.)]:[Larvas Caja]])</f>
        <v>0</v>
      </c>
      <c r="BQ34" s="12">
        <f>SUM(FT_RF_264[[#This Row],[Vidrios]:[Plástico]])</f>
        <v>0</v>
      </c>
      <c r="BR34" s="12" t="str">
        <f>IF(ISBLANK(FT_RF_264[[#This Row],[Descripción del producto]]),"",FT_RF_264[[#This Row],[Descripción del producto]])</f>
        <v/>
      </c>
      <c r="BS34" s="29" t="str">
        <f>IF(ISBLANK(FT_RF_264[[#This Row],[N° de Lote]]),"",FT_RF_264[[#This Row],[N° de Lote]])</f>
        <v/>
      </c>
      <c r="BT34" s="29" t="str">
        <f>IF(ISBLANK(FT_RF_264[[#This Row],[N° de Pallet]]),"",FT_RF_264[[#This Row],[N° de Pallet]])</f>
        <v/>
      </c>
    </row>
    <row r="35" spans="2:72">
      <c r="B35" s="29">
        <f>+_xlfn.ISOWEEKNUM(FT_RF_264[[#This Row],[Fecha]])</f>
        <v>52</v>
      </c>
      <c r="E35" s="31"/>
      <c r="F35" s="12" t="str">
        <f>IFERROR(""&amp;_xlfn.XLOOKUP(FT_RF_264[[#This Row],[Código]],BD_Cod[SKU],BD_Cod[Descripción]),"")</f>
        <v/>
      </c>
      <c r="G35" s="32" t="str">
        <f>IFERROR(""&amp;_xlfn.XLOOKUP(FT_RF_264[[#This Row],[Código]],BD_Cod[SKU],BD_Cod[Familia Calidad]),"")</f>
        <v/>
      </c>
      <c r="J35" s="33">
        <v>1000</v>
      </c>
      <c r="L35" s="30" t="s">
        <v>244</v>
      </c>
      <c r="O35" s="30" t="s">
        <v>894</v>
      </c>
      <c r="P35" s="29" t="s">
        <v>894</v>
      </c>
      <c r="Q35" s="37">
        <f>1-FT_RF_264[[#This Row],[% Defectos]]</f>
        <v>1</v>
      </c>
      <c r="R35" s="38">
        <v>0</v>
      </c>
      <c r="S35" s="39">
        <f>+IFERROR((FT_RF_264[[#This Row],[Inmadura]]/FT_RF_264[[#This Row],[Muestra]]),"0")</f>
        <v>0</v>
      </c>
      <c r="T35" s="38">
        <v>0</v>
      </c>
      <c r="U35" s="39">
        <f>+IFERROR((FT_RF_264[[#This Row],[Partidas]]/FT_RF_264[[#This Row],[Muestra]]),"0")</f>
        <v>0</v>
      </c>
      <c r="V35" s="38">
        <v>0</v>
      </c>
      <c r="W35" s="39">
        <f>+IFERROR((FT_RF_264[[#This Row],[Daño Insecto]]/FT_RF_264[[#This Row],[Muestra]]),"0")</f>
        <v>0</v>
      </c>
      <c r="X35" s="38">
        <v>0</v>
      </c>
      <c r="Y35" s="39">
        <f>+IFERROR((FT_RF_264[[#This Row],[Sobremadura]]/FT_RF_264[[#This Row],[Muestra]]),"0")</f>
        <v>0</v>
      </c>
      <c r="Z35" s="38">
        <v>0</v>
      </c>
      <c r="AA35" s="39">
        <f>+IFERROR((FT_RF_264[[#This Row],[Deforme]]/FT_RF_264[[#This Row],[Muestra]]),"0")</f>
        <v>0</v>
      </c>
      <c r="AB35" s="27"/>
      <c r="AC35" s="38">
        <v>0</v>
      </c>
      <c r="AD35" s="39">
        <f>+IFERROR((FT_RF_264[[#This Row],[Valor Extra 1]]/FT_RF_264[[#This Row],[Muestra]]),"0")</f>
        <v>0</v>
      </c>
      <c r="AF35" s="38">
        <v>0</v>
      </c>
      <c r="AG35" s="39">
        <f>+IFERROR((FT_RF_264[[#This Row],[Valor Extra 2]]/FT_RF_264[[#This Row],[Muestra]]),"0")</f>
        <v>0</v>
      </c>
      <c r="AH35" s="40">
        <v>0</v>
      </c>
      <c r="AI35" s="39">
        <f>+IFERROR((FT_RF_264[[#This Row],[Hongos]]/FT_RF_264[[#This Row],[Muestra]]),"0")</f>
        <v>0</v>
      </c>
      <c r="AJ35" s="38">
        <v>0</v>
      </c>
      <c r="AK35" s="39">
        <f>+IFERROR((FT_RF_264[[#This Row],[Block]]/FT_RF_264[[#This Row],[Muestra]]),"0")</f>
        <v>0</v>
      </c>
      <c r="AL35" s="41">
        <v>0</v>
      </c>
      <c r="AM35" s="42">
        <v>0</v>
      </c>
      <c r="AN35" s="38">
        <v>0</v>
      </c>
      <c r="AO35" s="39">
        <f>+IFERROR((FT_RF_264[[#This Row],[Fuera de calibre &lt;12mm]]/FT_RF_264[[#This Row],[Muestra]]),"0")</f>
        <v>0</v>
      </c>
      <c r="AP35" s="38">
        <v>0</v>
      </c>
      <c r="AQ35" s="39">
        <f>+IFERROR((FT_RF_264[[#This Row],[Calibre &lt;25]]/FT_RF_264[[#This Row],[Muestra]]),"0")</f>
        <v>0</v>
      </c>
      <c r="AR35" s="38">
        <v>0</v>
      </c>
      <c r="AS35" s="39">
        <f>+IFERROR((FT_RF_264[[#This Row],[Calibre &gt;12]]/FT_RF_264[[#This Row],[Muestra]]),"0")</f>
        <v>0</v>
      </c>
      <c r="AT35" s="38">
        <v>0</v>
      </c>
      <c r="AU35" s="39">
        <f>+IFERROR((FT_RF_264[[#This Row],[Calibre &lt;14]]/FT_RF_264[[#This Row],[Muestra]]),"0")</f>
        <v>0</v>
      </c>
      <c r="AV35" s="38">
        <v>0</v>
      </c>
      <c r="AW35" s="39">
        <f>+IFERROR((FT_RF_264[[#This Row],[Calibre &gt;14]]/FT_RF_264[[#This Row],[Muestra]]),"0")</f>
        <v>0</v>
      </c>
      <c r="AX35" s="38">
        <v>0</v>
      </c>
      <c r="AY35" s="39">
        <f>+IFERROR((FT_RF_264[[#This Row],[Calibre &lt;10]]/FT_RF_264[[#This Row],[Muestra]]),"0")</f>
        <v>0</v>
      </c>
      <c r="AZ35" s="38">
        <v>0</v>
      </c>
      <c r="BA35" s="39">
        <f>+IFERROR((FT_RF_264[[#This Row],[Calibre &gt;13]]/FT_RF_264[[#This Row],[Muestra]]),"0")</f>
        <v>0</v>
      </c>
      <c r="BB35" s="41"/>
      <c r="BG35" s="42"/>
      <c r="BH35" s="43">
        <v>0</v>
      </c>
      <c r="BI35" s="29" t="s">
        <v>894</v>
      </c>
      <c r="BJ35" s="29" t="s">
        <v>894</v>
      </c>
      <c r="BK3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5" s="45">
        <f>1-FT_RF_264[[#This Row],[% Defectos]]</f>
        <v>1</v>
      </c>
      <c r="BO35" s="60"/>
      <c r="BP35" s="12">
        <f>SUM(FT_RF_264[[#This Row],[Hoja (Un.)]:[Larvas Caja]])</f>
        <v>0</v>
      </c>
      <c r="BQ35" s="12">
        <f>SUM(FT_RF_264[[#This Row],[Vidrios]:[Plástico]])</f>
        <v>0</v>
      </c>
      <c r="BR35" s="12" t="str">
        <f>IF(ISBLANK(FT_RF_264[[#This Row],[Descripción del producto]]),"",FT_RF_264[[#This Row],[Descripción del producto]])</f>
        <v/>
      </c>
      <c r="BS35" s="29" t="str">
        <f>IF(ISBLANK(FT_RF_264[[#This Row],[N° de Lote]]),"",FT_RF_264[[#This Row],[N° de Lote]])</f>
        <v/>
      </c>
      <c r="BT35" s="29" t="str">
        <f>IF(ISBLANK(FT_RF_264[[#This Row],[N° de Pallet]]),"",FT_RF_264[[#This Row],[N° de Pallet]])</f>
        <v/>
      </c>
    </row>
    <row r="36" spans="2:72">
      <c r="B36" s="29">
        <f>+_xlfn.ISOWEEKNUM(FT_RF_264[[#This Row],[Fecha]])</f>
        <v>52</v>
      </c>
      <c r="E36" s="31"/>
      <c r="F36" s="12" t="str">
        <f>IFERROR(""&amp;_xlfn.XLOOKUP(FT_RF_264[[#This Row],[Código]],BD_Cod[SKU],BD_Cod[Descripción]),"")</f>
        <v/>
      </c>
      <c r="G36" s="32" t="str">
        <f>IFERROR(""&amp;_xlfn.XLOOKUP(FT_RF_264[[#This Row],[Código]],BD_Cod[SKU],BD_Cod[Familia Calidad]),"")</f>
        <v/>
      </c>
      <c r="J36" s="33">
        <v>1000</v>
      </c>
      <c r="L36" s="30" t="s">
        <v>244</v>
      </c>
      <c r="O36" s="30" t="s">
        <v>894</v>
      </c>
      <c r="P36" s="29" t="s">
        <v>894</v>
      </c>
      <c r="Q36" s="37">
        <f>1-FT_RF_264[[#This Row],[% Defectos]]</f>
        <v>1</v>
      </c>
      <c r="R36" s="38">
        <v>0</v>
      </c>
      <c r="S36" s="39">
        <f>+IFERROR((FT_RF_264[[#This Row],[Inmadura]]/FT_RF_264[[#This Row],[Muestra]]),"0")</f>
        <v>0</v>
      </c>
      <c r="T36" s="38">
        <v>0</v>
      </c>
      <c r="U36" s="39">
        <f>+IFERROR((FT_RF_264[[#This Row],[Partidas]]/FT_RF_264[[#This Row],[Muestra]]),"0")</f>
        <v>0</v>
      </c>
      <c r="V36" s="38">
        <v>0</v>
      </c>
      <c r="W36" s="39">
        <f>+IFERROR((FT_RF_264[[#This Row],[Daño Insecto]]/FT_RF_264[[#This Row],[Muestra]]),"0")</f>
        <v>0</v>
      </c>
      <c r="X36" s="38">
        <v>0</v>
      </c>
      <c r="Y36" s="39">
        <f>+IFERROR((FT_RF_264[[#This Row],[Sobremadura]]/FT_RF_264[[#This Row],[Muestra]]),"0")</f>
        <v>0</v>
      </c>
      <c r="Z36" s="38">
        <v>0</v>
      </c>
      <c r="AA36" s="39">
        <f>+IFERROR((FT_RF_264[[#This Row],[Deforme]]/FT_RF_264[[#This Row],[Muestra]]),"0")</f>
        <v>0</v>
      </c>
      <c r="AB36" s="27"/>
      <c r="AC36" s="38">
        <v>0</v>
      </c>
      <c r="AD36" s="39">
        <f>+IFERROR((FT_RF_264[[#This Row],[Valor Extra 1]]/FT_RF_264[[#This Row],[Muestra]]),"0")</f>
        <v>0</v>
      </c>
      <c r="AF36" s="38">
        <v>0</v>
      </c>
      <c r="AG36" s="39">
        <f>+IFERROR((FT_RF_264[[#This Row],[Valor Extra 2]]/FT_RF_264[[#This Row],[Muestra]]),"0")</f>
        <v>0</v>
      </c>
      <c r="AH36" s="40">
        <v>0</v>
      </c>
      <c r="AI36" s="39">
        <f>+IFERROR((FT_RF_264[[#This Row],[Hongos]]/FT_RF_264[[#This Row],[Muestra]]),"0")</f>
        <v>0</v>
      </c>
      <c r="AJ36" s="38">
        <v>0</v>
      </c>
      <c r="AK36" s="39">
        <f>+IFERROR((FT_RF_264[[#This Row],[Block]]/FT_RF_264[[#This Row],[Muestra]]),"0")</f>
        <v>0</v>
      </c>
      <c r="AL36" s="41">
        <v>0</v>
      </c>
      <c r="AM36" s="42">
        <v>0</v>
      </c>
      <c r="AN36" s="38">
        <v>0</v>
      </c>
      <c r="AO36" s="39">
        <f>+IFERROR((FT_RF_264[[#This Row],[Fuera de calibre &lt;12mm]]/FT_RF_264[[#This Row],[Muestra]]),"0")</f>
        <v>0</v>
      </c>
      <c r="AP36" s="38">
        <v>0</v>
      </c>
      <c r="AQ36" s="39">
        <f>+IFERROR((FT_RF_264[[#This Row],[Calibre &lt;25]]/FT_RF_264[[#This Row],[Muestra]]),"0")</f>
        <v>0</v>
      </c>
      <c r="AR36" s="38">
        <v>0</v>
      </c>
      <c r="AS36" s="39">
        <f>+IFERROR((FT_RF_264[[#This Row],[Calibre &gt;12]]/FT_RF_264[[#This Row],[Muestra]]),"0")</f>
        <v>0</v>
      </c>
      <c r="AT36" s="38">
        <v>0</v>
      </c>
      <c r="AU36" s="39">
        <f>+IFERROR((FT_RF_264[[#This Row],[Calibre &lt;14]]/FT_RF_264[[#This Row],[Muestra]]),"0")</f>
        <v>0</v>
      </c>
      <c r="AV36" s="38">
        <v>0</v>
      </c>
      <c r="AW36" s="39">
        <f>+IFERROR((FT_RF_264[[#This Row],[Calibre &gt;14]]/FT_RF_264[[#This Row],[Muestra]]),"0")</f>
        <v>0</v>
      </c>
      <c r="AX36" s="38">
        <v>0</v>
      </c>
      <c r="AY36" s="39">
        <f>+IFERROR((FT_RF_264[[#This Row],[Calibre &lt;10]]/FT_RF_264[[#This Row],[Muestra]]),"0")</f>
        <v>0</v>
      </c>
      <c r="AZ36" s="38">
        <v>0</v>
      </c>
      <c r="BA36" s="39">
        <f>+IFERROR((FT_RF_264[[#This Row],[Calibre &gt;13]]/FT_RF_264[[#This Row],[Muestra]]),"0")</f>
        <v>0</v>
      </c>
      <c r="BB36" s="41"/>
      <c r="BG36" s="42"/>
      <c r="BH36" s="43">
        <v>0</v>
      </c>
      <c r="BI36" s="29" t="s">
        <v>894</v>
      </c>
      <c r="BJ36" s="29" t="s">
        <v>894</v>
      </c>
      <c r="BK3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6" s="45">
        <f>1-FT_RF_264[[#This Row],[% Defectos]]</f>
        <v>1</v>
      </c>
      <c r="BO36" s="60"/>
      <c r="BP36" s="12">
        <f>SUM(FT_RF_264[[#This Row],[Hoja (Un.)]:[Larvas Caja]])</f>
        <v>0</v>
      </c>
      <c r="BQ36" s="12">
        <f>SUM(FT_RF_264[[#This Row],[Vidrios]:[Plástico]])</f>
        <v>0</v>
      </c>
      <c r="BR36" s="12" t="str">
        <f>IF(ISBLANK(FT_RF_264[[#This Row],[Descripción del producto]]),"",FT_RF_264[[#This Row],[Descripción del producto]])</f>
        <v/>
      </c>
      <c r="BS36" s="29" t="str">
        <f>IF(ISBLANK(FT_RF_264[[#This Row],[N° de Lote]]),"",FT_RF_264[[#This Row],[N° de Lote]])</f>
        <v/>
      </c>
      <c r="BT36" s="29" t="str">
        <f>IF(ISBLANK(FT_RF_264[[#This Row],[N° de Pallet]]),"",FT_RF_264[[#This Row],[N° de Pallet]])</f>
        <v/>
      </c>
    </row>
    <row r="37" spans="2:72">
      <c r="B37" s="29">
        <f>+_xlfn.ISOWEEKNUM(FT_RF_264[[#This Row],[Fecha]])</f>
        <v>52</v>
      </c>
      <c r="E37" s="31"/>
      <c r="F37" s="12" t="str">
        <f>IFERROR(""&amp;_xlfn.XLOOKUP(FT_RF_264[[#This Row],[Código]],BD_Cod[SKU],BD_Cod[Descripción]),"")</f>
        <v/>
      </c>
      <c r="G37" s="32" t="str">
        <f>IFERROR(""&amp;_xlfn.XLOOKUP(FT_RF_264[[#This Row],[Código]],BD_Cod[SKU],BD_Cod[Familia Calidad]),"")</f>
        <v/>
      </c>
      <c r="J37" s="33">
        <v>1000</v>
      </c>
      <c r="L37" s="30" t="s">
        <v>244</v>
      </c>
      <c r="O37" s="30" t="s">
        <v>894</v>
      </c>
      <c r="P37" s="29" t="s">
        <v>894</v>
      </c>
      <c r="Q37" s="37">
        <f>1-FT_RF_264[[#This Row],[% Defectos]]</f>
        <v>1</v>
      </c>
      <c r="R37" s="38">
        <v>0</v>
      </c>
      <c r="S37" s="39">
        <f>+IFERROR((FT_RF_264[[#This Row],[Inmadura]]/FT_RF_264[[#This Row],[Muestra]]),"0")</f>
        <v>0</v>
      </c>
      <c r="T37" s="38">
        <v>0</v>
      </c>
      <c r="U37" s="39">
        <f>+IFERROR((FT_RF_264[[#This Row],[Partidas]]/FT_RF_264[[#This Row],[Muestra]]),"0")</f>
        <v>0</v>
      </c>
      <c r="V37" s="38">
        <v>0</v>
      </c>
      <c r="W37" s="39">
        <f>+IFERROR((FT_RF_264[[#This Row],[Daño Insecto]]/FT_RF_264[[#This Row],[Muestra]]),"0")</f>
        <v>0</v>
      </c>
      <c r="X37" s="38">
        <v>0</v>
      </c>
      <c r="Y37" s="39">
        <f>+IFERROR((FT_RF_264[[#This Row],[Sobremadura]]/FT_RF_264[[#This Row],[Muestra]]),"0")</f>
        <v>0</v>
      </c>
      <c r="Z37" s="38">
        <v>0</v>
      </c>
      <c r="AA37" s="39">
        <f>+IFERROR((FT_RF_264[[#This Row],[Deforme]]/FT_RF_264[[#This Row],[Muestra]]),"0")</f>
        <v>0</v>
      </c>
      <c r="AB37" s="27"/>
      <c r="AC37" s="38">
        <v>0</v>
      </c>
      <c r="AD37" s="39">
        <f>+IFERROR((FT_RF_264[[#This Row],[Valor Extra 1]]/FT_RF_264[[#This Row],[Muestra]]),"0")</f>
        <v>0</v>
      </c>
      <c r="AF37" s="38">
        <v>0</v>
      </c>
      <c r="AG37" s="39">
        <f>+IFERROR((FT_RF_264[[#This Row],[Valor Extra 2]]/FT_RF_264[[#This Row],[Muestra]]),"0")</f>
        <v>0</v>
      </c>
      <c r="AH37" s="40">
        <v>0</v>
      </c>
      <c r="AI37" s="39">
        <f>+IFERROR((FT_RF_264[[#This Row],[Hongos]]/FT_RF_264[[#This Row],[Muestra]]),"0")</f>
        <v>0</v>
      </c>
      <c r="AJ37" s="38">
        <v>0</v>
      </c>
      <c r="AK37" s="39">
        <f>+IFERROR((FT_RF_264[[#This Row],[Block]]/FT_RF_264[[#This Row],[Muestra]]),"0")</f>
        <v>0</v>
      </c>
      <c r="AL37" s="41">
        <v>0</v>
      </c>
      <c r="AM37" s="42">
        <v>0</v>
      </c>
      <c r="AN37" s="38">
        <v>0</v>
      </c>
      <c r="AO37" s="39">
        <f>+IFERROR((FT_RF_264[[#This Row],[Fuera de calibre &lt;12mm]]/FT_RF_264[[#This Row],[Muestra]]),"0")</f>
        <v>0</v>
      </c>
      <c r="AP37" s="38">
        <v>0</v>
      </c>
      <c r="AQ37" s="39">
        <f>+IFERROR((FT_RF_264[[#This Row],[Calibre &lt;25]]/FT_RF_264[[#This Row],[Muestra]]),"0")</f>
        <v>0</v>
      </c>
      <c r="AR37" s="38">
        <v>0</v>
      </c>
      <c r="AS37" s="39">
        <f>+IFERROR((FT_RF_264[[#This Row],[Calibre &gt;12]]/FT_RF_264[[#This Row],[Muestra]]),"0")</f>
        <v>0</v>
      </c>
      <c r="AT37" s="38">
        <v>0</v>
      </c>
      <c r="AU37" s="39">
        <f>+IFERROR((FT_RF_264[[#This Row],[Calibre &lt;14]]/FT_RF_264[[#This Row],[Muestra]]),"0")</f>
        <v>0</v>
      </c>
      <c r="AV37" s="38">
        <v>0</v>
      </c>
      <c r="AW37" s="39">
        <f>+IFERROR((FT_RF_264[[#This Row],[Calibre &gt;14]]/FT_RF_264[[#This Row],[Muestra]]),"0")</f>
        <v>0</v>
      </c>
      <c r="AX37" s="38">
        <v>0</v>
      </c>
      <c r="AY37" s="39">
        <f>+IFERROR((FT_RF_264[[#This Row],[Calibre &lt;10]]/FT_RF_264[[#This Row],[Muestra]]),"0")</f>
        <v>0</v>
      </c>
      <c r="AZ37" s="38">
        <v>0</v>
      </c>
      <c r="BA37" s="39">
        <f>+IFERROR((FT_RF_264[[#This Row],[Calibre &gt;13]]/FT_RF_264[[#This Row],[Muestra]]),"0")</f>
        <v>0</v>
      </c>
      <c r="BB37" s="41"/>
      <c r="BG37" s="42"/>
      <c r="BH37" s="43">
        <v>0</v>
      </c>
      <c r="BI37" s="29" t="s">
        <v>894</v>
      </c>
      <c r="BJ37" s="29" t="s">
        <v>894</v>
      </c>
      <c r="BK3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7" s="45">
        <f>1-FT_RF_264[[#This Row],[% Defectos]]</f>
        <v>1</v>
      </c>
      <c r="BO37" s="60"/>
      <c r="BP37" s="12">
        <f>SUM(FT_RF_264[[#This Row],[Hoja (Un.)]:[Larvas Caja]])</f>
        <v>0</v>
      </c>
      <c r="BQ37" s="12">
        <f>SUM(FT_RF_264[[#This Row],[Vidrios]:[Plástico]])</f>
        <v>0</v>
      </c>
      <c r="BR37" s="12" t="str">
        <f>IF(ISBLANK(FT_RF_264[[#This Row],[Descripción del producto]]),"",FT_RF_264[[#This Row],[Descripción del producto]])</f>
        <v/>
      </c>
      <c r="BS37" s="29" t="str">
        <f>IF(ISBLANK(FT_RF_264[[#This Row],[N° de Lote]]),"",FT_RF_264[[#This Row],[N° de Lote]])</f>
        <v/>
      </c>
      <c r="BT37" s="29" t="str">
        <f>IF(ISBLANK(FT_RF_264[[#This Row],[N° de Pallet]]),"",FT_RF_264[[#This Row],[N° de Pallet]])</f>
        <v/>
      </c>
    </row>
    <row r="38" spans="2:72">
      <c r="B38" s="29">
        <f>+_xlfn.ISOWEEKNUM(FT_RF_264[[#This Row],[Fecha]])</f>
        <v>52</v>
      </c>
      <c r="E38" s="31"/>
      <c r="F38" s="12" t="str">
        <f>IFERROR(""&amp;_xlfn.XLOOKUP(FT_RF_264[[#This Row],[Código]],BD_Cod[SKU],BD_Cod[Descripción]),"")</f>
        <v/>
      </c>
      <c r="G38" s="32" t="str">
        <f>IFERROR(""&amp;_xlfn.XLOOKUP(FT_RF_264[[#This Row],[Código]],BD_Cod[SKU],BD_Cod[Familia Calidad]),"")</f>
        <v/>
      </c>
      <c r="J38" s="33">
        <v>1000</v>
      </c>
      <c r="L38" s="30" t="s">
        <v>244</v>
      </c>
      <c r="O38" s="30" t="s">
        <v>894</v>
      </c>
      <c r="P38" s="29" t="s">
        <v>894</v>
      </c>
      <c r="Q38" s="37">
        <f>1-FT_RF_264[[#This Row],[% Defectos]]</f>
        <v>1</v>
      </c>
      <c r="R38" s="38">
        <v>0</v>
      </c>
      <c r="S38" s="39">
        <f>+IFERROR((FT_RF_264[[#This Row],[Inmadura]]/FT_RF_264[[#This Row],[Muestra]]),"0")</f>
        <v>0</v>
      </c>
      <c r="T38" s="38">
        <v>0</v>
      </c>
      <c r="U38" s="39">
        <f>+IFERROR((FT_RF_264[[#This Row],[Partidas]]/FT_RF_264[[#This Row],[Muestra]]),"0")</f>
        <v>0</v>
      </c>
      <c r="V38" s="38">
        <v>0</v>
      </c>
      <c r="W38" s="39">
        <f>+IFERROR((FT_RF_264[[#This Row],[Daño Insecto]]/FT_RF_264[[#This Row],[Muestra]]),"0")</f>
        <v>0</v>
      </c>
      <c r="X38" s="38">
        <v>0</v>
      </c>
      <c r="Y38" s="39">
        <f>+IFERROR((FT_RF_264[[#This Row],[Sobremadura]]/FT_RF_264[[#This Row],[Muestra]]),"0")</f>
        <v>0</v>
      </c>
      <c r="Z38" s="38">
        <v>0</v>
      </c>
      <c r="AA38" s="39">
        <f>+IFERROR((FT_RF_264[[#This Row],[Deforme]]/FT_RF_264[[#This Row],[Muestra]]),"0")</f>
        <v>0</v>
      </c>
      <c r="AB38" s="27"/>
      <c r="AC38" s="38">
        <v>0</v>
      </c>
      <c r="AD38" s="39">
        <f>+IFERROR((FT_RF_264[[#This Row],[Valor Extra 1]]/FT_RF_264[[#This Row],[Muestra]]),"0")</f>
        <v>0</v>
      </c>
      <c r="AF38" s="38">
        <v>0</v>
      </c>
      <c r="AG38" s="39">
        <f>+IFERROR((FT_RF_264[[#This Row],[Valor Extra 2]]/FT_RF_264[[#This Row],[Muestra]]),"0")</f>
        <v>0</v>
      </c>
      <c r="AH38" s="40">
        <v>0</v>
      </c>
      <c r="AI38" s="39">
        <f>+IFERROR((FT_RF_264[[#This Row],[Hongos]]/FT_RF_264[[#This Row],[Muestra]]),"0")</f>
        <v>0</v>
      </c>
      <c r="AJ38" s="38">
        <v>0</v>
      </c>
      <c r="AK38" s="39">
        <f>+IFERROR((FT_RF_264[[#This Row],[Block]]/FT_RF_264[[#This Row],[Muestra]]),"0")</f>
        <v>0</v>
      </c>
      <c r="AL38" s="41">
        <v>0</v>
      </c>
      <c r="AM38" s="42">
        <v>0</v>
      </c>
      <c r="AN38" s="38">
        <v>0</v>
      </c>
      <c r="AO38" s="39">
        <f>+IFERROR((FT_RF_264[[#This Row],[Fuera de calibre &lt;12mm]]/FT_RF_264[[#This Row],[Muestra]]),"0")</f>
        <v>0</v>
      </c>
      <c r="AP38" s="38">
        <v>0</v>
      </c>
      <c r="AQ38" s="39">
        <f>+IFERROR((FT_RF_264[[#This Row],[Calibre &lt;25]]/FT_RF_264[[#This Row],[Muestra]]),"0")</f>
        <v>0</v>
      </c>
      <c r="AR38" s="38">
        <v>0</v>
      </c>
      <c r="AS38" s="39">
        <f>+IFERROR((FT_RF_264[[#This Row],[Calibre &gt;12]]/FT_RF_264[[#This Row],[Muestra]]),"0")</f>
        <v>0</v>
      </c>
      <c r="AT38" s="38">
        <v>0</v>
      </c>
      <c r="AU38" s="39">
        <f>+IFERROR((FT_RF_264[[#This Row],[Calibre &lt;14]]/FT_RF_264[[#This Row],[Muestra]]),"0")</f>
        <v>0</v>
      </c>
      <c r="AV38" s="38">
        <v>0</v>
      </c>
      <c r="AW38" s="39">
        <f>+IFERROR((FT_RF_264[[#This Row],[Calibre &gt;14]]/FT_RF_264[[#This Row],[Muestra]]),"0")</f>
        <v>0</v>
      </c>
      <c r="AX38" s="38">
        <v>0</v>
      </c>
      <c r="AY38" s="39">
        <f>+IFERROR((FT_RF_264[[#This Row],[Calibre &lt;10]]/FT_RF_264[[#This Row],[Muestra]]),"0")</f>
        <v>0</v>
      </c>
      <c r="AZ38" s="38">
        <v>0</v>
      </c>
      <c r="BA38" s="39">
        <f>+IFERROR((FT_RF_264[[#This Row],[Calibre &gt;13]]/FT_RF_264[[#This Row],[Muestra]]),"0")</f>
        <v>0</v>
      </c>
      <c r="BB38" s="41"/>
      <c r="BG38" s="42"/>
      <c r="BH38" s="43">
        <v>0</v>
      </c>
      <c r="BI38" s="29" t="s">
        <v>894</v>
      </c>
      <c r="BJ38" s="29" t="s">
        <v>894</v>
      </c>
      <c r="BK3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8" s="45">
        <f>1-FT_RF_264[[#This Row],[% Defectos]]</f>
        <v>1</v>
      </c>
      <c r="BO38" s="60"/>
      <c r="BP38" s="12">
        <f>SUM(FT_RF_264[[#This Row],[Hoja (Un.)]:[Larvas Caja]])</f>
        <v>0</v>
      </c>
      <c r="BQ38" s="12">
        <f>SUM(FT_RF_264[[#This Row],[Vidrios]:[Plástico]])</f>
        <v>0</v>
      </c>
      <c r="BR38" s="12" t="str">
        <f>IF(ISBLANK(FT_RF_264[[#This Row],[Descripción del producto]]),"",FT_RF_264[[#This Row],[Descripción del producto]])</f>
        <v/>
      </c>
      <c r="BS38" s="29" t="str">
        <f>IF(ISBLANK(FT_RF_264[[#This Row],[N° de Lote]]),"",FT_RF_264[[#This Row],[N° de Lote]])</f>
        <v/>
      </c>
      <c r="BT38" s="29" t="str">
        <f>IF(ISBLANK(FT_RF_264[[#This Row],[N° de Pallet]]),"",FT_RF_264[[#This Row],[N° de Pallet]])</f>
        <v/>
      </c>
    </row>
    <row r="39" spans="2:72">
      <c r="B39" s="29">
        <f>+_xlfn.ISOWEEKNUM(FT_RF_264[[#This Row],[Fecha]])</f>
        <v>52</v>
      </c>
      <c r="E39" s="31"/>
      <c r="F39" s="12" t="str">
        <f>IFERROR(""&amp;_xlfn.XLOOKUP(FT_RF_264[[#This Row],[Código]],BD_Cod[SKU],BD_Cod[Descripción]),"")</f>
        <v/>
      </c>
      <c r="G39" s="32" t="str">
        <f>IFERROR(""&amp;_xlfn.XLOOKUP(FT_RF_264[[#This Row],[Código]],BD_Cod[SKU],BD_Cod[Familia Calidad]),"")</f>
        <v/>
      </c>
      <c r="J39" s="33">
        <v>1000</v>
      </c>
      <c r="L39" s="30" t="s">
        <v>244</v>
      </c>
      <c r="O39" s="30" t="s">
        <v>894</v>
      </c>
      <c r="P39" s="29" t="s">
        <v>894</v>
      </c>
      <c r="Q39" s="37">
        <f>1-FT_RF_264[[#This Row],[% Defectos]]</f>
        <v>1</v>
      </c>
      <c r="R39" s="38">
        <v>0</v>
      </c>
      <c r="S39" s="39">
        <f>+IFERROR((FT_RF_264[[#This Row],[Inmadura]]/FT_RF_264[[#This Row],[Muestra]]),"0")</f>
        <v>0</v>
      </c>
      <c r="T39" s="38">
        <v>0</v>
      </c>
      <c r="U39" s="39">
        <f>+IFERROR((FT_RF_264[[#This Row],[Partidas]]/FT_RF_264[[#This Row],[Muestra]]),"0")</f>
        <v>0</v>
      </c>
      <c r="V39" s="38">
        <v>0</v>
      </c>
      <c r="W39" s="39">
        <f>+IFERROR((FT_RF_264[[#This Row],[Daño Insecto]]/FT_RF_264[[#This Row],[Muestra]]),"0")</f>
        <v>0</v>
      </c>
      <c r="X39" s="38">
        <v>0</v>
      </c>
      <c r="Y39" s="39">
        <f>+IFERROR((FT_RF_264[[#This Row],[Sobremadura]]/FT_RF_264[[#This Row],[Muestra]]),"0")</f>
        <v>0</v>
      </c>
      <c r="Z39" s="38">
        <v>0</v>
      </c>
      <c r="AA39" s="39">
        <f>+IFERROR((FT_RF_264[[#This Row],[Deforme]]/FT_RF_264[[#This Row],[Muestra]]),"0")</f>
        <v>0</v>
      </c>
      <c r="AB39" s="27"/>
      <c r="AC39" s="38">
        <v>0</v>
      </c>
      <c r="AD39" s="39">
        <f>+IFERROR((FT_RF_264[[#This Row],[Valor Extra 1]]/FT_RF_264[[#This Row],[Muestra]]),"0")</f>
        <v>0</v>
      </c>
      <c r="AF39" s="38">
        <v>0</v>
      </c>
      <c r="AG39" s="39">
        <f>+IFERROR((FT_RF_264[[#This Row],[Valor Extra 2]]/FT_RF_264[[#This Row],[Muestra]]),"0")</f>
        <v>0</v>
      </c>
      <c r="AH39" s="40">
        <v>0</v>
      </c>
      <c r="AI39" s="39">
        <f>+IFERROR((FT_RF_264[[#This Row],[Hongos]]/FT_RF_264[[#This Row],[Muestra]]),"0")</f>
        <v>0</v>
      </c>
      <c r="AJ39" s="38">
        <v>0</v>
      </c>
      <c r="AK39" s="39">
        <f>+IFERROR((FT_RF_264[[#This Row],[Block]]/FT_RF_264[[#This Row],[Muestra]]),"0")</f>
        <v>0</v>
      </c>
      <c r="AL39" s="41">
        <v>0</v>
      </c>
      <c r="AM39" s="42">
        <v>0</v>
      </c>
      <c r="AN39" s="38">
        <v>0</v>
      </c>
      <c r="AO39" s="39">
        <f>+IFERROR((FT_RF_264[[#This Row],[Fuera de calibre &lt;12mm]]/FT_RF_264[[#This Row],[Muestra]]),"0")</f>
        <v>0</v>
      </c>
      <c r="AP39" s="38">
        <v>0</v>
      </c>
      <c r="AQ39" s="39">
        <f>+IFERROR((FT_RF_264[[#This Row],[Calibre &lt;25]]/FT_RF_264[[#This Row],[Muestra]]),"0")</f>
        <v>0</v>
      </c>
      <c r="AR39" s="38">
        <v>0</v>
      </c>
      <c r="AS39" s="39">
        <f>+IFERROR((FT_RF_264[[#This Row],[Calibre &gt;12]]/FT_RF_264[[#This Row],[Muestra]]),"0")</f>
        <v>0</v>
      </c>
      <c r="AT39" s="38">
        <v>0</v>
      </c>
      <c r="AU39" s="39">
        <f>+IFERROR((FT_RF_264[[#This Row],[Calibre &lt;14]]/FT_RF_264[[#This Row],[Muestra]]),"0")</f>
        <v>0</v>
      </c>
      <c r="AV39" s="38">
        <v>0</v>
      </c>
      <c r="AW39" s="39">
        <f>+IFERROR((FT_RF_264[[#This Row],[Calibre &gt;14]]/FT_RF_264[[#This Row],[Muestra]]),"0")</f>
        <v>0</v>
      </c>
      <c r="AX39" s="38">
        <v>0</v>
      </c>
      <c r="AY39" s="39">
        <f>+IFERROR((FT_RF_264[[#This Row],[Calibre &lt;10]]/FT_RF_264[[#This Row],[Muestra]]),"0")</f>
        <v>0</v>
      </c>
      <c r="AZ39" s="38">
        <v>0</v>
      </c>
      <c r="BA39" s="39">
        <f>+IFERROR((FT_RF_264[[#This Row],[Calibre &gt;13]]/FT_RF_264[[#This Row],[Muestra]]),"0")</f>
        <v>0</v>
      </c>
      <c r="BB39" s="41"/>
      <c r="BG39" s="42"/>
      <c r="BH39" s="43">
        <v>0</v>
      </c>
      <c r="BI39" s="29" t="s">
        <v>894</v>
      </c>
      <c r="BJ39" s="29" t="s">
        <v>894</v>
      </c>
      <c r="BK3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9" s="45">
        <f>1-FT_RF_264[[#This Row],[% Defectos]]</f>
        <v>1</v>
      </c>
      <c r="BO39" s="60"/>
      <c r="BP39" s="12">
        <f>SUM(FT_RF_264[[#This Row],[Hoja (Un.)]:[Larvas Caja]])</f>
        <v>0</v>
      </c>
      <c r="BQ39" s="12">
        <f>SUM(FT_RF_264[[#This Row],[Vidrios]:[Plástico]])</f>
        <v>0</v>
      </c>
      <c r="BR39" s="12" t="str">
        <f>IF(ISBLANK(FT_RF_264[[#This Row],[Descripción del producto]]),"",FT_RF_264[[#This Row],[Descripción del producto]])</f>
        <v/>
      </c>
      <c r="BS39" s="29" t="str">
        <f>IF(ISBLANK(FT_RF_264[[#This Row],[N° de Lote]]),"",FT_RF_264[[#This Row],[N° de Lote]])</f>
        <v/>
      </c>
      <c r="BT39" s="29" t="str">
        <f>IF(ISBLANK(FT_RF_264[[#This Row],[N° de Pallet]]),"",FT_RF_264[[#This Row],[N° de Pallet]])</f>
        <v/>
      </c>
    </row>
    <row r="40" spans="2:72">
      <c r="B40" s="29">
        <f>+_xlfn.ISOWEEKNUM(FT_RF_264[[#This Row],[Fecha]])</f>
        <v>52</v>
      </c>
      <c r="E40" s="31"/>
      <c r="F40" s="12" t="str">
        <f>IFERROR(""&amp;_xlfn.XLOOKUP(FT_RF_264[[#This Row],[Código]],BD_Cod[SKU],BD_Cod[Descripción]),"")</f>
        <v/>
      </c>
      <c r="G40" s="32" t="str">
        <f>IFERROR(""&amp;_xlfn.XLOOKUP(FT_RF_264[[#This Row],[Código]],BD_Cod[SKU],BD_Cod[Familia Calidad]),"")</f>
        <v/>
      </c>
      <c r="J40" s="33">
        <v>1000</v>
      </c>
      <c r="L40" s="30" t="s">
        <v>244</v>
      </c>
      <c r="O40" s="30" t="s">
        <v>894</v>
      </c>
      <c r="P40" s="29" t="s">
        <v>894</v>
      </c>
      <c r="Q40" s="37">
        <f>1-FT_RF_264[[#This Row],[% Defectos]]</f>
        <v>1</v>
      </c>
      <c r="R40" s="38">
        <v>0</v>
      </c>
      <c r="S40" s="39">
        <f>+IFERROR((FT_RF_264[[#This Row],[Inmadura]]/FT_RF_264[[#This Row],[Muestra]]),"0")</f>
        <v>0</v>
      </c>
      <c r="T40" s="38">
        <v>0</v>
      </c>
      <c r="U40" s="39">
        <f>+IFERROR((FT_RF_264[[#This Row],[Partidas]]/FT_RF_264[[#This Row],[Muestra]]),"0")</f>
        <v>0</v>
      </c>
      <c r="V40" s="38">
        <v>0</v>
      </c>
      <c r="W40" s="39">
        <f>+IFERROR((FT_RF_264[[#This Row],[Daño Insecto]]/FT_RF_264[[#This Row],[Muestra]]),"0")</f>
        <v>0</v>
      </c>
      <c r="X40" s="38">
        <v>0</v>
      </c>
      <c r="Y40" s="39">
        <f>+IFERROR((FT_RF_264[[#This Row],[Sobremadura]]/FT_RF_264[[#This Row],[Muestra]]),"0")</f>
        <v>0</v>
      </c>
      <c r="Z40" s="38">
        <v>0</v>
      </c>
      <c r="AA40" s="39">
        <f>+IFERROR((FT_RF_264[[#This Row],[Deforme]]/FT_RF_264[[#This Row],[Muestra]]),"0")</f>
        <v>0</v>
      </c>
      <c r="AB40" s="27"/>
      <c r="AC40" s="38">
        <v>0</v>
      </c>
      <c r="AD40" s="39">
        <f>+IFERROR((FT_RF_264[[#This Row],[Valor Extra 1]]/FT_RF_264[[#This Row],[Muestra]]),"0")</f>
        <v>0</v>
      </c>
      <c r="AF40" s="38">
        <v>0</v>
      </c>
      <c r="AG40" s="39">
        <f>+IFERROR((FT_RF_264[[#This Row],[Valor Extra 2]]/FT_RF_264[[#This Row],[Muestra]]),"0")</f>
        <v>0</v>
      </c>
      <c r="AH40" s="40">
        <v>0</v>
      </c>
      <c r="AI40" s="39">
        <f>+IFERROR((FT_RF_264[[#This Row],[Hongos]]/FT_RF_264[[#This Row],[Muestra]]),"0")</f>
        <v>0</v>
      </c>
      <c r="AJ40" s="38">
        <v>0</v>
      </c>
      <c r="AK40" s="39">
        <f>+IFERROR((FT_RF_264[[#This Row],[Block]]/FT_RF_264[[#This Row],[Muestra]]),"0")</f>
        <v>0</v>
      </c>
      <c r="AL40" s="41">
        <v>0</v>
      </c>
      <c r="AM40" s="42">
        <v>0</v>
      </c>
      <c r="AN40" s="38">
        <v>0</v>
      </c>
      <c r="AO40" s="39">
        <f>+IFERROR((FT_RF_264[[#This Row],[Fuera de calibre &lt;12mm]]/FT_RF_264[[#This Row],[Muestra]]),"0")</f>
        <v>0</v>
      </c>
      <c r="AP40" s="38">
        <v>0</v>
      </c>
      <c r="AQ40" s="39">
        <f>+IFERROR((FT_RF_264[[#This Row],[Calibre &lt;25]]/FT_RF_264[[#This Row],[Muestra]]),"0")</f>
        <v>0</v>
      </c>
      <c r="AR40" s="38">
        <v>0</v>
      </c>
      <c r="AS40" s="39">
        <f>+IFERROR((FT_RF_264[[#This Row],[Calibre &gt;12]]/FT_RF_264[[#This Row],[Muestra]]),"0")</f>
        <v>0</v>
      </c>
      <c r="AT40" s="38">
        <v>0</v>
      </c>
      <c r="AU40" s="39">
        <f>+IFERROR((FT_RF_264[[#This Row],[Calibre &lt;14]]/FT_RF_264[[#This Row],[Muestra]]),"0")</f>
        <v>0</v>
      </c>
      <c r="AV40" s="38">
        <v>0</v>
      </c>
      <c r="AW40" s="39">
        <f>+IFERROR((FT_RF_264[[#This Row],[Calibre &gt;14]]/FT_RF_264[[#This Row],[Muestra]]),"0")</f>
        <v>0</v>
      </c>
      <c r="AX40" s="38">
        <v>0</v>
      </c>
      <c r="AY40" s="39">
        <f>+IFERROR((FT_RF_264[[#This Row],[Calibre &lt;10]]/FT_RF_264[[#This Row],[Muestra]]),"0")</f>
        <v>0</v>
      </c>
      <c r="AZ40" s="38">
        <v>0</v>
      </c>
      <c r="BA40" s="39">
        <f>+IFERROR((FT_RF_264[[#This Row],[Calibre &gt;13]]/FT_RF_264[[#This Row],[Muestra]]),"0")</f>
        <v>0</v>
      </c>
      <c r="BB40" s="41"/>
      <c r="BG40" s="42"/>
      <c r="BH40" s="43">
        <v>0</v>
      </c>
      <c r="BI40" s="29" t="s">
        <v>894</v>
      </c>
      <c r="BJ40" s="29" t="s">
        <v>894</v>
      </c>
      <c r="BK4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4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40" s="45">
        <f>1-FT_RF_264[[#This Row],[% Defectos]]</f>
        <v>1</v>
      </c>
      <c r="BO40" s="60"/>
      <c r="BP40" s="12">
        <f>SUM(FT_RF_264[[#This Row],[Hoja (Un.)]:[Larvas Caja]])</f>
        <v>0</v>
      </c>
      <c r="BQ40" s="12">
        <f>SUM(FT_RF_264[[#This Row],[Vidrios]:[Plástico]])</f>
        <v>0</v>
      </c>
      <c r="BR40" s="12" t="str">
        <f>IF(ISBLANK(FT_RF_264[[#This Row],[Descripción del producto]]),"",FT_RF_264[[#This Row],[Descripción del producto]])</f>
        <v/>
      </c>
      <c r="BS40" s="29" t="str">
        <f>IF(ISBLANK(FT_RF_264[[#This Row],[N° de Lote]]),"",FT_RF_264[[#This Row],[N° de Lote]])</f>
        <v/>
      </c>
      <c r="BT40" s="29" t="str">
        <f>IF(ISBLANK(FT_RF_264[[#This Row],[N° de Pallet]]),"",FT_RF_264[[#This Row],[N° de Pallet]])</f>
        <v/>
      </c>
    </row>
    <row r="41" spans="2:72">
      <c r="B41" s="29">
        <f>+_xlfn.ISOWEEKNUM(FT_RF_264[[#This Row],[Fecha]])</f>
        <v>52</v>
      </c>
      <c r="E41" s="31"/>
      <c r="F41" s="12" t="str">
        <f>IFERROR(""&amp;_xlfn.XLOOKUP(FT_RF_264[[#This Row],[Código]],BD_Cod[SKU],BD_Cod[Descripción]),"")</f>
        <v/>
      </c>
      <c r="G41" s="32" t="str">
        <f>IFERROR(""&amp;_xlfn.XLOOKUP(FT_RF_264[[#This Row],[Código]],BD_Cod[SKU],BD_Cod[Familia Calidad]),"")</f>
        <v/>
      </c>
      <c r="J41" s="33">
        <v>1000</v>
      </c>
      <c r="L41" s="30" t="s">
        <v>244</v>
      </c>
      <c r="O41" s="30" t="s">
        <v>894</v>
      </c>
      <c r="P41" s="29" t="s">
        <v>894</v>
      </c>
      <c r="Q41" s="37">
        <f>1-FT_RF_264[[#This Row],[% Defectos]]</f>
        <v>1</v>
      </c>
      <c r="R41" s="38">
        <v>0</v>
      </c>
      <c r="S41" s="39">
        <f>+IFERROR((FT_RF_264[[#This Row],[Inmadura]]/FT_RF_264[[#This Row],[Muestra]]),"0")</f>
        <v>0</v>
      </c>
      <c r="T41" s="38">
        <v>0</v>
      </c>
      <c r="U41" s="39">
        <f>+IFERROR((FT_RF_264[[#This Row],[Partidas]]/FT_RF_264[[#This Row],[Muestra]]),"0")</f>
        <v>0</v>
      </c>
      <c r="V41" s="38">
        <v>0</v>
      </c>
      <c r="W41" s="39">
        <f>+IFERROR((FT_RF_264[[#This Row],[Daño Insecto]]/FT_RF_264[[#This Row],[Muestra]]),"0")</f>
        <v>0</v>
      </c>
      <c r="X41" s="38">
        <v>0</v>
      </c>
      <c r="Y41" s="39">
        <f>+IFERROR((FT_RF_264[[#This Row],[Sobremadura]]/FT_RF_264[[#This Row],[Muestra]]),"0")</f>
        <v>0</v>
      </c>
      <c r="Z41" s="38">
        <v>0</v>
      </c>
      <c r="AA41" s="39">
        <f>+IFERROR((FT_RF_264[[#This Row],[Deforme]]/FT_RF_264[[#This Row],[Muestra]]),"0")</f>
        <v>0</v>
      </c>
      <c r="AB41" s="27"/>
      <c r="AC41" s="38">
        <v>0</v>
      </c>
      <c r="AD41" s="39">
        <f>+IFERROR((FT_RF_264[[#This Row],[Valor Extra 1]]/FT_RF_264[[#This Row],[Muestra]]),"0")</f>
        <v>0</v>
      </c>
      <c r="AF41" s="38">
        <v>0</v>
      </c>
      <c r="AG41" s="39">
        <f>+IFERROR((FT_RF_264[[#This Row],[Valor Extra 2]]/FT_RF_264[[#This Row],[Muestra]]),"0")</f>
        <v>0</v>
      </c>
      <c r="AH41" s="40">
        <v>0</v>
      </c>
      <c r="AI41" s="39">
        <f>+IFERROR((FT_RF_264[[#This Row],[Hongos]]/FT_RF_264[[#This Row],[Muestra]]),"0")</f>
        <v>0</v>
      </c>
      <c r="AJ41" s="38">
        <v>0</v>
      </c>
      <c r="AK41" s="39">
        <f>+IFERROR((FT_RF_264[[#This Row],[Block]]/FT_RF_264[[#This Row],[Muestra]]),"0")</f>
        <v>0</v>
      </c>
      <c r="AL41" s="41">
        <v>0</v>
      </c>
      <c r="AM41" s="42">
        <v>0</v>
      </c>
      <c r="AN41" s="38">
        <v>0</v>
      </c>
      <c r="AO41" s="39">
        <f>+IFERROR((FT_RF_264[[#This Row],[Fuera de calibre &lt;12mm]]/FT_RF_264[[#This Row],[Muestra]]),"0")</f>
        <v>0</v>
      </c>
      <c r="AP41" s="38">
        <v>0</v>
      </c>
      <c r="AQ41" s="39">
        <f>+IFERROR((FT_RF_264[[#This Row],[Calibre &lt;25]]/FT_RF_264[[#This Row],[Muestra]]),"0")</f>
        <v>0</v>
      </c>
      <c r="AR41" s="38">
        <v>0</v>
      </c>
      <c r="AS41" s="39">
        <f>+IFERROR((FT_RF_264[[#This Row],[Calibre &gt;12]]/FT_RF_264[[#This Row],[Muestra]]),"0")</f>
        <v>0</v>
      </c>
      <c r="AT41" s="38">
        <v>0</v>
      </c>
      <c r="AU41" s="39">
        <f>+IFERROR((FT_RF_264[[#This Row],[Calibre &lt;14]]/FT_RF_264[[#This Row],[Muestra]]),"0")</f>
        <v>0</v>
      </c>
      <c r="AV41" s="38">
        <v>0</v>
      </c>
      <c r="AW41" s="39">
        <f>+IFERROR((FT_RF_264[[#This Row],[Calibre &gt;14]]/FT_RF_264[[#This Row],[Muestra]]),"0")</f>
        <v>0</v>
      </c>
      <c r="AX41" s="38">
        <v>0</v>
      </c>
      <c r="AY41" s="39">
        <f>+IFERROR((FT_RF_264[[#This Row],[Calibre &lt;10]]/FT_RF_264[[#This Row],[Muestra]]),"0")</f>
        <v>0</v>
      </c>
      <c r="AZ41" s="38">
        <v>0</v>
      </c>
      <c r="BA41" s="39">
        <f>+IFERROR((FT_RF_264[[#This Row],[Calibre &gt;13]]/FT_RF_264[[#This Row],[Muestra]]),"0")</f>
        <v>0</v>
      </c>
      <c r="BB41" s="41"/>
      <c r="BG41" s="42"/>
      <c r="BH41" s="43">
        <v>0</v>
      </c>
      <c r="BI41" s="29" t="s">
        <v>894</v>
      </c>
      <c r="BJ41" s="29" t="s">
        <v>894</v>
      </c>
      <c r="BK4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4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41" s="45">
        <f>1-FT_RF_264[[#This Row],[% Defectos]]</f>
        <v>1</v>
      </c>
      <c r="BO41" s="60"/>
      <c r="BP41" s="12">
        <f>SUM(FT_RF_264[[#This Row],[Hoja (Un.)]:[Larvas Caja]])</f>
        <v>0</v>
      </c>
      <c r="BQ41" s="12">
        <f>SUM(FT_RF_264[[#This Row],[Vidrios]:[Plástico]])</f>
        <v>0</v>
      </c>
      <c r="BR41" s="12" t="str">
        <f>IF(ISBLANK(FT_RF_264[[#This Row],[Descripción del producto]]),"",FT_RF_264[[#This Row],[Descripción del producto]])</f>
        <v/>
      </c>
      <c r="BS41" s="29" t="str">
        <f>IF(ISBLANK(FT_RF_264[[#This Row],[N° de Lote]]),"",FT_RF_264[[#This Row],[N° de Lote]])</f>
        <v/>
      </c>
      <c r="BT41" s="29" t="str">
        <f>IF(ISBLANK(FT_RF_264[[#This Row],[N° de Pallet]]),"",FT_RF_264[[#This Row],[N° de Pallet]])</f>
        <v/>
      </c>
    </row>
    <row r="42" spans="2:72">
      <c r="B42" s="29">
        <f>+_xlfn.ISOWEEKNUM(FT_RF_264[[#This Row],[Fecha]])</f>
        <v>52</v>
      </c>
      <c r="E42" s="31"/>
      <c r="F42" s="12" t="str">
        <f>IFERROR(""&amp;_xlfn.XLOOKUP(FT_RF_264[[#This Row],[Código]],BD_Cod[SKU],BD_Cod[Descripción]),"")</f>
        <v/>
      </c>
      <c r="G42" s="32" t="str">
        <f>IFERROR(""&amp;_xlfn.XLOOKUP(FT_RF_264[[#This Row],[Código]],BD_Cod[SKU],BD_Cod[Familia Calidad]),"")</f>
        <v/>
      </c>
      <c r="J42" s="33">
        <v>1000</v>
      </c>
      <c r="L42" s="30" t="s">
        <v>244</v>
      </c>
      <c r="O42" s="30" t="s">
        <v>894</v>
      </c>
      <c r="P42" s="29" t="s">
        <v>894</v>
      </c>
      <c r="Q42" s="37">
        <f>1-FT_RF_264[[#This Row],[% Defectos]]</f>
        <v>1</v>
      </c>
      <c r="R42" s="38">
        <v>0</v>
      </c>
      <c r="S42" s="39">
        <f>+IFERROR((FT_RF_264[[#This Row],[Inmadura]]/FT_RF_264[[#This Row],[Muestra]]),"0")</f>
        <v>0</v>
      </c>
      <c r="T42" s="38">
        <v>0</v>
      </c>
      <c r="U42" s="39">
        <f>+IFERROR((FT_RF_264[[#This Row],[Partidas]]/FT_RF_264[[#This Row],[Muestra]]),"0")</f>
        <v>0</v>
      </c>
      <c r="V42" s="38">
        <v>0</v>
      </c>
      <c r="W42" s="39">
        <f>+IFERROR((FT_RF_264[[#This Row],[Daño Insecto]]/FT_RF_264[[#This Row],[Muestra]]),"0")</f>
        <v>0</v>
      </c>
      <c r="X42" s="38">
        <v>0</v>
      </c>
      <c r="Y42" s="39">
        <f>+IFERROR((FT_RF_264[[#This Row],[Sobremadura]]/FT_RF_264[[#This Row],[Muestra]]),"0")</f>
        <v>0</v>
      </c>
      <c r="Z42" s="38">
        <v>0</v>
      </c>
      <c r="AA42" s="39">
        <f>+IFERROR((FT_RF_264[[#This Row],[Deforme]]/FT_RF_264[[#This Row],[Muestra]]),"0")</f>
        <v>0</v>
      </c>
      <c r="AB42" s="27"/>
      <c r="AC42" s="38">
        <v>0</v>
      </c>
      <c r="AD42" s="39">
        <f>+IFERROR((FT_RF_264[[#This Row],[Valor Extra 1]]/FT_RF_264[[#This Row],[Muestra]]),"0")</f>
        <v>0</v>
      </c>
      <c r="AF42" s="38">
        <v>0</v>
      </c>
      <c r="AG42" s="39">
        <f>+IFERROR((FT_RF_264[[#This Row],[Valor Extra 2]]/FT_RF_264[[#This Row],[Muestra]]),"0")</f>
        <v>0</v>
      </c>
      <c r="AH42" s="40">
        <v>0</v>
      </c>
      <c r="AI42" s="39">
        <f>+IFERROR((FT_RF_264[[#This Row],[Hongos]]/FT_RF_264[[#This Row],[Muestra]]),"0")</f>
        <v>0</v>
      </c>
      <c r="AJ42" s="38">
        <v>0</v>
      </c>
      <c r="AK42" s="39">
        <f>+IFERROR((FT_RF_264[[#This Row],[Block]]/FT_RF_264[[#This Row],[Muestra]]),"0")</f>
        <v>0</v>
      </c>
      <c r="AL42" s="41">
        <v>0</v>
      </c>
      <c r="AM42" s="42">
        <v>0</v>
      </c>
      <c r="AN42" s="38">
        <v>0</v>
      </c>
      <c r="AO42" s="39">
        <f>+IFERROR((FT_RF_264[[#This Row],[Fuera de calibre &lt;12mm]]/FT_RF_264[[#This Row],[Muestra]]),"0")</f>
        <v>0</v>
      </c>
      <c r="AP42" s="38">
        <v>0</v>
      </c>
      <c r="AQ42" s="39">
        <f>+IFERROR((FT_RF_264[[#This Row],[Calibre &lt;25]]/FT_RF_264[[#This Row],[Muestra]]),"0")</f>
        <v>0</v>
      </c>
      <c r="AR42" s="38">
        <v>0</v>
      </c>
      <c r="AS42" s="39">
        <f>+IFERROR((FT_RF_264[[#This Row],[Calibre &gt;12]]/FT_RF_264[[#This Row],[Muestra]]),"0")</f>
        <v>0</v>
      </c>
      <c r="AT42" s="38">
        <v>0</v>
      </c>
      <c r="AU42" s="39">
        <f>+IFERROR((FT_RF_264[[#This Row],[Calibre &lt;14]]/FT_RF_264[[#This Row],[Muestra]]),"0")</f>
        <v>0</v>
      </c>
      <c r="AV42" s="38">
        <v>0</v>
      </c>
      <c r="AW42" s="39">
        <f>+IFERROR((FT_RF_264[[#This Row],[Calibre &gt;14]]/FT_RF_264[[#This Row],[Muestra]]),"0")</f>
        <v>0</v>
      </c>
      <c r="AX42" s="38">
        <v>0</v>
      </c>
      <c r="AY42" s="39">
        <f>+IFERROR((FT_RF_264[[#This Row],[Calibre &lt;10]]/FT_RF_264[[#This Row],[Muestra]]),"0")</f>
        <v>0</v>
      </c>
      <c r="AZ42" s="38">
        <v>0</v>
      </c>
      <c r="BA42" s="39">
        <f>+IFERROR((FT_RF_264[[#This Row],[Calibre &gt;13]]/FT_RF_264[[#This Row],[Muestra]]),"0")</f>
        <v>0</v>
      </c>
      <c r="BB42" s="41"/>
      <c r="BG42" s="42"/>
      <c r="BH42" s="43">
        <v>0</v>
      </c>
      <c r="BI42" s="29" t="s">
        <v>894</v>
      </c>
      <c r="BJ42" s="29" t="s">
        <v>894</v>
      </c>
      <c r="BK4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4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42" s="45">
        <f>1-FT_RF_264[[#This Row],[% Defectos]]</f>
        <v>1</v>
      </c>
      <c r="BO42" s="60"/>
      <c r="BP42" s="12">
        <f>SUM(FT_RF_264[[#This Row],[Hoja (Un.)]:[Larvas Caja]])</f>
        <v>0</v>
      </c>
      <c r="BQ42" s="12">
        <f>SUM(FT_RF_264[[#This Row],[Vidrios]:[Plástico]])</f>
        <v>0</v>
      </c>
      <c r="BR42" s="12" t="str">
        <f>IF(ISBLANK(FT_RF_264[[#This Row],[Descripción del producto]]),"",FT_RF_264[[#This Row],[Descripción del producto]])</f>
        <v/>
      </c>
      <c r="BS42" s="29" t="str">
        <f>IF(ISBLANK(FT_RF_264[[#This Row],[N° de Lote]]),"",FT_RF_264[[#This Row],[N° de Lote]])</f>
        <v/>
      </c>
      <c r="BT42" s="29" t="str">
        <f>IF(ISBLANK(FT_RF_264[[#This Row],[N° de Pallet]]),"",FT_RF_264[[#This Row],[N° de Pallet]])</f>
        <v/>
      </c>
    </row>
    <row r="43" spans="2:72">
      <c r="B43" s="29">
        <f>+_xlfn.ISOWEEKNUM(FT_RF_264[[#This Row],[Fecha]])</f>
        <v>52</v>
      </c>
      <c r="E43" s="31"/>
      <c r="F43" s="12" t="str">
        <f>IFERROR(""&amp;_xlfn.XLOOKUP(FT_RF_264[[#This Row],[Código]],BD_Cod[SKU],BD_Cod[Descripción]),"")</f>
        <v/>
      </c>
      <c r="G43" s="32" t="str">
        <f>IFERROR(""&amp;_xlfn.XLOOKUP(FT_RF_264[[#This Row],[Código]],BD_Cod[SKU],BD_Cod[Familia Calidad]),"")</f>
        <v/>
      </c>
      <c r="J43" s="33">
        <v>1000</v>
      </c>
      <c r="L43" s="30" t="s">
        <v>244</v>
      </c>
      <c r="O43" s="30" t="s">
        <v>894</v>
      </c>
      <c r="P43" s="29" t="s">
        <v>894</v>
      </c>
      <c r="Q43" s="37">
        <f>1-FT_RF_264[[#This Row],[% Defectos]]</f>
        <v>1</v>
      </c>
      <c r="R43" s="38">
        <v>0</v>
      </c>
      <c r="S43" s="39">
        <f>+IFERROR((FT_RF_264[[#This Row],[Inmadura]]/FT_RF_264[[#This Row],[Muestra]]),"0")</f>
        <v>0</v>
      </c>
      <c r="T43" s="38">
        <v>0</v>
      </c>
      <c r="U43" s="39">
        <f>+IFERROR((FT_RF_264[[#This Row],[Partidas]]/FT_RF_264[[#This Row],[Muestra]]),"0")</f>
        <v>0</v>
      </c>
      <c r="V43" s="38">
        <v>0</v>
      </c>
      <c r="W43" s="39">
        <f>+IFERROR((FT_RF_264[[#This Row],[Daño Insecto]]/FT_RF_264[[#This Row],[Muestra]]),"0")</f>
        <v>0</v>
      </c>
      <c r="X43" s="38">
        <v>0</v>
      </c>
      <c r="Y43" s="39">
        <f>+IFERROR((FT_RF_264[[#This Row],[Sobremadura]]/FT_RF_264[[#This Row],[Muestra]]),"0")</f>
        <v>0</v>
      </c>
      <c r="Z43" s="38">
        <v>0</v>
      </c>
      <c r="AA43" s="39">
        <f>+IFERROR((FT_RF_264[[#This Row],[Deforme]]/FT_RF_264[[#This Row],[Muestra]]),"0")</f>
        <v>0</v>
      </c>
      <c r="AB43" s="27"/>
      <c r="AC43" s="38">
        <v>0</v>
      </c>
      <c r="AD43" s="39">
        <f>+IFERROR((FT_RF_264[[#This Row],[Valor Extra 1]]/FT_RF_264[[#This Row],[Muestra]]),"0")</f>
        <v>0</v>
      </c>
      <c r="AF43" s="38">
        <v>0</v>
      </c>
      <c r="AG43" s="39">
        <f>+IFERROR((FT_RF_264[[#This Row],[Valor Extra 2]]/FT_RF_264[[#This Row],[Muestra]]),"0")</f>
        <v>0</v>
      </c>
      <c r="AH43" s="40">
        <v>0</v>
      </c>
      <c r="AI43" s="39">
        <f>+IFERROR((FT_RF_264[[#This Row],[Hongos]]/FT_RF_264[[#This Row],[Muestra]]),"0")</f>
        <v>0</v>
      </c>
      <c r="AJ43" s="38">
        <v>0</v>
      </c>
      <c r="AK43" s="39">
        <f>+IFERROR((FT_RF_264[[#This Row],[Block]]/FT_RF_264[[#This Row],[Muestra]]),"0")</f>
        <v>0</v>
      </c>
      <c r="AL43" s="41">
        <v>0</v>
      </c>
      <c r="AM43" s="42">
        <v>0</v>
      </c>
      <c r="AN43" s="38">
        <v>0</v>
      </c>
      <c r="AO43" s="39">
        <f>+IFERROR((FT_RF_264[[#This Row],[Fuera de calibre &lt;12mm]]/FT_RF_264[[#This Row],[Muestra]]),"0")</f>
        <v>0</v>
      </c>
      <c r="AP43" s="38">
        <v>0</v>
      </c>
      <c r="AQ43" s="39">
        <f>+IFERROR((FT_RF_264[[#This Row],[Calibre &lt;25]]/FT_RF_264[[#This Row],[Muestra]]),"0")</f>
        <v>0</v>
      </c>
      <c r="AR43" s="38">
        <v>0</v>
      </c>
      <c r="AS43" s="39">
        <f>+IFERROR((FT_RF_264[[#This Row],[Calibre &gt;12]]/FT_RF_264[[#This Row],[Muestra]]),"0")</f>
        <v>0</v>
      </c>
      <c r="AT43" s="38">
        <v>0</v>
      </c>
      <c r="AU43" s="39">
        <f>+IFERROR((FT_RF_264[[#This Row],[Calibre &lt;14]]/FT_RF_264[[#This Row],[Muestra]]),"0")</f>
        <v>0</v>
      </c>
      <c r="AV43" s="38">
        <v>0</v>
      </c>
      <c r="AW43" s="39">
        <f>+IFERROR((FT_RF_264[[#This Row],[Calibre &gt;14]]/FT_RF_264[[#This Row],[Muestra]]),"0")</f>
        <v>0</v>
      </c>
      <c r="AX43" s="38">
        <v>0</v>
      </c>
      <c r="AY43" s="39">
        <f>+IFERROR((FT_RF_264[[#This Row],[Calibre &lt;10]]/FT_RF_264[[#This Row],[Muestra]]),"0")</f>
        <v>0</v>
      </c>
      <c r="AZ43" s="38">
        <v>0</v>
      </c>
      <c r="BA43" s="39">
        <f>+IFERROR((FT_RF_264[[#This Row],[Calibre &gt;13]]/FT_RF_264[[#This Row],[Muestra]]),"0")</f>
        <v>0</v>
      </c>
      <c r="BB43" s="41"/>
      <c r="BG43" s="42"/>
      <c r="BH43" s="43">
        <v>0</v>
      </c>
      <c r="BI43" s="29" t="s">
        <v>894</v>
      </c>
      <c r="BJ43" s="29" t="s">
        <v>894</v>
      </c>
      <c r="BK4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4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43" s="45">
        <f>1-FT_RF_264[[#This Row],[% Defectos]]</f>
        <v>1</v>
      </c>
      <c r="BO43" s="60"/>
      <c r="BP43" s="12">
        <f>SUM(FT_RF_264[[#This Row],[Hoja (Un.)]:[Larvas Caja]])</f>
        <v>0</v>
      </c>
      <c r="BQ43" s="12">
        <f>SUM(FT_RF_264[[#This Row],[Vidrios]:[Plástico]])</f>
        <v>0</v>
      </c>
      <c r="BR43" s="12" t="str">
        <f>IF(ISBLANK(FT_RF_264[[#This Row],[Descripción del producto]]),"",FT_RF_264[[#This Row],[Descripción del producto]])</f>
        <v/>
      </c>
      <c r="BS43" s="29" t="str">
        <f>IF(ISBLANK(FT_RF_264[[#This Row],[N° de Lote]]),"",FT_RF_264[[#This Row],[N° de Lote]])</f>
        <v/>
      </c>
      <c r="BT43" s="29" t="str">
        <f>IF(ISBLANK(FT_RF_264[[#This Row],[N° de Pallet]]),"",FT_RF_264[[#This Row],[N° de Pallet]])</f>
        <v/>
      </c>
    </row>
    <row r="44" spans="2:72">
      <c r="B44" s="29">
        <f>+_xlfn.ISOWEEKNUM(FT_RF_264[[#This Row],[Fecha]])</f>
        <v>52</v>
      </c>
      <c r="E44" s="31"/>
      <c r="F44" s="12" t="str">
        <f>IFERROR(""&amp;_xlfn.XLOOKUP(FT_RF_264[[#This Row],[Código]],BD_Cod[SKU],BD_Cod[Descripción]),"")</f>
        <v/>
      </c>
      <c r="G44" s="32" t="str">
        <f>IFERROR(""&amp;_xlfn.XLOOKUP(FT_RF_264[[#This Row],[Código]],BD_Cod[SKU],BD_Cod[Familia Calidad]),"")</f>
        <v/>
      </c>
      <c r="J44" s="33">
        <v>1000</v>
      </c>
      <c r="L44" s="30" t="s">
        <v>244</v>
      </c>
      <c r="O44" s="30" t="s">
        <v>894</v>
      </c>
      <c r="P44" s="29" t="s">
        <v>894</v>
      </c>
      <c r="Q44" s="37">
        <f>1-FT_RF_264[[#This Row],[% Defectos]]</f>
        <v>1</v>
      </c>
      <c r="R44" s="38">
        <v>0</v>
      </c>
      <c r="S44" s="39">
        <f>+IFERROR((FT_RF_264[[#This Row],[Inmadura]]/FT_RF_264[[#This Row],[Muestra]]),"0")</f>
        <v>0</v>
      </c>
      <c r="T44" s="38">
        <v>0</v>
      </c>
      <c r="U44" s="39">
        <f>+IFERROR((FT_RF_264[[#This Row],[Partidas]]/FT_RF_264[[#This Row],[Muestra]]),"0")</f>
        <v>0</v>
      </c>
      <c r="V44" s="38">
        <v>0</v>
      </c>
      <c r="W44" s="39">
        <f>+IFERROR((FT_RF_264[[#This Row],[Daño Insecto]]/FT_RF_264[[#This Row],[Muestra]]),"0")</f>
        <v>0</v>
      </c>
      <c r="X44" s="38">
        <v>0</v>
      </c>
      <c r="Y44" s="39">
        <f>+IFERROR((FT_RF_264[[#This Row],[Sobremadura]]/FT_RF_264[[#This Row],[Muestra]]),"0")</f>
        <v>0</v>
      </c>
      <c r="Z44" s="38">
        <v>0</v>
      </c>
      <c r="AA44" s="39">
        <f>+IFERROR((FT_RF_264[[#This Row],[Deforme]]/FT_RF_264[[#This Row],[Muestra]]),"0")</f>
        <v>0</v>
      </c>
      <c r="AB44" s="27"/>
      <c r="AC44" s="38">
        <v>0</v>
      </c>
      <c r="AD44" s="39">
        <f>+IFERROR((FT_RF_264[[#This Row],[Valor Extra 1]]/FT_RF_264[[#This Row],[Muestra]]),"0")</f>
        <v>0</v>
      </c>
      <c r="AF44" s="38">
        <v>0</v>
      </c>
      <c r="AG44" s="39">
        <f>+IFERROR((FT_RF_264[[#This Row],[Valor Extra 2]]/FT_RF_264[[#This Row],[Muestra]]),"0")</f>
        <v>0</v>
      </c>
      <c r="AH44" s="40">
        <v>0</v>
      </c>
      <c r="AI44" s="39">
        <f>+IFERROR((FT_RF_264[[#This Row],[Hongos]]/FT_RF_264[[#This Row],[Muestra]]),"0")</f>
        <v>0</v>
      </c>
      <c r="AJ44" s="38">
        <v>0</v>
      </c>
      <c r="AK44" s="39">
        <f>+IFERROR((FT_RF_264[[#This Row],[Block]]/FT_RF_264[[#This Row],[Muestra]]),"0")</f>
        <v>0</v>
      </c>
      <c r="AL44" s="41">
        <v>0</v>
      </c>
      <c r="AM44" s="42">
        <v>0</v>
      </c>
      <c r="AN44" s="38">
        <v>0</v>
      </c>
      <c r="AO44" s="39">
        <f>+IFERROR((FT_RF_264[[#This Row],[Fuera de calibre &lt;12mm]]/FT_RF_264[[#This Row],[Muestra]]),"0")</f>
        <v>0</v>
      </c>
      <c r="AP44" s="38">
        <v>0</v>
      </c>
      <c r="AQ44" s="39">
        <f>+IFERROR((FT_RF_264[[#This Row],[Calibre &lt;25]]/FT_RF_264[[#This Row],[Muestra]]),"0")</f>
        <v>0</v>
      </c>
      <c r="AR44" s="38">
        <v>0</v>
      </c>
      <c r="AS44" s="39">
        <f>+IFERROR((FT_RF_264[[#This Row],[Calibre &gt;12]]/FT_RF_264[[#This Row],[Muestra]]),"0")</f>
        <v>0</v>
      </c>
      <c r="AT44" s="38">
        <v>0</v>
      </c>
      <c r="AU44" s="39">
        <f>+IFERROR((FT_RF_264[[#This Row],[Calibre &lt;14]]/FT_RF_264[[#This Row],[Muestra]]),"0")</f>
        <v>0</v>
      </c>
      <c r="AV44" s="38">
        <v>0</v>
      </c>
      <c r="AW44" s="39">
        <f>+IFERROR((FT_RF_264[[#This Row],[Calibre &gt;14]]/FT_RF_264[[#This Row],[Muestra]]),"0")</f>
        <v>0</v>
      </c>
      <c r="AX44" s="38">
        <v>0</v>
      </c>
      <c r="AY44" s="39">
        <f>+IFERROR((FT_RF_264[[#This Row],[Calibre &lt;10]]/FT_RF_264[[#This Row],[Muestra]]),"0")</f>
        <v>0</v>
      </c>
      <c r="AZ44" s="38">
        <v>0</v>
      </c>
      <c r="BA44" s="39">
        <f>+IFERROR((FT_RF_264[[#This Row],[Calibre &gt;13]]/FT_RF_264[[#This Row],[Muestra]]),"0")</f>
        <v>0</v>
      </c>
      <c r="BB44" s="41"/>
      <c r="BG44" s="42"/>
      <c r="BH44" s="43">
        <v>0</v>
      </c>
      <c r="BI44" s="29" t="s">
        <v>894</v>
      </c>
      <c r="BJ44" s="29" t="s">
        <v>894</v>
      </c>
      <c r="BK4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4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44" s="45">
        <f>1-FT_RF_264[[#This Row],[% Defectos]]</f>
        <v>1</v>
      </c>
      <c r="BO44" s="60"/>
      <c r="BP44" s="12">
        <f>SUM(FT_RF_264[[#This Row],[Hoja (Un.)]:[Larvas Caja]])</f>
        <v>0</v>
      </c>
      <c r="BQ44" s="12">
        <f>SUM(FT_RF_264[[#This Row],[Vidrios]:[Plástico]])</f>
        <v>0</v>
      </c>
      <c r="BR44" s="12" t="str">
        <f>IF(ISBLANK(FT_RF_264[[#This Row],[Descripción del producto]]),"",FT_RF_264[[#This Row],[Descripción del producto]])</f>
        <v/>
      </c>
      <c r="BS44" s="29" t="str">
        <f>IF(ISBLANK(FT_RF_264[[#This Row],[N° de Lote]]),"",FT_RF_264[[#This Row],[N° de Lote]])</f>
        <v/>
      </c>
      <c r="BT44" s="29" t="str">
        <f>IF(ISBLANK(FT_RF_264[[#This Row],[N° de Pallet]]),"",FT_RF_264[[#This Row],[N° de Pallet]])</f>
        <v/>
      </c>
    </row>
    <row r="45" spans="2:72">
      <c r="B45" s="29">
        <f>+_xlfn.ISOWEEKNUM(FT_RF_264[[#This Row],[Fecha]])</f>
        <v>52</v>
      </c>
      <c r="E45" s="31"/>
      <c r="F45" s="12" t="str">
        <f>IFERROR(""&amp;_xlfn.XLOOKUP(FT_RF_264[[#This Row],[Código]],BD_Cod[SKU],BD_Cod[Descripción]),"")</f>
        <v/>
      </c>
      <c r="G45" s="32" t="str">
        <f>IFERROR(""&amp;_xlfn.XLOOKUP(FT_RF_264[[#This Row],[Código]],BD_Cod[SKU],BD_Cod[Familia Calidad]),"")</f>
        <v/>
      </c>
      <c r="J45" s="33">
        <v>1000</v>
      </c>
      <c r="L45" s="30" t="s">
        <v>244</v>
      </c>
      <c r="O45" s="30" t="s">
        <v>894</v>
      </c>
      <c r="P45" s="29" t="s">
        <v>894</v>
      </c>
      <c r="Q45" s="37">
        <f>1-FT_RF_264[[#This Row],[% Defectos]]</f>
        <v>1</v>
      </c>
      <c r="R45" s="38">
        <v>0</v>
      </c>
      <c r="S45" s="39">
        <f>+IFERROR((FT_RF_264[[#This Row],[Inmadura]]/FT_RF_264[[#This Row],[Muestra]]),"0")</f>
        <v>0</v>
      </c>
      <c r="T45" s="38">
        <v>0</v>
      </c>
      <c r="U45" s="39">
        <f>+IFERROR((FT_RF_264[[#This Row],[Partidas]]/FT_RF_264[[#This Row],[Muestra]]),"0")</f>
        <v>0</v>
      </c>
      <c r="V45" s="38">
        <v>0</v>
      </c>
      <c r="W45" s="39">
        <f>+IFERROR((FT_RF_264[[#This Row],[Daño Insecto]]/FT_RF_264[[#This Row],[Muestra]]),"0")</f>
        <v>0</v>
      </c>
      <c r="X45" s="38">
        <v>0</v>
      </c>
      <c r="Y45" s="39">
        <f>+IFERROR((FT_RF_264[[#This Row],[Sobremadura]]/FT_RF_264[[#This Row],[Muestra]]),"0")</f>
        <v>0</v>
      </c>
      <c r="Z45" s="38">
        <v>0</v>
      </c>
      <c r="AA45" s="39">
        <f>+IFERROR((FT_RF_264[[#This Row],[Deforme]]/FT_RF_264[[#This Row],[Muestra]]),"0")</f>
        <v>0</v>
      </c>
      <c r="AB45" s="27"/>
      <c r="AC45" s="38">
        <v>0</v>
      </c>
      <c r="AD45" s="39">
        <f>+IFERROR((FT_RF_264[[#This Row],[Valor Extra 1]]/FT_RF_264[[#This Row],[Muestra]]),"0")</f>
        <v>0</v>
      </c>
      <c r="AF45" s="38">
        <v>0</v>
      </c>
      <c r="AG45" s="39">
        <f>+IFERROR((FT_RF_264[[#This Row],[Valor Extra 2]]/FT_RF_264[[#This Row],[Muestra]]),"0")</f>
        <v>0</v>
      </c>
      <c r="AH45" s="40">
        <v>0</v>
      </c>
      <c r="AI45" s="39">
        <f>+IFERROR((FT_RF_264[[#This Row],[Hongos]]/FT_RF_264[[#This Row],[Muestra]]),"0")</f>
        <v>0</v>
      </c>
      <c r="AJ45" s="38">
        <v>0</v>
      </c>
      <c r="AK45" s="39">
        <f>+IFERROR((FT_RF_264[[#This Row],[Block]]/FT_RF_264[[#This Row],[Muestra]]),"0")</f>
        <v>0</v>
      </c>
      <c r="AL45" s="41">
        <v>0</v>
      </c>
      <c r="AM45" s="42">
        <v>0</v>
      </c>
      <c r="AN45" s="38">
        <v>0</v>
      </c>
      <c r="AO45" s="39">
        <f>+IFERROR((FT_RF_264[[#This Row],[Fuera de calibre &lt;12mm]]/FT_RF_264[[#This Row],[Muestra]]),"0")</f>
        <v>0</v>
      </c>
      <c r="AP45" s="38">
        <v>0</v>
      </c>
      <c r="AQ45" s="39">
        <f>+IFERROR((FT_RF_264[[#This Row],[Calibre &lt;25]]/FT_RF_264[[#This Row],[Muestra]]),"0")</f>
        <v>0</v>
      </c>
      <c r="AR45" s="38">
        <v>0</v>
      </c>
      <c r="AS45" s="39">
        <f>+IFERROR((FT_RF_264[[#This Row],[Calibre &gt;12]]/FT_RF_264[[#This Row],[Muestra]]),"0")</f>
        <v>0</v>
      </c>
      <c r="AT45" s="38">
        <v>0</v>
      </c>
      <c r="AU45" s="39">
        <f>+IFERROR((FT_RF_264[[#This Row],[Calibre &lt;14]]/FT_RF_264[[#This Row],[Muestra]]),"0")</f>
        <v>0</v>
      </c>
      <c r="AV45" s="38">
        <v>0</v>
      </c>
      <c r="AW45" s="39">
        <f>+IFERROR((FT_RF_264[[#This Row],[Calibre &gt;14]]/FT_RF_264[[#This Row],[Muestra]]),"0")</f>
        <v>0</v>
      </c>
      <c r="AX45" s="38">
        <v>0</v>
      </c>
      <c r="AY45" s="39">
        <f>+IFERROR((FT_RF_264[[#This Row],[Calibre &lt;10]]/FT_RF_264[[#This Row],[Muestra]]),"0")</f>
        <v>0</v>
      </c>
      <c r="AZ45" s="38">
        <v>0</v>
      </c>
      <c r="BA45" s="39">
        <f>+IFERROR((FT_RF_264[[#This Row],[Calibre &gt;13]]/FT_RF_264[[#This Row],[Muestra]]),"0")</f>
        <v>0</v>
      </c>
      <c r="BB45" s="41"/>
      <c r="BG45" s="42"/>
      <c r="BH45" s="43">
        <v>0</v>
      </c>
      <c r="BI45" s="29" t="s">
        <v>894</v>
      </c>
      <c r="BJ45" s="29" t="s">
        <v>894</v>
      </c>
      <c r="BK4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4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45" s="45">
        <f>1-FT_RF_264[[#This Row],[% Defectos]]</f>
        <v>1</v>
      </c>
      <c r="BO45" s="60"/>
      <c r="BP45" s="12">
        <f>SUM(FT_RF_264[[#This Row],[Hoja (Un.)]:[Larvas Caja]])</f>
        <v>0</v>
      </c>
      <c r="BQ45" s="12">
        <f>SUM(FT_RF_264[[#This Row],[Vidrios]:[Plástico]])</f>
        <v>0</v>
      </c>
      <c r="BR45" s="12" t="str">
        <f>IF(ISBLANK(FT_RF_264[[#This Row],[Descripción del producto]]),"",FT_RF_264[[#This Row],[Descripción del producto]])</f>
        <v/>
      </c>
      <c r="BS45" s="29" t="str">
        <f>IF(ISBLANK(FT_RF_264[[#This Row],[N° de Lote]]),"",FT_RF_264[[#This Row],[N° de Lote]])</f>
        <v/>
      </c>
      <c r="BT45" s="29" t="str">
        <f>IF(ISBLANK(FT_RF_264[[#This Row],[N° de Pallet]]),"",FT_RF_264[[#This Row],[N° de Pallet]])</f>
        <v/>
      </c>
    </row>
    <row r="46" spans="2:72">
      <c r="B46" s="29">
        <f>+_xlfn.ISOWEEKNUM(FT_RF_264[[#This Row],[Fecha]])</f>
        <v>52</v>
      </c>
      <c r="E46" s="31"/>
      <c r="F46" s="12" t="str">
        <f>IFERROR(""&amp;_xlfn.XLOOKUP(FT_RF_264[[#This Row],[Código]],BD_Cod[SKU],BD_Cod[Descripción]),"")</f>
        <v/>
      </c>
      <c r="G46" s="32" t="str">
        <f>IFERROR(""&amp;_xlfn.XLOOKUP(FT_RF_264[[#This Row],[Código]],BD_Cod[SKU],BD_Cod[Familia Calidad]),"")</f>
        <v/>
      </c>
      <c r="J46" s="33">
        <v>1000</v>
      </c>
      <c r="L46" s="30" t="s">
        <v>244</v>
      </c>
      <c r="O46" s="30" t="s">
        <v>894</v>
      </c>
      <c r="P46" s="29" t="s">
        <v>894</v>
      </c>
      <c r="Q46" s="37">
        <f>1-FT_RF_264[[#This Row],[% Defectos]]</f>
        <v>1</v>
      </c>
      <c r="R46" s="38">
        <v>0</v>
      </c>
      <c r="S46" s="39">
        <f>+IFERROR((FT_RF_264[[#This Row],[Inmadura]]/FT_RF_264[[#This Row],[Muestra]]),"0")</f>
        <v>0</v>
      </c>
      <c r="T46" s="38">
        <v>0</v>
      </c>
      <c r="U46" s="39">
        <f>+IFERROR((FT_RF_264[[#This Row],[Partidas]]/FT_RF_264[[#This Row],[Muestra]]),"0")</f>
        <v>0</v>
      </c>
      <c r="V46" s="38">
        <v>0</v>
      </c>
      <c r="W46" s="39">
        <f>+IFERROR((FT_RF_264[[#This Row],[Daño Insecto]]/FT_RF_264[[#This Row],[Muestra]]),"0")</f>
        <v>0</v>
      </c>
      <c r="X46" s="38">
        <v>0</v>
      </c>
      <c r="Y46" s="39">
        <f>+IFERROR((FT_RF_264[[#This Row],[Sobremadura]]/FT_RF_264[[#This Row],[Muestra]]),"0")</f>
        <v>0</v>
      </c>
      <c r="Z46" s="38">
        <v>0</v>
      </c>
      <c r="AA46" s="39">
        <f>+IFERROR((FT_RF_264[[#This Row],[Deforme]]/FT_RF_264[[#This Row],[Muestra]]),"0")</f>
        <v>0</v>
      </c>
      <c r="AB46" s="27"/>
      <c r="AC46" s="38">
        <v>0</v>
      </c>
      <c r="AD46" s="39">
        <f>+IFERROR((FT_RF_264[[#This Row],[Valor Extra 1]]/FT_RF_264[[#This Row],[Muestra]]),"0")</f>
        <v>0</v>
      </c>
      <c r="AF46" s="38">
        <v>0</v>
      </c>
      <c r="AG46" s="39">
        <f>+IFERROR((FT_RF_264[[#This Row],[Valor Extra 2]]/FT_RF_264[[#This Row],[Muestra]]),"0")</f>
        <v>0</v>
      </c>
      <c r="AH46" s="40">
        <v>0</v>
      </c>
      <c r="AI46" s="39">
        <f>+IFERROR((FT_RF_264[[#This Row],[Hongos]]/FT_RF_264[[#This Row],[Muestra]]),"0")</f>
        <v>0</v>
      </c>
      <c r="AJ46" s="38">
        <v>0</v>
      </c>
      <c r="AK46" s="39">
        <f>+IFERROR((FT_RF_264[[#This Row],[Block]]/FT_RF_264[[#This Row],[Muestra]]),"0")</f>
        <v>0</v>
      </c>
      <c r="AL46" s="41">
        <v>0</v>
      </c>
      <c r="AM46" s="42">
        <v>0</v>
      </c>
      <c r="AN46" s="38">
        <v>0</v>
      </c>
      <c r="AO46" s="39">
        <f>+IFERROR((FT_RF_264[[#This Row],[Fuera de calibre &lt;12mm]]/FT_RF_264[[#This Row],[Muestra]]),"0")</f>
        <v>0</v>
      </c>
      <c r="AP46" s="38">
        <v>0</v>
      </c>
      <c r="AQ46" s="39">
        <f>+IFERROR((FT_RF_264[[#This Row],[Calibre &lt;25]]/FT_RF_264[[#This Row],[Muestra]]),"0")</f>
        <v>0</v>
      </c>
      <c r="AR46" s="38">
        <v>0</v>
      </c>
      <c r="AS46" s="39">
        <f>+IFERROR((FT_RF_264[[#This Row],[Calibre &gt;12]]/FT_RF_264[[#This Row],[Muestra]]),"0")</f>
        <v>0</v>
      </c>
      <c r="AT46" s="38">
        <v>0</v>
      </c>
      <c r="AU46" s="39">
        <f>+IFERROR((FT_RF_264[[#This Row],[Calibre &lt;14]]/FT_RF_264[[#This Row],[Muestra]]),"0")</f>
        <v>0</v>
      </c>
      <c r="AV46" s="38">
        <v>0</v>
      </c>
      <c r="AW46" s="39">
        <f>+IFERROR((FT_RF_264[[#This Row],[Calibre &gt;14]]/FT_RF_264[[#This Row],[Muestra]]),"0")</f>
        <v>0</v>
      </c>
      <c r="AX46" s="38">
        <v>0</v>
      </c>
      <c r="AY46" s="39">
        <f>+IFERROR((FT_RF_264[[#This Row],[Calibre &lt;10]]/FT_RF_264[[#This Row],[Muestra]]),"0")</f>
        <v>0</v>
      </c>
      <c r="AZ46" s="38">
        <v>0</v>
      </c>
      <c r="BA46" s="39">
        <f>+IFERROR((FT_RF_264[[#This Row],[Calibre &gt;13]]/FT_RF_264[[#This Row],[Muestra]]),"0")</f>
        <v>0</v>
      </c>
      <c r="BB46" s="41"/>
      <c r="BG46" s="42"/>
      <c r="BH46" s="43">
        <v>0</v>
      </c>
      <c r="BI46" s="29" t="s">
        <v>894</v>
      </c>
      <c r="BJ46" s="29" t="s">
        <v>894</v>
      </c>
      <c r="BK4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4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46" s="45">
        <f>1-FT_RF_264[[#This Row],[% Defectos]]</f>
        <v>1</v>
      </c>
      <c r="BO46" s="60"/>
      <c r="BP46" s="12">
        <f>SUM(FT_RF_264[[#This Row],[Hoja (Un.)]:[Larvas Caja]])</f>
        <v>0</v>
      </c>
      <c r="BQ46" s="12">
        <f>SUM(FT_RF_264[[#This Row],[Vidrios]:[Plástico]])</f>
        <v>0</v>
      </c>
      <c r="BR46" s="12" t="str">
        <f>IF(ISBLANK(FT_RF_264[[#This Row],[Descripción del producto]]),"",FT_RF_264[[#This Row],[Descripción del producto]])</f>
        <v/>
      </c>
      <c r="BS46" s="29" t="str">
        <f>IF(ISBLANK(FT_RF_264[[#This Row],[N° de Lote]]),"",FT_RF_264[[#This Row],[N° de Lote]])</f>
        <v/>
      </c>
      <c r="BT46" s="29" t="str">
        <f>IF(ISBLANK(FT_RF_264[[#This Row],[N° de Pallet]]),"",FT_RF_264[[#This Row],[N° de Pallet]])</f>
        <v/>
      </c>
    </row>
    <row r="47" spans="2:72">
      <c r="B47" s="29">
        <f>+_xlfn.ISOWEEKNUM(FT_RF_264[[#This Row],[Fecha]])</f>
        <v>52</v>
      </c>
      <c r="E47" s="31"/>
      <c r="F47" s="12" t="str">
        <f>IFERROR(""&amp;_xlfn.XLOOKUP(FT_RF_264[[#This Row],[Código]],BD_Cod[SKU],BD_Cod[Descripción]),"")</f>
        <v/>
      </c>
      <c r="G47" s="32" t="str">
        <f>IFERROR(""&amp;_xlfn.XLOOKUP(FT_RF_264[[#This Row],[Código]],BD_Cod[SKU],BD_Cod[Familia Calidad]),"")</f>
        <v/>
      </c>
      <c r="J47" s="33">
        <v>1000</v>
      </c>
      <c r="L47" s="30" t="s">
        <v>244</v>
      </c>
      <c r="O47" s="30" t="s">
        <v>894</v>
      </c>
      <c r="P47" s="29" t="s">
        <v>894</v>
      </c>
      <c r="Q47" s="37">
        <f>1-FT_RF_264[[#This Row],[% Defectos]]</f>
        <v>1</v>
      </c>
      <c r="R47" s="38">
        <v>0</v>
      </c>
      <c r="S47" s="39">
        <f>+IFERROR((FT_RF_264[[#This Row],[Inmadura]]/FT_RF_264[[#This Row],[Muestra]]),"0")</f>
        <v>0</v>
      </c>
      <c r="T47" s="38">
        <v>0</v>
      </c>
      <c r="U47" s="39">
        <f>+IFERROR((FT_RF_264[[#This Row],[Partidas]]/FT_RF_264[[#This Row],[Muestra]]),"0")</f>
        <v>0</v>
      </c>
      <c r="V47" s="38">
        <v>0</v>
      </c>
      <c r="W47" s="39">
        <f>+IFERROR((FT_RF_264[[#This Row],[Daño Insecto]]/FT_RF_264[[#This Row],[Muestra]]),"0")</f>
        <v>0</v>
      </c>
      <c r="X47" s="38">
        <v>0</v>
      </c>
      <c r="Y47" s="39">
        <f>+IFERROR((FT_RF_264[[#This Row],[Sobremadura]]/FT_RF_264[[#This Row],[Muestra]]),"0")</f>
        <v>0</v>
      </c>
      <c r="Z47" s="38">
        <v>0</v>
      </c>
      <c r="AA47" s="39">
        <f>+IFERROR((FT_RF_264[[#This Row],[Deforme]]/FT_RF_264[[#This Row],[Muestra]]),"0")</f>
        <v>0</v>
      </c>
      <c r="AB47" s="27"/>
      <c r="AC47" s="38">
        <v>0</v>
      </c>
      <c r="AD47" s="39">
        <f>+IFERROR((FT_RF_264[[#This Row],[Valor Extra 1]]/FT_RF_264[[#This Row],[Muestra]]),"0")</f>
        <v>0</v>
      </c>
      <c r="AF47" s="38">
        <v>0</v>
      </c>
      <c r="AG47" s="39">
        <f>+IFERROR((FT_RF_264[[#This Row],[Valor Extra 2]]/FT_RF_264[[#This Row],[Muestra]]),"0")</f>
        <v>0</v>
      </c>
      <c r="AH47" s="40">
        <v>0</v>
      </c>
      <c r="AI47" s="39">
        <f>+IFERROR((FT_RF_264[[#This Row],[Hongos]]/FT_RF_264[[#This Row],[Muestra]]),"0")</f>
        <v>0</v>
      </c>
      <c r="AJ47" s="38">
        <v>0</v>
      </c>
      <c r="AK47" s="39">
        <f>+IFERROR((FT_RF_264[[#This Row],[Block]]/FT_RF_264[[#This Row],[Muestra]]),"0")</f>
        <v>0</v>
      </c>
      <c r="AL47" s="41">
        <v>0</v>
      </c>
      <c r="AM47" s="42">
        <v>0</v>
      </c>
      <c r="AN47" s="38">
        <v>0</v>
      </c>
      <c r="AO47" s="39">
        <f>+IFERROR((FT_RF_264[[#This Row],[Fuera de calibre &lt;12mm]]/FT_RF_264[[#This Row],[Muestra]]),"0")</f>
        <v>0</v>
      </c>
      <c r="AP47" s="38">
        <v>0</v>
      </c>
      <c r="AQ47" s="39">
        <f>+IFERROR((FT_RF_264[[#This Row],[Calibre &lt;25]]/FT_RF_264[[#This Row],[Muestra]]),"0")</f>
        <v>0</v>
      </c>
      <c r="AR47" s="38">
        <v>0</v>
      </c>
      <c r="AS47" s="39">
        <f>+IFERROR((FT_RF_264[[#This Row],[Calibre &gt;12]]/FT_RF_264[[#This Row],[Muestra]]),"0")</f>
        <v>0</v>
      </c>
      <c r="AT47" s="38">
        <v>0</v>
      </c>
      <c r="AU47" s="39">
        <f>+IFERROR((FT_RF_264[[#This Row],[Calibre &lt;14]]/FT_RF_264[[#This Row],[Muestra]]),"0")</f>
        <v>0</v>
      </c>
      <c r="AV47" s="38">
        <v>0</v>
      </c>
      <c r="AW47" s="39">
        <f>+IFERROR((FT_RF_264[[#This Row],[Calibre &gt;14]]/FT_RF_264[[#This Row],[Muestra]]),"0")</f>
        <v>0</v>
      </c>
      <c r="AX47" s="38">
        <v>0</v>
      </c>
      <c r="AY47" s="39">
        <f>+IFERROR((FT_RF_264[[#This Row],[Calibre &lt;10]]/FT_RF_264[[#This Row],[Muestra]]),"0")</f>
        <v>0</v>
      </c>
      <c r="AZ47" s="38">
        <v>0</v>
      </c>
      <c r="BA47" s="39">
        <f>+IFERROR((FT_RF_264[[#This Row],[Calibre &gt;13]]/FT_RF_264[[#This Row],[Muestra]]),"0")</f>
        <v>0</v>
      </c>
      <c r="BB47" s="41"/>
      <c r="BG47" s="42"/>
      <c r="BH47" s="43">
        <v>0</v>
      </c>
      <c r="BI47" s="29" t="s">
        <v>894</v>
      </c>
      <c r="BJ47" s="29" t="s">
        <v>894</v>
      </c>
      <c r="BK4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4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47" s="45">
        <f>1-FT_RF_264[[#This Row],[% Defectos]]</f>
        <v>1</v>
      </c>
      <c r="BO47" s="60"/>
      <c r="BP47" s="12">
        <f>SUM(FT_RF_264[[#This Row],[Hoja (Un.)]:[Larvas Caja]])</f>
        <v>0</v>
      </c>
      <c r="BQ47" s="12">
        <f>SUM(FT_RF_264[[#This Row],[Vidrios]:[Plástico]])</f>
        <v>0</v>
      </c>
      <c r="BR47" s="12" t="str">
        <f>IF(ISBLANK(FT_RF_264[[#This Row],[Descripción del producto]]),"",FT_RF_264[[#This Row],[Descripción del producto]])</f>
        <v/>
      </c>
      <c r="BS47" s="29" t="str">
        <f>IF(ISBLANK(FT_RF_264[[#This Row],[N° de Lote]]),"",FT_RF_264[[#This Row],[N° de Lote]])</f>
        <v/>
      </c>
      <c r="BT47" s="29" t="str">
        <f>IF(ISBLANK(FT_RF_264[[#This Row],[N° de Pallet]]),"",FT_RF_264[[#This Row],[N° de Pallet]])</f>
        <v/>
      </c>
    </row>
    <row r="48" spans="2:72">
      <c r="B48" s="29">
        <f>+_xlfn.ISOWEEKNUM(FT_RF_264[[#This Row],[Fecha]])</f>
        <v>52</v>
      </c>
      <c r="E48" s="31"/>
      <c r="F48" s="12" t="str">
        <f>IFERROR(""&amp;_xlfn.XLOOKUP(FT_RF_264[[#This Row],[Código]],BD_Cod[SKU],BD_Cod[Descripción]),"")</f>
        <v/>
      </c>
      <c r="G48" s="32" t="str">
        <f>IFERROR(""&amp;_xlfn.XLOOKUP(FT_RF_264[[#This Row],[Código]],BD_Cod[SKU],BD_Cod[Familia Calidad]),"")</f>
        <v/>
      </c>
      <c r="J48" s="33">
        <v>1000</v>
      </c>
      <c r="L48" s="30" t="s">
        <v>244</v>
      </c>
      <c r="O48" s="30" t="s">
        <v>894</v>
      </c>
      <c r="P48" s="29" t="s">
        <v>894</v>
      </c>
      <c r="Q48" s="37">
        <f>1-FT_RF_264[[#This Row],[% Defectos]]</f>
        <v>1</v>
      </c>
      <c r="R48" s="38">
        <v>0</v>
      </c>
      <c r="S48" s="39">
        <f>+IFERROR((FT_RF_264[[#This Row],[Inmadura]]/FT_RF_264[[#This Row],[Muestra]]),"0")</f>
        <v>0</v>
      </c>
      <c r="T48" s="38">
        <v>0</v>
      </c>
      <c r="U48" s="39">
        <f>+IFERROR((FT_RF_264[[#This Row],[Partidas]]/FT_RF_264[[#This Row],[Muestra]]),"0")</f>
        <v>0</v>
      </c>
      <c r="V48" s="38">
        <v>0</v>
      </c>
      <c r="W48" s="39">
        <f>+IFERROR((FT_RF_264[[#This Row],[Daño Insecto]]/FT_RF_264[[#This Row],[Muestra]]),"0")</f>
        <v>0</v>
      </c>
      <c r="X48" s="38">
        <v>0</v>
      </c>
      <c r="Y48" s="39">
        <f>+IFERROR((FT_RF_264[[#This Row],[Sobremadura]]/FT_RF_264[[#This Row],[Muestra]]),"0")</f>
        <v>0</v>
      </c>
      <c r="Z48" s="38">
        <v>0</v>
      </c>
      <c r="AA48" s="39">
        <f>+IFERROR((FT_RF_264[[#This Row],[Deforme]]/FT_RF_264[[#This Row],[Muestra]]),"0")</f>
        <v>0</v>
      </c>
      <c r="AB48" s="27"/>
      <c r="AC48" s="38">
        <v>0</v>
      </c>
      <c r="AD48" s="39">
        <f>+IFERROR((FT_RF_264[[#This Row],[Valor Extra 1]]/FT_RF_264[[#This Row],[Muestra]]),"0")</f>
        <v>0</v>
      </c>
      <c r="AF48" s="38">
        <v>0</v>
      </c>
      <c r="AG48" s="39">
        <f>+IFERROR((FT_RF_264[[#This Row],[Valor Extra 2]]/FT_RF_264[[#This Row],[Muestra]]),"0")</f>
        <v>0</v>
      </c>
      <c r="AH48" s="40">
        <v>0</v>
      </c>
      <c r="AI48" s="39">
        <f>+IFERROR((FT_RF_264[[#This Row],[Hongos]]/FT_RF_264[[#This Row],[Muestra]]),"0")</f>
        <v>0</v>
      </c>
      <c r="AJ48" s="38">
        <v>0</v>
      </c>
      <c r="AK48" s="39">
        <f>+IFERROR((FT_RF_264[[#This Row],[Block]]/FT_RF_264[[#This Row],[Muestra]]),"0")</f>
        <v>0</v>
      </c>
      <c r="AL48" s="41">
        <v>0</v>
      </c>
      <c r="AM48" s="42">
        <v>0</v>
      </c>
      <c r="AN48" s="38">
        <v>0</v>
      </c>
      <c r="AO48" s="39">
        <f>+IFERROR((FT_RF_264[[#This Row],[Fuera de calibre &lt;12mm]]/FT_RF_264[[#This Row],[Muestra]]),"0")</f>
        <v>0</v>
      </c>
      <c r="AP48" s="38">
        <v>0</v>
      </c>
      <c r="AQ48" s="39">
        <f>+IFERROR((FT_RF_264[[#This Row],[Calibre &lt;25]]/FT_RF_264[[#This Row],[Muestra]]),"0")</f>
        <v>0</v>
      </c>
      <c r="AR48" s="38">
        <v>0</v>
      </c>
      <c r="AS48" s="39">
        <f>+IFERROR((FT_RF_264[[#This Row],[Calibre &gt;12]]/FT_RF_264[[#This Row],[Muestra]]),"0")</f>
        <v>0</v>
      </c>
      <c r="AT48" s="38">
        <v>0</v>
      </c>
      <c r="AU48" s="39">
        <f>+IFERROR((FT_RF_264[[#This Row],[Calibre &lt;14]]/FT_RF_264[[#This Row],[Muestra]]),"0")</f>
        <v>0</v>
      </c>
      <c r="AV48" s="38">
        <v>0</v>
      </c>
      <c r="AW48" s="39">
        <f>+IFERROR((FT_RF_264[[#This Row],[Calibre &gt;14]]/FT_RF_264[[#This Row],[Muestra]]),"0")</f>
        <v>0</v>
      </c>
      <c r="AX48" s="38">
        <v>0</v>
      </c>
      <c r="AY48" s="39">
        <f>+IFERROR((FT_RF_264[[#This Row],[Calibre &lt;10]]/FT_RF_264[[#This Row],[Muestra]]),"0")</f>
        <v>0</v>
      </c>
      <c r="AZ48" s="38">
        <v>0</v>
      </c>
      <c r="BA48" s="39">
        <f>+IFERROR((FT_RF_264[[#This Row],[Calibre &gt;13]]/FT_RF_264[[#This Row],[Muestra]]),"0")</f>
        <v>0</v>
      </c>
      <c r="BB48" s="41"/>
      <c r="BG48" s="42"/>
      <c r="BH48" s="43">
        <v>0</v>
      </c>
      <c r="BI48" s="29" t="s">
        <v>894</v>
      </c>
      <c r="BJ48" s="29" t="s">
        <v>894</v>
      </c>
      <c r="BK4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4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48" s="45">
        <f>1-FT_RF_264[[#This Row],[% Defectos]]</f>
        <v>1</v>
      </c>
      <c r="BO48" s="60"/>
      <c r="BP48" s="12">
        <f>SUM(FT_RF_264[[#This Row],[Hoja (Un.)]:[Larvas Caja]])</f>
        <v>0</v>
      </c>
      <c r="BQ48" s="12">
        <f>SUM(FT_RF_264[[#This Row],[Vidrios]:[Plástico]])</f>
        <v>0</v>
      </c>
      <c r="BR48" s="12" t="str">
        <f>IF(ISBLANK(FT_RF_264[[#This Row],[Descripción del producto]]),"",FT_RF_264[[#This Row],[Descripción del producto]])</f>
        <v/>
      </c>
      <c r="BS48" s="29" t="str">
        <f>IF(ISBLANK(FT_RF_264[[#This Row],[N° de Lote]]),"",FT_RF_264[[#This Row],[N° de Lote]])</f>
        <v/>
      </c>
      <c r="BT48" s="29" t="str">
        <f>IF(ISBLANK(FT_RF_264[[#This Row],[N° de Pallet]]),"",FT_RF_264[[#This Row],[N° de Pallet]])</f>
        <v/>
      </c>
    </row>
    <row r="49" spans="2:72">
      <c r="B49" s="29">
        <f>+_xlfn.ISOWEEKNUM(FT_RF_264[[#This Row],[Fecha]])</f>
        <v>52</v>
      </c>
      <c r="E49" s="31"/>
      <c r="F49" s="12" t="str">
        <f>IFERROR(""&amp;_xlfn.XLOOKUP(FT_RF_264[[#This Row],[Código]],BD_Cod[SKU],BD_Cod[Descripción]),"")</f>
        <v/>
      </c>
      <c r="G49" s="32" t="str">
        <f>IFERROR(""&amp;_xlfn.XLOOKUP(FT_RF_264[[#This Row],[Código]],BD_Cod[SKU],BD_Cod[Familia Calidad]),"")</f>
        <v/>
      </c>
      <c r="J49" s="33">
        <v>1000</v>
      </c>
      <c r="L49" s="30" t="s">
        <v>244</v>
      </c>
      <c r="O49" s="30" t="s">
        <v>894</v>
      </c>
      <c r="P49" s="29" t="s">
        <v>894</v>
      </c>
      <c r="Q49" s="37">
        <f>1-FT_RF_264[[#This Row],[% Defectos]]</f>
        <v>1</v>
      </c>
      <c r="R49" s="38">
        <v>0</v>
      </c>
      <c r="S49" s="39">
        <f>+IFERROR((FT_RF_264[[#This Row],[Inmadura]]/FT_RF_264[[#This Row],[Muestra]]),"0")</f>
        <v>0</v>
      </c>
      <c r="T49" s="38">
        <v>0</v>
      </c>
      <c r="U49" s="39">
        <f>+IFERROR((FT_RF_264[[#This Row],[Partidas]]/FT_RF_264[[#This Row],[Muestra]]),"0")</f>
        <v>0</v>
      </c>
      <c r="V49" s="38">
        <v>0</v>
      </c>
      <c r="W49" s="39">
        <f>+IFERROR((FT_RF_264[[#This Row],[Daño Insecto]]/FT_RF_264[[#This Row],[Muestra]]),"0")</f>
        <v>0</v>
      </c>
      <c r="X49" s="38">
        <v>0</v>
      </c>
      <c r="Y49" s="39">
        <f>+IFERROR((FT_RF_264[[#This Row],[Sobremadura]]/FT_RF_264[[#This Row],[Muestra]]),"0")</f>
        <v>0</v>
      </c>
      <c r="Z49" s="38">
        <v>0</v>
      </c>
      <c r="AA49" s="39">
        <f>+IFERROR((FT_RF_264[[#This Row],[Deforme]]/FT_RF_264[[#This Row],[Muestra]]),"0")</f>
        <v>0</v>
      </c>
      <c r="AB49" s="27"/>
      <c r="AC49" s="38">
        <v>0</v>
      </c>
      <c r="AD49" s="39">
        <f>+IFERROR((FT_RF_264[[#This Row],[Valor Extra 1]]/FT_RF_264[[#This Row],[Muestra]]),"0")</f>
        <v>0</v>
      </c>
      <c r="AF49" s="38">
        <v>0</v>
      </c>
      <c r="AG49" s="39">
        <f>+IFERROR((FT_RF_264[[#This Row],[Valor Extra 2]]/FT_RF_264[[#This Row],[Muestra]]),"0")</f>
        <v>0</v>
      </c>
      <c r="AH49" s="40">
        <v>0</v>
      </c>
      <c r="AI49" s="39">
        <f>+IFERROR((FT_RF_264[[#This Row],[Hongos]]/FT_RF_264[[#This Row],[Muestra]]),"0")</f>
        <v>0</v>
      </c>
      <c r="AJ49" s="38">
        <v>0</v>
      </c>
      <c r="AK49" s="39">
        <f>+IFERROR((FT_RF_264[[#This Row],[Block]]/FT_RF_264[[#This Row],[Muestra]]),"0")</f>
        <v>0</v>
      </c>
      <c r="AL49" s="41">
        <v>0</v>
      </c>
      <c r="AM49" s="42">
        <v>0</v>
      </c>
      <c r="AN49" s="38">
        <v>0</v>
      </c>
      <c r="AO49" s="39">
        <f>+IFERROR((FT_RF_264[[#This Row],[Fuera de calibre &lt;12mm]]/FT_RF_264[[#This Row],[Muestra]]),"0")</f>
        <v>0</v>
      </c>
      <c r="AP49" s="38">
        <v>0</v>
      </c>
      <c r="AQ49" s="39">
        <f>+IFERROR((FT_RF_264[[#This Row],[Calibre &lt;25]]/FT_RF_264[[#This Row],[Muestra]]),"0")</f>
        <v>0</v>
      </c>
      <c r="AR49" s="38">
        <v>0</v>
      </c>
      <c r="AS49" s="39">
        <f>+IFERROR((FT_RF_264[[#This Row],[Calibre &gt;12]]/FT_RF_264[[#This Row],[Muestra]]),"0")</f>
        <v>0</v>
      </c>
      <c r="AT49" s="38">
        <v>0</v>
      </c>
      <c r="AU49" s="39">
        <f>+IFERROR((FT_RF_264[[#This Row],[Calibre &lt;14]]/FT_RF_264[[#This Row],[Muestra]]),"0")</f>
        <v>0</v>
      </c>
      <c r="AV49" s="38">
        <v>0</v>
      </c>
      <c r="AW49" s="39">
        <f>+IFERROR((FT_RF_264[[#This Row],[Calibre &gt;14]]/FT_RF_264[[#This Row],[Muestra]]),"0")</f>
        <v>0</v>
      </c>
      <c r="AX49" s="38">
        <v>0</v>
      </c>
      <c r="AY49" s="39">
        <f>+IFERROR((FT_RF_264[[#This Row],[Calibre &lt;10]]/FT_RF_264[[#This Row],[Muestra]]),"0")</f>
        <v>0</v>
      </c>
      <c r="AZ49" s="38">
        <v>0</v>
      </c>
      <c r="BA49" s="39">
        <f>+IFERROR((FT_RF_264[[#This Row],[Calibre &gt;13]]/FT_RF_264[[#This Row],[Muestra]]),"0")</f>
        <v>0</v>
      </c>
      <c r="BB49" s="41"/>
      <c r="BG49" s="42"/>
      <c r="BH49" s="43">
        <v>0</v>
      </c>
      <c r="BI49" s="29" t="s">
        <v>894</v>
      </c>
      <c r="BJ49" s="29" t="s">
        <v>894</v>
      </c>
      <c r="BK4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4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49" s="45">
        <f>1-FT_RF_264[[#This Row],[% Defectos]]</f>
        <v>1</v>
      </c>
      <c r="BO49" s="60"/>
      <c r="BP49" s="12">
        <f>SUM(FT_RF_264[[#This Row],[Hoja (Un.)]:[Larvas Caja]])</f>
        <v>0</v>
      </c>
      <c r="BQ49" s="12">
        <f>SUM(FT_RF_264[[#This Row],[Vidrios]:[Plástico]])</f>
        <v>0</v>
      </c>
      <c r="BR49" s="12" t="str">
        <f>IF(ISBLANK(FT_RF_264[[#This Row],[Descripción del producto]]),"",FT_RF_264[[#This Row],[Descripción del producto]])</f>
        <v/>
      </c>
      <c r="BS49" s="29" t="str">
        <f>IF(ISBLANK(FT_RF_264[[#This Row],[N° de Lote]]),"",FT_RF_264[[#This Row],[N° de Lote]])</f>
        <v/>
      </c>
      <c r="BT49" s="29" t="str">
        <f>IF(ISBLANK(FT_RF_264[[#This Row],[N° de Pallet]]),"",FT_RF_264[[#This Row],[N° de Pallet]])</f>
        <v/>
      </c>
    </row>
    <row r="50" spans="2:72">
      <c r="B50" s="29">
        <f>+_xlfn.ISOWEEKNUM(FT_RF_264[[#This Row],[Fecha]])</f>
        <v>52</v>
      </c>
      <c r="E50" s="31"/>
      <c r="F50" s="12" t="str">
        <f>IFERROR(""&amp;_xlfn.XLOOKUP(FT_RF_264[[#This Row],[Código]],BD_Cod[SKU],BD_Cod[Descripción]),"")</f>
        <v/>
      </c>
      <c r="G50" s="32" t="str">
        <f>IFERROR(""&amp;_xlfn.XLOOKUP(FT_RF_264[[#This Row],[Código]],BD_Cod[SKU],BD_Cod[Familia Calidad]),"")</f>
        <v/>
      </c>
      <c r="J50" s="33">
        <v>1000</v>
      </c>
      <c r="L50" s="30" t="s">
        <v>244</v>
      </c>
      <c r="O50" s="30" t="s">
        <v>894</v>
      </c>
      <c r="P50" s="29" t="s">
        <v>894</v>
      </c>
      <c r="Q50" s="37">
        <f>1-FT_RF_264[[#This Row],[% Defectos]]</f>
        <v>1</v>
      </c>
      <c r="R50" s="38">
        <v>0</v>
      </c>
      <c r="S50" s="39">
        <f>+IFERROR((FT_RF_264[[#This Row],[Inmadura]]/FT_RF_264[[#This Row],[Muestra]]),"0")</f>
        <v>0</v>
      </c>
      <c r="T50" s="38">
        <v>0</v>
      </c>
      <c r="U50" s="39">
        <f>+IFERROR((FT_RF_264[[#This Row],[Partidas]]/FT_RF_264[[#This Row],[Muestra]]),"0")</f>
        <v>0</v>
      </c>
      <c r="V50" s="38">
        <v>0</v>
      </c>
      <c r="W50" s="39">
        <f>+IFERROR((FT_RF_264[[#This Row],[Daño Insecto]]/FT_RF_264[[#This Row],[Muestra]]),"0")</f>
        <v>0</v>
      </c>
      <c r="X50" s="38">
        <v>0</v>
      </c>
      <c r="Y50" s="39">
        <f>+IFERROR((FT_RF_264[[#This Row],[Sobremadura]]/FT_RF_264[[#This Row],[Muestra]]),"0")</f>
        <v>0</v>
      </c>
      <c r="Z50" s="38">
        <v>0</v>
      </c>
      <c r="AA50" s="39">
        <f>+IFERROR((FT_RF_264[[#This Row],[Deforme]]/FT_RF_264[[#This Row],[Muestra]]),"0")</f>
        <v>0</v>
      </c>
      <c r="AB50" s="27"/>
      <c r="AC50" s="38">
        <v>0</v>
      </c>
      <c r="AD50" s="39">
        <f>+IFERROR((FT_RF_264[[#This Row],[Valor Extra 1]]/FT_RF_264[[#This Row],[Muestra]]),"0")</f>
        <v>0</v>
      </c>
      <c r="AF50" s="38">
        <v>0</v>
      </c>
      <c r="AG50" s="39">
        <f>+IFERROR((FT_RF_264[[#This Row],[Valor Extra 2]]/FT_RF_264[[#This Row],[Muestra]]),"0")</f>
        <v>0</v>
      </c>
      <c r="AH50" s="40">
        <v>0</v>
      </c>
      <c r="AI50" s="39">
        <f>+IFERROR((FT_RF_264[[#This Row],[Hongos]]/FT_RF_264[[#This Row],[Muestra]]),"0")</f>
        <v>0</v>
      </c>
      <c r="AJ50" s="38">
        <v>0</v>
      </c>
      <c r="AK50" s="39">
        <f>+IFERROR((FT_RF_264[[#This Row],[Block]]/FT_RF_264[[#This Row],[Muestra]]),"0")</f>
        <v>0</v>
      </c>
      <c r="AL50" s="41">
        <v>0</v>
      </c>
      <c r="AM50" s="42">
        <v>0</v>
      </c>
      <c r="AN50" s="38">
        <v>0</v>
      </c>
      <c r="AO50" s="39">
        <f>+IFERROR((FT_RF_264[[#This Row],[Fuera de calibre &lt;12mm]]/FT_RF_264[[#This Row],[Muestra]]),"0")</f>
        <v>0</v>
      </c>
      <c r="AP50" s="38">
        <v>0</v>
      </c>
      <c r="AQ50" s="39">
        <f>+IFERROR((FT_RF_264[[#This Row],[Calibre &lt;25]]/FT_RF_264[[#This Row],[Muestra]]),"0")</f>
        <v>0</v>
      </c>
      <c r="AR50" s="38">
        <v>0</v>
      </c>
      <c r="AS50" s="39">
        <f>+IFERROR((FT_RF_264[[#This Row],[Calibre &gt;12]]/FT_RF_264[[#This Row],[Muestra]]),"0")</f>
        <v>0</v>
      </c>
      <c r="AT50" s="38">
        <v>0</v>
      </c>
      <c r="AU50" s="39">
        <f>+IFERROR((FT_RF_264[[#This Row],[Calibre &lt;14]]/FT_RF_264[[#This Row],[Muestra]]),"0")</f>
        <v>0</v>
      </c>
      <c r="AV50" s="38">
        <v>0</v>
      </c>
      <c r="AW50" s="39">
        <f>+IFERROR((FT_RF_264[[#This Row],[Calibre &gt;14]]/FT_RF_264[[#This Row],[Muestra]]),"0")</f>
        <v>0</v>
      </c>
      <c r="AX50" s="38">
        <v>0</v>
      </c>
      <c r="AY50" s="39">
        <f>+IFERROR((FT_RF_264[[#This Row],[Calibre &lt;10]]/FT_RF_264[[#This Row],[Muestra]]),"0")</f>
        <v>0</v>
      </c>
      <c r="AZ50" s="38">
        <v>0</v>
      </c>
      <c r="BA50" s="39">
        <f>+IFERROR((FT_RF_264[[#This Row],[Calibre &gt;13]]/FT_RF_264[[#This Row],[Muestra]]),"0")</f>
        <v>0</v>
      </c>
      <c r="BB50" s="41"/>
      <c r="BG50" s="42"/>
      <c r="BH50" s="43">
        <v>0</v>
      </c>
      <c r="BI50" s="29" t="s">
        <v>894</v>
      </c>
      <c r="BJ50" s="29" t="s">
        <v>894</v>
      </c>
      <c r="BK5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5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50" s="45">
        <f>1-FT_RF_264[[#This Row],[% Defectos]]</f>
        <v>1</v>
      </c>
      <c r="BO50" s="60"/>
      <c r="BP50" s="12">
        <f>SUM(FT_RF_264[[#This Row],[Hoja (Un.)]:[Larvas Caja]])</f>
        <v>0</v>
      </c>
      <c r="BQ50" s="12">
        <f>SUM(FT_RF_264[[#This Row],[Vidrios]:[Plástico]])</f>
        <v>0</v>
      </c>
      <c r="BR50" s="12" t="str">
        <f>IF(ISBLANK(FT_RF_264[[#This Row],[Descripción del producto]]),"",FT_RF_264[[#This Row],[Descripción del producto]])</f>
        <v/>
      </c>
      <c r="BS50" s="29" t="str">
        <f>IF(ISBLANK(FT_RF_264[[#This Row],[N° de Lote]]),"",FT_RF_264[[#This Row],[N° de Lote]])</f>
        <v/>
      </c>
      <c r="BT50" s="29" t="str">
        <f>IF(ISBLANK(FT_RF_264[[#This Row],[N° de Pallet]]),"",FT_RF_264[[#This Row],[N° de Pallet]])</f>
        <v/>
      </c>
    </row>
    <row r="51" spans="2:72">
      <c r="B51" s="29">
        <f>+_xlfn.ISOWEEKNUM(FT_RF_264[[#This Row],[Fecha]])</f>
        <v>52</v>
      </c>
      <c r="E51" s="31"/>
      <c r="F51" s="12" t="str">
        <f>IFERROR(""&amp;_xlfn.XLOOKUP(FT_RF_264[[#This Row],[Código]],BD_Cod[SKU],BD_Cod[Descripción]),"")</f>
        <v/>
      </c>
      <c r="G51" s="32" t="str">
        <f>IFERROR(""&amp;_xlfn.XLOOKUP(FT_RF_264[[#This Row],[Código]],BD_Cod[SKU],BD_Cod[Familia Calidad]),"")</f>
        <v/>
      </c>
      <c r="J51" s="33">
        <v>1000</v>
      </c>
      <c r="L51" s="30" t="s">
        <v>244</v>
      </c>
      <c r="O51" s="30" t="s">
        <v>894</v>
      </c>
      <c r="P51" s="29" t="s">
        <v>894</v>
      </c>
      <c r="Q51" s="37">
        <f>1-FT_RF_264[[#This Row],[% Defectos]]</f>
        <v>1</v>
      </c>
      <c r="R51" s="38">
        <v>0</v>
      </c>
      <c r="S51" s="39">
        <f>+IFERROR((FT_RF_264[[#This Row],[Inmadura]]/FT_RF_264[[#This Row],[Muestra]]),"0")</f>
        <v>0</v>
      </c>
      <c r="T51" s="38">
        <v>0</v>
      </c>
      <c r="U51" s="39">
        <f>+IFERROR((FT_RF_264[[#This Row],[Partidas]]/FT_RF_264[[#This Row],[Muestra]]),"0")</f>
        <v>0</v>
      </c>
      <c r="V51" s="38">
        <v>0</v>
      </c>
      <c r="W51" s="39">
        <f>+IFERROR((FT_RF_264[[#This Row],[Daño Insecto]]/FT_RF_264[[#This Row],[Muestra]]),"0")</f>
        <v>0</v>
      </c>
      <c r="X51" s="38">
        <v>0</v>
      </c>
      <c r="Y51" s="39">
        <f>+IFERROR((FT_RF_264[[#This Row],[Sobremadura]]/FT_RF_264[[#This Row],[Muestra]]),"0")</f>
        <v>0</v>
      </c>
      <c r="Z51" s="38">
        <v>0</v>
      </c>
      <c r="AA51" s="39">
        <f>+IFERROR((FT_RF_264[[#This Row],[Deforme]]/FT_RF_264[[#This Row],[Muestra]]),"0")</f>
        <v>0</v>
      </c>
      <c r="AB51" s="27"/>
      <c r="AC51" s="38">
        <v>0</v>
      </c>
      <c r="AD51" s="39">
        <f>+IFERROR((FT_RF_264[[#This Row],[Valor Extra 1]]/FT_RF_264[[#This Row],[Muestra]]),"0")</f>
        <v>0</v>
      </c>
      <c r="AF51" s="38">
        <v>0</v>
      </c>
      <c r="AG51" s="39">
        <f>+IFERROR((FT_RF_264[[#This Row],[Valor Extra 2]]/FT_RF_264[[#This Row],[Muestra]]),"0")</f>
        <v>0</v>
      </c>
      <c r="AH51" s="40">
        <v>0</v>
      </c>
      <c r="AI51" s="39">
        <f>+IFERROR((FT_RF_264[[#This Row],[Hongos]]/FT_RF_264[[#This Row],[Muestra]]),"0")</f>
        <v>0</v>
      </c>
      <c r="AJ51" s="38">
        <v>0</v>
      </c>
      <c r="AK51" s="39">
        <f>+IFERROR((FT_RF_264[[#This Row],[Block]]/FT_RF_264[[#This Row],[Muestra]]),"0")</f>
        <v>0</v>
      </c>
      <c r="AL51" s="41">
        <v>0</v>
      </c>
      <c r="AM51" s="42">
        <v>0</v>
      </c>
      <c r="AN51" s="38">
        <v>0</v>
      </c>
      <c r="AO51" s="39">
        <f>+IFERROR((FT_RF_264[[#This Row],[Fuera de calibre &lt;12mm]]/FT_RF_264[[#This Row],[Muestra]]),"0")</f>
        <v>0</v>
      </c>
      <c r="AP51" s="38">
        <v>0</v>
      </c>
      <c r="AQ51" s="39">
        <f>+IFERROR((FT_RF_264[[#This Row],[Calibre &lt;25]]/FT_RF_264[[#This Row],[Muestra]]),"0")</f>
        <v>0</v>
      </c>
      <c r="AR51" s="38">
        <v>0</v>
      </c>
      <c r="AS51" s="39">
        <f>+IFERROR((FT_RF_264[[#This Row],[Calibre &gt;12]]/FT_RF_264[[#This Row],[Muestra]]),"0")</f>
        <v>0</v>
      </c>
      <c r="AT51" s="38">
        <v>0</v>
      </c>
      <c r="AU51" s="39">
        <f>+IFERROR((FT_RF_264[[#This Row],[Calibre &lt;14]]/FT_RF_264[[#This Row],[Muestra]]),"0")</f>
        <v>0</v>
      </c>
      <c r="AV51" s="38">
        <v>0</v>
      </c>
      <c r="AW51" s="39">
        <f>+IFERROR((FT_RF_264[[#This Row],[Calibre &gt;14]]/FT_RF_264[[#This Row],[Muestra]]),"0")</f>
        <v>0</v>
      </c>
      <c r="AX51" s="38">
        <v>0</v>
      </c>
      <c r="AY51" s="39">
        <f>+IFERROR((FT_RF_264[[#This Row],[Calibre &lt;10]]/FT_RF_264[[#This Row],[Muestra]]),"0")</f>
        <v>0</v>
      </c>
      <c r="AZ51" s="38">
        <v>0</v>
      </c>
      <c r="BA51" s="39">
        <f>+IFERROR((FT_RF_264[[#This Row],[Calibre &gt;13]]/FT_RF_264[[#This Row],[Muestra]]),"0")</f>
        <v>0</v>
      </c>
      <c r="BB51" s="41"/>
      <c r="BG51" s="42"/>
      <c r="BH51" s="43">
        <v>0</v>
      </c>
      <c r="BI51" s="29" t="s">
        <v>894</v>
      </c>
      <c r="BJ51" s="29" t="s">
        <v>894</v>
      </c>
      <c r="BK5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5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51" s="45">
        <f>1-FT_RF_264[[#This Row],[% Defectos]]</f>
        <v>1</v>
      </c>
      <c r="BO51" s="60"/>
      <c r="BP51" s="12">
        <f>SUM(FT_RF_264[[#This Row],[Hoja (Un.)]:[Larvas Caja]])</f>
        <v>0</v>
      </c>
      <c r="BQ51" s="12">
        <f>SUM(FT_RF_264[[#This Row],[Vidrios]:[Plástico]])</f>
        <v>0</v>
      </c>
      <c r="BR51" s="12" t="str">
        <f>IF(ISBLANK(FT_RF_264[[#This Row],[Descripción del producto]]),"",FT_RF_264[[#This Row],[Descripción del producto]])</f>
        <v/>
      </c>
      <c r="BS51" s="29" t="str">
        <f>IF(ISBLANK(FT_RF_264[[#This Row],[N° de Lote]]),"",FT_RF_264[[#This Row],[N° de Lote]])</f>
        <v/>
      </c>
      <c r="BT51" s="29" t="str">
        <f>IF(ISBLANK(FT_RF_264[[#This Row],[N° de Pallet]]),"",FT_RF_264[[#This Row],[N° de Pallet]])</f>
        <v/>
      </c>
    </row>
    <row r="52" spans="2:72">
      <c r="B52" s="29">
        <f>+_xlfn.ISOWEEKNUM(FT_RF_264[[#This Row],[Fecha]])</f>
        <v>52</v>
      </c>
      <c r="E52" s="31"/>
      <c r="F52" s="12" t="str">
        <f>IFERROR(""&amp;_xlfn.XLOOKUP(FT_RF_264[[#This Row],[Código]],BD_Cod[SKU],BD_Cod[Descripción]),"")</f>
        <v/>
      </c>
      <c r="G52" s="32" t="str">
        <f>IFERROR(""&amp;_xlfn.XLOOKUP(FT_RF_264[[#This Row],[Código]],BD_Cod[SKU],BD_Cod[Familia Calidad]),"")</f>
        <v/>
      </c>
      <c r="J52" s="33">
        <v>1000</v>
      </c>
      <c r="L52" s="30" t="s">
        <v>244</v>
      </c>
      <c r="O52" s="30" t="s">
        <v>894</v>
      </c>
      <c r="P52" s="29" t="s">
        <v>894</v>
      </c>
      <c r="Q52" s="37">
        <f>1-FT_RF_264[[#This Row],[% Defectos]]</f>
        <v>1</v>
      </c>
      <c r="R52" s="38">
        <v>0</v>
      </c>
      <c r="S52" s="39">
        <f>+IFERROR((FT_RF_264[[#This Row],[Inmadura]]/FT_RF_264[[#This Row],[Muestra]]),"0")</f>
        <v>0</v>
      </c>
      <c r="T52" s="38">
        <v>0</v>
      </c>
      <c r="U52" s="39">
        <f>+IFERROR((FT_RF_264[[#This Row],[Partidas]]/FT_RF_264[[#This Row],[Muestra]]),"0")</f>
        <v>0</v>
      </c>
      <c r="V52" s="38">
        <v>0</v>
      </c>
      <c r="W52" s="39">
        <f>+IFERROR((FT_RF_264[[#This Row],[Daño Insecto]]/FT_RF_264[[#This Row],[Muestra]]),"0")</f>
        <v>0</v>
      </c>
      <c r="X52" s="38">
        <v>0</v>
      </c>
      <c r="Y52" s="39">
        <f>+IFERROR((FT_RF_264[[#This Row],[Sobremadura]]/FT_RF_264[[#This Row],[Muestra]]),"0")</f>
        <v>0</v>
      </c>
      <c r="Z52" s="38">
        <v>0</v>
      </c>
      <c r="AA52" s="39">
        <f>+IFERROR((FT_RF_264[[#This Row],[Deforme]]/FT_RF_264[[#This Row],[Muestra]]),"0")</f>
        <v>0</v>
      </c>
      <c r="AB52" s="27"/>
      <c r="AC52" s="38">
        <v>0</v>
      </c>
      <c r="AD52" s="39">
        <f>+IFERROR((FT_RF_264[[#This Row],[Valor Extra 1]]/FT_RF_264[[#This Row],[Muestra]]),"0")</f>
        <v>0</v>
      </c>
      <c r="AF52" s="38">
        <v>0</v>
      </c>
      <c r="AG52" s="39">
        <f>+IFERROR((FT_RF_264[[#This Row],[Valor Extra 2]]/FT_RF_264[[#This Row],[Muestra]]),"0")</f>
        <v>0</v>
      </c>
      <c r="AH52" s="40">
        <v>0</v>
      </c>
      <c r="AI52" s="39">
        <f>+IFERROR((FT_RF_264[[#This Row],[Hongos]]/FT_RF_264[[#This Row],[Muestra]]),"0")</f>
        <v>0</v>
      </c>
      <c r="AJ52" s="38">
        <v>0</v>
      </c>
      <c r="AK52" s="39">
        <f>+IFERROR((FT_RF_264[[#This Row],[Block]]/FT_RF_264[[#This Row],[Muestra]]),"0")</f>
        <v>0</v>
      </c>
      <c r="AL52" s="41">
        <v>0</v>
      </c>
      <c r="AM52" s="42">
        <v>0</v>
      </c>
      <c r="AN52" s="38">
        <v>0</v>
      </c>
      <c r="AO52" s="39">
        <f>+IFERROR((FT_RF_264[[#This Row],[Fuera de calibre &lt;12mm]]/FT_RF_264[[#This Row],[Muestra]]),"0")</f>
        <v>0</v>
      </c>
      <c r="AP52" s="38">
        <v>0</v>
      </c>
      <c r="AQ52" s="39">
        <f>+IFERROR((FT_RF_264[[#This Row],[Calibre &lt;25]]/FT_RF_264[[#This Row],[Muestra]]),"0")</f>
        <v>0</v>
      </c>
      <c r="AR52" s="38">
        <v>0</v>
      </c>
      <c r="AS52" s="39">
        <f>+IFERROR((FT_RF_264[[#This Row],[Calibre &gt;12]]/FT_RF_264[[#This Row],[Muestra]]),"0")</f>
        <v>0</v>
      </c>
      <c r="AT52" s="38">
        <v>0</v>
      </c>
      <c r="AU52" s="39">
        <f>+IFERROR((FT_RF_264[[#This Row],[Calibre &lt;14]]/FT_RF_264[[#This Row],[Muestra]]),"0")</f>
        <v>0</v>
      </c>
      <c r="AV52" s="38">
        <v>0</v>
      </c>
      <c r="AW52" s="39">
        <f>+IFERROR((FT_RF_264[[#This Row],[Calibre &gt;14]]/FT_RF_264[[#This Row],[Muestra]]),"0")</f>
        <v>0</v>
      </c>
      <c r="AX52" s="38">
        <v>0</v>
      </c>
      <c r="AY52" s="39">
        <f>+IFERROR((FT_RF_264[[#This Row],[Calibre &lt;10]]/FT_RF_264[[#This Row],[Muestra]]),"0")</f>
        <v>0</v>
      </c>
      <c r="AZ52" s="38">
        <v>0</v>
      </c>
      <c r="BA52" s="39">
        <f>+IFERROR((FT_RF_264[[#This Row],[Calibre &gt;13]]/FT_RF_264[[#This Row],[Muestra]]),"0")</f>
        <v>0</v>
      </c>
      <c r="BB52" s="41"/>
      <c r="BG52" s="42"/>
      <c r="BH52" s="43">
        <v>0</v>
      </c>
      <c r="BI52" s="29" t="s">
        <v>894</v>
      </c>
      <c r="BJ52" s="29" t="s">
        <v>894</v>
      </c>
      <c r="BK5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5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52" s="45">
        <f>1-FT_RF_264[[#This Row],[% Defectos]]</f>
        <v>1</v>
      </c>
      <c r="BO52" s="60"/>
      <c r="BP52" s="12">
        <f>SUM(FT_RF_264[[#This Row],[Hoja (Un.)]:[Larvas Caja]])</f>
        <v>0</v>
      </c>
      <c r="BQ52" s="12">
        <f>SUM(FT_RF_264[[#This Row],[Vidrios]:[Plástico]])</f>
        <v>0</v>
      </c>
      <c r="BR52" s="12" t="str">
        <f>IF(ISBLANK(FT_RF_264[[#This Row],[Descripción del producto]]),"",FT_RF_264[[#This Row],[Descripción del producto]])</f>
        <v/>
      </c>
      <c r="BS52" s="29" t="str">
        <f>IF(ISBLANK(FT_RF_264[[#This Row],[N° de Lote]]),"",FT_RF_264[[#This Row],[N° de Lote]])</f>
        <v/>
      </c>
      <c r="BT52" s="29" t="str">
        <f>IF(ISBLANK(FT_RF_264[[#This Row],[N° de Pallet]]),"",FT_RF_264[[#This Row],[N° de Pallet]])</f>
        <v/>
      </c>
    </row>
    <row r="53" spans="2:72">
      <c r="B53" s="29">
        <f>+_xlfn.ISOWEEKNUM(FT_RF_264[[#This Row],[Fecha]])</f>
        <v>52</v>
      </c>
      <c r="E53" s="31"/>
      <c r="F53" s="12" t="str">
        <f>IFERROR(""&amp;_xlfn.XLOOKUP(FT_RF_264[[#This Row],[Código]],BD_Cod[SKU],BD_Cod[Descripción]),"")</f>
        <v/>
      </c>
      <c r="G53" s="32" t="str">
        <f>IFERROR(""&amp;_xlfn.XLOOKUP(FT_RF_264[[#This Row],[Código]],BD_Cod[SKU],BD_Cod[Familia Calidad]),"")</f>
        <v/>
      </c>
      <c r="J53" s="33">
        <v>1000</v>
      </c>
      <c r="L53" s="30" t="s">
        <v>244</v>
      </c>
      <c r="O53" s="30" t="s">
        <v>894</v>
      </c>
      <c r="P53" s="29" t="s">
        <v>894</v>
      </c>
      <c r="Q53" s="37">
        <f>1-FT_RF_264[[#This Row],[% Defectos]]</f>
        <v>1</v>
      </c>
      <c r="R53" s="38">
        <v>0</v>
      </c>
      <c r="S53" s="39">
        <f>+IFERROR((FT_RF_264[[#This Row],[Inmadura]]/FT_RF_264[[#This Row],[Muestra]]),"0")</f>
        <v>0</v>
      </c>
      <c r="T53" s="38">
        <v>0</v>
      </c>
      <c r="U53" s="39">
        <f>+IFERROR((FT_RF_264[[#This Row],[Partidas]]/FT_RF_264[[#This Row],[Muestra]]),"0")</f>
        <v>0</v>
      </c>
      <c r="V53" s="38">
        <v>0</v>
      </c>
      <c r="W53" s="39">
        <f>+IFERROR((FT_RF_264[[#This Row],[Daño Insecto]]/FT_RF_264[[#This Row],[Muestra]]),"0")</f>
        <v>0</v>
      </c>
      <c r="X53" s="38">
        <v>0</v>
      </c>
      <c r="Y53" s="39">
        <f>+IFERROR((FT_RF_264[[#This Row],[Sobremadura]]/FT_RF_264[[#This Row],[Muestra]]),"0")</f>
        <v>0</v>
      </c>
      <c r="Z53" s="38">
        <v>0</v>
      </c>
      <c r="AA53" s="39">
        <f>+IFERROR((FT_RF_264[[#This Row],[Deforme]]/FT_RF_264[[#This Row],[Muestra]]),"0")</f>
        <v>0</v>
      </c>
      <c r="AB53" s="27"/>
      <c r="AC53" s="38">
        <v>0</v>
      </c>
      <c r="AD53" s="39">
        <f>+IFERROR((FT_RF_264[[#This Row],[Valor Extra 1]]/FT_RF_264[[#This Row],[Muestra]]),"0")</f>
        <v>0</v>
      </c>
      <c r="AF53" s="38">
        <v>0</v>
      </c>
      <c r="AG53" s="39">
        <f>+IFERROR((FT_RF_264[[#This Row],[Valor Extra 2]]/FT_RF_264[[#This Row],[Muestra]]),"0")</f>
        <v>0</v>
      </c>
      <c r="AH53" s="40">
        <v>0</v>
      </c>
      <c r="AI53" s="39">
        <f>+IFERROR((FT_RF_264[[#This Row],[Hongos]]/FT_RF_264[[#This Row],[Muestra]]),"0")</f>
        <v>0</v>
      </c>
      <c r="AJ53" s="38">
        <v>0</v>
      </c>
      <c r="AK53" s="39">
        <f>+IFERROR((FT_RF_264[[#This Row],[Block]]/FT_RF_264[[#This Row],[Muestra]]),"0")</f>
        <v>0</v>
      </c>
      <c r="AL53" s="41">
        <v>0</v>
      </c>
      <c r="AM53" s="42">
        <v>0</v>
      </c>
      <c r="AN53" s="38">
        <v>0</v>
      </c>
      <c r="AO53" s="39">
        <f>+IFERROR((FT_RF_264[[#This Row],[Fuera de calibre &lt;12mm]]/FT_RF_264[[#This Row],[Muestra]]),"0")</f>
        <v>0</v>
      </c>
      <c r="AP53" s="38">
        <v>0</v>
      </c>
      <c r="AQ53" s="39">
        <f>+IFERROR((FT_RF_264[[#This Row],[Calibre &lt;25]]/FT_RF_264[[#This Row],[Muestra]]),"0")</f>
        <v>0</v>
      </c>
      <c r="AR53" s="38">
        <v>0</v>
      </c>
      <c r="AS53" s="39">
        <f>+IFERROR((FT_RF_264[[#This Row],[Calibre &gt;12]]/FT_RF_264[[#This Row],[Muestra]]),"0")</f>
        <v>0</v>
      </c>
      <c r="AT53" s="38">
        <v>0</v>
      </c>
      <c r="AU53" s="39">
        <f>+IFERROR((FT_RF_264[[#This Row],[Calibre &lt;14]]/FT_RF_264[[#This Row],[Muestra]]),"0")</f>
        <v>0</v>
      </c>
      <c r="AV53" s="38">
        <v>0</v>
      </c>
      <c r="AW53" s="39">
        <f>+IFERROR((FT_RF_264[[#This Row],[Calibre &gt;14]]/FT_RF_264[[#This Row],[Muestra]]),"0")</f>
        <v>0</v>
      </c>
      <c r="AX53" s="38">
        <v>0</v>
      </c>
      <c r="AY53" s="39">
        <f>+IFERROR((FT_RF_264[[#This Row],[Calibre &lt;10]]/FT_RF_264[[#This Row],[Muestra]]),"0")</f>
        <v>0</v>
      </c>
      <c r="AZ53" s="38">
        <v>0</v>
      </c>
      <c r="BA53" s="39">
        <f>+IFERROR((FT_RF_264[[#This Row],[Calibre &gt;13]]/FT_RF_264[[#This Row],[Muestra]]),"0")</f>
        <v>0</v>
      </c>
      <c r="BB53" s="41"/>
      <c r="BG53" s="42"/>
      <c r="BH53" s="43">
        <v>0</v>
      </c>
      <c r="BI53" s="29" t="s">
        <v>894</v>
      </c>
      <c r="BJ53" s="29" t="s">
        <v>894</v>
      </c>
      <c r="BK5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5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53" s="45">
        <f>1-FT_RF_264[[#This Row],[% Defectos]]</f>
        <v>1</v>
      </c>
      <c r="BO53" s="60"/>
      <c r="BP53" s="12">
        <f>SUM(FT_RF_264[[#This Row],[Hoja (Un.)]:[Larvas Caja]])</f>
        <v>0</v>
      </c>
      <c r="BQ53" s="12">
        <f>SUM(FT_RF_264[[#This Row],[Vidrios]:[Plástico]])</f>
        <v>0</v>
      </c>
      <c r="BR53" s="12" t="str">
        <f>IF(ISBLANK(FT_RF_264[[#This Row],[Descripción del producto]]),"",FT_RF_264[[#This Row],[Descripción del producto]])</f>
        <v/>
      </c>
      <c r="BS53" s="29" t="str">
        <f>IF(ISBLANK(FT_RF_264[[#This Row],[N° de Lote]]),"",FT_RF_264[[#This Row],[N° de Lote]])</f>
        <v/>
      </c>
      <c r="BT53" s="29" t="str">
        <f>IF(ISBLANK(FT_RF_264[[#This Row],[N° de Pallet]]),"",FT_RF_264[[#This Row],[N° de Pallet]])</f>
        <v/>
      </c>
    </row>
    <row r="54" spans="2:72">
      <c r="B54" s="29">
        <f>+_xlfn.ISOWEEKNUM(FT_RF_264[[#This Row],[Fecha]])</f>
        <v>52</v>
      </c>
      <c r="E54" s="31"/>
      <c r="F54" s="12" t="str">
        <f>IFERROR(""&amp;_xlfn.XLOOKUP(FT_RF_264[[#This Row],[Código]],BD_Cod[SKU],BD_Cod[Descripción]),"")</f>
        <v/>
      </c>
      <c r="G54" s="32" t="str">
        <f>IFERROR(""&amp;_xlfn.XLOOKUP(FT_RF_264[[#This Row],[Código]],BD_Cod[SKU],BD_Cod[Familia Calidad]),"")</f>
        <v/>
      </c>
      <c r="J54" s="33">
        <v>1000</v>
      </c>
      <c r="L54" s="30" t="s">
        <v>244</v>
      </c>
      <c r="O54" s="30" t="s">
        <v>894</v>
      </c>
      <c r="P54" s="29" t="s">
        <v>894</v>
      </c>
      <c r="Q54" s="37">
        <f>1-FT_RF_264[[#This Row],[% Defectos]]</f>
        <v>1</v>
      </c>
      <c r="R54" s="38">
        <v>0</v>
      </c>
      <c r="S54" s="39">
        <f>+IFERROR((FT_RF_264[[#This Row],[Inmadura]]/FT_RF_264[[#This Row],[Muestra]]),"0")</f>
        <v>0</v>
      </c>
      <c r="T54" s="38">
        <v>0</v>
      </c>
      <c r="U54" s="39">
        <f>+IFERROR((FT_RF_264[[#This Row],[Partidas]]/FT_RF_264[[#This Row],[Muestra]]),"0")</f>
        <v>0</v>
      </c>
      <c r="V54" s="38">
        <v>0</v>
      </c>
      <c r="W54" s="39">
        <f>+IFERROR((FT_RF_264[[#This Row],[Daño Insecto]]/FT_RF_264[[#This Row],[Muestra]]),"0")</f>
        <v>0</v>
      </c>
      <c r="X54" s="38">
        <v>0</v>
      </c>
      <c r="Y54" s="39">
        <f>+IFERROR((FT_RF_264[[#This Row],[Sobremadura]]/FT_RF_264[[#This Row],[Muestra]]),"0")</f>
        <v>0</v>
      </c>
      <c r="Z54" s="38">
        <v>0</v>
      </c>
      <c r="AA54" s="39">
        <f>+IFERROR((FT_RF_264[[#This Row],[Deforme]]/FT_RF_264[[#This Row],[Muestra]]),"0")</f>
        <v>0</v>
      </c>
      <c r="AB54" s="27"/>
      <c r="AC54" s="38">
        <v>0</v>
      </c>
      <c r="AD54" s="39">
        <f>+IFERROR((FT_RF_264[[#This Row],[Valor Extra 1]]/FT_RF_264[[#This Row],[Muestra]]),"0")</f>
        <v>0</v>
      </c>
      <c r="AF54" s="38">
        <v>0</v>
      </c>
      <c r="AG54" s="39">
        <f>+IFERROR((FT_RF_264[[#This Row],[Valor Extra 2]]/FT_RF_264[[#This Row],[Muestra]]),"0")</f>
        <v>0</v>
      </c>
      <c r="AH54" s="40">
        <v>0</v>
      </c>
      <c r="AI54" s="39">
        <f>+IFERROR((FT_RF_264[[#This Row],[Hongos]]/FT_RF_264[[#This Row],[Muestra]]),"0")</f>
        <v>0</v>
      </c>
      <c r="AJ54" s="38">
        <v>0</v>
      </c>
      <c r="AK54" s="39">
        <f>+IFERROR((FT_RF_264[[#This Row],[Block]]/FT_RF_264[[#This Row],[Muestra]]),"0")</f>
        <v>0</v>
      </c>
      <c r="AL54" s="41">
        <v>0</v>
      </c>
      <c r="AM54" s="42">
        <v>0</v>
      </c>
      <c r="AN54" s="38">
        <v>0</v>
      </c>
      <c r="AO54" s="39">
        <f>+IFERROR((FT_RF_264[[#This Row],[Fuera de calibre &lt;12mm]]/FT_RF_264[[#This Row],[Muestra]]),"0")</f>
        <v>0</v>
      </c>
      <c r="AP54" s="38">
        <v>0</v>
      </c>
      <c r="AQ54" s="39">
        <f>+IFERROR((FT_RF_264[[#This Row],[Calibre &lt;25]]/FT_RF_264[[#This Row],[Muestra]]),"0")</f>
        <v>0</v>
      </c>
      <c r="AR54" s="38">
        <v>0</v>
      </c>
      <c r="AS54" s="39">
        <f>+IFERROR((FT_RF_264[[#This Row],[Calibre &gt;12]]/FT_RF_264[[#This Row],[Muestra]]),"0")</f>
        <v>0</v>
      </c>
      <c r="AT54" s="38">
        <v>0</v>
      </c>
      <c r="AU54" s="39">
        <f>+IFERROR((FT_RF_264[[#This Row],[Calibre &lt;14]]/FT_RF_264[[#This Row],[Muestra]]),"0")</f>
        <v>0</v>
      </c>
      <c r="AV54" s="38">
        <v>0</v>
      </c>
      <c r="AW54" s="39">
        <f>+IFERROR((FT_RF_264[[#This Row],[Calibre &gt;14]]/FT_RF_264[[#This Row],[Muestra]]),"0")</f>
        <v>0</v>
      </c>
      <c r="AX54" s="38">
        <v>0</v>
      </c>
      <c r="AY54" s="39">
        <f>+IFERROR((FT_RF_264[[#This Row],[Calibre &lt;10]]/FT_RF_264[[#This Row],[Muestra]]),"0")</f>
        <v>0</v>
      </c>
      <c r="AZ54" s="38">
        <v>0</v>
      </c>
      <c r="BA54" s="39">
        <f>+IFERROR((FT_RF_264[[#This Row],[Calibre &gt;13]]/FT_RF_264[[#This Row],[Muestra]]),"0")</f>
        <v>0</v>
      </c>
      <c r="BB54" s="41"/>
      <c r="BG54" s="42"/>
      <c r="BH54" s="43">
        <v>0</v>
      </c>
      <c r="BI54" s="29" t="s">
        <v>894</v>
      </c>
      <c r="BJ54" s="29" t="s">
        <v>894</v>
      </c>
      <c r="BK5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5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54" s="45">
        <f>1-FT_RF_264[[#This Row],[% Defectos]]</f>
        <v>1</v>
      </c>
      <c r="BO54" s="60"/>
      <c r="BP54" s="12">
        <f>SUM(FT_RF_264[[#This Row],[Hoja (Un.)]:[Larvas Caja]])</f>
        <v>0</v>
      </c>
      <c r="BQ54" s="12">
        <f>SUM(FT_RF_264[[#This Row],[Vidrios]:[Plástico]])</f>
        <v>0</v>
      </c>
      <c r="BR54" s="12" t="str">
        <f>IF(ISBLANK(FT_RF_264[[#This Row],[Descripción del producto]]),"",FT_RF_264[[#This Row],[Descripción del producto]])</f>
        <v/>
      </c>
      <c r="BS54" s="29" t="str">
        <f>IF(ISBLANK(FT_RF_264[[#This Row],[N° de Lote]]),"",FT_RF_264[[#This Row],[N° de Lote]])</f>
        <v/>
      </c>
      <c r="BT54" s="29" t="str">
        <f>IF(ISBLANK(FT_RF_264[[#This Row],[N° de Pallet]]),"",FT_RF_264[[#This Row],[N° de Pallet]])</f>
        <v/>
      </c>
    </row>
    <row r="55" spans="2:72">
      <c r="B55" s="29">
        <f>+_xlfn.ISOWEEKNUM(FT_RF_264[[#This Row],[Fecha]])</f>
        <v>52</v>
      </c>
      <c r="E55" s="31"/>
      <c r="F55" s="12" t="str">
        <f>IFERROR(""&amp;_xlfn.XLOOKUP(FT_RF_264[[#This Row],[Código]],BD_Cod[SKU],BD_Cod[Descripción]),"")</f>
        <v/>
      </c>
      <c r="G55" s="32" t="str">
        <f>IFERROR(""&amp;_xlfn.XLOOKUP(FT_RF_264[[#This Row],[Código]],BD_Cod[SKU],BD_Cod[Familia Calidad]),"")</f>
        <v/>
      </c>
      <c r="J55" s="33">
        <v>1000</v>
      </c>
      <c r="L55" s="30" t="s">
        <v>244</v>
      </c>
      <c r="O55" s="30" t="s">
        <v>894</v>
      </c>
      <c r="P55" s="29" t="s">
        <v>894</v>
      </c>
      <c r="Q55" s="37">
        <f>1-FT_RF_264[[#This Row],[% Defectos]]</f>
        <v>1</v>
      </c>
      <c r="R55" s="38">
        <v>0</v>
      </c>
      <c r="S55" s="39">
        <f>+IFERROR((FT_RF_264[[#This Row],[Inmadura]]/FT_RF_264[[#This Row],[Muestra]]),"0")</f>
        <v>0</v>
      </c>
      <c r="T55" s="38">
        <v>0</v>
      </c>
      <c r="U55" s="39">
        <f>+IFERROR((FT_RF_264[[#This Row],[Partidas]]/FT_RF_264[[#This Row],[Muestra]]),"0")</f>
        <v>0</v>
      </c>
      <c r="V55" s="38">
        <v>0</v>
      </c>
      <c r="W55" s="39">
        <f>+IFERROR((FT_RF_264[[#This Row],[Daño Insecto]]/FT_RF_264[[#This Row],[Muestra]]),"0")</f>
        <v>0</v>
      </c>
      <c r="X55" s="38">
        <v>0</v>
      </c>
      <c r="Y55" s="39">
        <f>+IFERROR((FT_RF_264[[#This Row],[Sobremadura]]/FT_RF_264[[#This Row],[Muestra]]),"0")</f>
        <v>0</v>
      </c>
      <c r="Z55" s="38">
        <v>0</v>
      </c>
      <c r="AA55" s="39">
        <f>+IFERROR((FT_RF_264[[#This Row],[Deforme]]/FT_RF_264[[#This Row],[Muestra]]),"0")</f>
        <v>0</v>
      </c>
      <c r="AB55" s="27"/>
      <c r="AC55" s="38">
        <v>0</v>
      </c>
      <c r="AD55" s="39">
        <f>+IFERROR((FT_RF_264[[#This Row],[Valor Extra 1]]/FT_RF_264[[#This Row],[Muestra]]),"0")</f>
        <v>0</v>
      </c>
      <c r="AF55" s="38">
        <v>0</v>
      </c>
      <c r="AG55" s="39">
        <f>+IFERROR((FT_RF_264[[#This Row],[Valor Extra 2]]/FT_RF_264[[#This Row],[Muestra]]),"0")</f>
        <v>0</v>
      </c>
      <c r="AH55" s="40">
        <v>0</v>
      </c>
      <c r="AI55" s="39">
        <f>+IFERROR((FT_RF_264[[#This Row],[Hongos]]/FT_RF_264[[#This Row],[Muestra]]),"0")</f>
        <v>0</v>
      </c>
      <c r="AJ55" s="38">
        <v>0</v>
      </c>
      <c r="AK55" s="39">
        <f>+IFERROR((FT_RF_264[[#This Row],[Block]]/FT_RF_264[[#This Row],[Muestra]]),"0")</f>
        <v>0</v>
      </c>
      <c r="AL55" s="41">
        <v>0</v>
      </c>
      <c r="AM55" s="42">
        <v>0</v>
      </c>
      <c r="AN55" s="38">
        <v>0</v>
      </c>
      <c r="AO55" s="39">
        <f>+IFERROR((FT_RF_264[[#This Row],[Fuera de calibre &lt;12mm]]/FT_RF_264[[#This Row],[Muestra]]),"0")</f>
        <v>0</v>
      </c>
      <c r="AP55" s="38">
        <v>0</v>
      </c>
      <c r="AQ55" s="39">
        <f>+IFERROR((FT_RF_264[[#This Row],[Calibre &lt;25]]/FT_RF_264[[#This Row],[Muestra]]),"0")</f>
        <v>0</v>
      </c>
      <c r="AR55" s="38">
        <v>0</v>
      </c>
      <c r="AS55" s="39">
        <f>+IFERROR((FT_RF_264[[#This Row],[Calibre &gt;12]]/FT_RF_264[[#This Row],[Muestra]]),"0")</f>
        <v>0</v>
      </c>
      <c r="AT55" s="38">
        <v>0</v>
      </c>
      <c r="AU55" s="39">
        <f>+IFERROR((FT_RF_264[[#This Row],[Calibre &lt;14]]/FT_RF_264[[#This Row],[Muestra]]),"0")</f>
        <v>0</v>
      </c>
      <c r="AV55" s="38">
        <v>0</v>
      </c>
      <c r="AW55" s="39">
        <f>+IFERROR((FT_RF_264[[#This Row],[Calibre &gt;14]]/FT_RF_264[[#This Row],[Muestra]]),"0")</f>
        <v>0</v>
      </c>
      <c r="AX55" s="38">
        <v>0</v>
      </c>
      <c r="AY55" s="39">
        <f>+IFERROR((FT_RF_264[[#This Row],[Calibre &lt;10]]/FT_RF_264[[#This Row],[Muestra]]),"0")</f>
        <v>0</v>
      </c>
      <c r="AZ55" s="38">
        <v>0</v>
      </c>
      <c r="BA55" s="39">
        <f>+IFERROR((FT_RF_264[[#This Row],[Calibre &gt;13]]/FT_RF_264[[#This Row],[Muestra]]),"0")</f>
        <v>0</v>
      </c>
      <c r="BB55" s="41"/>
      <c r="BG55" s="42"/>
      <c r="BH55" s="43">
        <v>0</v>
      </c>
      <c r="BI55" s="29" t="s">
        <v>894</v>
      </c>
      <c r="BJ55" s="29" t="s">
        <v>894</v>
      </c>
      <c r="BK5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5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55" s="45">
        <f>1-FT_RF_264[[#This Row],[% Defectos]]</f>
        <v>1</v>
      </c>
      <c r="BO55" s="60"/>
      <c r="BP55" s="12">
        <f>SUM(FT_RF_264[[#This Row],[Hoja (Un.)]:[Larvas Caja]])</f>
        <v>0</v>
      </c>
      <c r="BQ55" s="12">
        <f>SUM(FT_RF_264[[#This Row],[Vidrios]:[Plástico]])</f>
        <v>0</v>
      </c>
      <c r="BR55" s="12" t="str">
        <f>IF(ISBLANK(FT_RF_264[[#This Row],[Descripción del producto]]),"",FT_RF_264[[#This Row],[Descripción del producto]])</f>
        <v/>
      </c>
      <c r="BS55" s="29" t="str">
        <f>IF(ISBLANK(FT_RF_264[[#This Row],[N° de Lote]]),"",FT_RF_264[[#This Row],[N° de Lote]])</f>
        <v/>
      </c>
      <c r="BT55" s="29" t="str">
        <f>IF(ISBLANK(FT_RF_264[[#This Row],[N° de Pallet]]),"",FT_RF_264[[#This Row],[N° de Pallet]])</f>
        <v/>
      </c>
    </row>
    <row r="56" spans="2:72">
      <c r="B56" s="29">
        <f>+_xlfn.ISOWEEKNUM(FT_RF_264[[#This Row],[Fecha]])</f>
        <v>52</v>
      </c>
      <c r="E56" s="31"/>
      <c r="F56" s="12" t="str">
        <f>IFERROR(""&amp;_xlfn.XLOOKUP(FT_RF_264[[#This Row],[Código]],BD_Cod[SKU],BD_Cod[Descripción]),"")</f>
        <v/>
      </c>
      <c r="G56" s="32" t="str">
        <f>IFERROR(""&amp;_xlfn.XLOOKUP(FT_RF_264[[#This Row],[Código]],BD_Cod[SKU],BD_Cod[Familia Calidad]),"")</f>
        <v/>
      </c>
      <c r="J56" s="33">
        <v>1000</v>
      </c>
      <c r="L56" s="30" t="s">
        <v>244</v>
      </c>
      <c r="O56" s="30" t="s">
        <v>894</v>
      </c>
      <c r="P56" s="29" t="s">
        <v>894</v>
      </c>
      <c r="Q56" s="37">
        <f>1-FT_RF_264[[#This Row],[% Defectos]]</f>
        <v>1</v>
      </c>
      <c r="R56" s="38">
        <v>0</v>
      </c>
      <c r="S56" s="39">
        <f>+IFERROR((FT_RF_264[[#This Row],[Inmadura]]/FT_RF_264[[#This Row],[Muestra]]),"0")</f>
        <v>0</v>
      </c>
      <c r="T56" s="38">
        <v>0</v>
      </c>
      <c r="U56" s="39">
        <f>+IFERROR((FT_RF_264[[#This Row],[Partidas]]/FT_RF_264[[#This Row],[Muestra]]),"0")</f>
        <v>0</v>
      </c>
      <c r="V56" s="38">
        <v>0</v>
      </c>
      <c r="W56" s="39">
        <f>+IFERROR((FT_RF_264[[#This Row],[Daño Insecto]]/FT_RF_264[[#This Row],[Muestra]]),"0")</f>
        <v>0</v>
      </c>
      <c r="X56" s="38">
        <v>0</v>
      </c>
      <c r="Y56" s="39">
        <f>+IFERROR((FT_RF_264[[#This Row],[Sobremadura]]/FT_RF_264[[#This Row],[Muestra]]),"0")</f>
        <v>0</v>
      </c>
      <c r="Z56" s="38">
        <v>0</v>
      </c>
      <c r="AA56" s="39">
        <f>+IFERROR((FT_RF_264[[#This Row],[Deforme]]/FT_RF_264[[#This Row],[Muestra]]),"0")</f>
        <v>0</v>
      </c>
      <c r="AB56" s="27"/>
      <c r="AC56" s="38">
        <v>0</v>
      </c>
      <c r="AD56" s="39">
        <f>+IFERROR((FT_RF_264[[#This Row],[Valor Extra 1]]/FT_RF_264[[#This Row],[Muestra]]),"0")</f>
        <v>0</v>
      </c>
      <c r="AF56" s="38">
        <v>0</v>
      </c>
      <c r="AG56" s="39">
        <f>+IFERROR((FT_RF_264[[#This Row],[Valor Extra 2]]/FT_RF_264[[#This Row],[Muestra]]),"0")</f>
        <v>0</v>
      </c>
      <c r="AH56" s="40">
        <v>0</v>
      </c>
      <c r="AI56" s="39">
        <f>+IFERROR((FT_RF_264[[#This Row],[Hongos]]/FT_RF_264[[#This Row],[Muestra]]),"0")</f>
        <v>0</v>
      </c>
      <c r="AJ56" s="38">
        <v>0</v>
      </c>
      <c r="AK56" s="39">
        <f>+IFERROR((FT_RF_264[[#This Row],[Block]]/FT_RF_264[[#This Row],[Muestra]]),"0")</f>
        <v>0</v>
      </c>
      <c r="AL56" s="41">
        <v>0</v>
      </c>
      <c r="AM56" s="42">
        <v>0</v>
      </c>
      <c r="AN56" s="38">
        <v>0</v>
      </c>
      <c r="AO56" s="39">
        <f>+IFERROR((FT_RF_264[[#This Row],[Fuera de calibre &lt;12mm]]/FT_RF_264[[#This Row],[Muestra]]),"0")</f>
        <v>0</v>
      </c>
      <c r="AP56" s="38">
        <v>0</v>
      </c>
      <c r="AQ56" s="39">
        <f>+IFERROR((FT_RF_264[[#This Row],[Calibre &lt;25]]/FT_RF_264[[#This Row],[Muestra]]),"0")</f>
        <v>0</v>
      </c>
      <c r="AR56" s="38">
        <v>0</v>
      </c>
      <c r="AS56" s="39">
        <f>+IFERROR((FT_RF_264[[#This Row],[Calibre &gt;12]]/FT_RF_264[[#This Row],[Muestra]]),"0")</f>
        <v>0</v>
      </c>
      <c r="AT56" s="38">
        <v>0</v>
      </c>
      <c r="AU56" s="39">
        <f>+IFERROR((FT_RF_264[[#This Row],[Calibre &lt;14]]/FT_RF_264[[#This Row],[Muestra]]),"0")</f>
        <v>0</v>
      </c>
      <c r="AV56" s="38">
        <v>0</v>
      </c>
      <c r="AW56" s="39">
        <f>+IFERROR((FT_RF_264[[#This Row],[Calibre &gt;14]]/FT_RF_264[[#This Row],[Muestra]]),"0")</f>
        <v>0</v>
      </c>
      <c r="AX56" s="38">
        <v>0</v>
      </c>
      <c r="AY56" s="39">
        <f>+IFERROR((FT_RF_264[[#This Row],[Calibre &lt;10]]/FT_RF_264[[#This Row],[Muestra]]),"0")</f>
        <v>0</v>
      </c>
      <c r="AZ56" s="38">
        <v>0</v>
      </c>
      <c r="BA56" s="39">
        <f>+IFERROR((FT_RF_264[[#This Row],[Calibre &gt;13]]/FT_RF_264[[#This Row],[Muestra]]),"0")</f>
        <v>0</v>
      </c>
      <c r="BB56" s="41"/>
      <c r="BG56" s="42"/>
      <c r="BH56" s="43">
        <v>0</v>
      </c>
      <c r="BI56" s="29" t="s">
        <v>894</v>
      </c>
      <c r="BJ56" s="29" t="s">
        <v>894</v>
      </c>
      <c r="BK5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5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56" s="45">
        <f>1-FT_RF_264[[#This Row],[% Defectos]]</f>
        <v>1</v>
      </c>
      <c r="BO56" s="60"/>
      <c r="BP56" s="12">
        <f>SUM(FT_RF_264[[#This Row],[Hoja (Un.)]:[Larvas Caja]])</f>
        <v>0</v>
      </c>
      <c r="BQ56" s="12">
        <f>SUM(FT_RF_264[[#This Row],[Vidrios]:[Plástico]])</f>
        <v>0</v>
      </c>
      <c r="BR56" s="12" t="str">
        <f>IF(ISBLANK(FT_RF_264[[#This Row],[Descripción del producto]]),"",FT_RF_264[[#This Row],[Descripción del producto]])</f>
        <v/>
      </c>
      <c r="BS56" s="29" t="str">
        <f>IF(ISBLANK(FT_RF_264[[#This Row],[N° de Lote]]),"",FT_RF_264[[#This Row],[N° de Lote]])</f>
        <v/>
      </c>
      <c r="BT56" s="29" t="str">
        <f>IF(ISBLANK(FT_RF_264[[#This Row],[N° de Pallet]]),"",FT_RF_264[[#This Row],[N° de Pallet]])</f>
        <v/>
      </c>
    </row>
    <row r="57" spans="2:72">
      <c r="B57" s="29">
        <f>+_xlfn.ISOWEEKNUM(FT_RF_264[[#This Row],[Fecha]])</f>
        <v>52</v>
      </c>
      <c r="E57" s="31"/>
      <c r="F57" s="12" t="str">
        <f>IFERROR(""&amp;_xlfn.XLOOKUP(FT_RF_264[[#This Row],[Código]],BD_Cod[SKU],BD_Cod[Descripción]),"")</f>
        <v/>
      </c>
      <c r="G57" s="32" t="str">
        <f>IFERROR(""&amp;_xlfn.XLOOKUP(FT_RF_264[[#This Row],[Código]],BD_Cod[SKU],BD_Cod[Familia Calidad]),"")</f>
        <v/>
      </c>
      <c r="J57" s="33">
        <v>1000</v>
      </c>
      <c r="L57" s="30" t="s">
        <v>244</v>
      </c>
      <c r="O57" s="30" t="s">
        <v>894</v>
      </c>
      <c r="P57" s="29" t="s">
        <v>894</v>
      </c>
      <c r="Q57" s="37">
        <f>1-FT_RF_264[[#This Row],[% Defectos]]</f>
        <v>1</v>
      </c>
      <c r="R57" s="38">
        <v>0</v>
      </c>
      <c r="S57" s="39">
        <f>+IFERROR((FT_RF_264[[#This Row],[Inmadura]]/FT_RF_264[[#This Row],[Muestra]]),"0")</f>
        <v>0</v>
      </c>
      <c r="T57" s="38">
        <v>0</v>
      </c>
      <c r="U57" s="39">
        <f>+IFERROR((FT_RF_264[[#This Row],[Partidas]]/FT_RF_264[[#This Row],[Muestra]]),"0")</f>
        <v>0</v>
      </c>
      <c r="V57" s="38">
        <v>0</v>
      </c>
      <c r="W57" s="39">
        <f>+IFERROR((FT_RF_264[[#This Row],[Daño Insecto]]/FT_RF_264[[#This Row],[Muestra]]),"0")</f>
        <v>0</v>
      </c>
      <c r="X57" s="38">
        <v>0</v>
      </c>
      <c r="Y57" s="39">
        <f>+IFERROR((FT_RF_264[[#This Row],[Sobremadura]]/FT_RF_264[[#This Row],[Muestra]]),"0")</f>
        <v>0</v>
      </c>
      <c r="Z57" s="38">
        <v>0</v>
      </c>
      <c r="AA57" s="39">
        <f>+IFERROR((FT_RF_264[[#This Row],[Deforme]]/FT_RF_264[[#This Row],[Muestra]]),"0")</f>
        <v>0</v>
      </c>
      <c r="AB57" s="27"/>
      <c r="AC57" s="38">
        <v>0</v>
      </c>
      <c r="AD57" s="39">
        <f>+IFERROR((FT_RF_264[[#This Row],[Valor Extra 1]]/FT_RF_264[[#This Row],[Muestra]]),"0")</f>
        <v>0</v>
      </c>
      <c r="AF57" s="38">
        <v>0</v>
      </c>
      <c r="AG57" s="39">
        <f>+IFERROR((FT_RF_264[[#This Row],[Valor Extra 2]]/FT_RF_264[[#This Row],[Muestra]]),"0")</f>
        <v>0</v>
      </c>
      <c r="AH57" s="40">
        <v>0</v>
      </c>
      <c r="AI57" s="39">
        <f>+IFERROR((FT_RF_264[[#This Row],[Hongos]]/FT_RF_264[[#This Row],[Muestra]]),"0")</f>
        <v>0</v>
      </c>
      <c r="AJ57" s="38">
        <v>0</v>
      </c>
      <c r="AK57" s="39">
        <f>+IFERROR((FT_RF_264[[#This Row],[Block]]/FT_RF_264[[#This Row],[Muestra]]),"0")</f>
        <v>0</v>
      </c>
      <c r="AL57" s="41">
        <v>0</v>
      </c>
      <c r="AM57" s="42">
        <v>0</v>
      </c>
      <c r="AN57" s="38">
        <v>0</v>
      </c>
      <c r="AO57" s="39">
        <f>+IFERROR((FT_RF_264[[#This Row],[Fuera de calibre &lt;12mm]]/FT_RF_264[[#This Row],[Muestra]]),"0")</f>
        <v>0</v>
      </c>
      <c r="AP57" s="38">
        <v>0</v>
      </c>
      <c r="AQ57" s="39">
        <f>+IFERROR((FT_RF_264[[#This Row],[Calibre &lt;25]]/FT_RF_264[[#This Row],[Muestra]]),"0")</f>
        <v>0</v>
      </c>
      <c r="AR57" s="38">
        <v>0</v>
      </c>
      <c r="AS57" s="39">
        <f>+IFERROR((FT_RF_264[[#This Row],[Calibre &gt;12]]/FT_RF_264[[#This Row],[Muestra]]),"0")</f>
        <v>0</v>
      </c>
      <c r="AT57" s="38">
        <v>0</v>
      </c>
      <c r="AU57" s="39">
        <f>+IFERROR((FT_RF_264[[#This Row],[Calibre &lt;14]]/FT_RF_264[[#This Row],[Muestra]]),"0")</f>
        <v>0</v>
      </c>
      <c r="AV57" s="38">
        <v>0</v>
      </c>
      <c r="AW57" s="39">
        <f>+IFERROR((FT_RF_264[[#This Row],[Calibre &gt;14]]/FT_RF_264[[#This Row],[Muestra]]),"0")</f>
        <v>0</v>
      </c>
      <c r="AX57" s="38">
        <v>0</v>
      </c>
      <c r="AY57" s="39">
        <f>+IFERROR((FT_RF_264[[#This Row],[Calibre &lt;10]]/FT_RF_264[[#This Row],[Muestra]]),"0")</f>
        <v>0</v>
      </c>
      <c r="AZ57" s="38">
        <v>0</v>
      </c>
      <c r="BA57" s="39">
        <f>+IFERROR((FT_RF_264[[#This Row],[Calibre &gt;13]]/FT_RF_264[[#This Row],[Muestra]]),"0")</f>
        <v>0</v>
      </c>
      <c r="BB57" s="41"/>
      <c r="BG57" s="42"/>
      <c r="BH57" s="43">
        <v>0</v>
      </c>
      <c r="BI57" s="29" t="s">
        <v>894</v>
      </c>
      <c r="BJ57" s="29" t="s">
        <v>894</v>
      </c>
      <c r="BK5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5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57" s="45">
        <f>1-FT_RF_264[[#This Row],[% Defectos]]</f>
        <v>1</v>
      </c>
      <c r="BO57" s="60"/>
      <c r="BP57" s="12">
        <f>SUM(FT_RF_264[[#This Row],[Hoja (Un.)]:[Larvas Caja]])</f>
        <v>0</v>
      </c>
      <c r="BQ57" s="12">
        <f>SUM(FT_RF_264[[#This Row],[Vidrios]:[Plástico]])</f>
        <v>0</v>
      </c>
      <c r="BR57" s="12" t="str">
        <f>IF(ISBLANK(FT_RF_264[[#This Row],[Descripción del producto]]),"",FT_RF_264[[#This Row],[Descripción del producto]])</f>
        <v/>
      </c>
      <c r="BS57" s="29" t="str">
        <f>IF(ISBLANK(FT_RF_264[[#This Row],[N° de Lote]]),"",FT_RF_264[[#This Row],[N° de Lote]])</f>
        <v/>
      </c>
      <c r="BT57" s="29" t="str">
        <f>IF(ISBLANK(FT_RF_264[[#This Row],[N° de Pallet]]),"",FT_RF_264[[#This Row],[N° de Pallet]])</f>
        <v/>
      </c>
    </row>
    <row r="58" spans="2:72">
      <c r="B58" s="29">
        <f>+_xlfn.ISOWEEKNUM(FT_RF_264[[#This Row],[Fecha]])</f>
        <v>52</v>
      </c>
      <c r="E58" s="31"/>
      <c r="F58" s="12" t="str">
        <f>IFERROR(""&amp;_xlfn.XLOOKUP(FT_RF_264[[#This Row],[Código]],BD_Cod[SKU],BD_Cod[Descripción]),"")</f>
        <v/>
      </c>
      <c r="G58" s="32" t="str">
        <f>IFERROR(""&amp;_xlfn.XLOOKUP(FT_RF_264[[#This Row],[Código]],BD_Cod[SKU],BD_Cod[Familia Calidad]),"")</f>
        <v/>
      </c>
      <c r="J58" s="33">
        <v>1000</v>
      </c>
      <c r="L58" s="30" t="s">
        <v>244</v>
      </c>
      <c r="O58" s="30" t="s">
        <v>894</v>
      </c>
      <c r="P58" s="29" t="s">
        <v>894</v>
      </c>
      <c r="Q58" s="37">
        <f>1-FT_RF_264[[#This Row],[% Defectos]]</f>
        <v>1</v>
      </c>
      <c r="R58" s="38">
        <v>0</v>
      </c>
      <c r="S58" s="39">
        <f>+IFERROR((FT_RF_264[[#This Row],[Inmadura]]/FT_RF_264[[#This Row],[Muestra]]),"0")</f>
        <v>0</v>
      </c>
      <c r="T58" s="38">
        <v>0</v>
      </c>
      <c r="U58" s="39">
        <f>+IFERROR((FT_RF_264[[#This Row],[Partidas]]/FT_RF_264[[#This Row],[Muestra]]),"0")</f>
        <v>0</v>
      </c>
      <c r="V58" s="38">
        <v>0</v>
      </c>
      <c r="W58" s="39">
        <f>+IFERROR((FT_RF_264[[#This Row],[Daño Insecto]]/FT_RF_264[[#This Row],[Muestra]]),"0")</f>
        <v>0</v>
      </c>
      <c r="X58" s="38">
        <v>0</v>
      </c>
      <c r="Y58" s="39">
        <f>+IFERROR((FT_RF_264[[#This Row],[Sobremadura]]/FT_RF_264[[#This Row],[Muestra]]),"0")</f>
        <v>0</v>
      </c>
      <c r="Z58" s="38">
        <v>0</v>
      </c>
      <c r="AA58" s="39">
        <f>+IFERROR((FT_RF_264[[#This Row],[Deforme]]/FT_RF_264[[#This Row],[Muestra]]),"0")</f>
        <v>0</v>
      </c>
      <c r="AB58" s="27"/>
      <c r="AC58" s="38">
        <v>0</v>
      </c>
      <c r="AD58" s="39">
        <f>+IFERROR((FT_RF_264[[#This Row],[Valor Extra 1]]/FT_RF_264[[#This Row],[Muestra]]),"0")</f>
        <v>0</v>
      </c>
      <c r="AF58" s="38">
        <v>0</v>
      </c>
      <c r="AG58" s="39">
        <f>+IFERROR((FT_RF_264[[#This Row],[Valor Extra 2]]/FT_RF_264[[#This Row],[Muestra]]),"0")</f>
        <v>0</v>
      </c>
      <c r="AH58" s="40">
        <v>0</v>
      </c>
      <c r="AI58" s="39">
        <f>+IFERROR((FT_RF_264[[#This Row],[Hongos]]/FT_RF_264[[#This Row],[Muestra]]),"0")</f>
        <v>0</v>
      </c>
      <c r="AJ58" s="38">
        <v>0</v>
      </c>
      <c r="AK58" s="39">
        <f>+IFERROR((FT_RF_264[[#This Row],[Block]]/FT_RF_264[[#This Row],[Muestra]]),"0")</f>
        <v>0</v>
      </c>
      <c r="AL58" s="41">
        <v>0</v>
      </c>
      <c r="AM58" s="42">
        <v>0</v>
      </c>
      <c r="AN58" s="38">
        <v>0</v>
      </c>
      <c r="AO58" s="39">
        <f>+IFERROR((FT_RF_264[[#This Row],[Fuera de calibre &lt;12mm]]/FT_RF_264[[#This Row],[Muestra]]),"0")</f>
        <v>0</v>
      </c>
      <c r="AP58" s="38">
        <v>0</v>
      </c>
      <c r="AQ58" s="39">
        <f>+IFERROR((FT_RF_264[[#This Row],[Calibre &lt;25]]/FT_RF_264[[#This Row],[Muestra]]),"0")</f>
        <v>0</v>
      </c>
      <c r="AR58" s="38">
        <v>0</v>
      </c>
      <c r="AS58" s="39">
        <f>+IFERROR((FT_RF_264[[#This Row],[Calibre &gt;12]]/FT_RF_264[[#This Row],[Muestra]]),"0")</f>
        <v>0</v>
      </c>
      <c r="AT58" s="38">
        <v>0</v>
      </c>
      <c r="AU58" s="39">
        <f>+IFERROR((FT_RF_264[[#This Row],[Calibre &lt;14]]/FT_RF_264[[#This Row],[Muestra]]),"0")</f>
        <v>0</v>
      </c>
      <c r="AV58" s="38">
        <v>0</v>
      </c>
      <c r="AW58" s="39">
        <f>+IFERROR((FT_RF_264[[#This Row],[Calibre &gt;14]]/FT_RF_264[[#This Row],[Muestra]]),"0")</f>
        <v>0</v>
      </c>
      <c r="AX58" s="38">
        <v>0</v>
      </c>
      <c r="AY58" s="39">
        <f>+IFERROR((FT_RF_264[[#This Row],[Calibre &lt;10]]/FT_RF_264[[#This Row],[Muestra]]),"0")</f>
        <v>0</v>
      </c>
      <c r="AZ58" s="38">
        <v>0</v>
      </c>
      <c r="BA58" s="39">
        <f>+IFERROR((FT_RF_264[[#This Row],[Calibre &gt;13]]/FT_RF_264[[#This Row],[Muestra]]),"0")</f>
        <v>0</v>
      </c>
      <c r="BB58" s="41"/>
      <c r="BG58" s="42"/>
      <c r="BH58" s="43">
        <v>0</v>
      </c>
      <c r="BI58" s="29" t="s">
        <v>894</v>
      </c>
      <c r="BJ58" s="29" t="s">
        <v>894</v>
      </c>
      <c r="BK5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5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58" s="45">
        <f>1-FT_RF_264[[#This Row],[% Defectos]]</f>
        <v>1</v>
      </c>
      <c r="BO58" s="60"/>
      <c r="BP58" s="12">
        <f>SUM(FT_RF_264[[#This Row],[Hoja (Un.)]:[Larvas Caja]])</f>
        <v>0</v>
      </c>
      <c r="BQ58" s="12">
        <f>SUM(FT_RF_264[[#This Row],[Vidrios]:[Plástico]])</f>
        <v>0</v>
      </c>
      <c r="BR58" s="12" t="str">
        <f>IF(ISBLANK(FT_RF_264[[#This Row],[Descripción del producto]]),"",FT_RF_264[[#This Row],[Descripción del producto]])</f>
        <v/>
      </c>
      <c r="BS58" s="29" t="str">
        <f>IF(ISBLANK(FT_RF_264[[#This Row],[N° de Lote]]),"",FT_RF_264[[#This Row],[N° de Lote]])</f>
        <v/>
      </c>
      <c r="BT58" s="29" t="str">
        <f>IF(ISBLANK(FT_RF_264[[#This Row],[N° de Pallet]]),"",FT_RF_264[[#This Row],[N° de Pallet]])</f>
        <v/>
      </c>
    </row>
    <row r="59" spans="2:72">
      <c r="B59" s="29">
        <f>+_xlfn.ISOWEEKNUM(FT_RF_264[[#This Row],[Fecha]])</f>
        <v>52</v>
      </c>
      <c r="E59" s="31"/>
      <c r="F59" s="12" t="str">
        <f>IFERROR(""&amp;_xlfn.XLOOKUP(FT_RF_264[[#This Row],[Código]],BD_Cod[SKU],BD_Cod[Descripción]),"")</f>
        <v/>
      </c>
      <c r="G59" s="32" t="str">
        <f>IFERROR(""&amp;_xlfn.XLOOKUP(FT_RF_264[[#This Row],[Código]],BD_Cod[SKU],BD_Cod[Familia Calidad]),"")</f>
        <v/>
      </c>
      <c r="J59" s="33">
        <v>1000</v>
      </c>
      <c r="L59" s="30" t="s">
        <v>244</v>
      </c>
      <c r="O59" s="30" t="s">
        <v>894</v>
      </c>
      <c r="P59" s="29" t="s">
        <v>894</v>
      </c>
      <c r="Q59" s="37">
        <f>1-FT_RF_264[[#This Row],[% Defectos]]</f>
        <v>1</v>
      </c>
      <c r="R59" s="38">
        <v>0</v>
      </c>
      <c r="S59" s="39">
        <f>+IFERROR((FT_RF_264[[#This Row],[Inmadura]]/FT_RF_264[[#This Row],[Muestra]]),"0")</f>
        <v>0</v>
      </c>
      <c r="T59" s="38">
        <v>0</v>
      </c>
      <c r="U59" s="39">
        <f>+IFERROR((FT_RF_264[[#This Row],[Partidas]]/FT_RF_264[[#This Row],[Muestra]]),"0")</f>
        <v>0</v>
      </c>
      <c r="V59" s="38">
        <v>0</v>
      </c>
      <c r="W59" s="39">
        <f>+IFERROR((FT_RF_264[[#This Row],[Daño Insecto]]/FT_RF_264[[#This Row],[Muestra]]),"0")</f>
        <v>0</v>
      </c>
      <c r="X59" s="38">
        <v>0</v>
      </c>
      <c r="Y59" s="39">
        <f>+IFERROR((FT_RF_264[[#This Row],[Sobremadura]]/FT_RF_264[[#This Row],[Muestra]]),"0")</f>
        <v>0</v>
      </c>
      <c r="Z59" s="38">
        <v>0</v>
      </c>
      <c r="AA59" s="39">
        <f>+IFERROR((FT_RF_264[[#This Row],[Deforme]]/FT_RF_264[[#This Row],[Muestra]]),"0")</f>
        <v>0</v>
      </c>
      <c r="AB59" s="27"/>
      <c r="AC59" s="38">
        <v>0</v>
      </c>
      <c r="AD59" s="39">
        <f>+IFERROR((FT_RF_264[[#This Row],[Valor Extra 1]]/FT_RF_264[[#This Row],[Muestra]]),"0")</f>
        <v>0</v>
      </c>
      <c r="AF59" s="38">
        <v>0</v>
      </c>
      <c r="AG59" s="39">
        <f>+IFERROR((FT_RF_264[[#This Row],[Valor Extra 2]]/FT_RF_264[[#This Row],[Muestra]]),"0")</f>
        <v>0</v>
      </c>
      <c r="AH59" s="40">
        <v>0</v>
      </c>
      <c r="AI59" s="39">
        <f>+IFERROR((FT_RF_264[[#This Row],[Hongos]]/FT_RF_264[[#This Row],[Muestra]]),"0")</f>
        <v>0</v>
      </c>
      <c r="AJ59" s="38">
        <v>0</v>
      </c>
      <c r="AK59" s="39">
        <f>+IFERROR((FT_RF_264[[#This Row],[Block]]/FT_RF_264[[#This Row],[Muestra]]),"0")</f>
        <v>0</v>
      </c>
      <c r="AL59" s="41">
        <v>0</v>
      </c>
      <c r="AM59" s="42">
        <v>0</v>
      </c>
      <c r="AN59" s="38">
        <v>0</v>
      </c>
      <c r="AO59" s="39">
        <f>+IFERROR((FT_RF_264[[#This Row],[Fuera de calibre &lt;12mm]]/FT_RF_264[[#This Row],[Muestra]]),"0")</f>
        <v>0</v>
      </c>
      <c r="AP59" s="38">
        <v>0</v>
      </c>
      <c r="AQ59" s="39">
        <f>+IFERROR((FT_RF_264[[#This Row],[Calibre &lt;25]]/FT_RF_264[[#This Row],[Muestra]]),"0")</f>
        <v>0</v>
      </c>
      <c r="AR59" s="38">
        <v>0</v>
      </c>
      <c r="AS59" s="39">
        <f>+IFERROR((FT_RF_264[[#This Row],[Calibre &gt;12]]/FT_RF_264[[#This Row],[Muestra]]),"0")</f>
        <v>0</v>
      </c>
      <c r="AT59" s="38">
        <v>0</v>
      </c>
      <c r="AU59" s="39">
        <f>+IFERROR((FT_RF_264[[#This Row],[Calibre &lt;14]]/FT_RF_264[[#This Row],[Muestra]]),"0")</f>
        <v>0</v>
      </c>
      <c r="AV59" s="38">
        <v>0</v>
      </c>
      <c r="AW59" s="39">
        <f>+IFERROR((FT_RF_264[[#This Row],[Calibre &gt;14]]/FT_RF_264[[#This Row],[Muestra]]),"0")</f>
        <v>0</v>
      </c>
      <c r="AX59" s="38">
        <v>0</v>
      </c>
      <c r="AY59" s="39">
        <f>+IFERROR((FT_RF_264[[#This Row],[Calibre &lt;10]]/FT_RF_264[[#This Row],[Muestra]]),"0")</f>
        <v>0</v>
      </c>
      <c r="AZ59" s="38">
        <v>0</v>
      </c>
      <c r="BA59" s="39">
        <f>+IFERROR((FT_RF_264[[#This Row],[Calibre &gt;13]]/FT_RF_264[[#This Row],[Muestra]]),"0")</f>
        <v>0</v>
      </c>
      <c r="BB59" s="41"/>
      <c r="BG59" s="42"/>
      <c r="BH59" s="43">
        <v>0</v>
      </c>
      <c r="BI59" s="29" t="s">
        <v>894</v>
      </c>
      <c r="BJ59" s="29" t="s">
        <v>894</v>
      </c>
      <c r="BK5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5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59" s="45">
        <f>1-FT_RF_264[[#This Row],[% Defectos]]</f>
        <v>1</v>
      </c>
      <c r="BO59" s="60"/>
      <c r="BP59" s="12">
        <f>SUM(FT_RF_264[[#This Row],[Hoja (Un.)]:[Larvas Caja]])</f>
        <v>0</v>
      </c>
      <c r="BQ59" s="12">
        <f>SUM(FT_RF_264[[#This Row],[Vidrios]:[Plástico]])</f>
        <v>0</v>
      </c>
      <c r="BR59" s="12" t="str">
        <f>IF(ISBLANK(FT_RF_264[[#This Row],[Descripción del producto]]),"",FT_RF_264[[#This Row],[Descripción del producto]])</f>
        <v/>
      </c>
      <c r="BS59" s="29" t="str">
        <f>IF(ISBLANK(FT_RF_264[[#This Row],[N° de Lote]]),"",FT_RF_264[[#This Row],[N° de Lote]])</f>
        <v/>
      </c>
      <c r="BT59" s="29" t="str">
        <f>IF(ISBLANK(FT_RF_264[[#This Row],[N° de Pallet]]),"",FT_RF_264[[#This Row],[N° de Pallet]])</f>
        <v/>
      </c>
    </row>
    <row r="60" spans="2:72">
      <c r="B60" s="29">
        <f>+_xlfn.ISOWEEKNUM(FT_RF_264[[#This Row],[Fecha]])</f>
        <v>52</v>
      </c>
      <c r="E60" s="31"/>
      <c r="F60" s="12" t="str">
        <f>IFERROR(""&amp;_xlfn.XLOOKUP(FT_RF_264[[#This Row],[Código]],BD_Cod[SKU],BD_Cod[Descripción]),"")</f>
        <v/>
      </c>
      <c r="G60" s="32" t="str">
        <f>IFERROR(""&amp;_xlfn.XLOOKUP(FT_RF_264[[#This Row],[Código]],BD_Cod[SKU],BD_Cod[Familia Calidad]),"")</f>
        <v/>
      </c>
      <c r="J60" s="33">
        <v>1000</v>
      </c>
      <c r="L60" s="30" t="s">
        <v>244</v>
      </c>
      <c r="O60" s="30" t="s">
        <v>894</v>
      </c>
      <c r="P60" s="29" t="s">
        <v>894</v>
      </c>
      <c r="Q60" s="37">
        <f>1-FT_RF_264[[#This Row],[% Defectos]]</f>
        <v>1</v>
      </c>
      <c r="R60" s="38">
        <v>0</v>
      </c>
      <c r="S60" s="39">
        <f>+IFERROR((FT_RF_264[[#This Row],[Inmadura]]/FT_RF_264[[#This Row],[Muestra]]),"0")</f>
        <v>0</v>
      </c>
      <c r="T60" s="38">
        <v>0</v>
      </c>
      <c r="U60" s="39">
        <f>+IFERROR((FT_RF_264[[#This Row],[Partidas]]/FT_RF_264[[#This Row],[Muestra]]),"0")</f>
        <v>0</v>
      </c>
      <c r="V60" s="38">
        <v>0</v>
      </c>
      <c r="W60" s="39">
        <f>+IFERROR((FT_RF_264[[#This Row],[Daño Insecto]]/FT_RF_264[[#This Row],[Muestra]]),"0")</f>
        <v>0</v>
      </c>
      <c r="X60" s="38">
        <v>0</v>
      </c>
      <c r="Y60" s="39">
        <f>+IFERROR((FT_RF_264[[#This Row],[Sobremadura]]/FT_RF_264[[#This Row],[Muestra]]),"0")</f>
        <v>0</v>
      </c>
      <c r="Z60" s="38">
        <v>0</v>
      </c>
      <c r="AA60" s="39">
        <f>+IFERROR((FT_RF_264[[#This Row],[Deforme]]/FT_RF_264[[#This Row],[Muestra]]),"0")</f>
        <v>0</v>
      </c>
      <c r="AB60" s="27"/>
      <c r="AC60" s="38">
        <v>0</v>
      </c>
      <c r="AD60" s="39">
        <f>+IFERROR((FT_RF_264[[#This Row],[Valor Extra 1]]/FT_RF_264[[#This Row],[Muestra]]),"0")</f>
        <v>0</v>
      </c>
      <c r="AF60" s="38">
        <v>0</v>
      </c>
      <c r="AG60" s="39">
        <f>+IFERROR((FT_RF_264[[#This Row],[Valor Extra 2]]/FT_RF_264[[#This Row],[Muestra]]),"0")</f>
        <v>0</v>
      </c>
      <c r="AH60" s="40">
        <v>0</v>
      </c>
      <c r="AI60" s="39">
        <f>+IFERROR((FT_RF_264[[#This Row],[Hongos]]/FT_RF_264[[#This Row],[Muestra]]),"0")</f>
        <v>0</v>
      </c>
      <c r="AJ60" s="38">
        <v>0</v>
      </c>
      <c r="AK60" s="39">
        <f>+IFERROR((FT_RF_264[[#This Row],[Block]]/FT_RF_264[[#This Row],[Muestra]]),"0")</f>
        <v>0</v>
      </c>
      <c r="AL60" s="41">
        <v>0</v>
      </c>
      <c r="AM60" s="42">
        <v>0</v>
      </c>
      <c r="AN60" s="38">
        <v>0</v>
      </c>
      <c r="AO60" s="39">
        <f>+IFERROR((FT_RF_264[[#This Row],[Fuera de calibre &lt;12mm]]/FT_RF_264[[#This Row],[Muestra]]),"0")</f>
        <v>0</v>
      </c>
      <c r="AP60" s="38">
        <v>0</v>
      </c>
      <c r="AQ60" s="39">
        <f>+IFERROR((FT_RF_264[[#This Row],[Calibre &lt;25]]/FT_RF_264[[#This Row],[Muestra]]),"0")</f>
        <v>0</v>
      </c>
      <c r="AR60" s="38">
        <v>0</v>
      </c>
      <c r="AS60" s="39">
        <f>+IFERROR((FT_RF_264[[#This Row],[Calibre &gt;12]]/FT_RF_264[[#This Row],[Muestra]]),"0")</f>
        <v>0</v>
      </c>
      <c r="AT60" s="38">
        <v>0</v>
      </c>
      <c r="AU60" s="39">
        <f>+IFERROR((FT_RF_264[[#This Row],[Calibre &lt;14]]/FT_RF_264[[#This Row],[Muestra]]),"0")</f>
        <v>0</v>
      </c>
      <c r="AV60" s="38">
        <v>0</v>
      </c>
      <c r="AW60" s="39">
        <f>+IFERROR((FT_RF_264[[#This Row],[Calibre &gt;14]]/FT_RF_264[[#This Row],[Muestra]]),"0")</f>
        <v>0</v>
      </c>
      <c r="AX60" s="38">
        <v>0</v>
      </c>
      <c r="AY60" s="39">
        <f>+IFERROR((FT_RF_264[[#This Row],[Calibre &lt;10]]/FT_RF_264[[#This Row],[Muestra]]),"0")</f>
        <v>0</v>
      </c>
      <c r="AZ60" s="38">
        <v>0</v>
      </c>
      <c r="BA60" s="39">
        <f>+IFERROR((FT_RF_264[[#This Row],[Calibre &gt;13]]/FT_RF_264[[#This Row],[Muestra]]),"0")</f>
        <v>0</v>
      </c>
      <c r="BB60" s="41"/>
      <c r="BG60" s="42"/>
      <c r="BH60" s="43">
        <v>0</v>
      </c>
      <c r="BI60" s="29" t="s">
        <v>894</v>
      </c>
      <c r="BJ60" s="29" t="s">
        <v>894</v>
      </c>
      <c r="BK6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6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60" s="45">
        <f>1-FT_RF_264[[#This Row],[% Defectos]]</f>
        <v>1</v>
      </c>
      <c r="BO60" s="60"/>
      <c r="BP60" s="12">
        <f>SUM(FT_RF_264[[#This Row],[Hoja (Un.)]:[Larvas Caja]])</f>
        <v>0</v>
      </c>
      <c r="BQ60" s="12">
        <f>SUM(FT_RF_264[[#This Row],[Vidrios]:[Plástico]])</f>
        <v>0</v>
      </c>
      <c r="BR60" s="12" t="str">
        <f>IF(ISBLANK(FT_RF_264[[#This Row],[Descripción del producto]]),"",FT_RF_264[[#This Row],[Descripción del producto]])</f>
        <v/>
      </c>
      <c r="BS60" s="29" t="str">
        <f>IF(ISBLANK(FT_RF_264[[#This Row],[N° de Lote]]),"",FT_RF_264[[#This Row],[N° de Lote]])</f>
        <v/>
      </c>
      <c r="BT60" s="29" t="str">
        <f>IF(ISBLANK(FT_RF_264[[#This Row],[N° de Pallet]]),"",FT_RF_264[[#This Row],[N° de Pallet]])</f>
        <v/>
      </c>
    </row>
    <row r="61" spans="2:72">
      <c r="B61" s="29">
        <f>+_xlfn.ISOWEEKNUM(FT_RF_264[[#This Row],[Fecha]])</f>
        <v>52</v>
      </c>
      <c r="E61" s="31"/>
      <c r="F61" s="12" t="str">
        <f>IFERROR(""&amp;_xlfn.XLOOKUP(FT_RF_264[[#This Row],[Código]],BD_Cod[SKU],BD_Cod[Descripción]),"")</f>
        <v/>
      </c>
      <c r="G61" s="32" t="str">
        <f>IFERROR(""&amp;_xlfn.XLOOKUP(FT_RF_264[[#This Row],[Código]],BD_Cod[SKU],BD_Cod[Familia Calidad]),"")</f>
        <v/>
      </c>
      <c r="J61" s="33">
        <v>1000</v>
      </c>
      <c r="L61" s="30" t="s">
        <v>244</v>
      </c>
      <c r="O61" s="30" t="s">
        <v>894</v>
      </c>
      <c r="P61" s="29" t="s">
        <v>894</v>
      </c>
      <c r="Q61" s="37">
        <f>1-FT_RF_264[[#This Row],[% Defectos]]</f>
        <v>1</v>
      </c>
      <c r="R61" s="38">
        <v>0</v>
      </c>
      <c r="S61" s="39">
        <f>+IFERROR((FT_RF_264[[#This Row],[Inmadura]]/FT_RF_264[[#This Row],[Muestra]]),"0")</f>
        <v>0</v>
      </c>
      <c r="T61" s="38">
        <v>0</v>
      </c>
      <c r="U61" s="39">
        <f>+IFERROR((FT_RF_264[[#This Row],[Partidas]]/FT_RF_264[[#This Row],[Muestra]]),"0")</f>
        <v>0</v>
      </c>
      <c r="V61" s="38">
        <v>0</v>
      </c>
      <c r="W61" s="39">
        <f>+IFERROR((FT_RF_264[[#This Row],[Daño Insecto]]/FT_RF_264[[#This Row],[Muestra]]),"0")</f>
        <v>0</v>
      </c>
      <c r="X61" s="38">
        <v>0</v>
      </c>
      <c r="Y61" s="39">
        <f>+IFERROR((FT_RF_264[[#This Row],[Sobremadura]]/FT_RF_264[[#This Row],[Muestra]]),"0")</f>
        <v>0</v>
      </c>
      <c r="Z61" s="38">
        <v>0</v>
      </c>
      <c r="AA61" s="39">
        <f>+IFERROR((FT_RF_264[[#This Row],[Deforme]]/FT_RF_264[[#This Row],[Muestra]]),"0")</f>
        <v>0</v>
      </c>
      <c r="AB61" s="27"/>
      <c r="AC61" s="38">
        <v>0</v>
      </c>
      <c r="AD61" s="39">
        <f>+IFERROR((FT_RF_264[[#This Row],[Valor Extra 1]]/FT_RF_264[[#This Row],[Muestra]]),"0")</f>
        <v>0</v>
      </c>
      <c r="AF61" s="38">
        <v>0</v>
      </c>
      <c r="AG61" s="39">
        <f>+IFERROR((FT_RF_264[[#This Row],[Valor Extra 2]]/FT_RF_264[[#This Row],[Muestra]]),"0")</f>
        <v>0</v>
      </c>
      <c r="AH61" s="40">
        <v>0</v>
      </c>
      <c r="AI61" s="39">
        <f>+IFERROR((FT_RF_264[[#This Row],[Hongos]]/FT_RF_264[[#This Row],[Muestra]]),"0")</f>
        <v>0</v>
      </c>
      <c r="AJ61" s="38">
        <v>0</v>
      </c>
      <c r="AK61" s="39">
        <f>+IFERROR((FT_RF_264[[#This Row],[Block]]/FT_RF_264[[#This Row],[Muestra]]),"0")</f>
        <v>0</v>
      </c>
      <c r="AL61" s="41">
        <v>0</v>
      </c>
      <c r="AM61" s="42">
        <v>0</v>
      </c>
      <c r="AN61" s="38">
        <v>0</v>
      </c>
      <c r="AO61" s="39">
        <f>+IFERROR((FT_RF_264[[#This Row],[Fuera de calibre &lt;12mm]]/FT_RF_264[[#This Row],[Muestra]]),"0")</f>
        <v>0</v>
      </c>
      <c r="AP61" s="38">
        <v>0</v>
      </c>
      <c r="AQ61" s="39">
        <f>+IFERROR((FT_RF_264[[#This Row],[Calibre &lt;25]]/FT_RF_264[[#This Row],[Muestra]]),"0")</f>
        <v>0</v>
      </c>
      <c r="AR61" s="38">
        <v>0</v>
      </c>
      <c r="AS61" s="39">
        <f>+IFERROR((FT_RF_264[[#This Row],[Calibre &gt;12]]/FT_RF_264[[#This Row],[Muestra]]),"0")</f>
        <v>0</v>
      </c>
      <c r="AT61" s="38">
        <v>0</v>
      </c>
      <c r="AU61" s="39">
        <f>+IFERROR((FT_RF_264[[#This Row],[Calibre &lt;14]]/FT_RF_264[[#This Row],[Muestra]]),"0")</f>
        <v>0</v>
      </c>
      <c r="AV61" s="38">
        <v>0</v>
      </c>
      <c r="AW61" s="39">
        <f>+IFERROR((FT_RF_264[[#This Row],[Calibre &gt;14]]/FT_RF_264[[#This Row],[Muestra]]),"0")</f>
        <v>0</v>
      </c>
      <c r="AX61" s="38">
        <v>0</v>
      </c>
      <c r="AY61" s="39">
        <f>+IFERROR((FT_RF_264[[#This Row],[Calibre &lt;10]]/FT_RF_264[[#This Row],[Muestra]]),"0")</f>
        <v>0</v>
      </c>
      <c r="AZ61" s="38">
        <v>0</v>
      </c>
      <c r="BA61" s="39">
        <f>+IFERROR((FT_RF_264[[#This Row],[Calibre &gt;13]]/FT_RF_264[[#This Row],[Muestra]]),"0")</f>
        <v>0</v>
      </c>
      <c r="BB61" s="41"/>
      <c r="BG61" s="42"/>
      <c r="BH61" s="43">
        <v>0</v>
      </c>
      <c r="BI61" s="29" t="s">
        <v>894</v>
      </c>
      <c r="BJ61" s="29" t="s">
        <v>894</v>
      </c>
      <c r="BK6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6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61" s="45">
        <f>1-FT_RF_264[[#This Row],[% Defectos]]</f>
        <v>1</v>
      </c>
      <c r="BO61" s="60"/>
      <c r="BP61" s="12">
        <f>SUM(FT_RF_264[[#This Row],[Hoja (Un.)]:[Larvas Caja]])</f>
        <v>0</v>
      </c>
      <c r="BQ61" s="12">
        <f>SUM(FT_RF_264[[#This Row],[Vidrios]:[Plástico]])</f>
        <v>0</v>
      </c>
      <c r="BR61" s="12" t="str">
        <f>IF(ISBLANK(FT_RF_264[[#This Row],[Descripción del producto]]),"",FT_RF_264[[#This Row],[Descripción del producto]])</f>
        <v/>
      </c>
      <c r="BS61" s="29" t="str">
        <f>IF(ISBLANK(FT_RF_264[[#This Row],[N° de Lote]]),"",FT_RF_264[[#This Row],[N° de Lote]])</f>
        <v/>
      </c>
      <c r="BT61" s="29" t="str">
        <f>IF(ISBLANK(FT_RF_264[[#This Row],[N° de Pallet]]),"",FT_RF_264[[#This Row],[N° de Pallet]])</f>
        <v/>
      </c>
    </row>
    <row r="62" spans="2:72">
      <c r="B62" s="29">
        <f>+_xlfn.ISOWEEKNUM(FT_RF_264[[#This Row],[Fecha]])</f>
        <v>52</v>
      </c>
      <c r="E62" s="31"/>
      <c r="F62" s="12" t="str">
        <f>IFERROR(""&amp;_xlfn.XLOOKUP(FT_RF_264[[#This Row],[Código]],BD_Cod[SKU],BD_Cod[Descripción]),"")</f>
        <v/>
      </c>
      <c r="G62" s="32" t="str">
        <f>IFERROR(""&amp;_xlfn.XLOOKUP(FT_RF_264[[#This Row],[Código]],BD_Cod[SKU],BD_Cod[Familia Calidad]),"")</f>
        <v/>
      </c>
      <c r="J62" s="33">
        <v>1000</v>
      </c>
      <c r="L62" s="30" t="s">
        <v>244</v>
      </c>
      <c r="O62" s="30" t="s">
        <v>894</v>
      </c>
      <c r="P62" s="29" t="s">
        <v>894</v>
      </c>
      <c r="Q62" s="37">
        <f>1-FT_RF_264[[#This Row],[% Defectos]]</f>
        <v>1</v>
      </c>
      <c r="R62" s="38">
        <v>0</v>
      </c>
      <c r="S62" s="39">
        <f>+IFERROR((FT_RF_264[[#This Row],[Inmadura]]/FT_RF_264[[#This Row],[Muestra]]),"0")</f>
        <v>0</v>
      </c>
      <c r="T62" s="38">
        <v>0</v>
      </c>
      <c r="U62" s="39">
        <f>+IFERROR((FT_RF_264[[#This Row],[Partidas]]/FT_RF_264[[#This Row],[Muestra]]),"0")</f>
        <v>0</v>
      </c>
      <c r="V62" s="38">
        <v>0</v>
      </c>
      <c r="W62" s="39">
        <f>+IFERROR((FT_RF_264[[#This Row],[Daño Insecto]]/FT_RF_264[[#This Row],[Muestra]]),"0")</f>
        <v>0</v>
      </c>
      <c r="X62" s="38">
        <v>0</v>
      </c>
      <c r="Y62" s="39">
        <f>+IFERROR((FT_RF_264[[#This Row],[Sobremadura]]/FT_RF_264[[#This Row],[Muestra]]),"0")</f>
        <v>0</v>
      </c>
      <c r="Z62" s="38">
        <v>0</v>
      </c>
      <c r="AA62" s="39">
        <f>+IFERROR((FT_RF_264[[#This Row],[Deforme]]/FT_RF_264[[#This Row],[Muestra]]),"0")</f>
        <v>0</v>
      </c>
      <c r="AB62" s="27"/>
      <c r="AC62" s="38">
        <v>0</v>
      </c>
      <c r="AD62" s="39">
        <f>+IFERROR((FT_RF_264[[#This Row],[Valor Extra 1]]/FT_RF_264[[#This Row],[Muestra]]),"0")</f>
        <v>0</v>
      </c>
      <c r="AF62" s="38">
        <v>0</v>
      </c>
      <c r="AG62" s="39">
        <f>+IFERROR((FT_RF_264[[#This Row],[Valor Extra 2]]/FT_RF_264[[#This Row],[Muestra]]),"0")</f>
        <v>0</v>
      </c>
      <c r="AH62" s="40">
        <v>0</v>
      </c>
      <c r="AI62" s="39">
        <f>+IFERROR((FT_RF_264[[#This Row],[Hongos]]/FT_RF_264[[#This Row],[Muestra]]),"0")</f>
        <v>0</v>
      </c>
      <c r="AJ62" s="38">
        <v>0</v>
      </c>
      <c r="AK62" s="39">
        <f>+IFERROR((FT_RF_264[[#This Row],[Block]]/FT_RF_264[[#This Row],[Muestra]]),"0")</f>
        <v>0</v>
      </c>
      <c r="AL62" s="41">
        <v>0</v>
      </c>
      <c r="AM62" s="42">
        <v>0</v>
      </c>
      <c r="AN62" s="38">
        <v>0</v>
      </c>
      <c r="AO62" s="39">
        <f>+IFERROR((FT_RF_264[[#This Row],[Fuera de calibre &lt;12mm]]/FT_RF_264[[#This Row],[Muestra]]),"0")</f>
        <v>0</v>
      </c>
      <c r="AP62" s="38">
        <v>0</v>
      </c>
      <c r="AQ62" s="39">
        <f>+IFERROR((FT_RF_264[[#This Row],[Calibre &lt;25]]/FT_RF_264[[#This Row],[Muestra]]),"0")</f>
        <v>0</v>
      </c>
      <c r="AR62" s="38">
        <v>0</v>
      </c>
      <c r="AS62" s="39">
        <f>+IFERROR((FT_RF_264[[#This Row],[Calibre &gt;12]]/FT_RF_264[[#This Row],[Muestra]]),"0")</f>
        <v>0</v>
      </c>
      <c r="AT62" s="38">
        <v>0</v>
      </c>
      <c r="AU62" s="39">
        <f>+IFERROR((FT_RF_264[[#This Row],[Calibre &lt;14]]/FT_RF_264[[#This Row],[Muestra]]),"0")</f>
        <v>0</v>
      </c>
      <c r="AV62" s="38">
        <v>0</v>
      </c>
      <c r="AW62" s="39">
        <f>+IFERROR((FT_RF_264[[#This Row],[Calibre &gt;14]]/FT_RF_264[[#This Row],[Muestra]]),"0")</f>
        <v>0</v>
      </c>
      <c r="AX62" s="38">
        <v>0</v>
      </c>
      <c r="AY62" s="39">
        <f>+IFERROR((FT_RF_264[[#This Row],[Calibre &lt;10]]/FT_RF_264[[#This Row],[Muestra]]),"0")</f>
        <v>0</v>
      </c>
      <c r="AZ62" s="38">
        <v>0</v>
      </c>
      <c r="BA62" s="39">
        <f>+IFERROR((FT_RF_264[[#This Row],[Calibre &gt;13]]/FT_RF_264[[#This Row],[Muestra]]),"0")</f>
        <v>0</v>
      </c>
      <c r="BB62" s="41"/>
      <c r="BG62" s="42"/>
      <c r="BH62" s="43">
        <v>0</v>
      </c>
      <c r="BI62" s="29" t="s">
        <v>894</v>
      </c>
      <c r="BJ62" s="29" t="s">
        <v>894</v>
      </c>
      <c r="BK6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6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62" s="45">
        <f>1-FT_RF_264[[#This Row],[% Defectos]]</f>
        <v>1</v>
      </c>
      <c r="BO62" s="60"/>
      <c r="BP62" s="12">
        <f>SUM(FT_RF_264[[#This Row],[Hoja (Un.)]:[Larvas Caja]])</f>
        <v>0</v>
      </c>
      <c r="BQ62" s="12">
        <f>SUM(FT_RF_264[[#This Row],[Vidrios]:[Plástico]])</f>
        <v>0</v>
      </c>
      <c r="BR62" s="12" t="str">
        <f>IF(ISBLANK(FT_RF_264[[#This Row],[Descripción del producto]]),"",FT_RF_264[[#This Row],[Descripción del producto]])</f>
        <v/>
      </c>
      <c r="BS62" s="29" t="str">
        <f>IF(ISBLANK(FT_RF_264[[#This Row],[N° de Lote]]),"",FT_RF_264[[#This Row],[N° de Lote]])</f>
        <v/>
      </c>
      <c r="BT62" s="29" t="str">
        <f>IF(ISBLANK(FT_RF_264[[#This Row],[N° de Pallet]]),"",FT_RF_264[[#This Row],[N° de Pallet]])</f>
        <v/>
      </c>
    </row>
    <row r="63" spans="2:72">
      <c r="B63" s="29">
        <f>+_xlfn.ISOWEEKNUM(FT_RF_264[[#This Row],[Fecha]])</f>
        <v>52</v>
      </c>
      <c r="E63" s="31"/>
      <c r="F63" s="12" t="str">
        <f>IFERROR(""&amp;_xlfn.XLOOKUP(FT_RF_264[[#This Row],[Código]],BD_Cod[SKU],BD_Cod[Descripción]),"")</f>
        <v/>
      </c>
      <c r="G63" s="32" t="str">
        <f>IFERROR(""&amp;_xlfn.XLOOKUP(FT_RF_264[[#This Row],[Código]],BD_Cod[SKU],BD_Cod[Familia Calidad]),"")</f>
        <v/>
      </c>
      <c r="J63" s="33">
        <v>1000</v>
      </c>
      <c r="L63" s="30" t="s">
        <v>244</v>
      </c>
      <c r="O63" s="30" t="s">
        <v>894</v>
      </c>
      <c r="P63" s="29" t="s">
        <v>894</v>
      </c>
      <c r="Q63" s="37">
        <f>1-FT_RF_264[[#This Row],[% Defectos]]</f>
        <v>1</v>
      </c>
      <c r="R63" s="38">
        <v>0</v>
      </c>
      <c r="S63" s="39">
        <f>+IFERROR((FT_RF_264[[#This Row],[Inmadura]]/FT_RF_264[[#This Row],[Muestra]]),"0")</f>
        <v>0</v>
      </c>
      <c r="T63" s="38">
        <v>0</v>
      </c>
      <c r="U63" s="39">
        <f>+IFERROR((FT_RF_264[[#This Row],[Partidas]]/FT_RF_264[[#This Row],[Muestra]]),"0")</f>
        <v>0</v>
      </c>
      <c r="V63" s="38">
        <v>0</v>
      </c>
      <c r="W63" s="39">
        <f>+IFERROR((FT_RF_264[[#This Row],[Daño Insecto]]/FT_RF_264[[#This Row],[Muestra]]),"0")</f>
        <v>0</v>
      </c>
      <c r="X63" s="38">
        <v>0</v>
      </c>
      <c r="Y63" s="39">
        <f>+IFERROR((FT_RF_264[[#This Row],[Sobremadura]]/FT_RF_264[[#This Row],[Muestra]]),"0")</f>
        <v>0</v>
      </c>
      <c r="Z63" s="38">
        <v>0</v>
      </c>
      <c r="AA63" s="39">
        <f>+IFERROR((FT_RF_264[[#This Row],[Deforme]]/FT_RF_264[[#This Row],[Muestra]]),"0")</f>
        <v>0</v>
      </c>
      <c r="AB63" s="27"/>
      <c r="AC63" s="38">
        <v>0</v>
      </c>
      <c r="AD63" s="39">
        <f>+IFERROR((FT_RF_264[[#This Row],[Valor Extra 1]]/FT_RF_264[[#This Row],[Muestra]]),"0")</f>
        <v>0</v>
      </c>
      <c r="AF63" s="38">
        <v>0</v>
      </c>
      <c r="AG63" s="39">
        <f>+IFERROR((FT_RF_264[[#This Row],[Valor Extra 2]]/FT_RF_264[[#This Row],[Muestra]]),"0")</f>
        <v>0</v>
      </c>
      <c r="AH63" s="40">
        <v>0</v>
      </c>
      <c r="AI63" s="39">
        <f>+IFERROR((FT_RF_264[[#This Row],[Hongos]]/FT_RF_264[[#This Row],[Muestra]]),"0")</f>
        <v>0</v>
      </c>
      <c r="AJ63" s="38">
        <v>0</v>
      </c>
      <c r="AK63" s="39">
        <f>+IFERROR((FT_RF_264[[#This Row],[Block]]/FT_RF_264[[#This Row],[Muestra]]),"0")</f>
        <v>0</v>
      </c>
      <c r="AL63" s="41">
        <v>0</v>
      </c>
      <c r="AM63" s="42">
        <v>0</v>
      </c>
      <c r="AN63" s="38">
        <v>0</v>
      </c>
      <c r="AO63" s="39">
        <f>+IFERROR((FT_RF_264[[#This Row],[Fuera de calibre &lt;12mm]]/FT_RF_264[[#This Row],[Muestra]]),"0")</f>
        <v>0</v>
      </c>
      <c r="AP63" s="38">
        <v>0</v>
      </c>
      <c r="AQ63" s="39">
        <f>+IFERROR((FT_RF_264[[#This Row],[Calibre &lt;25]]/FT_RF_264[[#This Row],[Muestra]]),"0")</f>
        <v>0</v>
      </c>
      <c r="AR63" s="38">
        <v>0</v>
      </c>
      <c r="AS63" s="39">
        <f>+IFERROR((FT_RF_264[[#This Row],[Calibre &gt;12]]/FT_RF_264[[#This Row],[Muestra]]),"0")</f>
        <v>0</v>
      </c>
      <c r="AT63" s="38">
        <v>0</v>
      </c>
      <c r="AU63" s="39">
        <f>+IFERROR((FT_RF_264[[#This Row],[Calibre &lt;14]]/FT_RF_264[[#This Row],[Muestra]]),"0")</f>
        <v>0</v>
      </c>
      <c r="AV63" s="38">
        <v>0</v>
      </c>
      <c r="AW63" s="39">
        <f>+IFERROR((FT_RF_264[[#This Row],[Calibre &gt;14]]/FT_RF_264[[#This Row],[Muestra]]),"0")</f>
        <v>0</v>
      </c>
      <c r="AX63" s="38">
        <v>0</v>
      </c>
      <c r="AY63" s="39">
        <f>+IFERROR((FT_RF_264[[#This Row],[Calibre &lt;10]]/FT_RF_264[[#This Row],[Muestra]]),"0")</f>
        <v>0</v>
      </c>
      <c r="AZ63" s="38">
        <v>0</v>
      </c>
      <c r="BA63" s="39">
        <f>+IFERROR((FT_RF_264[[#This Row],[Calibre &gt;13]]/FT_RF_264[[#This Row],[Muestra]]),"0")</f>
        <v>0</v>
      </c>
      <c r="BB63" s="41"/>
      <c r="BG63" s="42"/>
      <c r="BH63" s="43">
        <v>0</v>
      </c>
      <c r="BI63" s="29" t="s">
        <v>894</v>
      </c>
      <c r="BJ63" s="29" t="s">
        <v>894</v>
      </c>
      <c r="BK6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6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63" s="45">
        <f>1-FT_RF_264[[#This Row],[% Defectos]]</f>
        <v>1</v>
      </c>
      <c r="BO63" s="60"/>
      <c r="BP63" s="12">
        <f>SUM(FT_RF_264[[#This Row],[Hoja (Un.)]:[Larvas Caja]])</f>
        <v>0</v>
      </c>
      <c r="BQ63" s="12">
        <f>SUM(FT_RF_264[[#This Row],[Vidrios]:[Plástico]])</f>
        <v>0</v>
      </c>
      <c r="BR63" s="12" t="str">
        <f>IF(ISBLANK(FT_RF_264[[#This Row],[Descripción del producto]]),"",FT_RF_264[[#This Row],[Descripción del producto]])</f>
        <v/>
      </c>
      <c r="BS63" s="29" t="str">
        <f>IF(ISBLANK(FT_RF_264[[#This Row],[N° de Lote]]),"",FT_RF_264[[#This Row],[N° de Lote]])</f>
        <v/>
      </c>
      <c r="BT63" s="29" t="str">
        <f>IF(ISBLANK(FT_RF_264[[#This Row],[N° de Pallet]]),"",FT_RF_264[[#This Row],[N° de Pallet]])</f>
        <v/>
      </c>
    </row>
    <row r="64" spans="2:72">
      <c r="B64" s="29">
        <f>+_xlfn.ISOWEEKNUM(FT_RF_264[[#This Row],[Fecha]])</f>
        <v>52</v>
      </c>
      <c r="E64" s="31"/>
      <c r="F64" s="12" t="str">
        <f>IFERROR(""&amp;_xlfn.XLOOKUP(FT_RF_264[[#This Row],[Código]],BD_Cod[SKU],BD_Cod[Descripción]),"")</f>
        <v/>
      </c>
      <c r="G64" s="32" t="str">
        <f>IFERROR(""&amp;_xlfn.XLOOKUP(FT_RF_264[[#This Row],[Código]],BD_Cod[SKU],BD_Cod[Familia Calidad]),"")</f>
        <v/>
      </c>
      <c r="J64" s="33">
        <v>1000</v>
      </c>
      <c r="L64" s="30" t="s">
        <v>244</v>
      </c>
      <c r="O64" s="30" t="s">
        <v>894</v>
      </c>
      <c r="P64" s="29" t="s">
        <v>894</v>
      </c>
      <c r="Q64" s="37">
        <f>1-FT_RF_264[[#This Row],[% Defectos]]</f>
        <v>1</v>
      </c>
      <c r="R64" s="38">
        <v>0</v>
      </c>
      <c r="S64" s="39">
        <f>+IFERROR((FT_RF_264[[#This Row],[Inmadura]]/FT_RF_264[[#This Row],[Muestra]]),"0")</f>
        <v>0</v>
      </c>
      <c r="T64" s="38">
        <v>0</v>
      </c>
      <c r="U64" s="39">
        <f>+IFERROR((FT_RF_264[[#This Row],[Partidas]]/FT_RF_264[[#This Row],[Muestra]]),"0")</f>
        <v>0</v>
      </c>
      <c r="V64" s="38">
        <v>0</v>
      </c>
      <c r="W64" s="39">
        <f>+IFERROR((FT_RF_264[[#This Row],[Daño Insecto]]/FT_RF_264[[#This Row],[Muestra]]),"0")</f>
        <v>0</v>
      </c>
      <c r="X64" s="38">
        <v>0</v>
      </c>
      <c r="Y64" s="39">
        <f>+IFERROR((FT_RF_264[[#This Row],[Sobremadura]]/FT_RF_264[[#This Row],[Muestra]]),"0")</f>
        <v>0</v>
      </c>
      <c r="Z64" s="38">
        <v>0</v>
      </c>
      <c r="AA64" s="39">
        <f>+IFERROR((FT_RF_264[[#This Row],[Deforme]]/FT_RF_264[[#This Row],[Muestra]]),"0")</f>
        <v>0</v>
      </c>
      <c r="AB64" s="27"/>
      <c r="AC64" s="38">
        <v>0</v>
      </c>
      <c r="AD64" s="39">
        <f>+IFERROR((FT_RF_264[[#This Row],[Valor Extra 1]]/FT_RF_264[[#This Row],[Muestra]]),"0")</f>
        <v>0</v>
      </c>
      <c r="AF64" s="38">
        <v>0</v>
      </c>
      <c r="AG64" s="39">
        <f>+IFERROR((FT_RF_264[[#This Row],[Valor Extra 2]]/FT_RF_264[[#This Row],[Muestra]]),"0")</f>
        <v>0</v>
      </c>
      <c r="AH64" s="40">
        <v>0</v>
      </c>
      <c r="AI64" s="39">
        <f>+IFERROR((FT_RF_264[[#This Row],[Hongos]]/FT_RF_264[[#This Row],[Muestra]]),"0")</f>
        <v>0</v>
      </c>
      <c r="AJ64" s="38">
        <v>0</v>
      </c>
      <c r="AK64" s="39">
        <f>+IFERROR((FT_RF_264[[#This Row],[Block]]/FT_RF_264[[#This Row],[Muestra]]),"0")</f>
        <v>0</v>
      </c>
      <c r="AL64" s="41">
        <v>0</v>
      </c>
      <c r="AM64" s="42">
        <v>0</v>
      </c>
      <c r="AN64" s="38">
        <v>0</v>
      </c>
      <c r="AO64" s="39">
        <f>+IFERROR((FT_RF_264[[#This Row],[Fuera de calibre &lt;12mm]]/FT_RF_264[[#This Row],[Muestra]]),"0")</f>
        <v>0</v>
      </c>
      <c r="AP64" s="38">
        <v>0</v>
      </c>
      <c r="AQ64" s="39">
        <f>+IFERROR((FT_RF_264[[#This Row],[Calibre &lt;25]]/FT_RF_264[[#This Row],[Muestra]]),"0")</f>
        <v>0</v>
      </c>
      <c r="AR64" s="38">
        <v>0</v>
      </c>
      <c r="AS64" s="39">
        <f>+IFERROR((FT_RF_264[[#This Row],[Calibre &gt;12]]/FT_RF_264[[#This Row],[Muestra]]),"0")</f>
        <v>0</v>
      </c>
      <c r="AT64" s="38">
        <v>0</v>
      </c>
      <c r="AU64" s="39">
        <f>+IFERROR((FT_RF_264[[#This Row],[Calibre &lt;14]]/FT_RF_264[[#This Row],[Muestra]]),"0")</f>
        <v>0</v>
      </c>
      <c r="AV64" s="38">
        <v>0</v>
      </c>
      <c r="AW64" s="39">
        <f>+IFERROR((FT_RF_264[[#This Row],[Calibre &gt;14]]/FT_RF_264[[#This Row],[Muestra]]),"0")</f>
        <v>0</v>
      </c>
      <c r="AX64" s="38">
        <v>0</v>
      </c>
      <c r="AY64" s="39">
        <f>+IFERROR((FT_RF_264[[#This Row],[Calibre &lt;10]]/FT_RF_264[[#This Row],[Muestra]]),"0")</f>
        <v>0</v>
      </c>
      <c r="AZ64" s="38">
        <v>0</v>
      </c>
      <c r="BA64" s="39">
        <f>+IFERROR((FT_RF_264[[#This Row],[Calibre &gt;13]]/FT_RF_264[[#This Row],[Muestra]]),"0")</f>
        <v>0</v>
      </c>
      <c r="BB64" s="41"/>
      <c r="BG64" s="42"/>
      <c r="BH64" s="43">
        <v>0</v>
      </c>
      <c r="BI64" s="29" t="s">
        <v>894</v>
      </c>
      <c r="BJ64" s="29" t="s">
        <v>894</v>
      </c>
      <c r="BK6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6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64" s="45">
        <f>1-FT_RF_264[[#This Row],[% Defectos]]</f>
        <v>1</v>
      </c>
      <c r="BO64" s="60"/>
      <c r="BP64" s="12">
        <f>SUM(FT_RF_264[[#This Row],[Hoja (Un.)]:[Larvas Caja]])</f>
        <v>0</v>
      </c>
      <c r="BQ64" s="12">
        <f>SUM(FT_RF_264[[#This Row],[Vidrios]:[Plástico]])</f>
        <v>0</v>
      </c>
      <c r="BR64" s="12" t="str">
        <f>IF(ISBLANK(FT_RF_264[[#This Row],[Descripción del producto]]),"",FT_RF_264[[#This Row],[Descripción del producto]])</f>
        <v/>
      </c>
      <c r="BS64" s="29" t="str">
        <f>IF(ISBLANK(FT_RF_264[[#This Row],[N° de Lote]]),"",FT_RF_264[[#This Row],[N° de Lote]])</f>
        <v/>
      </c>
      <c r="BT64" s="29" t="str">
        <f>IF(ISBLANK(FT_RF_264[[#This Row],[N° de Pallet]]),"",FT_RF_264[[#This Row],[N° de Pallet]])</f>
        <v/>
      </c>
    </row>
    <row r="65" spans="2:72">
      <c r="B65" s="29">
        <f>+_xlfn.ISOWEEKNUM(FT_RF_264[[#This Row],[Fecha]])</f>
        <v>52</v>
      </c>
      <c r="E65" s="31"/>
      <c r="F65" s="12" t="str">
        <f>IFERROR(""&amp;_xlfn.XLOOKUP(FT_RF_264[[#This Row],[Código]],BD_Cod[SKU],BD_Cod[Descripción]),"")</f>
        <v/>
      </c>
      <c r="G65" s="32" t="str">
        <f>IFERROR(""&amp;_xlfn.XLOOKUP(FT_RF_264[[#This Row],[Código]],BD_Cod[SKU],BD_Cod[Familia Calidad]),"")</f>
        <v/>
      </c>
      <c r="J65" s="33">
        <v>1000</v>
      </c>
      <c r="L65" s="30" t="s">
        <v>244</v>
      </c>
      <c r="O65" s="30" t="s">
        <v>894</v>
      </c>
      <c r="P65" s="29" t="s">
        <v>894</v>
      </c>
      <c r="Q65" s="37">
        <f>1-FT_RF_264[[#This Row],[% Defectos]]</f>
        <v>1</v>
      </c>
      <c r="R65" s="38">
        <v>0</v>
      </c>
      <c r="S65" s="39">
        <f>+IFERROR((FT_RF_264[[#This Row],[Inmadura]]/FT_RF_264[[#This Row],[Muestra]]),"0")</f>
        <v>0</v>
      </c>
      <c r="T65" s="38">
        <v>0</v>
      </c>
      <c r="U65" s="39">
        <f>+IFERROR((FT_RF_264[[#This Row],[Partidas]]/FT_RF_264[[#This Row],[Muestra]]),"0")</f>
        <v>0</v>
      </c>
      <c r="V65" s="38">
        <v>0</v>
      </c>
      <c r="W65" s="39">
        <f>+IFERROR((FT_RF_264[[#This Row],[Daño Insecto]]/FT_RF_264[[#This Row],[Muestra]]),"0")</f>
        <v>0</v>
      </c>
      <c r="X65" s="38">
        <v>0</v>
      </c>
      <c r="Y65" s="39">
        <f>+IFERROR((FT_RF_264[[#This Row],[Sobremadura]]/FT_RF_264[[#This Row],[Muestra]]),"0")</f>
        <v>0</v>
      </c>
      <c r="Z65" s="38">
        <v>0</v>
      </c>
      <c r="AA65" s="39">
        <f>+IFERROR((FT_RF_264[[#This Row],[Deforme]]/FT_RF_264[[#This Row],[Muestra]]),"0")</f>
        <v>0</v>
      </c>
      <c r="AB65" s="27"/>
      <c r="AC65" s="38">
        <v>0</v>
      </c>
      <c r="AD65" s="39">
        <f>+IFERROR((FT_RF_264[[#This Row],[Valor Extra 1]]/FT_RF_264[[#This Row],[Muestra]]),"0")</f>
        <v>0</v>
      </c>
      <c r="AF65" s="38">
        <v>0</v>
      </c>
      <c r="AG65" s="39">
        <f>+IFERROR((FT_RF_264[[#This Row],[Valor Extra 2]]/FT_RF_264[[#This Row],[Muestra]]),"0")</f>
        <v>0</v>
      </c>
      <c r="AH65" s="40">
        <v>0</v>
      </c>
      <c r="AI65" s="39">
        <f>+IFERROR((FT_RF_264[[#This Row],[Hongos]]/FT_RF_264[[#This Row],[Muestra]]),"0")</f>
        <v>0</v>
      </c>
      <c r="AJ65" s="38">
        <v>0</v>
      </c>
      <c r="AK65" s="39">
        <f>+IFERROR((FT_RF_264[[#This Row],[Block]]/FT_RF_264[[#This Row],[Muestra]]),"0")</f>
        <v>0</v>
      </c>
      <c r="AL65" s="41">
        <v>0</v>
      </c>
      <c r="AM65" s="42">
        <v>0</v>
      </c>
      <c r="AN65" s="38">
        <v>0</v>
      </c>
      <c r="AO65" s="39">
        <f>+IFERROR((FT_RF_264[[#This Row],[Fuera de calibre &lt;12mm]]/FT_RF_264[[#This Row],[Muestra]]),"0")</f>
        <v>0</v>
      </c>
      <c r="AP65" s="38">
        <v>0</v>
      </c>
      <c r="AQ65" s="39">
        <f>+IFERROR((FT_RF_264[[#This Row],[Calibre &lt;25]]/FT_RF_264[[#This Row],[Muestra]]),"0")</f>
        <v>0</v>
      </c>
      <c r="AR65" s="38">
        <v>0</v>
      </c>
      <c r="AS65" s="39">
        <f>+IFERROR((FT_RF_264[[#This Row],[Calibre &gt;12]]/FT_RF_264[[#This Row],[Muestra]]),"0")</f>
        <v>0</v>
      </c>
      <c r="AT65" s="38">
        <v>0</v>
      </c>
      <c r="AU65" s="39">
        <f>+IFERROR((FT_RF_264[[#This Row],[Calibre &lt;14]]/FT_RF_264[[#This Row],[Muestra]]),"0")</f>
        <v>0</v>
      </c>
      <c r="AV65" s="38">
        <v>0</v>
      </c>
      <c r="AW65" s="39">
        <f>+IFERROR((FT_RF_264[[#This Row],[Calibre &gt;14]]/FT_RF_264[[#This Row],[Muestra]]),"0")</f>
        <v>0</v>
      </c>
      <c r="AX65" s="38">
        <v>0</v>
      </c>
      <c r="AY65" s="39">
        <f>+IFERROR((FT_RF_264[[#This Row],[Calibre &lt;10]]/FT_RF_264[[#This Row],[Muestra]]),"0")</f>
        <v>0</v>
      </c>
      <c r="AZ65" s="38">
        <v>0</v>
      </c>
      <c r="BA65" s="39">
        <f>+IFERROR((FT_RF_264[[#This Row],[Calibre &gt;13]]/FT_RF_264[[#This Row],[Muestra]]),"0")</f>
        <v>0</v>
      </c>
      <c r="BB65" s="41"/>
      <c r="BG65" s="42"/>
      <c r="BH65" s="43">
        <v>0</v>
      </c>
      <c r="BI65" s="29" t="s">
        <v>894</v>
      </c>
      <c r="BJ65" s="29" t="s">
        <v>894</v>
      </c>
      <c r="BK6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6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65" s="45">
        <f>1-FT_RF_264[[#This Row],[% Defectos]]</f>
        <v>1</v>
      </c>
      <c r="BO65" s="60"/>
      <c r="BP65" s="12">
        <f>SUM(FT_RF_264[[#This Row],[Hoja (Un.)]:[Larvas Caja]])</f>
        <v>0</v>
      </c>
      <c r="BQ65" s="12">
        <f>SUM(FT_RF_264[[#This Row],[Vidrios]:[Plástico]])</f>
        <v>0</v>
      </c>
      <c r="BR65" s="12" t="str">
        <f>IF(ISBLANK(FT_RF_264[[#This Row],[Descripción del producto]]),"",FT_RF_264[[#This Row],[Descripción del producto]])</f>
        <v/>
      </c>
      <c r="BS65" s="29" t="str">
        <f>IF(ISBLANK(FT_RF_264[[#This Row],[N° de Lote]]),"",FT_RF_264[[#This Row],[N° de Lote]])</f>
        <v/>
      </c>
      <c r="BT65" s="29" t="str">
        <f>IF(ISBLANK(FT_RF_264[[#This Row],[N° de Pallet]]),"",FT_RF_264[[#This Row],[N° de Pallet]])</f>
        <v/>
      </c>
    </row>
    <row r="66" spans="2:72">
      <c r="B66" s="29">
        <f>+_xlfn.ISOWEEKNUM(FT_RF_264[[#This Row],[Fecha]])</f>
        <v>52</v>
      </c>
      <c r="E66" s="31"/>
      <c r="F66" s="12" t="str">
        <f>IFERROR(""&amp;_xlfn.XLOOKUP(FT_RF_264[[#This Row],[Código]],BD_Cod[SKU],BD_Cod[Descripción]),"")</f>
        <v/>
      </c>
      <c r="G66" s="32" t="str">
        <f>IFERROR(""&amp;_xlfn.XLOOKUP(FT_RF_264[[#This Row],[Código]],BD_Cod[SKU],BD_Cod[Familia Calidad]),"")</f>
        <v/>
      </c>
      <c r="J66" s="33">
        <v>1000</v>
      </c>
      <c r="L66" s="30" t="s">
        <v>244</v>
      </c>
      <c r="O66" s="30" t="s">
        <v>894</v>
      </c>
      <c r="P66" s="29" t="s">
        <v>894</v>
      </c>
      <c r="Q66" s="37">
        <f>1-FT_RF_264[[#This Row],[% Defectos]]</f>
        <v>1</v>
      </c>
      <c r="R66" s="38">
        <v>0</v>
      </c>
      <c r="S66" s="39">
        <f>+IFERROR((FT_RF_264[[#This Row],[Inmadura]]/FT_RF_264[[#This Row],[Muestra]]),"0")</f>
        <v>0</v>
      </c>
      <c r="T66" s="38">
        <v>0</v>
      </c>
      <c r="U66" s="39">
        <f>+IFERROR((FT_RF_264[[#This Row],[Partidas]]/FT_RF_264[[#This Row],[Muestra]]),"0")</f>
        <v>0</v>
      </c>
      <c r="V66" s="38">
        <v>0</v>
      </c>
      <c r="W66" s="39">
        <f>+IFERROR((FT_RF_264[[#This Row],[Daño Insecto]]/FT_RF_264[[#This Row],[Muestra]]),"0")</f>
        <v>0</v>
      </c>
      <c r="X66" s="38">
        <v>0</v>
      </c>
      <c r="Y66" s="39">
        <f>+IFERROR((FT_RF_264[[#This Row],[Sobremadura]]/FT_RF_264[[#This Row],[Muestra]]),"0")</f>
        <v>0</v>
      </c>
      <c r="Z66" s="38">
        <v>0</v>
      </c>
      <c r="AA66" s="39">
        <f>+IFERROR((FT_RF_264[[#This Row],[Deforme]]/FT_RF_264[[#This Row],[Muestra]]),"0")</f>
        <v>0</v>
      </c>
      <c r="AB66" s="27"/>
      <c r="AC66" s="38">
        <v>0</v>
      </c>
      <c r="AD66" s="39">
        <f>+IFERROR((FT_RF_264[[#This Row],[Valor Extra 1]]/FT_RF_264[[#This Row],[Muestra]]),"0")</f>
        <v>0</v>
      </c>
      <c r="AF66" s="38">
        <v>0</v>
      </c>
      <c r="AG66" s="39">
        <f>+IFERROR((FT_RF_264[[#This Row],[Valor Extra 2]]/FT_RF_264[[#This Row],[Muestra]]),"0")</f>
        <v>0</v>
      </c>
      <c r="AH66" s="40">
        <v>0</v>
      </c>
      <c r="AI66" s="39">
        <f>+IFERROR((FT_RF_264[[#This Row],[Hongos]]/FT_RF_264[[#This Row],[Muestra]]),"0")</f>
        <v>0</v>
      </c>
      <c r="AJ66" s="38">
        <v>0</v>
      </c>
      <c r="AK66" s="39">
        <f>+IFERROR((FT_RF_264[[#This Row],[Block]]/FT_RF_264[[#This Row],[Muestra]]),"0")</f>
        <v>0</v>
      </c>
      <c r="AL66" s="41">
        <v>0</v>
      </c>
      <c r="AM66" s="42">
        <v>0</v>
      </c>
      <c r="AN66" s="38">
        <v>0</v>
      </c>
      <c r="AO66" s="39">
        <f>+IFERROR((FT_RF_264[[#This Row],[Fuera de calibre &lt;12mm]]/FT_RF_264[[#This Row],[Muestra]]),"0")</f>
        <v>0</v>
      </c>
      <c r="AP66" s="38">
        <v>0</v>
      </c>
      <c r="AQ66" s="39">
        <f>+IFERROR((FT_RF_264[[#This Row],[Calibre &lt;25]]/FT_RF_264[[#This Row],[Muestra]]),"0")</f>
        <v>0</v>
      </c>
      <c r="AR66" s="38">
        <v>0</v>
      </c>
      <c r="AS66" s="39">
        <f>+IFERROR((FT_RF_264[[#This Row],[Calibre &gt;12]]/FT_RF_264[[#This Row],[Muestra]]),"0")</f>
        <v>0</v>
      </c>
      <c r="AT66" s="38">
        <v>0</v>
      </c>
      <c r="AU66" s="39">
        <f>+IFERROR((FT_RF_264[[#This Row],[Calibre &lt;14]]/FT_RF_264[[#This Row],[Muestra]]),"0")</f>
        <v>0</v>
      </c>
      <c r="AV66" s="38">
        <v>0</v>
      </c>
      <c r="AW66" s="39">
        <f>+IFERROR((FT_RF_264[[#This Row],[Calibre &gt;14]]/FT_RF_264[[#This Row],[Muestra]]),"0")</f>
        <v>0</v>
      </c>
      <c r="AX66" s="38">
        <v>0</v>
      </c>
      <c r="AY66" s="39">
        <f>+IFERROR((FT_RF_264[[#This Row],[Calibre &lt;10]]/FT_RF_264[[#This Row],[Muestra]]),"0")</f>
        <v>0</v>
      </c>
      <c r="AZ66" s="38">
        <v>0</v>
      </c>
      <c r="BA66" s="39">
        <f>+IFERROR((FT_RF_264[[#This Row],[Calibre &gt;13]]/FT_RF_264[[#This Row],[Muestra]]),"0")</f>
        <v>0</v>
      </c>
      <c r="BB66" s="41"/>
      <c r="BG66" s="42"/>
      <c r="BH66" s="43">
        <v>0</v>
      </c>
      <c r="BI66" s="29" t="s">
        <v>894</v>
      </c>
      <c r="BJ66" s="29" t="s">
        <v>894</v>
      </c>
      <c r="BK6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6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66" s="45">
        <f>1-FT_RF_264[[#This Row],[% Defectos]]</f>
        <v>1</v>
      </c>
      <c r="BO66" s="60"/>
      <c r="BP66" s="12">
        <f>SUM(FT_RF_264[[#This Row],[Hoja (Un.)]:[Larvas Caja]])</f>
        <v>0</v>
      </c>
      <c r="BQ66" s="12">
        <f>SUM(FT_RF_264[[#This Row],[Vidrios]:[Plástico]])</f>
        <v>0</v>
      </c>
      <c r="BR66" s="12" t="str">
        <f>IF(ISBLANK(FT_RF_264[[#This Row],[Descripción del producto]]),"",FT_RF_264[[#This Row],[Descripción del producto]])</f>
        <v/>
      </c>
      <c r="BS66" s="29" t="str">
        <f>IF(ISBLANK(FT_RF_264[[#This Row],[N° de Lote]]),"",FT_RF_264[[#This Row],[N° de Lote]])</f>
        <v/>
      </c>
      <c r="BT66" s="29" t="str">
        <f>IF(ISBLANK(FT_RF_264[[#This Row],[N° de Pallet]]),"",FT_RF_264[[#This Row],[N° de Pallet]])</f>
        <v/>
      </c>
    </row>
    <row r="67" spans="2:72">
      <c r="B67" s="29">
        <f>+_xlfn.ISOWEEKNUM(FT_RF_264[[#This Row],[Fecha]])</f>
        <v>52</v>
      </c>
      <c r="E67" s="31"/>
      <c r="F67" s="12" t="str">
        <f>IFERROR(""&amp;_xlfn.XLOOKUP(FT_RF_264[[#This Row],[Código]],BD_Cod[SKU],BD_Cod[Descripción]),"")</f>
        <v/>
      </c>
      <c r="G67" s="32" t="str">
        <f>IFERROR(""&amp;_xlfn.XLOOKUP(FT_RF_264[[#This Row],[Código]],BD_Cod[SKU],BD_Cod[Familia Calidad]),"")</f>
        <v/>
      </c>
      <c r="J67" s="33">
        <v>1000</v>
      </c>
      <c r="L67" s="30" t="s">
        <v>244</v>
      </c>
      <c r="O67" s="30" t="s">
        <v>894</v>
      </c>
      <c r="P67" s="29" t="s">
        <v>894</v>
      </c>
      <c r="Q67" s="37">
        <f>1-FT_RF_264[[#This Row],[% Defectos]]</f>
        <v>1</v>
      </c>
      <c r="R67" s="38">
        <v>0</v>
      </c>
      <c r="S67" s="39">
        <f>+IFERROR((FT_RF_264[[#This Row],[Inmadura]]/FT_RF_264[[#This Row],[Muestra]]),"0")</f>
        <v>0</v>
      </c>
      <c r="T67" s="38">
        <v>0</v>
      </c>
      <c r="U67" s="39">
        <f>+IFERROR((FT_RF_264[[#This Row],[Partidas]]/FT_RF_264[[#This Row],[Muestra]]),"0")</f>
        <v>0</v>
      </c>
      <c r="V67" s="38">
        <v>0</v>
      </c>
      <c r="W67" s="39">
        <f>+IFERROR((FT_RF_264[[#This Row],[Daño Insecto]]/FT_RF_264[[#This Row],[Muestra]]),"0")</f>
        <v>0</v>
      </c>
      <c r="X67" s="38">
        <v>0</v>
      </c>
      <c r="Y67" s="39">
        <f>+IFERROR((FT_RF_264[[#This Row],[Sobremadura]]/FT_RF_264[[#This Row],[Muestra]]),"0")</f>
        <v>0</v>
      </c>
      <c r="Z67" s="38">
        <v>0</v>
      </c>
      <c r="AA67" s="39">
        <f>+IFERROR((FT_RF_264[[#This Row],[Deforme]]/FT_RF_264[[#This Row],[Muestra]]),"0")</f>
        <v>0</v>
      </c>
      <c r="AB67" s="27"/>
      <c r="AC67" s="38">
        <v>0</v>
      </c>
      <c r="AD67" s="39">
        <f>+IFERROR((FT_RF_264[[#This Row],[Valor Extra 1]]/FT_RF_264[[#This Row],[Muestra]]),"0")</f>
        <v>0</v>
      </c>
      <c r="AF67" s="38">
        <v>0</v>
      </c>
      <c r="AG67" s="39">
        <f>+IFERROR((FT_RF_264[[#This Row],[Valor Extra 2]]/FT_RF_264[[#This Row],[Muestra]]),"0")</f>
        <v>0</v>
      </c>
      <c r="AH67" s="40">
        <v>0</v>
      </c>
      <c r="AI67" s="39">
        <f>+IFERROR((FT_RF_264[[#This Row],[Hongos]]/FT_RF_264[[#This Row],[Muestra]]),"0")</f>
        <v>0</v>
      </c>
      <c r="AJ67" s="38">
        <v>0</v>
      </c>
      <c r="AK67" s="39">
        <f>+IFERROR((FT_RF_264[[#This Row],[Block]]/FT_RF_264[[#This Row],[Muestra]]),"0")</f>
        <v>0</v>
      </c>
      <c r="AL67" s="41">
        <v>0</v>
      </c>
      <c r="AM67" s="42">
        <v>0</v>
      </c>
      <c r="AN67" s="38">
        <v>0</v>
      </c>
      <c r="AO67" s="39">
        <f>+IFERROR((FT_RF_264[[#This Row],[Fuera de calibre &lt;12mm]]/FT_RF_264[[#This Row],[Muestra]]),"0")</f>
        <v>0</v>
      </c>
      <c r="AP67" s="38">
        <v>0</v>
      </c>
      <c r="AQ67" s="39">
        <f>+IFERROR((FT_RF_264[[#This Row],[Calibre &lt;25]]/FT_RF_264[[#This Row],[Muestra]]),"0")</f>
        <v>0</v>
      </c>
      <c r="AR67" s="38">
        <v>0</v>
      </c>
      <c r="AS67" s="39">
        <f>+IFERROR((FT_RF_264[[#This Row],[Calibre &gt;12]]/FT_RF_264[[#This Row],[Muestra]]),"0")</f>
        <v>0</v>
      </c>
      <c r="AT67" s="38">
        <v>0</v>
      </c>
      <c r="AU67" s="39">
        <f>+IFERROR((FT_RF_264[[#This Row],[Calibre &lt;14]]/FT_RF_264[[#This Row],[Muestra]]),"0")</f>
        <v>0</v>
      </c>
      <c r="AV67" s="38">
        <v>0</v>
      </c>
      <c r="AW67" s="39">
        <f>+IFERROR((FT_RF_264[[#This Row],[Calibre &gt;14]]/FT_RF_264[[#This Row],[Muestra]]),"0")</f>
        <v>0</v>
      </c>
      <c r="AX67" s="38">
        <v>0</v>
      </c>
      <c r="AY67" s="39">
        <f>+IFERROR((FT_RF_264[[#This Row],[Calibre &lt;10]]/FT_RF_264[[#This Row],[Muestra]]),"0")</f>
        <v>0</v>
      </c>
      <c r="AZ67" s="38">
        <v>0</v>
      </c>
      <c r="BA67" s="39">
        <f>+IFERROR((FT_RF_264[[#This Row],[Calibre &gt;13]]/FT_RF_264[[#This Row],[Muestra]]),"0")</f>
        <v>0</v>
      </c>
      <c r="BB67" s="41"/>
      <c r="BG67" s="42"/>
      <c r="BH67" s="43">
        <v>0</v>
      </c>
      <c r="BI67" s="29" t="s">
        <v>894</v>
      </c>
      <c r="BJ67" s="29" t="s">
        <v>894</v>
      </c>
      <c r="BK6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6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67" s="45">
        <f>1-FT_RF_264[[#This Row],[% Defectos]]</f>
        <v>1</v>
      </c>
      <c r="BO67" s="60"/>
      <c r="BP67" s="12">
        <f>SUM(FT_RF_264[[#This Row],[Hoja (Un.)]:[Larvas Caja]])</f>
        <v>0</v>
      </c>
      <c r="BQ67" s="12">
        <f>SUM(FT_RF_264[[#This Row],[Vidrios]:[Plástico]])</f>
        <v>0</v>
      </c>
      <c r="BR67" s="12" t="str">
        <f>IF(ISBLANK(FT_RF_264[[#This Row],[Descripción del producto]]),"",FT_RF_264[[#This Row],[Descripción del producto]])</f>
        <v/>
      </c>
      <c r="BS67" s="29" t="str">
        <f>IF(ISBLANK(FT_RF_264[[#This Row],[N° de Lote]]),"",FT_RF_264[[#This Row],[N° de Lote]])</f>
        <v/>
      </c>
      <c r="BT67" s="29" t="str">
        <f>IF(ISBLANK(FT_RF_264[[#This Row],[N° de Pallet]]),"",FT_RF_264[[#This Row],[N° de Pallet]])</f>
        <v/>
      </c>
    </row>
    <row r="68" spans="2:72">
      <c r="B68" s="29">
        <f>+_xlfn.ISOWEEKNUM(FT_RF_264[[#This Row],[Fecha]])</f>
        <v>52</v>
      </c>
      <c r="E68" s="31"/>
      <c r="F68" s="12" t="str">
        <f>IFERROR(""&amp;_xlfn.XLOOKUP(FT_RF_264[[#This Row],[Código]],BD_Cod[SKU],BD_Cod[Descripción]),"")</f>
        <v/>
      </c>
      <c r="G68" s="32" t="str">
        <f>IFERROR(""&amp;_xlfn.XLOOKUP(FT_RF_264[[#This Row],[Código]],BD_Cod[SKU],BD_Cod[Familia Calidad]),"")</f>
        <v/>
      </c>
      <c r="J68" s="33">
        <v>1000</v>
      </c>
      <c r="L68" s="30" t="s">
        <v>244</v>
      </c>
      <c r="O68" s="30" t="s">
        <v>894</v>
      </c>
      <c r="P68" s="29" t="s">
        <v>894</v>
      </c>
      <c r="Q68" s="37">
        <f>1-FT_RF_264[[#This Row],[% Defectos]]</f>
        <v>1</v>
      </c>
      <c r="R68" s="38">
        <v>0</v>
      </c>
      <c r="S68" s="39">
        <f>+IFERROR((FT_RF_264[[#This Row],[Inmadura]]/FT_RF_264[[#This Row],[Muestra]]),"0")</f>
        <v>0</v>
      </c>
      <c r="T68" s="38">
        <v>0</v>
      </c>
      <c r="U68" s="39">
        <f>+IFERROR((FT_RF_264[[#This Row],[Partidas]]/FT_RF_264[[#This Row],[Muestra]]),"0")</f>
        <v>0</v>
      </c>
      <c r="V68" s="38">
        <v>0</v>
      </c>
      <c r="W68" s="39">
        <f>+IFERROR((FT_RF_264[[#This Row],[Daño Insecto]]/FT_RF_264[[#This Row],[Muestra]]),"0")</f>
        <v>0</v>
      </c>
      <c r="X68" s="38">
        <v>0</v>
      </c>
      <c r="Y68" s="39">
        <f>+IFERROR((FT_RF_264[[#This Row],[Sobremadura]]/FT_RF_264[[#This Row],[Muestra]]),"0")</f>
        <v>0</v>
      </c>
      <c r="Z68" s="38">
        <v>0</v>
      </c>
      <c r="AA68" s="39">
        <f>+IFERROR((FT_RF_264[[#This Row],[Deforme]]/FT_RF_264[[#This Row],[Muestra]]),"0")</f>
        <v>0</v>
      </c>
      <c r="AB68" s="27"/>
      <c r="AC68" s="38">
        <v>0</v>
      </c>
      <c r="AD68" s="39">
        <f>+IFERROR((FT_RF_264[[#This Row],[Valor Extra 1]]/FT_RF_264[[#This Row],[Muestra]]),"0")</f>
        <v>0</v>
      </c>
      <c r="AF68" s="38">
        <v>0</v>
      </c>
      <c r="AG68" s="39">
        <f>+IFERROR((FT_RF_264[[#This Row],[Valor Extra 2]]/FT_RF_264[[#This Row],[Muestra]]),"0")</f>
        <v>0</v>
      </c>
      <c r="AH68" s="40">
        <v>0</v>
      </c>
      <c r="AI68" s="39">
        <f>+IFERROR((FT_RF_264[[#This Row],[Hongos]]/FT_RF_264[[#This Row],[Muestra]]),"0")</f>
        <v>0</v>
      </c>
      <c r="AJ68" s="38">
        <v>0</v>
      </c>
      <c r="AK68" s="39">
        <f>+IFERROR((FT_RF_264[[#This Row],[Block]]/FT_RF_264[[#This Row],[Muestra]]),"0")</f>
        <v>0</v>
      </c>
      <c r="AL68" s="41">
        <v>0</v>
      </c>
      <c r="AM68" s="42">
        <v>0</v>
      </c>
      <c r="AN68" s="38">
        <v>0</v>
      </c>
      <c r="AO68" s="39">
        <f>+IFERROR((FT_RF_264[[#This Row],[Fuera de calibre &lt;12mm]]/FT_RF_264[[#This Row],[Muestra]]),"0")</f>
        <v>0</v>
      </c>
      <c r="AP68" s="38">
        <v>0</v>
      </c>
      <c r="AQ68" s="39">
        <f>+IFERROR((FT_RF_264[[#This Row],[Calibre &lt;25]]/FT_RF_264[[#This Row],[Muestra]]),"0")</f>
        <v>0</v>
      </c>
      <c r="AR68" s="38">
        <v>0</v>
      </c>
      <c r="AS68" s="39">
        <f>+IFERROR((FT_RF_264[[#This Row],[Calibre &gt;12]]/FT_RF_264[[#This Row],[Muestra]]),"0")</f>
        <v>0</v>
      </c>
      <c r="AT68" s="38">
        <v>0</v>
      </c>
      <c r="AU68" s="39">
        <f>+IFERROR((FT_RF_264[[#This Row],[Calibre &lt;14]]/FT_RF_264[[#This Row],[Muestra]]),"0")</f>
        <v>0</v>
      </c>
      <c r="AV68" s="38">
        <v>0</v>
      </c>
      <c r="AW68" s="39">
        <f>+IFERROR((FT_RF_264[[#This Row],[Calibre &gt;14]]/FT_RF_264[[#This Row],[Muestra]]),"0")</f>
        <v>0</v>
      </c>
      <c r="AX68" s="38">
        <v>0</v>
      </c>
      <c r="AY68" s="39">
        <f>+IFERROR((FT_RF_264[[#This Row],[Calibre &lt;10]]/FT_RF_264[[#This Row],[Muestra]]),"0")</f>
        <v>0</v>
      </c>
      <c r="AZ68" s="38">
        <v>0</v>
      </c>
      <c r="BA68" s="39">
        <f>+IFERROR((FT_RF_264[[#This Row],[Calibre &gt;13]]/FT_RF_264[[#This Row],[Muestra]]),"0")</f>
        <v>0</v>
      </c>
      <c r="BB68" s="41"/>
      <c r="BG68" s="42"/>
      <c r="BH68" s="43">
        <v>0</v>
      </c>
      <c r="BI68" s="29" t="s">
        <v>894</v>
      </c>
      <c r="BJ68" s="29" t="s">
        <v>894</v>
      </c>
      <c r="BK6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6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68" s="45">
        <f>1-FT_RF_264[[#This Row],[% Defectos]]</f>
        <v>1</v>
      </c>
      <c r="BO68" s="60"/>
      <c r="BP68" s="12">
        <f>SUM(FT_RF_264[[#This Row],[Hoja (Un.)]:[Larvas Caja]])</f>
        <v>0</v>
      </c>
      <c r="BQ68" s="12">
        <f>SUM(FT_RF_264[[#This Row],[Vidrios]:[Plástico]])</f>
        <v>0</v>
      </c>
      <c r="BR68" s="12" t="str">
        <f>IF(ISBLANK(FT_RF_264[[#This Row],[Descripción del producto]]),"",FT_RF_264[[#This Row],[Descripción del producto]])</f>
        <v/>
      </c>
      <c r="BS68" s="29" t="str">
        <f>IF(ISBLANK(FT_RF_264[[#This Row],[N° de Lote]]),"",FT_RF_264[[#This Row],[N° de Lote]])</f>
        <v/>
      </c>
      <c r="BT68" s="29" t="str">
        <f>IF(ISBLANK(FT_RF_264[[#This Row],[N° de Pallet]]),"",FT_RF_264[[#This Row],[N° de Pallet]])</f>
        <v/>
      </c>
    </row>
    <row r="69" spans="2:72">
      <c r="B69" s="29">
        <f>+_xlfn.ISOWEEKNUM(FT_RF_264[[#This Row],[Fecha]])</f>
        <v>52</v>
      </c>
      <c r="E69" s="31"/>
      <c r="F69" s="12" t="str">
        <f>IFERROR(""&amp;_xlfn.XLOOKUP(FT_RF_264[[#This Row],[Código]],BD_Cod[SKU],BD_Cod[Descripción]),"")</f>
        <v/>
      </c>
      <c r="G69" s="32" t="str">
        <f>IFERROR(""&amp;_xlfn.XLOOKUP(FT_RF_264[[#This Row],[Código]],BD_Cod[SKU],BD_Cod[Familia Calidad]),"")</f>
        <v/>
      </c>
      <c r="J69" s="33">
        <v>1000</v>
      </c>
      <c r="L69" s="30" t="s">
        <v>244</v>
      </c>
      <c r="O69" s="30" t="s">
        <v>894</v>
      </c>
      <c r="P69" s="29" t="s">
        <v>894</v>
      </c>
      <c r="Q69" s="37">
        <f>1-FT_RF_264[[#This Row],[% Defectos]]</f>
        <v>1</v>
      </c>
      <c r="R69" s="38">
        <v>0</v>
      </c>
      <c r="S69" s="39">
        <f>+IFERROR((FT_RF_264[[#This Row],[Inmadura]]/FT_RF_264[[#This Row],[Muestra]]),"0")</f>
        <v>0</v>
      </c>
      <c r="T69" s="38">
        <v>0</v>
      </c>
      <c r="U69" s="39">
        <f>+IFERROR((FT_RF_264[[#This Row],[Partidas]]/FT_RF_264[[#This Row],[Muestra]]),"0")</f>
        <v>0</v>
      </c>
      <c r="V69" s="38">
        <v>0</v>
      </c>
      <c r="W69" s="39">
        <f>+IFERROR((FT_RF_264[[#This Row],[Daño Insecto]]/FT_RF_264[[#This Row],[Muestra]]),"0")</f>
        <v>0</v>
      </c>
      <c r="X69" s="38">
        <v>0</v>
      </c>
      <c r="Y69" s="39">
        <f>+IFERROR((FT_RF_264[[#This Row],[Sobremadura]]/FT_RF_264[[#This Row],[Muestra]]),"0")</f>
        <v>0</v>
      </c>
      <c r="Z69" s="38">
        <v>0</v>
      </c>
      <c r="AA69" s="39">
        <f>+IFERROR((FT_RF_264[[#This Row],[Deforme]]/FT_RF_264[[#This Row],[Muestra]]),"0")</f>
        <v>0</v>
      </c>
      <c r="AB69" s="27"/>
      <c r="AC69" s="38">
        <v>0</v>
      </c>
      <c r="AD69" s="39">
        <f>+IFERROR((FT_RF_264[[#This Row],[Valor Extra 1]]/FT_RF_264[[#This Row],[Muestra]]),"0")</f>
        <v>0</v>
      </c>
      <c r="AF69" s="38">
        <v>0</v>
      </c>
      <c r="AG69" s="39">
        <f>+IFERROR((FT_RF_264[[#This Row],[Valor Extra 2]]/FT_RF_264[[#This Row],[Muestra]]),"0")</f>
        <v>0</v>
      </c>
      <c r="AH69" s="40">
        <v>0</v>
      </c>
      <c r="AI69" s="39">
        <f>+IFERROR((FT_RF_264[[#This Row],[Hongos]]/FT_RF_264[[#This Row],[Muestra]]),"0")</f>
        <v>0</v>
      </c>
      <c r="AJ69" s="38">
        <v>0</v>
      </c>
      <c r="AK69" s="39">
        <f>+IFERROR((FT_RF_264[[#This Row],[Block]]/FT_RF_264[[#This Row],[Muestra]]),"0")</f>
        <v>0</v>
      </c>
      <c r="AL69" s="41">
        <v>0</v>
      </c>
      <c r="AM69" s="42">
        <v>0</v>
      </c>
      <c r="AN69" s="38">
        <v>0</v>
      </c>
      <c r="AO69" s="39">
        <f>+IFERROR((FT_RF_264[[#This Row],[Fuera de calibre &lt;12mm]]/FT_RF_264[[#This Row],[Muestra]]),"0")</f>
        <v>0</v>
      </c>
      <c r="AP69" s="38">
        <v>0</v>
      </c>
      <c r="AQ69" s="39">
        <f>+IFERROR((FT_RF_264[[#This Row],[Calibre &lt;25]]/FT_RF_264[[#This Row],[Muestra]]),"0")</f>
        <v>0</v>
      </c>
      <c r="AR69" s="38">
        <v>0</v>
      </c>
      <c r="AS69" s="39">
        <f>+IFERROR((FT_RF_264[[#This Row],[Calibre &gt;12]]/FT_RF_264[[#This Row],[Muestra]]),"0")</f>
        <v>0</v>
      </c>
      <c r="AT69" s="38">
        <v>0</v>
      </c>
      <c r="AU69" s="39">
        <f>+IFERROR((FT_RF_264[[#This Row],[Calibre &lt;14]]/FT_RF_264[[#This Row],[Muestra]]),"0")</f>
        <v>0</v>
      </c>
      <c r="AV69" s="38">
        <v>0</v>
      </c>
      <c r="AW69" s="39">
        <f>+IFERROR((FT_RF_264[[#This Row],[Calibre &gt;14]]/FT_RF_264[[#This Row],[Muestra]]),"0")</f>
        <v>0</v>
      </c>
      <c r="AX69" s="38">
        <v>0</v>
      </c>
      <c r="AY69" s="39">
        <f>+IFERROR((FT_RF_264[[#This Row],[Calibre &lt;10]]/FT_RF_264[[#This Row],[Muestra]]),"0")</f>
        <v>0</v>
      </c>
      <c r="AZ69" s="38">
        <v>0</v>
      </c>
      <c r="BA69" s="39">
        <f>+IFERROR((FT_RF_264[[#This Row],[Calibre &gt;13]]/FT_RF_264[[#This Row],[Muestra]]),"0")</f>
        <v>0</v>
      </c>
      <c r="BB69" s="41"/>
      <c r="BG69" s="42"/>
      <c r="BH69" s="43">
        <v>0</v>
      </c>
      <c r="BI69" s="29" t="s">
        <v>894</v>
      </c>
      <c r="BJ69" s="29" t="s">
        <v>894</v>
      </c>
      <c r="BK6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6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69" s="45">
        <f>1-FT_RF_264[[#This Row],[% Defectos]]</f>
        <v>1</v>
      </c>
      <c r="BO69" s="60"/>
      <c r="BP69" s="12">
        <f>SUM(FT_RF_264[[#This Row],[Hoja (Un.)]:[Larvas Caja]])</f>
        <v>0</v>
      </c>
      <c r="BQ69" s="12">
        <f>SUM(FT_RF_264[[#This Row],[Vidrios]:[Plástico]])</f>
        <v>0</v>
      </c>
      <c r="BR69" s="12" t="str">
        <f>IF(ISBLANK(FT_RF_264[[#This Row],[Descripción del producto]]),"",FT_RF_264[[#This Row],[Descripción del producto]])</f>
        <v/>
      </c>
      <c r="BS69" s="29" t="str">
        <f>IF(ISBLANK(FT_RF_264[[#This Row],[N° de Lote]]),"",FT_RF_264[[#This Row],[N° de Lote]])</f>
        <v/>
      </c>
      <c r="BT69" s="29" t="str">
        <f>IF(ISBLANK(FT_RF_264[[#This Row],[N° de Pallet]]),"",FT_RF_264[[#This Row],[N° de Pallet]])</f>
        <v/>
      </c>
    </row>
    <row r="70" spans="2:72">
      <c r="B70" s="29">
        <f>+_xlfn.ISOWEEKNUM(FT_RF_264[[#This Row],[Fecha]])</f>
        <v>52</v>
      </c>
      <c r="E70" s="31"/>
      <c r="F70" s="12" t="str">
        <f>IFERROR(""&amp;_xlfn.XLOOKUP(FT_RF_264[[#This Row],[Código]],BD_Cod[SKU],BD_Cod[Descripción]),"")</f>
        <v/>
      </c>
      <c r="G70" s="32" t="str">
        <f>IFERROR(""&amp;_xlfn.XLOOKUP(FT_RF_264[[#This Row],[Código]],BD_Cod[SKU],BD_Cod[Familia Calidad]),"")</f>
        <v/>
      </c>
      <c r="J70" s="33">
        <v>1000</v>
      </c>
      <c r="L70" s="30" t="s">
        <v>244</v>
      </c>
      <c r="O70" s="30" t="s">
        <v>894</v>
      </c>
      <c r="P70" s="29" t="s">
        <v>894</v>
      </c>
      <c r="Q70" s="37">
        <f>1-FT_RF_264[[#This Row],[% Defectos]]</f>
        <v>1</v>
      </c>
      <c r="R70" s="38">
        <v>0</v>
      </c>
      <c r="S70" s="39">
        <f>+IFERROR((FT_RF_264[[#This Row],[Inmadura]]/FT_RF_264[[#This Row],[Muestra]]),"0")</f>
        <v>0</v>
      </c>
      <c r="T70" s="38">
        <v>0</v>
      </c>
      <c r="U70" s="39">
        <f>+IFERROR((FT_RF_264[[#This Row],[Partidas]]/FT_RF_264[[#This Row],[Muestra]]),"0")</f>
        <v>0</v>
      </c>
      <c r="V70" s="38">
        <v>0</v>
      </c>
      <c r="W70" s="39">
        <f>+IFERROR((FT_RF_264[[#This Row],[Daño Insecto]]/FT_RF_264[[#This Row],[Muestra]]),"0")</f>
        <v>0</v>
      </c>
      <c r="X70" s="38">
        <v>0</v>
      </c>
      <c r="Y70" s="39">
        <f>+IFERROR((FT_RF_264[[#This Row],[Sobremadura]]/FT_RF_264[[#This Row],[Muestra]]),"0")</f>
        <v>0</v>
      </c>
      <c r="Z70" s="38">
        <v>0</v>
      </c>
      <c r="AA70" s="39">
        <f>+IFERROR((FT_RF_264[[#This Row],[Deforme]]/FT_RF_264[[#This Row],[Muestra]]),"0")</f>
        <v>0</v>
      </c>
      <c r="AB70" s="27"/>
      <c r="AC70" s="38">
        <v>0</v>
      </c>
      <c r="AD70" s="39">
        <f>+IFERROR((FT_RF_264[[#This Row],[Valor Extra 1]]/FT_RF_264[[#This Row],[Muestra]]),"0")</f>
        <v>0</v>
      </c>
      <c r="AF70" s="38">
        <v>0</v>
      </c>
      <c r="AG70" s="39">
        <f>+IFERROR((FT_RF_264[[#This Row],[Valor Extra 2]]/FT_RF_264[[#This Row],[Muestra]]),"0")</f>
        <v>0</v>
      </c>
      <c r="AH70" s="40">
        <v>0</v>
      </c>
      <c r="AI70" s="39">
        <f>+IFERROR((FT_RF_264[[#This Row],[Hongos]]/FT_RF_264[[#This Row],[Muestra]]),"0")</f>
        <v>0</v>
      </c>
      <c r="AJ70" s="38">
        <v>0</v>
      </c>
      <c r="AK70" s="39">
        <f>+IFERROR((FT_RF_264[[#This Row],[Block]]/FT_RF_264[[#This Row],[Muestra]]),"0")</f>
        <v>0</v>
      </c>
      <c r="AL70" s="41">
        <v>0</v>
      </c>
      <c r="AM70" s="42">
        <v>0</v>
      </c>
      <c r="AN70" s="38">
        <v>0</v>
      </c>
      <c r="AO70" s="39">
        <f>+IFERROR((FT_RF_264[[#This Row],[Fuera de calibre &lt;12mm]]/FT_RF_264[[#This Row],[Muestra]]),"0")</f>
        <v>0</v>
      </c>
      <c r="AP70" s="38">
        <v>0</v>
      </c>
      <c r="AQ70" s="39">
        <f>+IFERROR((FT_RF_264[[#This Row],[Calibre &lt;25]]/FT_RF_264[[#This Row],[Muestra]]),"0")</f>
        <v>0</v>
      </c>
      <c r="AR70" s="38">
        <v>0</v>
      </c>
      <c r="AS70" s="39">
        <f>+IFERROR((FT_RF_264[[#This Row],[Calibre &gt;12]]/FT_RF_264[[#This Row],[Muestra]]),"0")</f>
        <v>0</v>
      </c>
      <c r="AT70" s="38">
        <v>0</v>
      </c>
      <c r="AU70" s="39">
        <f>+IFERROR((FT_RF_264[[#This Row],[Calibre &lt;14]]/FT_RF_264[[#This Row],[Muestra]]),"0")</f>
        <v>0</v>
      </c>
      <c r="AV70" s="38">
        <v>0</v>
      </c>
      <c r="AW70" s="39">
        <f>+IFERROR((FT_RF_264[[#This Row],[Calibre &gt;14]]/FT_RF_264[[#This Row],[Muestra]]),"0")</f>
        <v>0</v>
      </c>
      <c r="AX70" s="38">
        <v>0</v>
      </c>
      <c r="AY70" s="39">
        <f>+IFERROR((FT_RF_264[[#This Row],[Calibre &lt;10]]/FT_RF_264[[#This Row],[Muestra]]),"0")</f>
        <v>0</v>
      </c>
      <c r="AZ70" s="38">
        <v>0</v>
      </c>
      <c r="BA70" s="39">
        <f>+IFERROR((FT_RF_264[[#This Row],[Calibre &gt;13]]/FT_RF_264[[#This Row],[Muestra]]),"0")</f>
        <v>0</v>
      </c>
      <c r="BB70" s="41"/>
      <c r="BG70" s="42"/>
      <c r="BH70" s="43">
        <v>0</v>
      </c>
      <c r="BI70" s="29" t="s">
        <v>894</v>
      </c>
      <c r="BJ70" s="29" t="s">
        <v>894</v>
      </c>
      <c r="BK7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7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70" s="45">
        <f>1-FT_RF_264[[#This Row],[% Defectos]]</f>
        <v>1</v>
      </c>
      <c r="BO70" s="60"/>
      <c r="BP70" s="12">
        <f>SUM(FT_RF_264[[#This Row],[Hoja (Un.)]:[Larvas Caja]])</f>
        <v>0</v>
      </c>
      <c r="BQ70" s="12">
        <f>SUM(FT_RF_264[[#This Row],[Vidrios]:[Plástico]])</f>
        <v>0</v>
      </c>
      <c r="BR70" s="12" t="str">
        <f>IF(ISBLANK(FT_RF_264[[#This Row],[Descripción del producto]]),"",FT_RF_264[[#This Row],[Descripción del producto]])</f>
        <v/>
      </c>
      <c r="BS70" s="29" t="str">
        <f>IF(ISBLANK(FT_RF_264[[#This Row],[N° de Lote]]),"",FT_RF_264[[#This Row],[N° de Lote]])</f>
        <v/>
      </c>
      <c r="BT70" s="29" t="str">
        <f>IF(ISBLANK(FT_RF_264[[#This Row],[N° de Pallet]]),"",FT_RF_264[[#This Row],[N° de Pallet]])</f>
        <v/>
      </c>
    </row>
    <row r="71" spans="2:72">
      <c r="B71" s="29">
        <f>+_xlfn.ISOWEEKNUM(FT_RF_264[[#This Row],[Fecha]])</f>
        <v>52</v>
      </c>
      <c r="E71" s="31"/>
      <c r="F71" s="12" t="str">
        <f>IFERROR(""&amp;_xlfn.XLOOKUP(FT_RF_264[[#This Row],[Código]],BD_Cod[SKU],BD_Cod[Descripción]),"")</f>
        <v/>
      </c>
      <c r="G71" s="32" t="str">
        <f>IFERROR(""&amp;_xlfn.XLOOKUP(FT_RF_264[[#This Row],[Código]],BD_Cod[SKU],BD_Cod[Familia Calidad]),"")</f>
        <v/>
      </c>
      <c r="J71" s="33">
        <v>1000</v>
      </c>
      <c r="L71" s="30" t="s">
        <v>244</v>
      </c>
      <c r="O71" s="30" t="s">
        <v>894</v>
      </c>
      <c r="P71" s="29" t="s">
        <v>894</v>
      </c>
      <c r="Q71" s="37">
        <f>1-FT_RF_264[[#This Row],[% Defectos]]</f>
        <v>1</v>
      </c>
      <c r="R71" s="38">
        <v>0</v>
      </c>
      <c r="S71" s="39">
        <f>+IFERROR((FT_RF_264[[#This Row],[Inmadura]]/FT_RF_264[[#This Row],[Muestra]]),"0")</f>
        <v>0</v>
      </c>
      <c r="T71" s="38">
        <v>0</v>
      </c>
      <c r="U71" s="39">
        <f>+IFERROR((FT_RF_264[[#This Row],[Partidas]]/FT_RF_264[[#This Row],[Muestra]]),"0")</f>
        <v>0</v>
      </c>
      <c r="V71" s="38">
        <v>0</v>
      </c>
      <c r="W71" s="39">
        <f>+IFERROR((FT_RF_264[[#This Row],[Daño Insecto]]/FT_RF_264[[#This Row],[Muestra]]),"0")</f>
        <v>0</v>
      </c>
      <c r="X71" s="38">
        <v>0</v>
      </c>
      <c r="Y71" s="39">
        <f>+IFERROR((FT_RF_264[[#This Row],[Sobremadura]]/FT_RF_264[[#This Row],[Muestra]]),"0")</f>
        <v>0</v>
      </c>
      <c r="Z71" s="38">
        <v>0</v>
      </c>
      <c r="AA71" s="39">
        <f>+IFERROR((FT_RF_264[[#This Row],[Deforme]]/FT_RF_264[[#This Row],[Muestra]]),"0")</f>
        <v>0</v>
      </c>
      <c r="AB71" s="27"/>
      <c r="AC71" s="38">
        <v>0</v>
      </c>
      <c r="AD71" s="39">
        <f>+IFERROR((FT_RF_264[[#This Row],[Valor Extra 1]]/FT_RF_264[[#This Row],[Muestra]]),"0")</f>
        <v>0</v>
      </c>
      <c r="AF71" s="38">
        <v>0</v>
      </c>
      <c r="AG71" s="39">
        <f>+IFERROR((FT_RF_264[[#This Row],[Valor Extra 2]]/FT_RF_264[[#This Row],[Muestra]]),"0")</f>
        <v>0</v>
      </c>
      <c r="AH71" s="40">
        <v>0</v>
      </c>
      <c r="AI71" s="39">
        <f>+IFERROR((FT_RF_264[[#This Row],[Hongos]]/FT_RF_264[[#This Row],[Muestra]]),"0")</f>
        <v>0</v>
      </c>
      <c r="AJ71" s="38">
        <v>0</v>
      </c>
      <c r="AK71" s="39">
        <f>+IFERROR((FT_RF_264[[#This Row],[Block]]/FT_RF_264[[#This Row],[Muestra]]),"0")</f>
        <v>0</v>
      </c>
      <c r="AL71" s="41">
        <v>0</v>
      </c>
      <c r="AM71" s="42">
        <v>0</v>
      </c>
      <c r="AN71" s="38">
        <v>0</v>
      </c>
      <c r="AO71" s="39">
        <f>+IFERROR((FT_RF_264[[#This Row],[Fuera de calibre &lt;12mm]]/FT_RF_264[[#This Row],[Muestra]]),"0")</f>
        <v>0</v>
      </c>
      <c r="AP71" s="38">
        <v>0</v>
      </c>
      <c r="AQ71" s="39">
        <f>+IFERROR((FT_RF_264[[#This Row],[Calibre &lt;25]]/FT_RF_264[[#This Row],[Muestra]]),"0")</f>
        <v>0</v>
      </c>
      <c r="AR71" s="38">
        <v>0</v>
      </c>
      <c r="AS71" s="39">
        <f>+IFERROR((FT_RF_264[[#This Row],[Calibre &gt;12]]/FT_RF_264[[#This Row],[Muestra]]),"0")</f>
        <v>0</v>
      </c>
      <c r="AT71" s="38">
        <v>0</v>
      </c>
      <c r="AU71" s="39">
        <f>+IFERROR((FT_RF_264[[#This Row],[Calibre &lt;14]]/FT_RF_264[[#This Row],[Muestra]]),"0")</f>
        <v>0</v>
      </c>
      <c r="AV71" s="38">
        <v>0</v>
      </c>
      <c r="AW71" s="39">
        <f>+IFERROR((FT_RF_264[[#This Row],[Calibre &gt;14]]/FT_RF_264[[#This Row],[Muestra]]),"0")</f>
        <v>0</v>
      </c>
      <c r="AX71" s="38">
        <v>0</v>
      </c>
      <c r="AY71" s="39">
        <f>+IFERROR((FT_RF_264[[#This Row],[Calibre &lt;10]]/FT_RF_264[[#This Row],[Muestra]]),"0")</f>
        <v>0</v>
      </c>
      <c r="AZ71" s="38">
        <v>0</v>
      </c>
      <c r="BA71" s="39">
        <f>+IFERROR((FT_RF_264[[#This Row],[Calibre &gt;13]]/FT_RF_264[[#This Row],[Muestra]]),"0")</f>
        <v>0</v>
      </c>
      <c r="BB71" s="41"/>
      <c r="BG71" s="42"/>
      <c r="BH71" s="43">
        <v>0</v>
      </c>
      <c r="BI71" s="29" t="s">
        <v>894</v>
      </c>
      <c r="BJ71" s="29" t="s">
        <v>894</v>
      </c>
      <c r="BK7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7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71" s="45">
        <f>1-FT_RF_264[[#This Row],[% Defectos]]</f>
        <v>1</v>
      </c>
      <c r="BO71" s="60"/>
      <c r="BP71" s="12">
        <f>SUM(FT_RF_264[[#This Row],[Hoja (Un.)]:[Larvas Caja]])</f>
        <v>0</v>
      </c>
      <c r="BQ71" s="12">
        <f>SUM(FT_RF_264[[#This Row],[Vidrios]:[Plástico]])</f>
        <v>0</v>
      </c>
      <c r="BR71" s="12" t="str">
        <f>IF(ISBLANK(FT_RF_264[[#This Row],[Descripción del producto]]),"",FT_RF_264[[#This Row],[Descripción del producto]])</f>
        <v/>
      </c>
      <c r="BS71" s="29" t="str">
        <f>IF(ISBLANK(FT_RF_264[[#This Row],[N° de Lote]]),"",FT_RF_264[[#This Row],[N° de Lote]])</f>
        <v/>
      </c>
      <c r="BT71" s="29" t="str">
        <f>IF(ISBLANK(FT_RF_264[[#This Row],[N° de Pallet]]),"",FT_RF_264[[#This Row],[N° de Pallet]])</f>
        <v/>
      </c>
    </row>
    <row r="72" spans="2:72">
      <c r="B72" s="29">
        <f>+_xlfn.ISOWEEKNUM(FT_RF_264[[#This Row],[Fecha]])</f>
        <v>52</v>
      </c>
      <c r="E72" s="31"/>
      <c r="F72" s="12" t="str">
        <f>IFERROR(""&amp;_xlfn.XLOOKUP(FT_RF_264[[#This Row],[Código]],BD_Cod[SKU],BD_Cod[Descripción]),"")</f>
        <v/>
      </c>
      <c r="G72" s="32" t="str">
        <f>IFERROR(""&amp;_xlfn.XLOOKUP(FT_RF_264[[#This Row],[Código]],BD_Cod[SKU],BD_Cod[Familia Calidad]),"")</f>
        <v/>
      </c>
      <c r="J72" s="33">
        <v>1000</v>
      </c>
      <c r="L72" s="30" t="s">
        <v>244</v>
      </c>
      <c r="O72" s="30" t="s">
        <v>894</v>
      </c>
      <c r="P72" s="29" t="s">
        <v>894</v>
      </c>
      <c r="Q72" s="37">
        <f>1-FT_RF_264[[#This Row],[% Defectos]]</f>
        <v>1</v>
      </c>
      <c r="R72" s="38">
        <v>0</v>
      </c>
      <c r="S72" s="39">
        <f>+IFERROR((FT_RF_264[[#This Row],[Inmadura]]/FT_RF_264[[#This Row],[Muestra]]),"0")</f>
        <v>0</v>
      </c>
      <c r="T72" s="38">
        <v>0</v>
      </c>
      <c r="U72" s="39">
        <f>+IFERROR((FT_RF_264[[#This Row],[Partidas]]/FT_RF_264[[#This Row],[Muestra]]),"0")</f>
        <v>0</v>
      </c>
      <c r="V72" s="38">
        <v>0</v>
      </c>
      <c r="W72" s="39">
        <f>+IFERROR((FT_RF_264[[#This Row],[Daño Insecto]]/FT_RF_264[[#This Row],[Muestra]]),"0")</f>
        <v>0</v>
      </c>
      <c r="X72" s="38">
        <v>0</v>
      </c>
      <c r="Y72" s="39">
        <f>+IFERROR((FT_RF_264[[#This Row],[Sobremadura]]/FT_RF_264[[#This Row],[Muestra]]),"0")</f>
        <v>0</v>
      </c>
      <c r="Z72" s="38">
        <v>0</v>
      </c>
      <c r="AA72" s="39">
        <f>+IFERROR((FT_RF_264[[#This Row],[Deforme]]/FT_RF_264[[#This Row],[Muestra]]),"0")</f>
        <v>0</v>
      </c>
      <c r="AB72" s="27"/>
      <c r="AC72" s="38">
        <v>0</v>
      </c>
      <c r="AD72" s="39">
        <f>+IFERROR((FT_RF_264[[#This Row],[Valor Extra 1]]/FT_RF_264[[#This Row],[Muestra]]),"0")</f>
        <v>0</v>
      </c>
      <c r="AF72" s="38">
        <v>0</v>
      </c>
      <c r="AG72" s="39">
        <f>+IFERROR((FT_RF_264[[#This Row],[Valor Extra 2]]/FT_RF_264[[#This Row],[Muestra]]),"0")</f>
        <v>0</v>
      </c>
      <c r="AH72" s="40">
        <v>0</v>
      </c>
      <c r="AI72" s="39">
        <f>+IFERROR((FT_RF_264[[#This Row],[Hongos]]/FT_RF_264[[#This Row],[Muestra]]),"0")</f>
        <v>0</v>
      </c>
      <c r="AJ72" s="38">
        <v>0</v>
      </c>
      <c r="AK72" s="39">
        <f>+IFERROR((FT_RF_264[[#This Row],[Block]]/FT_RF_264[[#This Row],[Muestra]]),"0")</f>
        <v>0</v>
      </c>
      <c r="AL72" s="41">
        <v>0</v>
      </c>
      <c r="AM72" s="42">
        <v>0</v>
      </c>
      <c r="AN72" s="38">
        <v>0</v>
      </c>
      <c r="AO72" s="39">
        <f>+IFERROR((FT_RF_264[[#This Row],[Fuera de calibre &lt;12mm]]/FT_RF_264[[#This Row],[Muestra]]),"0")</f>
        <v>0</v>
      </c>
      <c r="AP72" s="38">
        <v>0</v>
      </c>
      <c r="AQ72" s="39">
        <f>+IFERROR((FT_RF_264[[#This Row],[Calibre &lt;25]]/FT_RF_264[[#This Row],[Muestra]]),"0")</f>
        <v>0</v>
      </c>
      <c r="AR72" s="38">
        <v>0</v>
      </c>
      <c r="AS72" s="39">
        <f>+IFERROR((FT_RF_264[[#This Row],[Calibre &gt;12]]/FT_RF_264[[#This Row],[Muestra]]),"0")</f>
        <v>0</v>
      </c>
      <c r="AT72" s="38">
        <v>0</v>
      </c>
      <c r="AU72" s="39">
        <f>+IFERROR((FT_RF_264[[#This Row],[Calibre &lt;14]]/FT_RF_264[[#This Row],[Muestra]]),"0")</f>
        <v>0</v>
      </c>
      <c r="AV72" s="38">
        <v>0</v>
      </c>
      <c r="AW72" s="39">
        <f>+IFERROR((FT_RF_264[[#This Row],[Calibre &gt;14]]/FT_RF_264[[#This Row],[Muestra]]),"0")</f>
        <v>0</v>
      </c>
      <c r="AX72" s="38">
        <v>0</v>
      </c>
      <c r="AY72" s="39">
        <f>+IFERROR((FT_RF_264[[#This Row],[Calibre &lt;10]]/FT_RF_264[[#This Row],[Muestra]]),"0")</f>
        <v>0</v>
      </c>
      <c r="AZ72" s="38">
        <v>0</v>
      </c>
      <c r="BA72" s="39">
        <f>+IFERROR((FT_RF_264[[#This Row],[Calibre &gt;13]]/FT_RF_264[[#This Row],[Muestra]]),"0")</f>
        <v>0</v>
      </c>
      <c r="BB72" s="41"/>
      <c r="BG72" s="42"/>
      <c r="BH72" s="43">
        <v>0</v>
      </c>
      <c r="BI72" s="29" t="s">
        <v>894</v>
      </c>
      <c r="BJ72" s="29" t="s">
        <v>894</v>
      </c>
      <c r="BK7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7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72" s="45">
        <f>1-FT_RF_264[[#This Row],[% Defectos]]</f>
        <v>1</v>
      </c>
      <c r="BO72" s="60"/>
      <c r="BP72" s="12">
        <f>SUM(FT_RF_264[[#This Row],[Hoja (Un.)]:[Larvas Caja]])</f>
        <v>0</v>
      </c>
      <c r="BQ72" s="12">
        <f>SUM(FT_RF_264[[#This Row],[Vidrios]:[Plástico]])</f>
        <v>0</v>
      </c>
      <c r="BR72" s="12" t="str">
        <f>IF(ISBLANK(FT_RF_264[[#This Row],[Descripción del producto]]),"",FT_RF_264[[#This Row],[Descripción del producto]])</f>
        <v/>
      </c>
      <c r="BS72" s="29" t="str">
        <f>IF(ISBLANK(FT_RF_264[[#This Row],[N° de Lote]]),"",FT_RF_264[[#This Row],[N° de Lote]])</f>
        <v/>
      </c>
      <c r="BT72" s="29" t="str">
        <f>IF(ISBLANK(FT_RF_264[[#This Row],[N° de Pallet]]),"",FT_RF_264[[#This Row],[N° de Pallet]])</f>
        <v/>
      </c>
    </row>
    <row r="73" spans="2:72">
      <c r="B73" s="29">
        <f>+_xlfn.ISOWEEKNUM(FT_RF_264[[#This Row],[Fecha]])</f>
        <v>52</v>
      </c>
      <c r="E73" s="31"/>
      <c r="F73" s="12" t="str">
        <f>IFERROR(""&amp;_xlfn.XLOOKUP(FT_RF_264[[#This Row],[Código]],BD_Cod[SKU],BD_Cod[Descripción]),"")</f>
        <v/>
      </c>
      <c r="G73" s="32" t="str">
        <f>IFERROR(""&amp;_xlfn.XLOOKUP(FT_RF_264[[#This Row],[Código]],BD_Cod[SKU],BD_Cod[Familia Calidad]),"")</f>
        <v/>
      </c>
      <c r="J73" s="33">
        <v>1000</v>
      </c>
      <c r="L73" s="30" t="s">
        <v>244</v>
      </c>
      <c r="O73" s="30" t="s">
        <v>894</v>
      </c>
      <c r="P73" s="29" t="s">
        <v>894</v>
      </c>
      <c r="Q73" s="37">
        <f>1-FT_RF_264[[#This Row],[% Defectos]]</f>
        <v>1</v>
      </c>
      <c r="R73" s="38">
        <v>0</v>
      </c>
      <c r="S73" s="39">
        <f>+IFERROR((FT_RF_264[[#This Row],[Inmadura]]/FT_RF_264[[#This Row],[Muestra]]),"0")</f>
        <v>0</v>
      </c>
      <c r="T73" s="38">
        <v>0</v>
      </c>
      <c r="U73" s="39">
        <f>+IFERROR((FT_RF_264[[#This Row],[Partidas]]/FT_RF_264[[#This Row],[Muestra]]),"0")</f>
        <v>0</v>
      </c>
      <c r="V73" s="38">
        <v>0</v>
      </c>
      <c r="W73" s="39">
        <f>+IFERROR((FT_RF_264[[#This Row],[Daño Insecto]]/FT_RF_264[[#This Row],[Muestra]]),"0")</f>
        <v>0</v>
      </c>
      <c r="X73" s="38">
        <v>0</v>
      </c>
      <c r="Y73" s="39">
        <f>+IFERROR((FT_RF_264[[#This Row],[Sobremadura]]/FT_RF_264[[#This Row],[Muestra]]),"0")</f>
        <v>0</v>
      </c>
      <c r="Z73" s="38">
        <v>0</v>
      </c>
      <c r="AA73" s="39">
        <f>+IFERROR((FT_RF_264[[#This Row],[Deforme]]/FT_RF_264[[#This Row],[Muestra]]),"0")</f>
        <v>0</v>
      </c>
      <c r="AB73" s="27"/>
      <c r="AC73" s="38">
        <v>0</v>
      </c>
      <c r="AD73" s="39">
        <f>+IFERROR((FT_RF_264[[#This Row],[Valor Extra 1]]/FT_RF_264[[#This Row],[Muestra]]),"0")</f>
        <v>0</v>
      </c>
      <c r="AF73" s="38">
        <v>0</v>
      </c>
      <c r="AG73" s="39">
        <f>+IFERROR((FT_RF_264[[#This Row],[Valor Extra 2]]/FT_RF_264[[#This Row],[Muestra]]),"0")</f>
        <v>0</v>
      </c>
      <c r="AH73" s="40">
        <v>0</v>
      </c>
      <c r="AI73" s="39">
        <f>+IFERROR((FT_RF_264[[#This Row],[Hongos]]/FT_RF_264[[#This Row],[Muestra]]),"0")</f>
        <v>0</v>
      </c>
      <c r="AJ73" s="38">
        <v>0</v>
      </c>
      <c r="AK73" s="39">
        <f>+IFERROR((FT_RF_264[[#This Row],[Block]]/FT_RF_264[[#This Row],[Muestra]]),"0")</f>
        <v>0</v>
      </c>
      <c r="AL73" s="41">
        <v>0</v>
      </c>
      <c r="AM73" s="42">
        <v>0</v>
      </c>
      <c r="AN73" s="38">
        <v>0</v>
      </c>
      <c r="AO73" s="39">
        <f>+IFERROR((FT_RF_264[[#This Row],[Fuera de calibre &lt;12mm]]/FT_RF_264[[#This Row],[Muestra]]),"0")</f>
        <v>0</v>
      </c>
      <c r="AP73" s="38">
        <v>0</v>
      </c>
      <c r="AQ73" s="39">
        <f>+IFERROR((FT_RF_264[[#This Row],[Calibre &lt;25]]/FT_RF_264[[#This Row],[Muestra]]),"0")</f>
        <v>0</v>
      </c>
      <c r="AR73" s="38">
        <v>0</v>
      </c>
      <c r="AS73" s="39">
        <f>+IFERROR((FT_RF_264[[#This Row],[Calibre &gt;12]]/FT_RF_264[[#This Row],[Muestra]]),"0")</f>
        <v>0</v>
      </c>
      <c r="AT73" s="38">
        <v>0</v>
      </c>
      <c r="AU73" s="39">
        <f>+IFERROR((FT_RF_264[[#This Row],[Calibre &lt;14]]/FT_RF_264[[#This Row],[Muestra]]),"0")</f>
        <v>0</v>
      </c>
      <c r="AV73" s="38">
        <v>0</v>
      </c>
      <c r="AW73" s="39">
        <f>+IFERROR((FT_RF_264[[#This Row],[Calibre &gt;14]]/FT_RF_264[[#This Row],[Muestra]]),"0")</f>
        <v>0</v>
      </c>
      <c r="AX73" s="38">
        <v>0</v>
      </c>
      <c r="AY73" s="39">
        <f>+IFERROR((FT_RF_264[[#This Row],[Calibre &lt;10]]/FT_RF_264[[#This Row],[Muestra]]),"0")</f>
        <v>0</v>
      </c>
      <c r="AZ73" s="38">
        <v>0</v>
      </c>
      <c r="BA73" s="39">
        <f>+IFERROR((FT_RF_264[[#This Row],[Calibre &gt;13]]/FT_RF_264[[#This Row],[Muestra]]),"0")</f>
        <v>0</v>
      </c>
      <c r="BB73" s="41"/>
      <c r="BG73" s="42"/>
      <c r="BH73" s="43">
        <v>0</v>
      </c>
      <c r="BI73" s="29" t="s">
        <v>894</v>
      </c>
      <c r="BJ73" s="29" t="s">
        <v>894</v>
      </c>
      <c r="BK7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7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73" s="45">
        <f>1-FT_RF_264[[#This Row],[% Defectos]]</f>
        <v>1</v>
      </c>
      <c r="BO73" s="60"/>
      <c r="BP73" s="12">
        <f>SUM(FT_RF_264[[#This Row],[Hoja (Un.)]:[Larvas Caja]])</f>
        <v>0</v>
      </c>
      <c r="BQ73" s="12">
        <f>SUM(FT_RF_264[[#This Row],[Vidrios]:[Plástico]])</f>
        <v>0</v>
      </c>
      <c r="BR73" s="12" t="str">
        <f>IF(ISBLANK(FT_RF_264[[#This Row],[Descripción del producto]]),"",FT_RF_264[[#This Row],[Descripción del producto]])</f>
        <v/>
      </c>
      <c r="BS73" s="29" t="str">
        <f>IF(ISBLANK(FT_RF_264[[#This Row],[N° de Lote]]),"",FT_RF_264[[#This Row],[N° de Lote]])</f>
        <v/>
      </c>
      <c r="BT73" s="29" t="str">
        <f>IF(ISBLANK(FT_RF_264[[#This Row],[N° de Pallet]]),"",FT_RF_264[[#This Row],[N° de Pallet]])</f>
        <v/>
      </c>
    </row>
    <row r="74" spans="2:72">
      <c r="B74" s="29">
        <f>+_xlfn.ISOWEEKNUM(FT_RF_264[[#This Row],[Fecha]])</f>
        <v>52</v>
      </c>
      <c r="E74" s="31"/>
      <c r="F74" s="12" t="str">
        <f>IFERROR(""&amp;_xlfn.XLOOKUP(FT_RF_264[[#This Row],[Código]],BD_Cod[SKU],BD_Cod[Descripción]),"")</f>
        <v/>
      </c>
      <c r="G74" s="32" t="str">
        <f>IFERROR(""&amp;_xlfn.XLOOKUP(FT_RF_264[[#This Row],[Código]],BD_Cod[SKU],BD_Cod[Familia Calidad]),"")</f>
        <v/>
      </c>
      <c r="J74" s="33">
        <v>1000</v>
      </c>
      <c r="L74" s="30" t="s">
        <v>244</v>
      </c>
      <c r="O74" s="30" t="s">
        <v>894</v>
      </c>
      <c r="P74" s="29" t="s">
        <v>894</v>
      </c>
      <c r="Q74" s="37">
        <f>1-FT_RF_264[[#This Row],[% Defectos]]</f>
        <v>1</v>
      </c>
      <c r="R74" s="38">
        <v>0</v>
      </c>
      <c r="S74" s="39">
        <f>+IFERROR((FT_RF_264[[#This Row],[Inmadura]]/FT_RF_264[[#This Row],[Muestra]]),"0")</f>
        <v>0</v>
      </c>
      <c r="T74" s="38">
        <v>0</v>
      </c>
      <c r="U74" s="39">
        <f>+IFERROR((FT_RF_264[[#This Row],[Partidas]]/FT_RF_264[[#This Row],[Muestra]]),"0")</f>
        <v>0</v>
      </c>
      <c r="V74" s="38">
        <v>0</v>
      </c>
      <c r="W74" s="39">
        <f>+IFERROR((FT_RF_264[[#This Row],[Daño Insecto]]/FT_RF_264[[#This Row],[Muestra]]),"0")</f>
        <v>0</v>
      </c>
      <c r="X74" s="38">
        <v>0</v>
      </c>
      <c r="Y74" s="39">
        <f>+IFERROR((FT_RF_264[[#This Row],[Sobremadura]]/FT_RF_264[[#This Row],[Muestra]]),"0")</f>
        <v>0</v>
      </c>
      <c r="Z74" s="38">
        <v>0</v>
      </c>
      <c r="AA74" s="39">
        <f>+IFERROR((FT_RF_264[[#This Row],[Deforme]]/FT_RF_264[[#This Row],[Muestra]]),"0")</f>
        <v>0</v>
      </c>
      <c r="AB74" s="27"/>
      <c r="AC74" s="38">
        <v>0</v>
      </c>
      <c r="AD74" s="39">
        <f>+IFERROR((FT_RF_264[[#This Row],[Valor Extra 1]]/FT_RF_264[[#This Row],[Muestra]]),"0")</f>
        <v>0</v>
      </c>
      <c r="AF74" s="38">
        <v>0</v>
      </c>
      <c r="AG74" s="39">
        <f>+IFERROR((FT_RF_264[[#This Row],[Valor Extra 2]]/FT_RF_264[[#This Row],[Muestra]]),"0")</f>
        <v>0</v>
      </c>
      <c r="AH74" s="40">
        <v>0</v>
      </c>
      <c r="AI74" s="39">
        <f>+IFERROR((FT_RF_264[[#This Row],[Hongos]]/FT_RF_264[[#This Row],[Muestra]]),"0")</f>
        <v>0</v>
      </c>
      <c r="AJ74" s="38">
        <v>0</v>
      </c>
      <c r="AK74" s="39">
        <f>+IFERROR((FT_RF_264[[#This Row],[Block]]/FT_RF_264[[#This Row],[Muestra]]),"0")</f>
        <v>0</v>
      </c>
      <c r="AL74" s="41">
        <v>0</v>
      </c>
      <c r="AM74" s="42">
        <v>0</v>
      </c>
      <c r="AN74" s="38">
        <v>0</v>
      </c>
      <c r="AO74" s="39">
        <f>+IFERROR((FT_RF_264[[#This Row],[Fuera de calibre &lt;12mm]]/FT_RF_264[[#This Row],[Muestra]]),"0")</f>
        <v>0</v>
      </c>
      <c r="AP74" s="38">
        <v>0</v>
      </c>
      <c r="AQ74" s="39">
        <f>+IFERROR((FT_RF_264[[#This Row],[Calibre &lt;25]]/FT_RF_264[[#This Row],[Muestra]]),"0")</f>
        <v>0</v>
      </c>
      <c r="AR74" s="38">
        <v>0</v>
      </c>
      <c r="AS74" s="39">
        <f>+IFERROR((FT_RF_264[[#This Row],[Calibre &gt;12]]/FT_RF_264[[#This Row],[Muestra]]),"0")</f>
        <v>0</v>
      </c>
      <c r="AT74" s="38">
        <v>0</v>
      </c>
      <c r="AU74" s="39">
        <f>+IFERROR((FT_RF_264[[#This Row],[Calibre &lt;14]]/FT_RF_264[[#This Row],[Muestra]]),"0")</f>
        <v>0</v>
      </c>
      <c r="AV74" s="38">
        <v>0</v>
      </c>
      <c r="AW74" s="39">
        <f>+IFERROR((FT_RF_264[[#This Row],[Calibre &gt;14]]/FT_RF_264[[#This Row],[Muestra]]),"0")</f>
        <v>0</v>
      </c>
      <c r="AX74" s="38">
        <v>0</v>
      </c>
      <c r="AY74" s="39">
        <f>+IFERROR((FT_RF_264[[#This Row],[Calibre &lt;10]]/FT_RF_264[[#This Row],[Muestra]]),"0")</f>
        <v>0</v>
      </c>
      <c r="AZ74" s="38">
        <v>0</v>
      </c>
      <c r="BA74" s="39">
        <f>+IFERROR((FT_RF_264[[#This Row],[Calibre &gt;13]]/FT_RF_264[[#This Row],[Muestra]]),"0")</f>
        <v>0</v>
      </c>
      <c r="BB74" s="41"/>
      <c r="BG74" s="42"/>
      <c r="BH74" s="43">
        <v>0</v>
      </c>
      <c r="BI74" s="29" t="s">
        <v>894</v>
      </c>
      <c r="BJ74" s="29" t="s">
        <v>894</v>
      </c>
      <c r="BK7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7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74" s="45">
        <f>1-FT_RF_264[[#This Row],[% Defectos]]</f>
        <v>1</v>
      </c>
      <c r="BO74" s="60"/>
      <c r="BP74" s="12">
        <f>SUM(FT_RF_264[[#This Row],[Hoja (Un.)]:[Larvas Caja]])</f>
        <v>0</v>
      </c>
      <c r="BQ74" s="12">
        <f>SUM(FT_RF_264[[#This Row],[Vidrios]:[Plástico]])</f>
        <v>0</v>
      </c>
      <c r="BR74" s="12" t="str">
        <f>IF(ISBLANK(FT_RF_264[[#This Row],[Descripción del producto]]),"",FT_RF_264[[#This Row],[Descripción del producto]])</f>
        <v/>
      </c>
      <c r="BS74" s="29" t="str">
        <f>IF(ISBLANK(FT_RF_264[[#This Row],[N° de Lote]]),"",FT_RF_264[[#This Row],[N° de Lote]])</f>
        <v/>
      </c>
      <c r="BT74" s="29" t="str">
        <f>IF(ISBLANK(FT_RF_264[[#This Row],[N° de Pallet]]),"",FT_RF_264[[#This Row],[N° de Pallet]])</f>
        <v/>
      </c>
    </row>
    <row r="75" spans="2:72">
      <c r="B75" s="29">
        <f>+_xlfn.ISOWEEKNUM(FT_RF_264[[#This Row],[Fecha]])</f>
        <v>52</v>
      </c>
      <c r="E75" s="31"/>
      <c r="F75" s="12" t="str">
        <f>IFERROR(""&amp;_xlfn.XLOOKUP(FT_RF_264[[#This Row],[Código]],BD_Cod[SKU],BD_Cod[Descripción]),"")</f>
        <v/>
      </c>
      <c r="G75" s="32" t="str">
        <f>IFERROR(""&amp;_xlfn.XLOOKUP(FT_RF_264[[#This Row],[Código]],BD_Cod[SKU],BD_Cod[Familia Calidad]),"")</f>
        <v/>
      </c>
      <c r="J75" s="33">
        <v>1000</v>
      </c>
      <c r="L75" s="30" t="s">
        <v>244</v>
      </c>
      <c r="O75" s="30" t="s">
        <v>894</v>
      </c>
      <c r="P75" s="29" t="s">
        <v>894</v>
      </c>
      <c r="Q75" s="37">
        <f>1-FT_RF_264[[#This Row],[% Defectos]]</f>
        <v>1</v>
      </c>
      <c r="R75" s="38">
        <v>0</v>
      </c>
      <c r="S75" s="39">
        <f>+IFERROR((FT_RF_264[[#This Row],[Inmadura]]/FT_RF_264[[#This Row],[Muestra]]),"0")</f>
        <v>0</v>
      </c>
      <c r="T75" s="38">
        <v>0</v>
      </c>
      <c r="U75" s="39">
        <f>+IFERROR((FT_RF_264[[#This Row],[Partidas]]/FT_RF_264[[#This Row],[Muestra]]),"0")</f>
        <v>0</v>
      </c>
      <c r="V75" s="38">
        <v>0</v>
      </c>
      <c r="W75" s="39">
        <f>+IFERROR((FT_RF_264[[#This Row],[Daño Insecto]]/FT_RF_264[[#This Row],[Muestra]]),"0")</f>
        <v>0</v>
      </c>
      <c r="X75" s="38">
        <v>0</v>
      </c>
      <c r="Y75" s="39">
        <f>+IFERROR((FT_RF_264[[#This Row],[Sobremadura]]/FT_RF_264[[#This Row],[Muestra]]),"0")</f>
        <v>0</v>
      </c>
      <c r="Z75" s="38">
        <v>0</v>
      </c>
      <c r="AA75" s="39">
        <f>+IFERROR((FT_RF_264[[#This Row],[Deforme]]/FT_RF_264[[#This Row],[Muestra]]),"0")</f>
        <v>0</v>
      </c>
      <c r="AB75" s="27"/>
      <c r="AC75" s="38">
        <v>0</v>
      </c>
      <c r="AD75" s="39">
        <f>+IFERROR((FT_RF_264[[#This Row],[Valor Extra 1]]/FT_RF_264[[#This Row],[Muestra]]),"0")</f>
        <v>0</v>
      </c>
      <c r="AF75" s="38">
        <v>0</v>
      </c>
      <c r="AG75" s="39">
        <f>+IFERROR((FT_RF_264[[#This Row],[Valor Extra 2]]/FT_RF_264[[#This Row],[Muestra]]),"0")</f>
        <v>0</v>
      </c>
      <c r="AH75" s="40">
        <v>0</v>
      </c>
      <c r="AI75" s="39">
        <f>+IFERROR((FT_RF_264[[#This Row],[Hongos]]/FT_RF_264[[#This Row],[Muestra]]),"0")</f>
        <v>0</v>
      </c>
      <c r="AJ75" s="38">
        <v>0</v>
      </c>
      <c r="AK75" s="39">
        <f>+IFERROR((FT_RF_264[[#This Row],[Block]]/FT_RF_264[[#This Row],[Muestra]]),"0")</f>
        <v>0</v>
      </c>
      <c r="AL75" s="41">
        <v>0</v>
      </c>
      <c r="AM75" s="42">
        <v>0</v>
      </c>
      <c r="AN75" s="38">
        <v>0</v>
      </c>
      <c r="AO75" s="39">
        <f>+IFERROR((FT_RF_264[[#This Row],[Fuera de calibre &lt;12mm]]/FT_RF_264[[#This Row],[Muestra]]),"0")</f>
        <v>0</v>
      </c>
      <c r="AP75" s="38">
        <v>0</v>
      </c>
      <c r="AQ75" s="39">
        <f>+IFERROR((FT_RF_264[[#This Row],[Calibre &lt;25]]/FT_RF_264[[#This Row],[Muestra]]),"0")</f>
        <v>0</v>
      </c>
      <c r="AR75" s="38">
        <v>0</v>
      </c>
      <c r="AS75" s="39">
        <f>+IFERROR((FT_RF_264[[#This Row],[Calibre &gt;12]]/FT_RF_264[[#This Row],[Muestra]]),"0")</f>
        <v>0</v>
      </c>
      <c r="AT75" s="38">
        <v>0</v>
      </c>
      <c r="AU75" s="39">
        <f>+IFERROR((FT_RF_264[[#This Row],[Calibre &lt;14]]/FT_RF_264[[#This Row],[Muestra]]),"0")</f>
        <v>0</v>
      </c>
      <c r="AV75" s="38">
        <v>0</v>
      </c>
      <c r="AW75" s="39">
        <f>+IFERROR((FT_RF_264[[#This Row],[Calibre &gt;14]]/FT_RF_264[[#This Row],[Muestra]]),"0")</f>
        <v>0</v>
      </c>
      <c r="AX75" s="38">
        <v>0</v>
      </c>
      <c r="AY75" s="39">
        <f>+IFERROR((FT_RF_264[[#This Row],[Calibre &lt;10]]/FT_RF_264[[#This Row],[Muestra]]),"0")</f>
        <v>0</v>
      </c>
      <c r="AZ75" s="38">
        <v>0</v>
      </c>
      <c r="BA75" s="39">
        <f>+IFERROR((FT_RF_264[[#This Row],[Calibre &gt;13]]/FT_RF_264[[#This Row],[Muestra]]),"0")</f>
        <v>0</v>
      </c>
      <c r="BB75" s="41"/>
      <c r="BG75" s="42"/>
      <c r="BH75" s="43">
        <v>0</v>
      </c>
      <c r="BI75" s="29" t="s">
        <v>894</v>
      </c>
      <c r="BJ75" s="29" t="s">
        <v>894</v>
      </c>
      <c r="BK7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7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75" s="45">
        <f>1-FT_RF_264[[#This Row],[% Defectos]]</f>
        <v>1</v>
      </c>
      <c r="BO75" s="60"/>
      <c r="BP75" s="12">
        <f>SUM(FT_RF_264[[#This Row],[Hoja (Un.)]:[Larvas Caja]])</f>
        <v>0</v>
      </c>
      <c r="BQ75" s="12">
        <f>SUM(FT_RF_264[[#This Row],[Vidrios]:[Plástico]])</f>
        <v>0</v>
      </c>
      <c r="BR75" s="12" t="str">
        <f>IF(ISBLANK(FT_RF_264[[#This Row],[Descripción del producto]]),"",FT_RF_264[[#This Row],[Descripción del producto]])</f>
        <v/>
      </c>
      <c r="BS75" s="29" t="str">
        <f>IF(ISBLANK(FT_RF_264[[#This Row],[N° de Lote]]),"",FT_RF_264[[#This Row],[N° de Lote]])</f>
        <v/>
      </c>
      <c r="BT75" s="29" t="str">
        <f>IF(ISBLANK(FT_RF_264[[#This Row],[N° de Pallet]]),"",FT_RF_264[[#This Row],[N° de Pallet]])</f>
        <v/>
      </c>
    </row>
    <row r="76" spans="2:72">
      <c r="B76" s="29">
        <f>+_xlfn.ISOWEEKNUM(FT_RF_264[[#This Row],[Fecha]])</f>
        <v>52</v>
      </c>
      <c r="E76" s="31"/>
      <c r="F76" s="12" t="str">
        <f>IFERROR(""&amp;_xlfn.XLOOKUP(FT_RF_264[[#This Row],[Código]],BD_Cod[SKU],BD_Cod[Descripción]),"")</f>
        <v/>
      </c>
      <c r="G76" s="32" t="str">
        <f>IFERROR(""&amp;_xlfn.XLOOKUP(FT_RF_264[[#This Row],[Código]],BD_Cod[SKU],BD_Cod[Familia Calidad]),"")</f>
        <v/>
      </c>
      <c r="J76" s="33">
        <v>1000</v>
      </c>
      <c r="L76" s="30" t="s">
        <v>244</v>
      </c>
      <c r="O76" s="30" t="s">
        <v>894</v>
      </c>
      <c r="P76" s="29" t="s">
        <v>894</v>
      </c>
      <c r="Q76" s="37">
        <f>1-FT_RF_264[[#This Row],[% Defectos]]</f>
        <v>1</v>
      </c>
      <c r="R76" s="38">
        <v>0</v>
      </c>
      <c r="S76" s="39">
        <f>+IFERROR((FT_RF_264[[#This Row],[Inmadura]]/FT_RF_264[[#This Row],[Muestra]]),"0")</f>
        <v>0</v>
      </c>
      <c r="T76" s="38">
        <v>0</v>
      </c>
      <c r="U76" s="39">
        <f>+IFERROR((FT_RF_264[[#This Row],[Partidas]]/FT_RF_264[[#This Row],[Muestra]]),"0")</f>
        <v>0</v>
      </c>
      <c r="V76" s="38">
        <v>0</v>
      </c>
      <c r="W76" s="39">
        <f>+IFERROR((FT_RF_264[[#This Row],[Daño Insecto]]/FT_RF_264[[#This Row],[Muestra]]),"0")</f>
        <v>0</v>
      </c>
      <c r="X76" s="38">
        <v>0</v>
      </c>
      <c r="Y76" s="39">
        <f>+IFERROR((FT_RF_264[[#This Row],[Sobremadura]]/FT_RF_264[[#This Row],[Muestra]]),"0")</f>
        <v>0</v>
      </c>
      <c r="Z76" s="38">
        <v>0</v>
      </c>
      <c r="AA76" s="39">
        <f>+IFERROR((FT_RF_264[[#This Row],[Deforme]]/FT_RF_264[[#This Row],[Muestra]]),"0")</f>
        <v>0</v>
      </c>
      <c r="AB76" s="27"/>
      <c r="AC76" s="38">
        <v>0</v>
      </c>
      <c r="AD76" s="39">
        <f>+IFERROR((FT_RF_264[[#This Row],[Valor Extra 1]]/FT_RF_264[[#This Row],[Muestra]]),"0")</f>
        <v>0</v>
      </c>
      <c r="AF76" s="38">
        <v>0</v>
      </c>
      <c r="AG76" s="39">
        <f>+IFERROR((FT_RF_264[[#This Row],[Valor Extra 2]]/FT_RF_264[[#This Row],[Muestra]]),"0")</f>
        <v>0</v>
      </c>
      <c r="AH76" s="40">
        <v>0</v>
      </c>
      <c r="AI76" s="39">
        <f>+IFERROR((FT_RF_264[[#This Row],[Hongos]]/FT_RF_264[[#This Row],[Muestra]]),"0")</f>
        <v>0</v>
      </c>
      <c r="AJ76" s="38">
        <v>0</v>
      </c>
      <c r="AK76" s="39">
        <f>+IFERROR((FT_RF_264[[#This Row],[Block]]/FT_RF_264[[#This Row],[Muestra]]),"0")</f>
        <v>0</v>
      </c>
      <c r="AL76" s="41">
        <v>0</v>
      </c>
      <c r="AM76" s="42">
        <v>0</v>
      </c>
      <c r="AN76" s="38">
        <v>0</v>
      </c>
      <c r="AO76" s="39">
        <f>+IFERROR((FT_RF_264[[#This Row],[Fuera de calibre &lt;12mm]]/FT_RF_264[[#This Row],[Muestra]]),"0")</f>
        <v>0</v>
      </c>
      <c r="AP76" s="38">
        <v>0</v>
      </c>
      <c r="AQ76" s="39">
        <f>+IFERROR((FT_RF_264[[#This Row],[Calibre &lt;25]]/FT_RF_264[[#This Row],[Muestra]]),"0")</f>
        <v>0</v>
      </c>
      <c r="AR76" s="38">
        <v>0</v>
      </c>
      <c r="AS76" s="39">
        <f>+IFERROR((FT_RF_264[[#This Row],[Calibre &gt;12]]/FT_RF_264[[#This Row],[Muestra]]),"0")</f>
        <v>0</v>
      </c>
      <c r="AT76" s="38">
        <v>0</v>
      </c>
      <c r="AU76" s="39">
        <f>+IFERROR((FT_RF_264[[#This Row],[Calibre &lt;14]]/FT_RF_264[[#This Row],[Muestra]]),"0")</f>
        <v>0</v>
      </c>
      <c r="AV76" s="38">
        <v>0</v>
      </c>
      <c r="AW76" s="39">
        <f>+IFERROR((FT_RF_264[[#This Row],[Calibre &gt;14]]/FT_RF_264[[#This Row],[Muestra]]),"0")</f>
        <v>0</v>
      </c>
      <c r="AX76" s="38">
        <v>0</v>
      </c>
      <c r="AY76" s="39">
        <f>+IFERROR((FT_RF_264[[#This Row],[Calibre &lt;10]]/FT_RF_264[[#This Row],[Muestra]]),"0")</f>
        <v>0</v>
      </c>
      <c r="AZ76" s="38">
        <v>0</v>
      </c>
      <c r="BA76" s="39">
        <f>+IFERROR((FT_RF_264[[#This Row],[Calibre &gt;13]]/FT_RF_264[[#This Row],[Muestra]]),"0")</f>
        <v>0</v>
      </c>
      <c r="BB76" s="41"/>
      <c r="BG76" s="42"/>
      <c r="BH76" s="43">
        <v>0</v>
      </c>
      <c r="BI76" s="29" t="s">
        <v>894</v>
      </c>
      <c r="BJ76" s="29" t="s">
        <v>894</v>
      </c>
      <c r="BK7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7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76" s="45">
        <f>1-FT_RF_264[[#This Row],[% Defectos]]</f>
        <v>1</v>
      </c>
      <c r="BO76" s="60"/>
      <c r="BP76" s="12">
        <f>SUM(FT_RF_264[[#This Row],[Hoja (Un.)]:[Larvas Caja]])</f>
        <v>0</v>
      </c>
      <c r="BQ76" s="12">
        <f>SUM(FT_RF_264[[#This Row],[Vidrios]:[Plástico]])</f>
        <v>0</v>
      </c>
      <c r="BR76" s="12" t="str">
        <f>IF(ISBLANK(FT_RF_264[[#This Row],[Descripción del producto]]),"",FT_RF_264[[#This Row],[Descripción del producto]])</f>
        <v/>
      </c>
      <c r="BS76" s="29" t="str">
        <f>IF(ISBLANK(FT_RF_264[[#This Row],[N° de Lote]]),"",FT_RF_264[[#This Row],[N° de Lote]])</f>
        <v/>
      </c>
      <c r="BT76" s="29" t="str">
        <f>IF(ISBLANK(FT_RF_264[[#This Row],[N° de Pallet]]),"",FT_RF_264[[#This Row],[N° de Pallet]])</f>
        <v/>
      </c>
    </row>
    <row r="77" spans="2:72">
      <c r="B77" s="29">
        <f>+_xlfn.ISOWEEKNUM(FT_RF_264[[#This Row],[Fecha]])</f>
        <v>52</v>
      </c>
      <c r="E77" s="31"/>
      <c r="F77" s="12" t="str">
        <f>IFERROR(""&amp;_xlfn.XLOOKUP(FT_RF_264[[#This Row],[Código]],BD_Cod[SKU],BD_Cod[Descripción]),"")</f>
        <v/>
      </c>
      <c r="G77" s="32" t="str">
        <f>IFERROR(""&amp;_xlfn.XLOOKUP(FT_RF_264[[#This Row],[Código]],BD_Cod[SKU],BD_Cod[Familia Calidad]),"")</f>
        <v/>
      </c>
      <c r="J77" s="33">
        <v>1000</v>
      </c>
      <c r="L77" s="30" t="s">
        <v>244</v>
      </c>
      <c r="O77" s="30" t="s">
        <v>894</v>
      </c>
      <c r="P77" s="29" t="s">
        <v>894</v>
      </c>
      <c r="Q77" s="37">
        <f>1-FT_RF_264[[#This Row],[% Defectos]]</f>
        <v>1</v>
      </c>
      <c r="R77" s="38">
        <v>0</v>
      </c>
      <c r="S77" s="39">
        <f>+IFERROR((FT_RF_264[[#This Row],[Inmadura]]/FT_RF_264[[#This Row],[Muestra]]),"0")</f>
        <v>0</v>
      </c>
      <c r="T77" s="38">
        <v>0</v>
      </c>
      <c r="U77" s="39">
        <f>+IFERROR((FT_RF_264[[#This Row],[Partidas]]/FT_RF_264[[#This Row],[Muestra]]),"0")</f>
        <v>0</v>
      </c>
      <c r="V77" s="38">
        <v>0</v>
      </c>
      <c r="W77" s="39">
        <f>+IFERROR((FT_RF_264[[#This Row],[Daño Insecto]]/FT_RF_264[[#This Row],[Muestra]]),"0")</f>
        <v>0</v>
      </c>
      <c r="X77" s="38">
        <v>0</v>
      </c>
      <c r="Y77" s="39">
        <f>+IFERROR((FT_RF_264[[#This Row],[Sobremadura]]/FT_RF_264[[#This Row],[Muestra]]),"0")</f>
        <v>0</v>
      </c>
      <c r="Z77" s="38">
        <v>0</v>
      </c>
      <c r="AA77" s="39">
        <f>+IFERROR((FT_RF_264[[#This Row],[Deforme]]/FT_RF_264[[#This Row],[Muestra]]),"0")</f>
        <v>0</v>
      </c>
      <c r="AB77" s="27"/>
      <c r="AC77" s="38">
        <v>0</v>
      </c>
      <c r="AD77" s="39">
        <f>+IFERROR((FT_RF_264[[#This Row],[Valor Extra 1]]/FT_RF_264[[#This Row],[Muestra]]),"0")</f>
        <v>0</v>
      </c>
      <c r="AF77" s="38">
        <v>0</v>
      </c>
      <c r="AG77" s="39">
        <f>+IFERROR((FT_RF_264[[#This Row],[Valor Extra 2]]/FT_RF_264[[#This Row],[Muestra]]),"0")</f>
        <v>0</v>
      </c>
      <c r="AH77" s="40">
        <v>0</v>
      </c>
      <c r="AI77" s="39">
        <f>+IFERROR((FT_RF_264[[#This Row],[Hongos]]/FT_RF_264[[#This Row],[Muestra]]),"0")</f>
        <v>0</v>
      </c>
      <c r="AJ77" s="38">
        <v>0</v>
      </c>
      <c r="AK77" s="39">
        <f>+IFERROR((FT_RF_264[[#This Row],[Block]]/FT_RF_264[[#This Row],[Muestra]]),"0")</f>
        <v>0</v>
      </c>
      <c r="AL77" s="41">
        <v>0</v>
      </c>
      <c r="AM77" s="42">
        <v>0</v>
      </c>
      <c r="AN77" s="38">
        <v>0</v>
      </c>
      <c r="AO77" s="39">
        <f>+IFERROR((FT_RF_264[[#This Row],[Fuera de calibre &lt;12mm]]/FT_RF_264[[#This Row],[Muestra]]),"0")</f>
        <v>0</v>
      </c>
      <c r="AP77" s="38">
        <v>0</v>
      </c>
      <c r="AQ77" s="39">
        <f>+IFERROR((FT_RF_264[[#This Row],[Calibre &lt;25]]/FT_RF_264[[#This Row],[Muestra]]),"0")</f>
        <v>0</v>
      </c>
      <c r="AR77" s="38">
        <v>0</v>
      </c>
      <c r="AS77" s="39">
        <f>+IFERROR((FT_RF_264[[#This Row],[Calibre &gt;12]]/FT_RF_264[[#This Row],[Muestra]]),"0")</f>
        <v>0</v>
      </c>
      <c r="AT77" s="38">
        <v>0</v>
      </c>
      <c r="AU77" s="39">
        <f>+IFERROR((FT_RF_264[[#This Row],[Calibre &lt;14]]/FT_RF_264[[#This Row],[Muestra]]),"0")</f>
        <v>0</v>
      </c>
      <c r="AV77" s="38">
        <v>0</v>
      </c>
      <c r="AW77" s="39">
        <f>+IFERROR((FT_RF_264[[#This Row],[Calibre &gt;14]]/FT_RF_264[[#This Row],[Muestra]]),"0")</f>
        <v>0</v>
      </c>
      <c r="AX77" s="38">
        <v>0</v>
      </c>
      <c r="AY77" s="39">
        <f>+IFERROR((FT_RF_264[[#This Row],[Calibre &lt;10]]/FT_RF_264[[#This Row],[Muestra]]),"0")</f>
        <v>0</v>
      </c>
      <c r="AZ77" s="38">
        <v>0</v>
      </c>
      <c r="BA77" s="39">
        <f>+IFERROR((FT_RF_264[[#This Row],[Calibre &gt;13]]/FT_RF_264[[#This Row],[Muestra]]),"0")</f>
        <v>0</v>
      </c>
      <c r="BB77" s="41"/>
      <c r="BG77" s="42"/>
      <c r="BH77" s="43">
        <v>0</v>
      </c>
      <c r="BI77" s="29" t="s">
        <v>894</v>
      </c>
      <c r="BJ77" s="29" t="s">
        <v>894</v>
      </c>
      <c r="BK7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7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77" s="45">
        <f>1-FT_RF_264[[#This Row],[% Defectos]]</f>
        <v>1</v>
      </c>
      <c r="BO77" s="60"/>
      <c r="BP77" s="12">
        <f>SUM(FT_RF_264[[#This Row],[Hoja (Un.)]:[Larvas Caja]])</f>
        <v>0</v>
      </c>
      <c r="BQ77" s="12">
        <f>SUM(FT_RF_264[[#This Row],[Vidrios]:[Plástico]])</f>
        <v>0</v>
      </c>
      <c r="BR77" s="12" t="str">
        <f>IF(ISBLANK(FT_RF_264[[#This Row],[Descripción del producto]]),"",FT_RF_264[[#This Row],[Descripción del producto]])</f>
        <v/>
      </c>
      <c r="BS77" s="29" t="str">
        <f>IF(ISBLANK(FT_RF_264[[#This Row],[N° de Lote]]),"",FT_RF_264[[#This Row],[N° de Lote]])</f>
        <v/>
      </c>
      <c r="BT77" s="29" t="str">
        <f>IF(ISBLANK(FT_RF_264[[#This Row],[N° de Pallet]]),"",FT_RF_264[[#This Row],[N° de Pallet]])</f>
        <v/>
      </c>
    </row>
    <row r="78" spans="2:72">
      <c r="B78" s="29">
        <f>+_xlfn.ISOWEEKNUM(FT_RF_264[[#This Row],[Fecha]])</f>
        <v>52</v>
      </c>
      <c r="E78" s="31"/>
      <c r="F78" s="12" t="str">
        <f>IFERROR(""&amp;_xlfn.XLOOKUP(FT_RF_264[[#This Row],[Código]],BD_Cod[SKU],BD_Cod[Descripción]),"")</f>
        <v/>
      </c>
      <c r="G78" s="32" t="str">
        <f>IFERROR(""&amp;_xlfn.XLOOKUP(FT_RF_264[[#This Row],[Código]],BD_Cod[SKU],BD_Cod[Familia Calidad]),"")</f>
        <v/>
      </c>
      <c r="J78" s="33">
        <v>1000</v>
      </c>
      <c r="L78" s="30" t="s">
        <v>244</v>
      </c>
      <c r="O78" s="30" t="s">
        <v>894</v>
      </c>
      <c r="P78" s="29" t="s">
        <v>894</v>
      </c>
      <c r="Q78" s="37">
        <f>1-FT_RF_264[[#This Row],[% Defectos]]</f>
        <v>1</v>
      </c>
      <c r="R78" s="38">
        <v>0</v>
      </c>
      <c r="S78" s="39">
        <f>+IFERROR((FT_RF_264[[#This Row],[Inmadura]]/FT_RF_264[[#This Row],[Muestra]]),"0")</f>
        <v>0</v>
      </c>
      <c r="T78" s="38">
        <v>0</v>
      </c>
      <c r="U78" s="39">
        <f>+IFERROR((FT_RF_264[[#This Row],[Partidas]]/FT_RF_264[[#This Row],[Muestra]]),"0")</f>
        <v>0</v>
      </c>
      <c r="V78" s="38">
        <v>0</v>
      </c>
      <c r="W78" s="39">
        <f>+IFERROR((FT_RF_264[[#This Row],[Daño Insecto]]/FT_RF_264[[#This Row],[Muestra]]),"0")</f>
        <v>0</v>
      </c>
      <c r="X78" s="38">
        <v>0</v>
      </c>
      <c r="Y78" s="39">
        <f>+IFERROR((FT_RF_264[[#This Row],[Sobremadura]]/FT_RF_264[[#This Row],[Muestra]]),"0")</f>
        <v>0</v>
      </c>
      <c r="Z78" s="38">
        <v>0</v>
      </c>
      <c r="AA78" s="39">
        <f>+IFERROR((FT_RF_264[[#This Row],[Deforme]]/FT_RF_264[[#This Row],[Muestra]]),"0")</f>
        <v>0</v>
      </c>
      <c r="AB78" s="27"/>
      <c r="AC78" s="38">
        <v>0</v>
      </c>
      <c r="AD78" s="39">
        <f>+IFERROR((FT_RF_264[[#This Row],[Valor Extra 1]]/FT_RF_264[[#This Row],[Muestra]]),"0")</f>
        <v>0</v>
      </c>
      <c r="AF78" s="38">
        <v>0</v>
      </c>
      <c r="AG78" s="39">
        <f>+IFERROR((FT_RF_264[[#This Row],[Valor Extra 2]]/FT_RF_264[[#This Row],[Muestra]]),"0")</f>
        <v>0</v>
      </c>
      <c r="AH78" s="40">
        <v>0</v>
      </c>
      <c r="AI78" s="39">
        <f>+IFERROR((FT_RF_264[[#This Row],[Hongos]]/FT_RF_264[[#This Row],[Muestra]]),"0")</f>
        <v>0</v>
      </c>
      <c r="AJ78" s="38">
        <v>0</v>
      </c>
      <c r="AK78" s="39">
        <f>+IFERROR((FT_RF_264[[#This Row],[Block]]/FT_RF_264[[#This Row],[Muestra]]),"0")</f>
        <v>0</v>
      </c>
      <c r="AL78" s="41">
        <v>0</v>
      </c>
      <c r="AM78" s="42">
        <v>0</v>
      </c>
      <c r="AN78" s="38">
        <v>0</v>
      </c>
      <c r="AO78" s="39">
        <f>+IFERROR((FT_RF_264[[#This Row],[Fuera de calibre &lt;12mm]]/FT_RF_264[[#This Row],[Muestra]]),"0")</f>
        <v>0</v>
      </c>
      <c r="AP78" s="38">
        <v>0</v>
      </c>
      <c r="AQ78" s="39">
        <f>+IFERROR((FT_RF_264[[#This Row],[Calibre &lt;25]]/FT_RF_264[[#This Row],[Muestra]]),"0")</f>
        <v>0</v>
      </c>
      <c r="AR78" s="38">
        <v>0</v>
      </c>
      <c r="AS78" s="39">
        <f>+IFERROR((FT_RF_264[[#This Row],[Calibre &gt;12]]/FT_RF_264[[#This Row],[Muestra]]),"0")</f>
        <v>0</v>
      </c>
      <c r="AT78" s="38">
        <v>0</v>
      </c>
      <c r="AU78" s="39">
        <f>+IFERROR((FT_RF_264[[#This Row],[Calibre &lt;14]]/FT_RF_264[[#This Row],[Muestra]]),"0")</f>
        <v>0</v>
      </c>
      <c r="AV78" s="38">
        <v>0</v>
      </c>
      <c r="AW78" s="39">
        <f>+IFERROR((FT_RF_264[[#This Row],[Calibre &gt;14]]/FT_RF_264[[#This Row],[Muestra]]),"0")</f>
        <v>0</v>
      </c>
      <c r="AX78" s="38">
        <v>0</v>
      </c>
      <c r="AY78" s="39">
        <f>+IFERROR((FT_RF_264[[#This Row],[Calibre &lt;10]]/FT_RF_264[[#This Row],[Muestra]]),"0")</f>
        <v>0</v>
      </c>
      <c r="AZ78" s="38">
        <v>0</v>
      </c>
      <c r="BA78" s="39">
        <f>+IFERROR((FT_RF_264[[#This Row],[Calibre &gt;13]]/FT_RF_264[[#This Row],[Muestra]]),"0")</f>
        <v>0</v>
      </c>
      <c r="BB78" s="41"/>
      <c r="BG78" s="42"/>
      <c r="BH78" s="43">
        <v>0</v>
      </c>
      <c r="BI78" s="29" t="s">
        <v>894</v>
      </c>
      <c r="BJ78" s="29" t="s">
        <v>894</v>
      </c>
      <c r="BK7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7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78" s="45">
        <f>1-FT_RF_264[[#This Row],[% Defectos]]</f>
        <v>1</v>
      </c>
      <c r="BO78" s="60"/>
      <c r="BP78" s="12">
        <f>SUM(FT_RF_264[[#This Row],[Hoja (Un.)]:[Larvas Caja]])</f>
        <v>0</v>
      </c>
      <c r="BQ78" s="12">
        <f>SUM(FT_RF_264[[#This Row],[Vidrios]:[Plástico]])</f>
        <v>0</v>
      </c>
      <c r="BR78" s="12" t="str">
        <f>IF(ISBLANK(FT_RF_264[[#This Row],[Descripción del producto]]),"",FT_RF_264[[#This Row],[Descripción del producto]])</f>
        <v/>
      </c>
      <c r="BS78" s="29" t="str">
        <f>IF(ISBLANK(FT_RF_264[[#This Row],[N° de Lote]]),"",FT_RF_264[[#This Row],[N° de Lote]])</f>
        <v/>
      </c>
      <c r="BT78" s="29" t="str">
        <f>IF(ISBLANK(FT_RF_264[[#This Row],[N° de Pallet]]),"",FT_RF_264[[#This Row],[N° de Pallet]])</f>
        <v/>
      </c>
    </row>
    <row r="79" spans="2:72">
      <c r="B79" s="29">
        <f>+_xlfn.ISOWEEKNUM(FT_RF_264[[#This Row],[Fecha]])</f>
        <v>52</v>
      </c>
      <c r="E79" s="31"/>
      <c r="F79" s="12" t="str">
        <f>IFERROR(""&amp;_xlfn.XLOOKUP(FT_RF_264[[#This Row],[Código]],BD_Cod[SKU],BD_Cod[Descripción]),"")</f>
        <v/>
      </c>
      <c r="G79" s="32" t="str">
        <f>IFERROR(""&amp;_xlfn.XLOOKUP(FT_RF_264[[#This Row],[Código]],BD_Cod[SKU],BD_Cod[Familia Calidad]),"")</f>
        <v/>
      </c>
      <c r="J79" s="33">
        <v>1000</v>
      </c>
      <c r="L79" s="30" t="s">
        <v>244</v>
      </c>
      <c r="O79" s="30" t="s">
        <v>894</v>
      </c>
      <c r="P79" s="29" t="s">
        <v>894</v>
      </c>
      <c r="Q79" s="37">
        <f>1-FT_RF_264[[#This Row],[% Defectos]]</f>
        <v>1</v>
      </c>
      <c r="R79" s="38">
        <v>0</v>
      </c>
      <c r="S79" s="39">
        <f>+IFERROR((FT_RF_264[[#This Row],[Inmadura]]/FT_RF_264[[#This Row],[Muestra]]),"0")</f>
        <v>0</v>
      </c>
      <c r="T79" s="38">
        <v>0</v>
      </c>
      <c r="U79" s="39">
        <f>+IFERROR((FT_RF_264[[#This Row],[Partidas]]/FT_RF_264[[#This Row],[Muestra]]),"0")</f>
        <v>0</v>
      </c>
      <c r="V79" s="38">
        <v>0</v>
      </c>
      <c r="W79" s="39">
        <f>+IFERROR((FT_RF_264[[#This Row],[Daño Insecto]]/FT_RF_264[[#This Row],[Muestra]]),"0")</f>
        <v>0</v>
      </c>
      <c r="X79" s="38">
        <v>0</v>
      </c>
      <c r="Y79" s="39">
        <f>+IFERROR((FT_RF_264[[#This Row],[Sobremadura]]/FT_RF_264[[#This Row],[Muestra]]),"0")</f>
        <v>0</v>
      </c>
      <c r="Z79" s="38">
        <v>0</v>
      </c>
      <c r="AA79" s="39">
        <f>+IFERROR((FT_RF_264[[#This Row],[Deforme]]/FT_RF_264[[#This Row],[Muestra]]),"0")</f>
        <v>0</v>
      </c>
      <c r="AB79" s="27"/>
      <c r="AC79" s="38">
        <v>0</v>
      </c>
      <c r="AD79" s="39">
        <f>+IFERROR((FT_RF_264[[#This Row],[Valor Extra 1]]/FT_RF_264[[#This Row],[Muestra]]),"0")</f>
        <v>0</v>
      </c>
      <c r="AF79" s="38">
        <v>0</v>
      </c>
      <c r="AG79" s="39">
        <f>+IFERROR((FT_RF_264[[#This Row],[Valor Extra 2]]/FT_RF_264[[#This Row],[Muestra]]),"0")</f>
        <v>0</v>
      </c>
      <c r="AH79" s="40">
        <v>0</v>
      </c>
      <c r="AI79" s="39">
        <f>+IFERROR((FT_RF_264[[#This Row],[Hongos]]/FT_RF_264[[#This Row],[Muestra]]),"0")</f>
        <v>0</v>
      </c>
      <c r="AJ79" s="38">
        <v>0</v>
      </c>
      <c r="AK79" s="39">
        <f>+IFERROR((FT_RF_264[[#This Row],[Block]]/FT_RF_264[[#This Row],[Muestra]]),"0")</f>
        <v>0</v>
      </c>
      <c r="AL79" s="41">
        <v>0</v>
      </c>
      <c r="AM79" s="42">
        <v>0</v>
      </c>
      <c r="AN79" s="38">
        <v>0</v>
      </c>
      <c r="AO79" s="39">
        <f>+IFERROR((FT_RF_264[[#This Row],[Fuera de calibre &lt;12mm]]/FT_RF_264[[#This Row],[Muestra]]),"0")</f>
        <v>0</v>
      </c>
      <c r="AP79" s="38">
        <v>0</v>
      </c>
      <c r="AQ79" s="39">
        <f>+IFERROR((FT_RF_264[[#This Row],[Calibre &lt;25]]/FT_RF_264[[#This Row],[Muestra]]),"0")</f>
        <v>0</v>
      </c>
      <c r="AR79" s="38">
        <v>0</v>
      </c>
      <c r="AS79" s="39">
        <f>+IFERROR((FT_RF_264[[#This Row],[Calibre &gt;12]]/FT_RF_264[[#This Row],[Muestra]]),"0")</f>
        <v>0</v>
      </c>
      <c r="AT79" s="38">
        <v>0</v>
      </c>
      <c r="AU79" s="39">
        <f>+IFERROR((FT_RF_264[[#This Row],[Calibre &lt;14]]/FT_RF_264[[#This Row],[Muestra]]),"0")</f>
        <v>0</v>
      </c>
      <c r="AV79" s="38">
        <v>0</v>
      </c>
      <c r="AW79" s="39">
        <f>+IFERROR((FT_RF_264[[#This Row],[Calibre &gt;14]]/FT_RF_264[[#This Row],[Muestra]]),"0")</f>
        <v>0</v>
      </c>
      <c r="AX79" s="38">
        <v>0</v>
      </c>
      <c r="AY79" s="39">
        <f>+IFERROR((FT_RF_264[[#This Row],[Calibre &lt;10]]/FT_RF_264[[#This Row],[Muestra]]),"0")</f>
        <v>0</v>
      </c>
      <c r="AZ79" s="38">
        <v>0</v>
      </c>
      <c r="BA79" s="39">
        <f>+IFERROR((FT_RF_264[[#This Row],[Calibre &gt;13]]/FT_RF_264[[#This Row],[Muestra]]),"0")</f>
        <v>0</v>
      </c>
      <c r="BB79" s="41"/>
      <c r="BG79" s="42"/>
      <c r="BH79" s="43">
        <v>0</v>
      </c>
      <c r="BI79" s="29" t="s">
        <v>894</v>
      </c>
      <c r="BJ79" s="29" t="s">
        <v>894</v>
      </c>
      <c r="BK7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7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79" s="45">
        <f>1-FT_RF_264[[#This Row],[% Defectos]]</f>
        <v>1</v>
      </c>
      <c r="BO79" s="60"/>
      <c r="BP79" s="12">
        <f>SUM(FT_RF_264[[#This Row],[Hoja (Un.)]:[Larvas Caja]])</f>
        <v>0</v>
      </c>
      <c r="BQ79" s="12">
        <f>SUM(FT_RF_264[[#This Row],[Vidrios]:[Plástico]])</f>
        <v>0</v>
      </c>
      <c r="BR79" s="12" t="str">
        <f>IF(ISBLANK(FT_RF_264[[#This Row],[Descripción del producto]]),"",FT_RF_264[[#This Row],[Descripción del producto]])</f>
        <v/>
      </c>
      <c r="BS79" s="29" t="str">
        <f>IF(ISBLANK(FT_RF_264[[#This Row],[N° de Lote]]),"",FT_RF_264[[#This Row],[N° de Lote]])</f>
        <v/>
      </c>
      <c r="BT79" s="29" t="str">
        <f>IF(ISBLANK(FT_RF_264[[#This Row],[N° de Pallet]]),"",FT_RF_264[[#This Row],[N° de Pallet]])</f>
        <v/>
      </c>
    </row>
    <row r="80" spans="2:72">
      <c r="B80" s="29">
        <f>+_xlfn.ISOWEEKNUM(FT_RF_264[[#This Row],[Fecha]])</f>
        <v>52</v>
      </c>
      <c r="E80" s="31"/>
      <c r="F80" s="12" t="str">
        <f>IFERROR(""&amp;_xlfn.XLOOKUP(FT_RF_264[[#This Row],[Código]],BD_Cod[SKU],BD_Cod[Descripción]),"")</f>
        <v/>
      </c>
      <c r="G80" s="32" t="str">
        <f>IFERROR(""&amp;_xlfn.XLOOKUP(FT_RF_264[[#This Row],[Código]],BD_Cod[SKU],BD_Cod[Familia Calidad]),"")</f>
        <v/>
      </c>
      <c r="J80" s="33">
        <v>1000</v>
      </c>
      <c r="L80" s="30" t="s">
        <v>244</v>
      </c>
      <c r="O80" s="30" t="s">
        <v>894</v>
      </c>
      <c r="P80" s="29" t="s">
        <v>894</v>
      </c>
      <c r="Q80" s="37">
        <f>1-FT_RF_264[[#This Row],[% Defectos]]</f>
        <v>1</v>
      </c>
      <c r="R80" s="38">
        <v>0</v>
      </c>
      <c r="S80" s="39">
        <f>+IFERROR((FT_RF_264[[#This Row],[Inmadura]]/FT_RF_264[[#This Row],[Muestra]]),"0")</f>
        <v>0</v>
      </c>
      <c r="T80" s="38">
        <v>0</v>
      </c>
      <c r="U80" s="39">
        <f>+IFERROR((FT_RF_264[[#This Row],[Partidas]]/FT_RF_264[[#This Row],[Muestra]]),"0")</f>
        <v>0</v>
      </c>
      <c r="V80" s="38">
        <v>0</v>
      </c>
      <c r="W80" s="39">
        <f>+IFERROR((FT_RF_264[[#This Row],[Daño Insecto]]/FT_RF_264[[#This Row],[Muestra]]),"0")</f>
        <v>0</v>
      </c>
      <c r="X80" s="38">
        <v>0</v>
      </c>
      <c r="Y80" s="39">
        <f>+IFERROR((FT_RF_264[[#This Row],[Sobremadura]]/FT_RF_264[[#This Row],[Muestra]]),"0")</f>
        <v>0</v>
      </c>
      <c r="Z80" s="38">
        <v>0</v>
      </c>
      <c r="AA80" s="39">
        <f>+IFERROR((FT_RF_264[[#This Row],[Deforme]]/FT_RF_264[[#This Row],[Muestra]]),"0")</f>
        <v>0</v>
      </c>
      <c r="AB80" s="27"/>
      <c r="AC80" s="38">
        <v>0</v>
      </c>
      <c r="AD80" s="39">
        <f>+IFERROR((FT_RF_264[[#This Row],[Valor Extra 1]]/FT_RF_264[[#This Row],[Muestra]]),"0")</f>
        <v>0</v>
      </c>
      <c r="AF80" s="38">
        <v>0</v>
      </c>
      <c r="AG80" s="39">
        <f>+IFERROR((FT_RF_264[[#This Row],[Valor Extra 2]]/FT_RF_264[[#This Row],[Muestra]]),"0")</f>
        <v>0</v>
      </c>
      <c r="AH80" s="40">
        <v>0</v>
      </c>
      <c r="AI80" s="39">
        <f>+IFERROR((FT_RF_264[[#This Row],[Hongos]]/FT_RF_264[[#This Row],[Muestra]]),"0")</f>
        <v>0</v>
      </c>
      <c r="AJ80" s="38">
        <v>0</v>
      </c>
      <c r="AK80" s="39">
        <f>+IFERROR((FT_RF_264[[#This Row],[Block]]/FT_RF_264[[#This Row],[Muestra]]),"0")</f>
        <v>0</v>
      </c>
      <c r="AL80" s="41">
        <v>0</v>
      </c>
      <c r="AM80" s="42">
        <v>0</v>
      </c>
      <c r="AN80" s="38">
        <v>0</v>
      </c>
      <c r="AO80" s="39">
        <f>+IFERROR((FT_RF_264[[#This Row],[Fuera de calibre &lt;12mm]]/FT_RF_264[[#This Row],[Muestra]]),"0")</f>
        <v>0</v>
      </c>
      <c r="AP80" s="38">
        <v>0</v>
      </c>
      <c r="AQ80" s="39">
        <f>+IFERROR((FT_RF_264[[#This Row],[Calibre &lt;25]]/FT_RF_264[[#This Row],[Muestra]]),"0")</f>
        <v>0</v>
      </c>
      <c r="AR80" s="38">
        <v>0</v>
      </c>
      <c r="AS80" s="39">
        <f>+IFERROR((FT_RF_264[[#This Row],[Calibre &gt;12]]/FT_RF_264[[#This Row],[Muestra]]),"0")</f>
        <v>0</v>
      </c>
      <c r="AT80" s="38">
        <v>0</v>
      </c>
      <c r="AU80" s="39">
        <f>+IFERROR((FT_RF_264[[#This Row],[Calibre &lt;14]]/FT_RF_264[[#This Row],[Muestra]]),"0")</f>
        <v>0</v>
      </c>
      <c r="AV80" s="38">
        <v>0</v>
      </c>
      <c r="AW80" s="39">
        <f>+IFERROR((FT_RF_264[[#This Row],[Calibre &gt;14]]/FT_RF_264[[#This Row],[Muestra]]),"0")</f>
        <v>0</v>
      </c>
      <c r="AX80" s="38">
        <v>0</v>
      </c>
      <c r="AY80" s="39">
        <f>+IFERROR((FT_RF_264[[#This Row],[Calibre &lt;10]]/FT_RF_264[[#This Row],[Muestra]]),"0")</f>
        <v>0</v>
      </c>
      <c r="AZ80" s="38">
        <v>0</v>
      </c>
      <c r="BA80" s="39">
        <f>+IFERROR((FT_RF_264[[#This Row],[Calibre &gt;13]]/FT_RF_264[[#This Row],[Muestra]]),"0")</f>
        <v>0</v>
      </c>
      <c r="BB80" s="41"/>
      <c r="BG80" s="42"/>
      <c r="BH80" s="43">
        <v>0</v>
      </c>
      <c r="BI80" s="29" t="s">
        <v>894</v>
      </c>
      <c r="BJ80" s="29" t="s">
        <v>894</v>
      </c>
      <c r="BK8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8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80" s="45">
        <f>1-FT_RF_264[[#This Row],[% Defectos]]</f>
        <v>1</v>
      </c>
      <c r="BO80" s="60"/>
      <c r="BP80" s="12">
        <f>SUM(FT_RF_264[[#This Row],[Hoja (Un.)]:[Larvas Caja]])</f>
        <v>0</v>
      </c>
      <c r="BQ80" s="12">
        <f>SUM(FT_RF_264[[#This Row],[Vidrios]:[Plástico]])</f>
        <v>0</v>
      </c>
      <c r="BR80" s="12" t="str">
        <f>IF(ISBLANK(FT_RF_264[[#This Row],[Descripción del producto]]),"",FT_RF_264[[#This Row],[Descripción del producto]])</f>
        <v/>
      </c>
      <c r="BS80" s="29" t="str">
        <f>IF(ISBLANK(FT_RF_264[[#This Row],[N° de Lote]]),"",FT_RF_264[[#This Row],[N° de Lote]])</f>
        <v/>
      </c>
      <c r="BT80" s="29" t="str">
        <f>IF(ISBLANK(FT_RF_264[[#This Row],[N° de Pallet]]),"",FT_RF_264[[#This Row],[N° de Pallet]])</f>
        <v/>
      </c>
    </row>
    <row r="81" spans="2:72">
      <c r="B81" s="29">
        <f>+_xlfn.ISOWEEKNUM(FT_RF_264[[#This Row],[Fecha]])</f>
        <v>52</v>
      </c>
      <c r="E81" s="31"/>
      <c r="F81" s="12" t="str">
        <f>IFERROR(""&amp;_xlfn.XLOOKUP(FT_RF_264[[#This Row],[Código]],BD_Cod[SKU],BD_Cod[Descripción]),"")</f>
        <v/>
      </c>
      <c r="G81" s="32" t="str">
        <f>IFERROR(""&amp;_xlfn.XLOOKUP(FT_RF_264[[#This Row],[Código]],BD_Cod[SKU],BD_Cod[Familia Calidad]),"")</f>
        <v/>
      </c>
      <c r="J81" s="33">
        <v>1000</v>
      </c>
      <c r="L81" s="30" t="s">
        <v>244</v>
      </c>
      <c r="O81" s="30" t="s">
        <v>894</v>
      </c>
      <c r="P81" s="29" t="s">
        <v>894</v>
      </c>
      <c r="Q81" s="37">
        <f>1-FT_RF_264[[#This Row],[% Defectos]]</f>
        <v>1</v>
      </c>
      <c r="R81" s="38">
        <v>0</v>
      </c>
      <c r="S81" s="39">
        <f>+IFERROR((FT_RF_264[[#This Row],[Inmadura]]/FT_RF_264[[#This Row],[Muestra]]),"0")</f>
        <v>0</v>
      </c>
      <c r="T81" s="38">
        <v>0</v>
      </c>
      <c r="U81" s="39">
        <f>+IFERROR((FT_RF_264[[#This Row],[Partidas]]/FT_RF_264[[#This Row],[Muestra]]),"0")</f>
        <v>0</v>
      </c>
      <c r="V81" s="38">
        <v>0</v>
      </c>
      <c r="W81" s="39">
        <f>+IFERROR((FT_RF_264[[#This Row],[Daño Insecto]]/FT_RF_264[[#This Row],[Muestra]]),"0")</f>
        <v>0</v>
      </c>
      <c r="X81" s="38">
        <v>0</v>
      </c>
      <c r="Y81" s="39">
        <f>+IFERROR((FT_RF_264[[#This Row],[Sobremadura]]/FT_RF_264[[#This Row],[Muestra]]),"0")</f>
        <v>0</v>
      </c>
      <c r="Z81" s="38">
        <v>0</v>
      </c>
      <c r="AA81" s="39">
        <f>+IFERROR((FT_RF_264[[#This Row],[Deforme]]/FT_RF_264[[#This Row],[Muestra]]),"0")</f>
        <v>0</v>
      </c>
      <c r="AB81" s="27"/>
      <c r="AC81" s="38">
        <v>0</v>
      </c>
      <c r="AD81" s="39">
        <f>+IFERROR((FT_RF_264[[#This Row],[Valor Extra 1]]/FT_RF_264[[#This Row],[Muestra]]),"0")</f>
        <v>0</v>
      </c>
      <c r="AF81" s="38">
        <v>0</v>
      </c>
      <c r="AG81" s="39">
        <f>+IFERROR((FT_RF_264[[#This Row],[Valor Extra 2]]/FT_RF_264[[#This Row],[Muestra]]),"0")</f>
        <v>0</v>
      </c>
      <c r="AH81" s="40">
        <v>0</v>
      </c>
      <c r="AI81" s="39">
        <f>+IFERROR((FT_RF_264[[#This Row],[Hongos]]/FT_RF_264[[#This Row],[Muestra]]),"0")</f>
        <v>0</v>
      </c>
      <c r="AJ81" s="38">
        <v>0</v>
      </c>
      <c r="AK81" s="39">
        <f>+IFERROR((FT_RF_264[[#This Row],[Block]]/FT_RF_264[[#This Row],[Muestra]]),"0")</f>
        <v>0</v>
      </c>
      <c r="AL81" s="41">
        <v>0</v>
      </c>
      <c r="AM81" s="42">
        <v>0</v>
      </c>
      <c r="AN81" s="38">
        <v>0</v>
      </c>
      <c r="AO81" s="39">
        <f>+IFERROR((FT_RF_264[[#This Row],[Fuera de calibre &lt;12mm]]/FT_RF_264[[#This Row],[Muestra]]),"0")</f>
        <v>0</v>
      </c>
      <c r="AP81" s="38">
        <v>0</v>
      </c>
      <c r="AQ81" s="39">
        <f>+IFERROR((FT_RF_264[[#This Row],[Calibre &lt;25]]/FT_RF_264[[#This Row],[Muestra]]),"0")</f>
        <v>0</v>
      </c>
      <c r="AR81" s="38">
        <v>0</v>
      </c>
      <c r="AS81" s="39">
        <f>+IFERROR((FT_RF_264[[#This Row],[Calibre &gt;12]]/FT_RF_264[[#This Row],[Muestra]]),"0")</f>
        <v>0</v>
      </c>
      <c r="AT81" s="38">
        <v>0</v>
      </c>
      <c r="AU81" s="39">
        <f>+IFERROR((FT_RF_264[[#This Row],[Calibre &lt;14]]/FT_RF_264[[#This Row],[Muestra]]),"0")</f>
        <v>0</v>
      </c>
      <c r="AV81" s="38">
        <v>0</v>
      </c>
      <c r="AW81" s="39">
        <f>+IFERROR((FT_RF_264[[#This Row],[Calibre &gt;14]]/FT_RF_264[[#This Row],[Muestra]]),"0")</f>
        <v>0</v>
      </c>
      <c r="AX81" s="38">
        <v>0</v>
      </c>
      <c r="AY81" s="39">
        <f>+IFERROR((FT_RF_264[[#This Row],[Calibre &lt;10]]/FT_RF_264[[#This Row],[Muestra]]),"0")</f>
        <v>0</v>
      </c>
      <c r="AZ81" s="38">
        <v>0</v>
      </c>
      <c r="BA81" s="39">
        <f>+IFERROR((FT_RF_264[[#This Row],[Calibre &gt;13]]/FT_RF_264[[#This Row],[Muestra]]),"0")</f>
        <v>0</v>
      </c>
      <c r="BB81" s="41"/>
      <c r="BG81" s="42"/>
      <c r="BH81" s="43">
        <v>0</v>
      </c>
      <c r="BI81" s="29" t="s">
        <v>894</v>
      </c>
      <c r="BJ81" s="29" t="s">
        <v>894</v>
      </c>
      <c r="BK8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8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81" s="45">
        <f>1-FT_RF_264[[#This Row],[% Defectos]]</f>
        <v>1</v>
      </c>
      <c r="BO81" s="60"/>
      <c r="BP81" s="12">
        <f>SUM(FT_RF_264[[#This Row],[Hoja (Un.)]:[Larvas Caja]])</f>
        <v>0</v>
      </c>
      <c r="BQ81" s="12">
        <f>SUM(FT_RF_264[[#This Row],[Vidrios]:[Plástico]])</f>
        <v>0</v>
      </c>
      <c r="BR81" s="12" t="str">
        <f>IF(ISBLANK(FT_RF_264[[#This Row],[Descripción del producto]]),"",FT_RF_264[[#This Row],[Descripción del producto]])</f>
        <v/>
      </c>
      <c r="BS81" s="29" t="str">
        <f>IF(ISBLANK(FT_RF_264[[#This Row],[N° de Lote]]),"",FT_RF_264[[#This Row],[N° de Lote]])</f>
        <v/>
      </c>
      <c r="BT81" s="29" t="str">
        <f>IF(ISBLANK(FT_RF_264[[#This Row],[N° de Pallet]]),"",FT_RF_264[[#This Row],[N° de Pallet]])</f>
        <v/>
      </c>
    </row>
    <row r="82" spans="2:72">
      <c r="B82" s="29">
        <f>+_xlfn.ISOWEEKNUM(FT_RF_264[[#This Row],[Fecha]])</f>
        <v>52</v>
      </c>
      <c r="E82" s="31"/>
      <c r="F82" s="12" t="str">
        <f>IFERROR(""&amp;_xlfn.XLOOKUP(FT_RF_264[[#This Row],[Código]],BD_Cod[SKU],BD_Cod[Descripción]),"")</f>
        <v/>
      </c>
      <c r="G82" s="32" t="str">
        <f>IFERROR(""&amp;_xlfn.XLOOKUP(FT_RF_264[[#This Row],[Código]],BD_Cod[SKU],BD_Cod[Familia Calidad]),"")</f>
        <v/>
      </c>
      <c r="J82" s="33">
        <v>1000</v>
      </c>
      <c r="L82" s="30" t="s">
        <v>244</v>
      </c>
      <c r="O82" s="30" t="s">
        <v>894</v>
      </c>
      <c r="P82" s="29" t="s">
        <v>894</v>
      </c>
      <c r="Q82" s="37">
        <f>1-FT_RF_264[[#This Row],[% Defectos]]</f>
        <v>1</v>
      </c>
      <c r="R82" s="38">
        <v>0</v>
      </c>
      <c r="S82" s="39">
        <f>+IFERROR((FT_RF_264[[#This Row],[Inmadura]]/FT_RF_264[[#This Row],[Muestra]]),"0")</f>
        <v>0</v>
      </c>
      <c r="T82" s="38">
        <v>0</v>
      </c>
      <c r="U82" s="39">
        <f>+IFERROR((FT_RF_264[[#This Row],[Partidas]]/FT_RF_264[[#This Row],[Muestra]]),"0")</f>
        <v>0</v>
      </c>
      <c r="V82" s="38">
        <v>0</v>
      </c>
      <c r="W82" s="39">
        <f>+IFERROR((FT_RF_264[[#This Row],[Daño Insecto]]/FT_RF_264[[#This Row],[Muestra]]),"0")</f>
        <v>0</v>
      </c>
      <c r="X82" s="38">
        <v>0</v>
      </c>
      <c r="Y82" s="39">
        <f>+IFERROR((FT_RF_264[[#This Row],[Sobremadura]]/FT_RF_264[[#This Row],[Muestra]]),"0")</f>
        <v>0</v>
      </c>
      <c r="Z82" s="38">
        <v>0</v>
      </c>
      <c r="AA82" s="39">
        <f>+IFERROR((FT_RF_264[[#This Row],[Deforme]]/FT_RF_264[[#This Row],[Muestra]]),"0")</f>
        <v>0</v>
      </c>
      <c r="AB82" s="27"/>
      <c r="AC82" s="38">
        <v>0</v>
      </c>
      <c r="AD82" s="39">
        <f>+IFERROR((FT_RF_264[[#This Row],[Valor Extra 1]]/FT_RF_264[[#This Row],[Muestra]]),"0")</f>
        <v>0</v>
      </c>
      <c r="AF82" s="38">
        <v>0</v>
      </c>
      <c r="AG82" s="39">
        <f>+IFERROR((FT_RF_264[[#This Row],[Valor Extra 2]]/FT_RF_264[[#This Row],[Muestra]]),"0")</f>
        <v>0</v>
      </c>
      <c r="AH82" s="40">
        <v>0</v>
      </c>
      <c r="AI82" s="39">
        <f>+IFERROR((FT_RF_264[[#This Row],[Hongos]]/FT_RF_264[[#This Row],[Muestra]]),"0")</f>
        <v>0</v>
      </c>
      <c r="AJ82" s="38">
        <v>0</v>
      </c>
      <c r="AK82" s="39">
        <f>+IFERROR((FT_RF_264[[#This Row],[Block]]/FT_RF_264[[#This Row],[Muestra]]),"0")</f>
        <v>0</v>
      </c>
      <c r="AL82" s="41">
        <v>0</v>
      </c>
      <c r="AM82" s="42">
        <v>0</v>
      </c>
      <c r="AN82" s="38">
        <v>0</v>
      </c>
      <c r="AO82" s="39">
        <f>+IFERROR((FT_RF_264[[#This Row],[Fuera de calibre &lt;12mm]]/FT_RF_264[[#This Row],[Muestra]]),"0")</f>
        <v>0</v>
      </c>
      <c r="AP82" s="38">
        <v>0</v>
      </c>
      <c r="AQ82" s="39">
        <f>+IFERROR((FT_RF_264[[#This Row],[Calibre &lt;25]]/FT_RF_264[[#This Row],[Muestra]]),"0")</f>
        <v>0</v>
      </c>
      <c r="AR82" s="38">
        <v>0</v>
      </c>
      <c r="AS82" s="39">
        <f>+IFERROR((FT_RF_264[[#This Row],[Calibre &gt;12]]/FT_RF_264[[#This Row],[Muestra]]),"0")</f>
        <v>0</v>
      </c>
      <c r="AT82" s="38">
        <v>0</v>
      </c>
      <c r="AU82" s="39">
        <f>+IFERROR((FT_RF_264[[#This Row],[Calibre &lt;14]]/FT_RF_264[[#This Row],[Muestra]]),"0")</f>
        <v>0</v>
      </c>
      <c r="AV82" s="38">
        <v>0</v>
      </c>
      <c r="AW82" s="39">
        <f>+IFERROR((FT_RF_264[[#This Row],[Calibre &gt;14]]/FT_RF_264[[#This Row],[Muestra]]),"0")</f>
        <v>0</v>
      </c>
      <c r="AX82" s="38">
        <v>0</v>
      </c>
      <c r="AY82" s="39">
        <f>+IFERROR((FT_RF_264[[#This Row],[Calibre &lt;10]]/FT_RF_264[[#This Row],[Muestra]]),"0")</f>
        <v>0</v>
      </c>
      <c r="AZ82" s="38">
        <v>0</v>
      </c>
      <c r="BA82" s="39">
        <f>+IFERROR((FT_RF_264[[#This Row],[Calibre &gt;13]]/FT_RF_264[[#This Row],[Muestra]]),"0")</f>
        <v>0</v>
      </c>
      <c r="BB82" s="41"/>
      <c r="BG82" s="42"/>
      <c r="BH82" s="43">
        <v>0</v>
      </c>
      <c r="BI82" s="29" t="s">
        <v>894</v>
      </c>
      <c r="BJ82" s="29" t="s">
        <v>894</v>
      </c>
      <c r="BK8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8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82" s="45">
        <f>1-FT_RF_264[[#This Row],[% Defectos]]</f>
        <v>1</v>
      </c>
      <c r="BO82" s="60"/>
      <c r="BP82" s="12">
        <f>SUM(FT_RF_264[[#This Row],[Hoja (Un.)]:[Larvas Caja]])</f>
        <v>0</v>
      </c>
      <c r="BQ82" s="12">
        <f>SUM(FT_RF_264[[#This Row],[Vidrios]:[Plástico]])</f>
        <v>0</v>
      </c>
      <c r="BR82" s="12" t="str">
        <f>IF(ISBLANK(FT_RF_264[[#This Row],[Descripción del producto]]),"",FT_RF_264[[#This Row],[Descripción del producto]])</f>
        <v/>
      </c>
      <c r="BS82" s="29" t="str">
        <f>IF(ISBLANK(FT_RF_264[[#This Row],[N° de Lote]]),"",FT_RF_264[[#This Row],[N° de Lote]])</f>
        <v/>
      </c>
      <c r="BT82" s="29" t="str">
        <f>IF(ISBLANK(FT_RF_264[[#This Row],[N° de Pallet]]),"",FT_RF_264[[#This Row],[N° de Pallet]])</f>
        <v/>
      </c>
    </row>
    <row r="83" spans="2:72">
      <c r="B83" s="29">
        <f>+_xlfn.ISOWEEKNUM(FT_RF_264[[#This Row],[Fecha]])</f>
        <v>52</v>
      </c>
      <c r="E83" s="31"/>
      <c r="F83" s="12" t="str">
        <f>IFERROR(""&amp;_xlfn.XLOOKUP(FT_RF_264[[#This Row],[Código]],BD_Cod[SKU],BD_Cod[Descripción]),"")</f>
        <v/>
      </c>
      <c r="G83" s="32" t="str">
        <f>IFERROR(""&amp;_xlfn.XLOOKUP(FT_RF_264[[#This Row],[Código]],BD_Cod[SKU],BD_Cod[Familia Calidad]),"")</f>
        <v/>
      </c>
      <c r="J83" s="33">
        <v>1000</v>
      </c>
      <c r="L83" s="30" t="s">
        <v>244</v>
      </c>
      <c r="O83" s="30" t="s">
        <v>894</v>
      </c>
      <c r="P83" s="29" t="s">
        <v>894</v>
      </c>
      <c r="Q83" s="37">
        <f>1-FT_RF_264[[#This Row],[% Defectos]]</f>
        <v>1</v>
      </c>
      <c r="R83" s="38">
        <v>0</v>
      </c>
      <c r="S83" s="39">
        <f>+IFERROR((FT_RF_264[[#This Row],[Inmadura]]/FT_RF_264[[#This Row],[Muestra]]),"0")</f>
        <v>0</v>
      </c>
      <c r="T83" s="38">
        <v>0</v>
      </c>
      <c r="U83" s="39">
        <f>+IFERROR((FT_RF_264[[#This Row],[Partidas]]/FT_RF_264[[#This Row],[Muestra]]),"0")</f>
        <v>0</v>
      </c>
      <c r="V83" s="38">
        <v>0</v>
      </c>
      <c r="W83" s="39">
        <f>+IFERROR((FT_RF_264[[#This Row],[Daño Insecto]]/FT_RF_264[[#This Row],[Muestra]]),"0")</f>
        <v>0</v>
      </c>
      <c r="X83" s="38">
        <v>0</v>
      </c>
      <c r="Y83" s="39">
        <f>+IFERROR((FT_RF_264[[#This Row],[Sobremadura]]/FT_RF_264[[#This Row],[Muestra]]),"0")</f>
        <v>0</v>
      </c>
      <c r="Z83" s="38">
        <v>0</v>
      </c>
      <c r="AA83" s="39">
        <f>+IFERROR((FT_RF_264[[#This Row],[Deforme]]/FT_RF_264[[#This Row],[Muestra]]),"0")</f>
        <v>0</v>
      </c>
      <c r="AB83" s="27"/>
      <c r="AC83" s="38">
        <v>0</v>
      </c>
      <c r="AD83" s="39">
        <f>+IFERROR((FT_RF_264[[#This Row],[Valor Extra 1]]/FT_RF_264[[#This Row],[Muestra]]),"0")</f>
        <v>0</v>
      </c>
      <c r="AF83" s="38">
        <v>0</v>
      </c>
      <c r="AG83" s="39">
        <f>+IFERROR((FT_RF_264[[#This Row],[Valor Extra 2]]/FT_RF_264[[#This Row],[Muestra]]),"0")</f>
        <v>0</v>
      </c>
      <c r="AH83" s="40">
        <v>0</v>
      </c>
      <c r="AI83" s="39">
        <f>+IFERROR((FT_RF_264[[#This Row],[Hongos]]/FT_RF_264[[#This Row],[Muestra]]),"0")</f>
        <v>0</v>
      </c>
      <c r="AJ83" s="38">
        <v>0</v>
      </c>
      <c r="AK83" s="39">
        <f>+IFERROR((FT_RF_264[[#This Row],[Block]]/FT_RF_264[[#This Row],[Muestra]]),"0")</f>
        <v>0</v>
      </c>
      <c r="AL83" s="41">
        <v>0</v>
      </c>
      <c r="AM83" s="42">
        <v>0</v>
      </c>
      <c r="AN83" s="38">
        <v>0</v>
      </c>
      <c r="AO83" s="39">
        <f>+IFERROR((FT_RF_264[[#This Row],[Fuera de calibre &lt;12mm]]/FT_RF_264[[#This Row],[Muestra]]),"0")</f>
        <v>0</v>
      </c>
      <c r="AP83" s="38">
        <v>0</v>
      </c>
      <c r="AQ83" s="39">
        <f>+IFERROR((FT_RF_264[[#This Row],[Calibre &lt;25]]/FT_RF_264[[#This Row],[Muestra]]),"0")</f>
        <v>0</v>
      </c>
      <c r="AR83" s="38">
        <v>0</v>
      </c>
      <c r="AS83" s="39">
        <f>+IFERROR((FT_RF_264[[#This Row],[Calibre &gt;12]]/FT_RF_264[[#This Row],[Muestra]]),"0")</f>
        <v>0</v>
      </c>
      <c r="AT83" s="38">
        <v>0</v>
      </c>
      <c r="AU83" s="39">
        <f>+IFERROR((FT_RF_264[[#This Row],[Calibre &lt;14]]/FT_RF_264[[#This Row],[Muestra]]),"0")</f>
        <v>0</v>
      </c>
      <c r="AV83" s="38">
        <v>0</v>
      </c>
      <c r="AW83" s="39">
        <f>+IFERROR((FT_RF_264[[#This Row],[Calibre &gt;14]]/FT_RF_264[[#This Row],[Muestra]]),"0")</f>
        <v>0</v>
      </c>
      <c r="AX83" s="38">
        <v>0</v>
      </c>
      <c r="AY83" s="39">
        <f>+IFERROR((FT_RF_264[[#This Row],[Calibre &lt;10]]/FT_RF_264[[#This Row],[Muestra]]),"0")</f>
        <v>0</v>
      </c>
      <c r="AZ83" s="38">
        <v>0</v>
      </c>
      <c r="BA83" s="39">
        <f>+IFERROR((FT_RF_264[[#This Row],[Calibre &gt;13]]/FT_RF_264[[#This Row],[Muestra]]),"0")</f>
        <v>0</v>
      </c>
      <c r="BB83" s="41"/>
      <c r="BG83" s="42"/>
      <c r="BH83" s="43">
        <v>0</v>
      </c>
      <c r="BI83" s="29" t="s">
        <v>894</v>
      </c>
      <c r="BJ83" s="29" t="s">
        <v>894</v>
      </c>
      <c r="BK8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8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83" s="45">
        <f>1-FT_RF_264[[#This Row],[% Defectos]]</f>
        <v>1</v>
      </c>
      <c r="BO83" s="60"/>
      <c r="BP83" s="12">
        <f>SUM(FT_RF_264[[#This Row],[Hoja (Un.)]:[Larvas Caja]])</f>
        <v>0</v>
      </c>
      <c r="BQ83" s="12">
        <f>SUM(FT_RF_264[[#This Row],[Vidrios]:[Plástico]])</f>
        <v>0</v>
      </c>
      <c r="BR83" s="12" t="str">
        <f>IF(ISBLANK(FT_RF_264[[#This Row],[Descripción del producto]]),"",FT_RF_264[[#This Row],[Descripción del producto]])</f>
        <v/>
      </c>
      <c r="BS83" s="29" t="str">
        <f>IF(ISBLANK(FT_RF_264[[#This Row],[N° de Lote]]),"",FT_RF_264[[#This Row],[N° de Lote]])</f>
        <v/>
      </c>
      <c r="BT83" s="29" t="str">
        <f>IF(ISBLANK(FT_RF_264[[#This Row],[N° de Pallet]]),"",FT_RF_264[[#This Row],[N° de Pallet]])</f>
        <v/>
      </c>
    </row>
    <row r="84" spans="2:72">
      <c r="B84" s="29">
        <f>+_xlfn.ISOWEEKNUM(FT_RF_264[[#This Row],[Fecha]])</f>
        <v>52</v>
      </c>
      <c r="E84" s="31"/>
      <c r="F84" s="12" t="str">
        <f>IFERROR(""&amp;_xlfn.XLOOKUP(FT_RF_264[[#This Row],[Código]],BD_Cod[SKU],BD_Cod[Descripción]),"")</f>
        <v/>
      </c>
      <c r="G84" s="32" t="str">
        <f>IFERROR(""&amp;_xlfn.XLOOKUP(FT_RF_264[[#This Row],[Código]],BD_Cod[SKU],BD_Cod[Familia Calidad]),"")</f>
        <v/>
      </c>
      <c r="J84" s="33">
        <v>1000</v>
      </c>
      <c r="L84" s="30" t="s">
        <v>244</v>
      </c>
      <c r="O84" s="30" t="s">
        <v>894</v>
      </c>
      <c r="P84" s="29" t="s">
        <v>894</v>
      </c>
      <c r="Q84" s="37">
        <f>1-FT_RF_264[[#This Row],[% Defectos]]</f>
        <v>1</v>
      </c>
      <c r="R84" s="38">
        <v>0</v>
      </c>
      <c r="S84" s="39">
        <f>+IFERROR((FT_RF_264[[#This Row],[Inmadura]]/FT_RF_264[[#This Row],[Muestra]]),"0")</f>
        <v>0</v>
      </c>
      <c r="T84" s="38">
        <v>0</v>
      </c>
      <c r="U84" s="39">
        <f>+IFERROR((FT_RF_264[[#This Row],[Partidas]]/FT_RF_264[[#This Row],[Muestra]]),"0")</f>
        <v>0</v>
      </c>
      <c r="V84" s="38">
        <v>0</v>
      </c>
      <c r="W84" s="39">
        <f>+IFERROR((FT_RF_264[[#This Row],[Daño Insecto]]/FT_RF_264[[#This Row],[Muestra]]),"0")</f>
        <v>0</v>
      </c>
      <c r="X84" s="38">
        <v>0</v>
      </c>
      <c r="Y84" s="39">
        <f>+IFERROR((FT_RF_264[[#This Row],[Sobremadura]]/FT_RF_264[[#This Row],[Muestra]]),"0")</f>
        <v>0</v>
      </c>
      <c r="Z84" s="38">
        <v>0</v>
      </c>
      <c r="AA84" s="39">
        <f>+IFERROR((FT_RF_264[[#This Row],[Deforme]]/FT_RF_264[[#This Row],[Muestra]]),"0")</f>
        <v>0</v>
      </c>
      <c r="AB84" s="27"/>
      <c r="AC84" s="38">
        <v>0</v>
      </c>
      <c r="AD84" s="39">
        <f>+IFERROR((FT_RF_264[[#This Row],[Valor Extra 1]]/FT_RF_264[[#This Row],[Muestra]]),"0")</f>
        <v>0</v>
      </c>
      <c r="AF84" s="38">
        <v>0</v>
      </c>
      <c r="AG84" s="39">
        <f>+IFERROR((FT_RF_264[[#This Row],[Valor Extra 2]]/FT_RF_264[[#This Row],[Muestra]]),"0")</f>
        <v>0</v>
      </c>
      <c r="AH84" s="40">
        <v>0</v>
      </c>
      <c r="AI84" s="39">
        <f>+IFERROR((FT_RF_264[[#This Row],[Hongos]]/FT_RF_264[[#This Row],[Muestra]]),"0")</f>
        <v>0</v>
      </c>
      <c r="AJ84" s="38">
        <v>0</v>
      </c>
      <c r="AK84" s="39">
        <f>+IFERROR((FT_RF_264[[#This Row],[Block]]/FT_RF_264[[#This Row],[Muestra]]),"0")</f>
        <v>0</v>
      </c>
      <c r="AL84" s="41">
        <v>0</v>
      </c>
      <c r="AM84" s="42">
        <v>0</v>
      </c>
      <c r="AN84" s="38">
        <v>0</v>
      </c>
      <c r="AO84" s="39">
        <f>+IFERROR((FT_RF_264[[#This Row],[Fuera de calibre &lt;12mm]]/FT_RF_264[[#This Row],[Muestra]]),"0")</f>
        <v>0</v>
      </c>
      <c r="AP84" s="38">
        <v>0</v>
      </c>
      <c r="AQ84" s="39">
        <f>+IFERROR((FT_RF_264[[#This Row],[Calibre &lt;25]]/FT_RF_264[[#This Row],[Muestra]]),"0")</f>
        <v>0</v>
      </c>
      <c r="AR84" s="38">
        <v>0</v>
      </c>
      <c r="AS84" s="39">
        <f>+IFERROR((FT_RF_264[[#This Row],[Calibre &gt;12]]/FT_RF_264[[#This Row],[Muestra]]),"0")</f>
        <v>0</v>
      </c>
      <c r="AT84" s="38">
        <v>0</v>
      </c>
      <c r="AU84" s="39">
        <f>+IFERROR((FT_RF_264[[#This Row],[Calibre &lt;14]]/FT_RF_264[[#This Row],[Muestra]]),"0")</f>
        <v>0</v>
      </c>
      <c r="AV84" s="38">
        <v>0</v>
      </c>
      <c r="AW84" s="39">
        <f>+IFERROR((FT_RF_264[[#This Row],[Calibre &gt;14]]/FT_RF_264[[#This Row],[Muestra]]),"0")</f>
        <v>0</v>
      </c>
      <c r="AX84" s="38">
        <v>0</v>
      </c>
      <c r="AY84" s="39">
        <f>+IFERROR((FT_RF_264[[#This Row],[Calibre &lt;10]]/FT_RF_264[[#This Row],[Muestra]]),"0")</f>
        <v>0</v>
      </c>
      <c r="AZ84" s="38">
        <v>0</v>
      </c>
      <c r="BA84" s="39">
        <f>+IFERROR((FT_RF_264[[#This Row],[Calibre &gt;13]]/FT_RF_264[[#This Row],[Muestra]]),"0")</f>
        <v>0</v>
      </c>
      <c r="BB84" s="41"/>
      <c r="BG84" s="42"/>
      <c r="BH84" s="43">
        <v>0</v>
      </c>
      <c r="BI84" s="29" t="s">
        <v>894</v>
      </c>
      <c r="BJ84" s="29" t="s">
        <v>894</v>
      </c>
      <c r="BK8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8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84" s="45">
        <f>1-FT_RF_264[[#This Row],[% Defectos]]</f>
        <v>1</v>
      </c>
      <c r="BO84" s="60"/>
      <c r="BP84" s="12">
        <f>SUM(FT_RF_264[[#This Row],[Hoja (Un.)]:[Larvas Caja]])</f>
        <v>0</v>
      </c>
      <c r="BQ84" s="12">
        <f>SUM(FT_RF_264[[#This Row],[Vidrios]:[Plástico]])</f>
        <v>0</v>
      </c>
      <c r="BR84" s="12" t="str">
        <f>IF(ISBLANK(FT_RF_264[[#This Row],[Descripción del producto]]),"",FT_RF_264[[#This Row],[Descripción del producto]])</f>
        <v/>
      </c>
      <c r="BS84" s="29" t="str">
        <f>IF(ISBLANK(FT_RF_264[[#This Row],[N° de Lote]]),"",FT_RF_264[[#This Row],[N° de Lote]])</f>
        <v/>
      </c>
      <c r="BT84" s="29" t="str">
        <f>IF(ISBLANK(FT_RF_264[[#This Row],[N° de Pallet]]),"",FT_RF_264[[#This Row],[N° de Pallet]])</f>
        <v/>
      </c>
    </row>
    <row r="85" spans="2:72">
      <c r="B85" s="29">
        <f>+_xlfn.ISOWEEKNUM(FT_RF_264[[#This Row],[Fecha]])</f>
        <v>52</v>
      </c>
      <c r="E85" s="31"/>
      <c r="F85" s="12" t="str">
        <f>IFERROR(""&amp;_xlfn.XLOOKUP(FT_RF_264[[#This Row],[Código]],BD_Cod[SKU],BD_Cod[Descripción]),"")</f>
        <v/>
      </c>
      <c r="G85" s="32" t="str">
        <f>IFERROR(""&amp;_xlfn.XLOOKUP(FT_RF_264[[#This Row],[Código]],BD_Cod[SKU],BD_Cod[Familia Calidad]),"")</f>
        <v/>
      </c>
      <c r="J85" s="33">
        <v>1000</v>
      </c>
      <c r="L85" s="30" t="s">
        <v>244</v>
      </c>
      <c r="O85" s="30" t="s">
        <v>894</v>
      </c>
      <c r="P85" s="29" t="s">
        <v>894</v>
      </c>
      <c r="Q85" s="37">
        <f>1-FT_RF_264[[#This Row],[% Defectos]]</f>
        <v>1</v>
      </c>
      <c r="R85" s="38">
        <v>0</v>
      </c>
      <c r="S85" s="39">
        <f>+IFERROR((FT_RF_264[[#This Row],[Inmadura]]/FT_RF_264[[#This Row],[Muestra]]),"0")</f>
        <v>0</v>
      </c>
      <c r="T85" s="38">
        <v>0</v>
      </c>
      <c r="U85" s="39">
        <f>+IFERROR((FT_RF_264[[#This Row],[Partidas]]/FT_RF_264[[#This Row],[Muestra]]),"0")</f>
        <v>0</v>
      </c>
      <c r="V85" s="38">
        <v>0</v>
      </c>
      <c r="W85" s="39">
        <f>+IFERROR((FT_RF_264[[#This Row],[Daño Insecto]]/FT_RF_264[[#This Row],[Muestra]]),"0")</f>
        <v>0</v>
      </c>
      <c r="X85" s="38">
        <v>0</v>
      </c>
      <c r="Y85" s="39">
        <f>+IFERROR((FT_RF_264[[#This Row],[Sobremadura]]/FT_RF_264[[#This Row],[Muestra]]),"0")</f>
        <v>0</v>
      </c>
      <c r="Z85" s="38">
        <v>0</v>
      </c>
      <c r="AA85" s="39">
        <f>+IFERROR((FT_RF_264[[#This Row],[Deforme]]/FT_RF_264[[#This Row],[Muestra]]),"0")</f>
        <v>0</v>
      </c>
      <c r="AB85" s="27"/>
      <c r="AC85" s="38">
        <v>0</v>
      </c>
      <c r="AD85" s="39">
        <f>+IFERROR((FT_RF_264[[#This Row],[Valor Extra 1]]/FT_RF_264[[#This Row],[Muestra]]),"0")</f>
        <v>0</v>
      </c>
      <c r="AF85" s="38">
        <v>0</v>
      </c>
      <c r="AG85" s="39">
        <f>+IFERROR((FT_RF_264[[#This Row],[Valor Extra 2]]/FT_RF_264[[#This Row],[Muestra]]),"0")</f>
        <v>0</v>
      </c>
      <c r="AH85" s="40">
        <v>0</v>
      </c>
      <c r="AI85" s="39">
        <f>+IFERROR((FT_RF_264[[#This Row],[Hongos]]/FT_RF_264[[#This Row],[Muestra]]),"0")</f>
        <v>0</v>
      </c>
      <c r="AJ85" s="38">
        <v>0</v>
      </c>
      <c r="AK85" s="39">
        <f>+IFERROR((FT_RF_264[[#This Row],[Block]]/FT_RF_264[[#This Row],[Muestra]]),"0")</f>
        <v>0</v>
      </c>
      <c r="AL85" s="41">
        <v>0</v>
      </c>
      <c r="AM85" s="42">
        <v>0</v>
      </c>
      <c r="AN85" s="38">
        <v>0</v>
      </c>
      <c r="AO85" s="39">
        <f>+IFERROR((FT_RF_264[[#This Row],[Fuera de calibre &lt;12mm]]/FT_RF_264[[#This Row],[Muestra]]),"0")</f>
        <v>0</v>
      </c>
      <c r="AP85" s="38">
        <v>0</v>
      </c>
      <c r="AQ85" s="39">
        <f>+IFERROR((FT_RF_264[[#This Row],[Calibre &lt;25]]/FT_RF_264[[#This Row],[Muestra]]),"0")</f>
        <v>0</v>
      </c>
      <c r="AR85" s="38">
        <v>0</v>
      </c>
      <c r="AS85" s="39">
        <f>+IFERROR((FT_RF_264[[#This Row],[Calibre &gt;12]]/FT_RF_264[[#This Row],[Muestra]]),"0")</f>
        <v>0</v>
      </c>
      <c r="AT85" s="38">
        <v>0</v>
      </c>
      <c r="AU85" s="39">
        <f>+IFERROR((FT_RF_264[[#This Row],[Calibre &lt;14]]/FT_RF_264[[#This Row],[Muestra]]),"0")</f>
        <v>0</v>
      </c>
      <c r="AV85" s="38">
        <v>0</v>
      </c>
      <c r="AW85" s="39">
        <f>+IFERROR((FT_RF_264[[#This Row],[Calibre &gt;14]]/FT_RF_264[[#This Row],[Muestra]]),"0")</f>
        <v>0</v>
      </c>
      <c r="AX85" s="38">
        <v>0</v>
      </c>
      <c r="AY85" s="39">
        <f>+IFERROR((FT_RF_264[[#This Row],[Calibre &lt;10]]/FT_RF_264[[#This Row],[Muestra]]),"0")</f>
        <v>0</v>
      </c>
      <c r="AZ85" s="38">
        <v>0</v>
      </c>
      <c r="BA85" s="39">
        <f>+IFERROR((FT_RF_264[[#This Row],[Calibre &gt;13]]/FT_RF_264[[#This Row],[Muestra]]),"0")</f>
        <v>0</v>
      </c>
      <c r="BB85" s="41"/>
      <c r="BG85" s="42"/>
      <c r="BH85" s="43">
        <v>0</v>
      </c>
      <c r="BI85" s="29" t="s">
        <v>894</v>
      </c>
      <c r="BJ85" s="29" t="s">
        <v>894</v>
      </c>
      <c r="BK8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8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85" s="45">
        <f>1-FT_RF_264[[#This Row],[% Defectos]]</f>
        <v>1</v>
      </c>
      <c r="BO85" s="60"/>
      <c r="BP85" s="12">
        <f>SUM(FT_RF_264[[#This Row],[Hoja (Un.)]:[Larvas Caja]])</f>
        <v>0</v>
      </c>
      <c r="BQ85" s="12">
        <f>SUM(FT_RF_264[[#This Row],[Vidrios]:[Plástico]])</f>
        <v>0</v>
      </c>
      <c r="BR85" s="12" t="str">
        <f>IF(ISBLANK(FT_RF_264[[#This Row],[Descripción del producto]]),"",FT_RF_264[[#This Row],[Descripción del producto]])</f>
        <v/>
      </c>
      <c r="BS85" s="29" t="str">
        <f>IF(ISBLANK(FT_RF_264[[#This Row],[N° de Lote]]),"",FT_RF_264[[#This Row],[N° de Lote]])</f>
        <v/>
      </c>
      <c r="BT85" s="29" t="str">
        <f>IF(ISBLANK(FT_RF_264[[#This Row],[N° de Pallet]]),"",FT_RF_264[[#This Row],[N° de Pallet]])</f>
        <v/>
      </c>
    </row>
    <row r="86" spans="2:72">
      <c r="B86" s="29">
        <f>+_xlfn.ISOWEEKNUM(FT_RF_264[[#This Row],[Fecha]])</f>
        <v>52</v>
      </c>
      <c r="E86" s="31"/>
      <c r="F86" s="12" t="str">
        <f>IFERROR(""&amp;_xlfn.XLOOKUP(FT_RF_264[[#This Row],[Código]],BD_Cod[SKU],BD_Cod[Descripción]),"")</f>
        <v/>
      </c>
      <c r="G86" s="32" t="str">
        <f>IFERROR(""&amp;_xlfn.XLOOKUP(FT_RF_264[[#This Row],[Código]],BD_Cod[SKU],BD_Cod[Familia Calidad]),"")</f>
        <v/>
      </c>
      <c r="J86" s="33">
        <v>1000</v>
      </c>
      <c r="L86" s="30" t="s">
        <v>244</v>
      </c>
      <c r="O86" s="30" t="s">
        <v>894</v>
      </c>
      <c r="P86" s="29" t="s">
        <v>894</v>
      </c>
      <c r="Q86" s="37">
        <f>1-FT_RF_264[[#This Row],[% Defectos]]</f>
        <v>1</v>
      </c>
      <c r="R86" s="38">
        <v>0</v>
      </c>
      <c r="S86" s="39">
        <f>+IFERROR((FT_RF_264[[#This Row],[Inmadura]]/FT_RF_264[[#This Row],[Muestra]]),"0")</f>
        <v>0</v>
      </c>
      <c r="T86" s="38">
        <v>0</v>
      </c>
      <c r="U86" s="39">
        <f>+IFERROR((FT_RF_264[[#This Row],[Partidas]]/FT_RF_264[[#This Row],[Muestra]]),"0")</f>
        <v>0</v>
      </c>
      <c r="V86" s="38">
        <v>0</v>
      </c>
      <c r="W86" s="39">
        <f>+IFERROR((FT_RF_264[[#This Row],[Daño Insecto]]/FT_RF_264[[#This Row],[Muestra]]),"0")</f>
        <v>0</v>
      </c>
      <c r="X86" s="38">
        <v>0</v>
      </c>
      <c r="Y86" s="39">
        <f>+IFERROR((FT_RF_264[[#This Row],[Sobremadura]]/FT_RF_264[[#This Row],[Muestra]]),"0")</f>
        <v>0</v>
      </c>
      <c r="Z86" s="38">
        <v>0</v>
      </c>
      <c r="AA86" s="39">
        <f>+IFERROR((FT_RF_264[[#This Row],[Deforme]]/FT_RF_264[[#This Row],[Muestra]]),"0")</f>
        <v>0</v>
      </c>
      <c r="AB86" s="27"/>
      <c r="AC86" s="38">
        <v>0</v>
      </c>
      <c r="AD86" s="39">
        <f>+IFERROR((FT_RF_264[[#This Row],[Valor Extra 1]]/FT_RF_264[[#This Row],[Muestra]]),"0")</f>
        <v>0</v>
      </c>
      <c r="AF86" s="38">
        <v>0</v>
      </c>
      <c r="AG86" s="39">
        <f>+IFERROR((FT_RF_264[[#This Row],[Valor Extra 2]]/FT_RF_264[[#This Row],[Muestra]]),"0")</f>
        <v>0</v>
      </c>
      <c r="AH86" s="40">
        <v>0</v>
      </c>
      <c r="AI86" s="39">
        <f>+IFERROR((FT_RF_264[[#This Row],[Hongos]]/FT_RF_264[[#This Row],[Muestra]]),"0")</f>
        <v>0</v>
      </c>
      <c r="AJ86" s="38">
        <v>0</v>
      </c>
      <c r="AK86" s="39">
        <f>+IFERROR((FT_RF_264[[#This Row],[Block]]/FT_RF_264[[#This Row],[Muestra]]),"0")</f>
        <v>0</v>
      </c>
      <c r="AL86" s="41">
        <v>0</v>
      </c>
      <c r="AM86" s="42">
        <v>0</v>
      </c>
      <c r="AN86" s="38">
        <v>0</v>
      </c>
      <c r="AO86" s="39">
        <f>+IFERROR((FT_RF_264[[#This Row],[Fuera de calibre &lt;12mm]]/FT_RF_264[[#This Row],[Muestra]]),"0")</f>
        <v>0</v>
      </c>
      <c r="AP86" s="38">
        <v>0</v>
      </c>
      <c r="AQ86" s="39">
        <f>+IFERROR((FT_RF_264[[#This Row],[Calibre &lt;25]]/FT_RF_264[[#This Row],[Muestra]]),"0")</f>
        <v>0</v>
      </c>
      <c r="AR86" s="38">
        <v>0</v>
      </c>
      <c r="AS86" s="39">
        <f>+IFERROR((FT_RF_264[[#This Row],[Calibre &gt;12]]/FT_RF_264[[#This Row],[Muestra]]),"0")</f>
        <v>0</v>
      </c>
      <c r="AT86" s="38">
        <v>0</v>
      </c>
      <c r="AU86" s="39">
        <f>+IFERROR((FT_RF_264[[#This Row],[Calibre &lt;14]]/FT_RF_264[[#This Row],[Muestra]]),"0")</f>
        <v>0</v>
      </c>
      <c r="AV86" s="38">
        <v>0</v>
      </c>
      <c r="AW86" s="39">
        <f>+IFERROR((FT_RF_264[[#This Row],[Calibre &gt;14]]/FT_RF_264[[#This Row],[Muestra]]),"0")</f>
        <v>0</v>
      </c>
      <c r="AX86" s="38">
        <v>0</v>
      </c>
      <c r="AY86" s="39">
        <f>+IFERROR((FT_RF_264[[#This Row],[Calibre &lt;10]]/FT_RF_264[[#This Row],[Muestra]]),"0")</f>
        <v>0</v>
      </c>
      <c r="AZ86" s="38">
        <v>0</v>
      </c>
      <c r="BA86" s="39">
        <f>+IFERROR((FT_RF_264[[#This Row],[Calibre &gt;13]]/FT_RF_264[[#This Row],[Muestra]]),"0")</f>
        <v>0</v>
      </c>
      <c r="BB86" s="41"/>
      <c r="BG86" s="42"/>
      <c r="BH86" s="43">
        <v>0</v>
      </c>
      <c r="BI86" s="29" t="s">
        <v>894</v>
      </c>
      <c r="BJ86" s="29" t="s">
        <v>894</v>
      </c>
      <c r="BK8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8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86" s="45">
        <f>1-FT_RF_264[[#This Row],[% Defectos]]</f>
        <v>1</v>
      </c>
      <c r="BO86" s="60"/>
      <c r="BP86" s="12">
        <f>SUM(FT_RF_264[[#This Row],[Hoja (Un.)]:[Larvas Caja]])</f>
        <v>0</v>
      </c>
      <c r="BQ86" s="12">
        <f>SUM(FT_RF_264[[#This Row],[Vidrios]:[Plástico]])</f>
        <v>0</v>
      </c>
      <c r="BR86" s="12" t="str">
        <f>IF(ISBLANK(FT_RF_264[[#This Row],[Descripción del producto]]),"",FT_RF_264[[#This Row],[Descripción del producto]])</f>
        <v/>
      </c>
      <c r="BS86" s="29" t="str">
        <f>IF(ISBLANK(FT_RF_264[[#This Row],[N° de Lote]]),"",FT_RF_264[[#This Row],[N° de Lote]])</f>
        <v/>
      </c>
      <c r="BT86" s="29" t="str">
        <f>IF(ISBLANK(FT_RF_264[[#This Row],[N° de Pallet]]),"",FT_RF_264[[#This Row],[N° de Pallet]])</f>
        <v/>
      </c>
    </row>
    <row r="87" spans="2:72">
      <c r="B87" s="29">
        <f>+_xlfn.ISOWEEKNUM(FT_RF_264[[#This Row],[Fecha]])</f>
        <v>52</v>
      </c>
      <c r="E87" s="31"/>
      <c r="F87" s="12" t="str">
        <f>IFERROR(""&amp;_xlfn.XLOOKUP(FT_RF_264[[#This Row],[Código]],BD_Cod[SKU],BD_Cod[Descripción]),"")</f>
        <v/>
      </c>
      <c r="G87" s="32" t="str">
        <f>IFERROR(""&amp;_xlfn.XLOOKUP(FT_RF_264[[#This Row],[Código]],BD_Cod[SKU],BD_Cod[Familia Calidad]),"")</f>
        <v/>
      </c>
      <c r="J87" s="33">
        <v>1000</v>
      </c>
      <c r="L87" s="30" t="s">
        <v>244</v>
      </c>
      <c r="O87" s="30" t="s">
        <v>894</v>
      </c>
      <c r="P87" s="29" t="s">
        <v>894</v>
      </c>
      <c r="Q87" s="37">
        <f>1-FT_RF_264[[#This Row],[% Defectos]]</f>
        <v>1</v>
      </c>
      <c r="R87" s="38">
        <v>0</v>
      </c>
      <c r="S87" s="39">
        <f>+IFERROR((FT_RF_264[[#This Row],[Inmadura]]/FT_RF_264[[#This Row],[Muestra]]),"0")</f>
        <v>0</v>
      </c>
      <c r="T87" s="38">
        <v>0</v>
      </c>
      <c r="U87" s="39">
        <f>+IFERROR((FT_RF_264[[#This Row],[Partidas]]/FT_RF_264[[#This Row],[Muestra]]),"0")</f>
        <v>0</v>
      </c>
      <c r="V87" s="38">
        <v>0</v>
      </c>
      <c r="W87" s="39">
        <f>+IFERROR((FT_RF_264[[#This Row],[Daño Insecto]]/FT_RF_264[[#This Row],[Muestra]]),"0")</f>
        <v>0</v>
      </c>
      <c r="X87" s="38">
        <v>0</v>
      </c>
      <c r="Y87" s="39">
        <f>+IFERROR((FT_RF_264[[#This Row],[Sobremadura]]/FT_RF_264[[#This Row],[Muestra]]),"0")</f>
        <v>0</v>
      </c>
      <c r="Z87" s="38">
        <v>0</v>
      </c>
      <c r="AA87" s="39">
        <f>+IFERROR((FT_RF_264[[#This Row],[Deforme]]/FT_RF_264[[#This Row],[Muestra]]),"0")</f>
        <v>0</v>
      </c>
      <c r="AB87" s="27"/>
      <c r="AC87" s="38">
        <v>0</v>
      </c>
      <c r="AD87" s="39">
        <f>+IFERROR((FT_RF_264[[#This Row],[Valor Extra 1]]/FT_RF_264[[#This Row],[Muestra]]),"0")</f>
        <v>0</v>
      </c>
      <c r="AF87" s="38">
        <v>0</v>
      </c>
      <c r="AG87" s="39">
        <f>+IFERROR((FT_RF_264[[#This Row],[Valor Extra 2]]/FT_RF_264[[#This Row],[Muestra]]),"0")</f>
        <v>0</v>
      </c>
      <c r="AH87" s="40">
        <v>0</v>
      </c>
      <c r="AI87" s="39">
        <f>+IFERROR((FT_RF_264[[#This Row],[Hongos]]/FT_RF_264[[#This Row],[Muestra]]),"0")</f>
        <v>0</v>
      </c>
      <c r="AJ87" s="38">
        <v>0</v>
      </c>
      <c r="AK87" s="39">
        <f>+IFERROR((FT_RF_264[[#This Row],[Block]]/FT_RF_264[[#This Row],[Muestra]]),"0")</f>
        <v>0</v>
      </c>
      <c r="AL87" s="41">
        <v>0</v>
      </c>
      <c r="AM87" s="42">
        <v>0</v>
      </c>
      <c r="AN87" s="38">
        <v>0</v>
      </c>
      <c r="AO87" s="39">
        <f>+IFERROR((FT_RF_264[[#This Row],[Fuera de calibre &lt;12mm]]/FT_RF_264[[#This Row],[Muestra]]),"0")</f>
        <v>0</v>
      </c>
      <c r="AP87" s="38">
        <v>0</v>
      </c>
      <c r="AQ87" s="39">
        <f>+IFERROR((FT_RF_264[[#This Row],[Calibre &lt;25]]/FT_RF_264[[#This Row],[Muestra]]),"0")</f>
        <v>0</v>
      </c>
      <c r="AR87" s="38">
        <v>0</v>
      </c>
      <c r="AS87" s="39">
        <f>+IFERROR((FT_RF_264[[#This Row],[Calibre &gt;12]]/FT_RF_264[[#This Row],[Muestra]]),"0")</f>
        <v>0</v>
      </c>
      <c r="AT87" s="38">
        <v>0</v>
      </c>
      <c r="AU87" s="39">
        <f>+IFERROR((FT_RF_264[[#This Row],[Calibre &lt;14]]/FT_RF_264[[#This Row],[Muestra]]),"0")</f>
        <v>0</v>
      </c>
      <c r="AV87" s="38">
        <v>0</v>
      </c>
      <c r="AW87" s="39">
        <f>+IFERROR((FT_RF_264[[#This Row],[Calibre &gt;14]]/FT_RF_264[[#This Row],[Muestra]]),"0")</f>
        <v>0</v>
      </c>
      <c r="AX87" s="38">
        <v>0</v>
      </c>
      <c r="AY87" s="39">
        <f>+IFERROR((FT_RF_264[[#This Row],[Calibre &lt;10]]/FT_RF_264[[#This Row],[Muestra]]),"0")</f>
        <v>0</v>
      </c>
      <c r="AZ87" s="38">
        <v>0</v>
      </c>
      <c r="BA87" s="39">
        <f>+IFERROR((FT_RF_264[[#This Row],[Calibre &gt;13]]/FT_RF_264[[#This Row],[Muestra]]),"0")</f>
        <v>0</v>
      </c>
      <c r="BB87" s="41"/>
      <c r="BG87" s="42"/>
      <c r="BH87" s="43">
        <v>0</v>
      </c>
      <c r="BI87" s="29" t="s">
        <v>894</v>
      </c>
      <c r="BJ87" s="29" t="s">
        <v>894</v>
      </c>
      <c r="BK8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8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87" s="45">
        <f>1-FT_RF_264[[#This Row],[% Defectos]]</f>
        <v>1</v>
      </c>
      <c r="BO87" s="60"/>
      <c r="BP87" s="12">
        <f>SUM(FT_RF_264[[#This Row],[Hoja (Un.)]:[Larvas Caja]])</f>
        <v>0</v>
      </c>
      <c r="BQ87" s="12">
        <f>SUM(FT_RF_264[[#This Row],[Vidrios]:[Plástico]])</f>
        <v>0</v>
      </c>
      <c r="BR87" s="12" t="str">
        <f>IF(ISBLANK(FT_RF_264[[#This Row],[Descripción del producto]]),"",FT_RF_264[[#This Row],[Descripción del producto]])</f>
        <v/>
      </c>
      <c r="BS87" s="29" t="str">
        <f>IF(ISBLANK(FT_RF_264[[#This Row],[N° de Lote]]),"",FT_RF_264[[#This Row],[N° de Lote]])</f>
        <v/>
      </c>
      <c r="BT87" s="29" t="str">
        <f>IF(ISBLANK(FT_RF_264[[#This Row],[N° de Pallet]]),"",FT_RF_264[[#This Row],[N° de Pallet]])</f>
        <v/>
      </c>
    </row>
    <row r="88" spans="2:72">
      <c r="B88" s="29">
        <f>+_xlfn.ISOWEEKNUM(FT_RF_264[[#This Row],[Fecha]])</f>
        <v>52</v>
      </c>
      <c r="E88" s="31"/>
      <c r="F88" s="12" t="str">
        <f>IFERROR(""&amp;_xlfn.XLOOKUP(FT_RF_264[[#This Row],[Código]],BD_Cod[SKU],BD_Cod[Descripción]),"")</f>
        <v/>
      </c>
      <c r="G88" s="32" t="str">
        <f>IFERROR(""&amp;_xlfn.XLOOKUP(FT_RF_264[[#This Row],[Código]],BD_Cod[SKU],BD_Cod[Familia Calidad]),"")</f>
        <v/>
      </c>
      <c r="J88" s="33">
        <v>1000</v>
      </c>
      <c r="L88" s="30" t="s">
        <v>244</v>
      </c>
      <c r="O88" s="30" t="s">
        <v>894</v>
      </c>
      <c r="P88" s="29" t="s">
        <v>894</v>
      </c>
      <c r="Q88" s="37">
        <f>1-FT_RF_264[[#This Row],[% Defectos]]</f>
        <v>1</v>
      </c>
      <c r="R88" s="38">
        <v>0</v>
      </c>
      <c r="S88" s="39">
        <f>+IFERROR((FT_RF_264[[#This Row],[Inmadura]]/FT_RF_264[[#This Row],[Muestra]]),"0")</f>
        <v>0</v>
      </c>
      <c r="T88" s="38">
        <v>0</v>
      </c>
      <c r="U88" s="39">
        <f>+IFERROR((FT_RF_264[[#This Row],[Partidas]]/FT_RF_264[[#This Row],[Muestra]]),"0")</f>
        <v>0</v>
      </c>
      <c r="V88" s="38">
        <v>0</v>
      </c>
      <c r="W88" s="39">
        <f>+IFERROR((FT_RF_264[[#This Row],[Daño Insecto]]/FT_RF_264[[#This Row],[Muestra]]),"0")</f>
        <v>0</v>
      </c>
      <c r="X88" s="38">
        <v>0</v>
      </c>
      <c r="Y88" s="39">
        <f>+IFERROR((FT_RF_264[[#This Row],[Sobremadura]]/FT_RF_264[[#This Row],[Muestra]]),"0")</f>
        <v>0</v>
      </c>
      <c r="Z88" s="38">
        <v>0</v>
      </c>
      <c r="AA88" s="39">
        <f>+IFERROR((FT_RF_264[[#This Row],[Deforme]]/FT_RF_264[[#This Row],[Muestra]]),"0")</f>
        <v>0</v>
      </c>
      <c r="AB88" s="27"/>
      <c r="AC88" s="38">
        <v>0</v>
      </c>
      <c r="AD88" s="39">
        <f>+IFERROR((FT_RF_264[[#This Row],[Valor Extra 1]]/FT_RF_264[[#This Row],[Muestra]]),"0")</f>
        <v>0</v>
      </c>
      <c r="AF88" s="38">
        <v>0</v>
      </c>
      <c r="AG88" s="39">
        <f>+IFERROR((FT_RF_264[[#This Row],[Valor Extra 2]]/FT_RF_264[[#This Row],[Muestra]]),"0")</f>
        <v>0</v>
      </c>
      <c r="AH88" s="40">
        <v>0</v>
      </c>
      <c r="AI88" s="39">
        <f>+IFERROR((FT_RF_264[[#This Row],[Hongos]]/FT_RF_264[[#This Row],[Muestra]]),"0")</f>
        <v>0</v>
      </c>
      <c r="AJ88" s="38">
        <v>0</v>
      </c>
      <c r="AK88" s="39">
        <f>+IFERROR((FT_RF_264[[#This Row],[Block]]/FT_RF_264[[#This Row],[Muestra]]),"0")</f>
        <v>0</v>
      </c>
      <c r="AL88" s="41">
        <v>0</v>
      </c>
      <c r="AM88" s="42">
        <v>0</v>
      </c>
      <c r="AN88" s="38">
        <v>0</v>
      </c>
      <c r="AO88" s="39">
        <f>+IFERROR((FT_RF_264[[#This Row],[Fuera de calibre &lt;12mm]]/FT_RF_264[[#This Row],[Muestra]]),"0")</f>
        <v>0</v>
      </c>
      <c r="AP88" s="38">
        <v>0</v>
      </c>
      <c r="AQ88" s="39">
        <f>+IFERROR((FT_RF_264[[#This Row],[Calibre &lt;25]]/FT_RF_264[[#This Row],[Muestra]]),"0")</f>
        <v>0</v>
      </c>
      <c r="AR88" s="38">
        <v>0</v>
      </c>
      <c r="AS88" s="39">
        <f>+IFERROR((FT_RF_264[[#This Row],[Calibre &gt;12]]/FT_RF_264[[#This Row],[Muestra]]),"0")</f>
        <v>0</v>
      </c>
      <c r="AT88" s="38">
        <v>0</v>
      </c>
      <c r="AU88" s="39">
        <f>+IFERROR((FT_RF_264[[#This Row],[Calibre &lt;14]]/FT_RF_264[[#This Row],[Muestra]]),"0")</f>
        <v>0</v>
      </c>
      <c r="AV88" s="38">
        <v>0</v>
      </c>
      <c r="AW88" s="39">
        <f>+IFERROR((FT_RF_264[[#This Row],[Calibre &gt;14]]/FT_RF_264[[#This Row],[Muestra]]),"0")</f>
        <v>0</v>
      </c>
      <c r="AX88" s="38">
        <v>0</v>
      </c>
      <c r="AY88" s="39">
        <f>+IFERROR((FT_RF_264[[#This Row],[Calibre &lt;10]]/FT_RF_264[[#This Row],[Muestra]]),"0")</f>
        <v>0</v>
      </c>
      <c r="AZ88" s="38">
        <v>0</v>
      </c>
      <c r="BA88" s="39">
        <f>+IFERROR((FT_RF_264[[#This Row],[Calibre &gt;13]]/FT_RF_264[[#This Row],[Muestra]]),"0")</f>
        <v>0</v>
      </c>
      <c r="BB88" s="41"/>
      <c r="BG88" s="42"/>
      <c r="BH88" s="43">
        <v>0</v>
      </c>
      <c r="BI88" s="29" t="s">
        <v>894</v>
      </c>
      <c r="BJ88" s="29" t="s">
        <v>894</v>
      </c>
      <c r="BK8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8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88" s="45">
        <f>1-FT_RF_264[[#This Row],[% Defectos]]</f>
        <v>1</v>
      </c>
      <c r="BO88" s="60"/>
      <c r="BP88" s="12">
        <f>SUM(FT_RF_264[[#This Row],[Hoja (Un.)]:[Larvas Caja]])</f>
        <v>0</v>
      </c>
      <c r="BQ88" s="12">
        <f>SUM(FT_RF_264[[#This Row],[Vidrios]:[Plástico]])</f>
        <v>0</v>
      </c>
      <c r="BR88" s="12" t="str">
        <f>IF(ISBLANK(FT_RF_264[[#This Row],[Descripción del producto]]),"",FT_RF_264[[#This Row],[Descripción del producto]])</f>
        <v/>
      </c>
      <c r="BS88" s="29" t="str">
        <f>IF(ISBLANK(FT_RF_264[[#This Row],[N° de Lote]]),"",FT_RF_264[[#This Row],[N° de Lote]])</f>
        <v/>
      </c>
      <c r="BT88" s="29" t="str">
        <f>IF(ISBLANK(FT_RF_264[[#This Row],[N° de Pallet]]),"",FT_RF_264[[#This Row],[N° de Pallet]])</f>
        <v/>
      </c>
    </row>
    <row r="89" spans="2:72">
      <c r="B89" s="29">
        <f>+_xlfn.ISOWEEKNUM(FT_RF_264[[#This Row],[Fecha]])</f>
        <v>52</v>
      </c>
      <c r="E89" s="31"/>
      <c r="F89" s="12" t="str">
        <f>IFERROR(""&amp;_xlfn.XLOOKUP(FT_RF_264[[#This Row],[Código]],BD_Cod[SKU],BD_Cod[Descripción]),"")</f>
        <v/>
      </c>
      <c r="G89" s="32" t="str">
        <f>IFERROR(""&amp;_xlfn.XLOOKUP(FT_RF_264[[#This Row],[Código]],BD_Cod[SKU],BD_Cod[Familia Calidad]),"")</f>
        <v/>
      </c>
      <c r="J89" s="33">
        <v>1000</v>
      </c>
      <c r="L89" s="30" t="s">
        <v>244</v>
      </c>
      <c r="O89" s="30" t="s">
        <v>894</v>
      </c>
      <c r="P89" s="29" t="s">
        <v>894</v>
      </c>
      <c r="Q89" s="37">
        <f>1-FT_RF_264[[#This Row],[% Defectos]]</f>
        <v>1</v>
      </c>
      <c r="R89" s="38">
        <v>0</v>
      </c>
      <c r="S89" s="39">
        <f>+IFERROR((FT_RF_264[[#This Row],[Inmadura]]/FT_RF_264[[#This Row],[Muestra]]),"0")</f>
        <v>0</v>
      </c>
      <c r="T89" s="38">
        <v>0</v>
      </c>
      <c r="U89" s="39">
        <f>+IFERROR((FT_RF_264[[#This Row],[Partidas]]/FT_RF_264[[#This Row],[Muestra]]),"0")</f>
        <v>0</v>
      </c>
      <c r="V89" s="38">
        <v>0</v>
      </c>
      <c r="W89" s="39">
        <f>+IFERROR((FT_RF_264[[#This Row],[Daño Insecto]]/FT_RF_264[[#This Row],[Muestra]]),"0")</f>
        <v>0</v>
      </c>
      <c r="X89" s="38">
        <v>0</v>
      </c>
      <c r="Y89" s="39">
        <f>+IFERROR((FT_RF_264[[#This Row],[Sobremadura]]/FT_RF_264[[#This Row],[Muestra]]),"0")</f>
        <v>0</v>
      </c>
      <c r="Z89" s="38">
        <v>0</v>
      </c>
      <c r="AA89" s="39">
        <f>+IFERROR((FT_RF_264[[#This Row],[Deforme]]/FT_RF_264[[#This Row],[Muestra]]),"0")</f>
        <v>0</v>
      </c>
      <c r="AB89" s="27"/>
      <c r="AC89" s="38">
        <v>0</v>
      </c>
      <c r="AD89" s="39">
        <f>+IFERROR((FT_RF_264[[#This Row],[Valor Extra 1]]/FT_RF_264[[#This Row],[Muestra]]),"0")</f>
        <v>0</v>
      </c>
      <c r="AF89" s="38">
        <v>0</v>
      </c>
      <c r="AG89" s="39">
        <f>+IFERROR((FT_RF_264[[#This Row],[Valor Extra 2]]/FT_RF_264[[#This Row],[Muestra]]),"0")</f>
        <v>0</v>
      </c>
      <c r="AH89" s="40">
        <v>0</v>
      </c>
      <c r="AI89" s="39">
        <f>+IFERROR((FT_RF_264[[#This Row],[Hongos]]/FT_RF_264[[#This Row],[Muestra]]),"0")</f>
        <v>0</v>
      </c>
      <c r="AJ89" s="38">
        <v>0</v>
      </c>
      <c r="AK89" s="39">
        <f>+IFERROR((FT_RF_264[[#This Row],[Block]]/FT_RF_264[[#This Row],[Muestra]]),"0")</f>
        <v>0</v>
      </c>
      <c r="AL89" s="41">
        <v>0</v>
      </c>
      <c r="AM89" s="42">
        <v>0</v>
      </c>
      <c r="AN89" s="38">
        <v>0</v>
      </c>
      <c r="AO89" s="39">
        <f>+IFERROR((FT_RF_264[[#This Row],[Fuera de calibre &lt;12mm]]/FT_RF_264[[#This Row],[Muestra]]),"0")</f>
        <v>0</v>
      </c>
      <c r="AP89" s="38">
        <v>0</v>
      </c>
      <c r="AQ89" s="39">
        <f>+IFERROR((FT_RF_264[[#This Row],[Calibre &lt;25]]/FT_RF_264[[#This Row],[Muestra]]),"0")</f>
        <v>0</v>
      </c>
      <c r="AR89" s="38">
        <v>0</v>
      </c>
      <c r="AS89" s="39">
        <f>+IFERROR((FT_RF_264[[#This Row],[Calibre &gt;12]]/FT_RF_264[[#This Row],[Muestra]]),"0")</f>
        <v>0</v>
      </c>
      <c r="AT89" s="38">
        <v>0</v>
      </c>
      <c r="AU89" s="39">
        <f>+IFERROR((FT_RF_264[[#This Row],[Calibre &lt;14]]/FT_RF_264[[#This Row],[Muestra]]),"0")</f>
        <v>0</v>
      </c>
      <c r="AV89" s="38">
        <v>0</v>
      </c>
      <c r="AW89" s="39">
        <f>+IFERROR((FT_RF_264[[#This Row],[Calibre &gt;14]]/FT_RF_264[[#This Row],[Muestra]]),"0")</f>
        <v>0</v>
      </c>
      <c r="AX89" s="38">
        <v>0</v>
      </c>
      <c r="AY89" s="39">
        <f>+IFERROR((FT_RF_264[[#This Row],[Calibre &lt;10]]/FT_RF_264[[#This Row],[Muestra]]),"0")</f>
        <v>0</v>
      </c>
      <c r="AZ89" s="38">
        <v>0</v>
      </c>
      <c r="BA89" s="39">
        <f>+IFERROR((FT_RF_264[[#This Row],[Calibre &gt;13]]/FT_RF_264[[#This Row],[Muestra]]),"0")</f>
        <v>0</v>
      </c>
      <c r="BB89" s="41"/>
      <c r="BG89" s="42"/>
      <c r="BH89" s="43">
        <v>0</v>
      </c>
      <c r="BI89" s="29" t="s">
        <v>894</v>
      </c>
      <c r="BJ89" s="29" t="s">
        <v>894</v>
      </c>
      <c r="BK8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8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89" s="45">
        <f>1-FT_RF_264[[#This Row],[% Defectos]]</f>
        <v>1</v>
      </c>
      <c r="BO89" s="60"/>
      <c r="BP89" s="12">
        <f>SUM(FT_RF_264[[#This Row],[Hoja (Un.)]:[Larvas Caja]])</f>
        <v>0</v>
      </c>
      <c r="BQ89" s="12">
        <f>SUM(FT_RF_264[[#This Row],[Vidrios]:[Plástico]])</f>
        <v>0</v>
      </c>
      <c r="BR89" s="12" t="str">
        <f>IF(ISBLANK(FT_RF_264[[#This Row],[Descripción del producto]]),"",FT_RF_264[[#This Row],[Descripción del producto]])</f>
        <v/>
      </c>
      <c r="BS89" s="29" t="str">
        <f>IF(ISBLANK(FT_RF_264[[#This Row],[N° de Lote]]),"",FT_RF_264[[#This Row],[N° de Lote]])</f>
        <v/>
      </c>
      <c r="BT89" s="29" t="str">
        <f>IF(ISBLANK(FT_RF_264[[#This Row],[N° de Pallet]]),"",FT_RF_264[[#This Row],[N° de Pallet]])</f>
        <v/>
      </c>
    </row>
    <row r="90" spans="2:72">
      <c r="B90" s="29">
        <f>+_xlfn.ISOWEEKNUM(FT_RF_264[[#This Row],[Fecha]])</f>
        <v>52</v>
      </c>
      <c r="E90" s="31"/>
      <c r="F90" s="12" t="str">
        <f>IFERROR(""&amp;_xlfn.XLOOKUP(FT_RF_264[[#This Row],[Código]],BD_Cod[SKU],BD_Cod[Descripción]),"")</f>
        <v/>
      </c>
      <c r="G90" s="32" t="str">
        <f>IFERROR(""&amp;_xlfn.XLOOKUP(FT_RF_264[[#This Row],[Código]],BD_Cod[SKU],BD_Cod[Familia Calidad]),"")</f>
        <v/>
      </c>
      <c r="J90" s="33">
        <v>1000</v>
      </c>
      <c r="L90" s="30" t="s">
        <v>244</v>
      </c>
      <c r="O90" s="30" t="s">
        <v>894</v>
      </c>
      <c r="P90" s="29" t="s">
        <v>894</v>
      </c>
      <c r="Q90" s="37">
        <f>1-FT_RF_264[[#This Row],[% Defectos]]</f>
        <v>1</v>
      </c>
      <c r="R90" s="38">
        <v>0</v>
      </c>
      <c r="S90" s="39">
        <f>+IFERROR((FT_RF_264[[#This Row],[Inmadura]]/FT_RF_264[[#This Row],[Muestra]]),"0")</f>
        <v>0</v>
      </c>
      <c r="T90" s="38">
        <v>0</v>
      </c>
      <c r="U90" s="39">
        <f>+IFERROR((FT_RF_264[[#This Row],[Partidas]]/FT_RF_264[[#This Row],[Muestra]]),"0")</f>
        <v>0</v>
      </c>
      <c r="V90" s="38">
        <v>0</v>
      </c>
      <c r="W90" s="39">
        <f>+IFERROR((FT_RF_264[[#This Row],[Daño Insecto]]/FT_RF_264[[#This Row],[Muestra]]),"0")</f>
        <v>0</v>
      </c>
      <c r="X90" s="38">
        <v>0</v>
      </c>
      <c r="Y90" s="39">
        <f>+IFERROR((FT_RF_264[[#This Row],[Sobremadura]]/FT_RF_264[[#This Row],[Muestra]]),"0")</f>
        <v>0</v>
      </c>
      <c r="Z90" s="38">
        <v>0</v>
      </c>
      <c r="AA90" s="39">
        <f>+IFERROR((FT_RF_264[[#This Row],[Deforme]]/FT_RF_264[[#This Row],[Muestra]]),"0")</f>
        <v>0</v>
      </c>
      <c r="AB90" s="27"/>
      <c r="AC90" s="38">
        <v>0</v>
      </c>
      <c r="AD90" s="39">
        <f>+IFERROR((FT_RF_264[[#This Row],[Valor Extra 1]]/FT_RF_264[[#This Row],[Muestra]]),"0")</f>
        <v>0</v>
      </c>
      <c r="AF90" s="38">
        <v>0</v>
      </c>
      <c r="AG90" s="39">
        <f>+IFERROR((FT_RF_264[[#This Row],[Valor Extra 2]]/FT_RF_264[[#This Row],[Muestra]]),"0")</f>
        <v>0</v>
      </c>
      <c r="AH90" s="40">
        <v>0</v>
      </c>
      <c r="AI90" s="39">
        <f>+IFERROR((FT_RF_264[[#This Row],[Hongos]]/FT_RF_264[[#This Row],[Muestra]]),"0")</f>
        <v>0</v>
      </c>
      <c r="AJ90" s="38">
        <v>0</v>
      </c>
      <c r="AK90" s="39">
        <f>+IFERROR((FT_RF_264[[#This Row],[Block]]/FT_RF_264[[#This Row],[Muestra]]),"0")</f>
        <v>0</v>
      </c>
      <c r="AL90" s="41">
        <v>0</v>
      </c>
      <c r="AM90" s="42">
        <v>0</v>
      </c>
      <c r="AN90" s="38">
        <v>0</v>
      </c>
      <c r="AO90" s="39">
        <f>+IFERROR((FT_RF_264[[#This Row],[Fuera de calibre &lt;12mm]]/FT_RF_264[[#This Row],[Muestra]]),"0")</f>
        <v>0</v>
      </c>
      <c r="AP90" s="38">
        <v>0</v>
      </c>
      <c r="AQ90" s="39">
        <f>+IFERROR((FT_RF_264[[#This Row],[Calibre &lt;25]]/FT_RF_264[[#This Row],[Muestra]]),"0")</f>
        <v>0</v>
      </c>
      <c r="AR90" s="38">
        <v>0</v>
      </c>
      <c r="AS90" s="39">
        <f>+IFERROR((FT_RF_264[[#This Row],[Calibre &gt;12]]/FT_RF_264[[#This Row],[Muestra]]),"0")</f>
        <v>0</v>
      </c>
      <c r="AT90" s="38">
        <v>0</v>
      </c>
      <c r="AU90" s="39">
        <f>+IFERROR((FT_RF_264[[#This Row],[Calibre &lt;14]]/FT_RF_264[[#This Row],[Muestra]]),"0")</f>
        <v>0</v>
      </c>
      <c r="AV90" s="38">
        <v>0</v>
      </c>
      <c r="AW90" s="39">
        <f>+IFERROR((FT_RF_264[[#This Row],[Calibre &gt;14]]/FT_RF_264[[#This Row],[Muestra]]),"0")</f>
        <v>0</v>
      </c>
      <c r="AX90" s="38">
        <v>0</v>
      </c>
      <c r="AY90" s="39">
        <f>+IFERROR((FT_RF_264[[#This Row],[Calibre &lt;10]]/FT_RF_264[[#This Row],[Muestra]]),"0")</f>
        <v>0</v>
      </c>
      <c r="AZ90" s="38">
        <v>0</v>
      </c>
      <c r="BA90" s="39">
        <f>+IFERROR((FT_RF_264[[#This Row],[Calibre &gt;13]]/FT_RF_264[[#This Row],[Muestra]]),"0")</f>
        <v>0</v>
      </c>
      <c r="BB90" s="41"/>
      <c r="BG90" s="42"/>
      <c r="BH90" s="43">
        <v>0</v>
      </c>
      <c r="BI90" s="29" t="s">
        <v>894</v>
      </c>
      <c r="BJ90" s="29" t="s">
        <v>894</v>
      </c>
      <c r="BK9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9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90" s="45">
        <f>1-FT_RF_264[[#This Row],[% Defectos]]</f>
        <v>1</v>
      </c>
      <c r="BO90" s="60"/>
      <c r="BP90" s="12">
        <f>SUM(FT_RF_264[[#This Row],[Hoja (Un.)]:[Larvas Caja]])</f>
        <v>0</v>
      </c>
      <c r="BQ90" s="12">
        <f>SUM(FT_RF_264[[#This Row],[Vidrios]:[Plástico]])</f>
        <v>0</v>
      </c>
      <c r="BR90" s="12" t="str">
        <f>IF(ISBLANK(FT_RF_264[[#This Row],[Descripción del producto]]),"",FT_RF_264[[#This Row],[Descripción del producto]])</f>
        <v/>
      </c>
      <c r="BS90" s="29" t="str">
        <f>IF(ISBLANK(FT_RF_264[[#This Row],[N° de Lote]]),"",FT_RF_264[[#This Row],[N° de Lote]])</f>
        <v/>
      </c>
      <c r="BT90" s="29" t="str">
        <f>IF(ISBLANK(FT_RF_264[[#This Row],[N° de Pallet]]),"",FT_RF_264[[#This Row],[N° de Pallet]])</f>
        <v/>
      </c>
    </row>
    <row r="91" spans="2:72">
      <c r="B91" s="29">
        <f>+_xlfn.ISOWEEKNUM(FT_RF_264[[#This Row],[Fecha]])</f>
        <v>52</v>
      </c>
      <c r="E91" s="31"/>
      <c r="F91" s="12" t="str">
        <f>IFERROR(""&amp;_xlfn.XLOOKUP(FT_RF_264[[#This Row],[Código]],BD_Cod[SKU],BD_Cod[Descripción]),"")</f>
        <v/>
      </c>
      <c r="G91" s="32" t="str">
        <f>IFERROR(""&amp;_xlfn.XLOOKUP(FT_RF_264[[#This Row],[Código]],BD_Cod[SKU],BD_Cod[Familia Calidad]),"")</f>
        <v/>
      </c>
      <c r="J91" s="33">
        <v>1000</v>
      </c>
      <c r="L91" s="30" t="s">
        <v>244</v>
      </c>
      <c r="O91" s="30" t="s">
        <v>894</v>
      </c>
      <c r="P91" s="29" t="s">
        <v>894</v>
      </c>
      <c r="Q91" s="37">
        <f>1-FT_RF_264[[#This Row],[% Defectos]]</f>
        <v>1</v>
      </c>
      <c r="R91" s="38">
        <v>0</v>
      </c>
      <c r="S91" s="39">
        <f>+IFERROR((FT_RF_264[[#This Row],[Inmadura]]/FT_RF_264[[#This Row],[Muestra]]),"0")</f>
        <v>0</v>
      </c>
      <c r="T91" s="38">
        <v>0</v>
      </c>
      <c r="U91" s="39">
        <f>+IFERROR((FT_RF_264[[#This Row],[Partidas]]/FT_RF_264[[#This Row],[Muestra]]),"0")</f>
        <v>0</v>
      </c>
      <c r="V91" s="38">
        <v>0</v>
      </c>
      <c r="W91" s="39">
        <f>+IFERROR((FT_RF_264[[#This Row],[Daño Insecto]]/FT_RF_264[[#This Row],[Muestra]]),"0")</f>
        <v>0</v>
      </c>
      <c r="X91" s="38">
        <v>0</v>
      </c>
      <c r="Y91" s="39">
        <f>+IFERROR((FT_RF_264[[#This Row],[Sobremadura]]/FT_RF_264[[#This Row],[Muestra]]),"0")</f>
        <v>0</v>
      </c>
      <c r="Z91" s="38">
        <v>0</v>
      </c>
      <c r="AA91" s="39">
        <f>+IFERROR((FT_RF_264[[#This Row],[Deforme]]/FT_RF_264[[#This Row],[Muestra]]),"0")</f>
        <v>0</v>
      </c>
      <c r="AB91" s="27"/>
      <c r="AC91" s="38">
        <v>0</v>
      </c>
      <c r="AD91" s="39">
        <f>+IFERROR((FT_RF_264[[#This Row],[Valor Extra 1]]/FT_RF_264[[#This Row],[Muestra]]),"0")</f>
        <v>0</v>
      </c>
      <c r="AF91" s="38">
        <v>0</v>
      </c>
      <c r="AG91" s="39">
        <f>+IFERROR((FT_RF_264[[#This Row],[Valor Extra 2]]/FT_RF_264[[#This Row],[Muestra]]),"0")</f>
        <v>0</v>
      </c>
      <c r="AH91" s="40">
        <v>0</v>
      </c>
      <c r="AI91" s="39">
        <f>+IFERROR((FT_RF_264[[#This Row],[Hongos]]/FT_RF_264[[#This Row],[Muestra]]),"0")</f>
        <v>0</v>
      </c>
      <c r="AJ91" s="38">
        <v>0</v>
      </c>
      <c r="AK91" s="39">
        <f>+IFERROR((FT_RF_264[[#This Row],[Block]]/FT_RF_264[[#This Row],[Muestra]]),"0")</f>
        <v>0</v>
      </c>
      <c r="AL91" s="41">
        <v>0</v>
      </c>
      <c r="AM91" s="42">
        <v>0</v>
      </c>
      <c r="AN91" s="38">
        <v>0</v>
      </c>
      <c r="AO91" s="39">
        <f>+IFERROR((FT_RF_264[[#This Row],[Fuera de calibre &lt;12mm]]/FT_RF_264[[#This Row],[Muestra]]),"0")</f>
        <v>0</v>
      </c>
      <c r="AP91" s="38">
        <v>0</v>
      </c>
      <c r="AQ91" s="39">
        <f>+IFERROR((FT_RF_264[[#This Row],[Calibre &lt;25]]/FT_RF_264[[#This Row],[Muestra]]),"0")</f>
        <v>0</v>
      </c>
      <c r="AR91" s="38">
        <v>0</v>
      </c>
      <c r="AS91" s="39">
        <f>+IFERROR((FT_RF_264[[#This Row],[Calibre &gt;12]]/FT_RF_264[[#This Row],[Muestra]]),"0")</f>
        <v>0</v>
      </c>
      <c r="AT91" s="38">
        <v>0</v>
      </c>
      <c r="AU91" s="39">
        <f>+IFERROR((FT_RF_264[[#This Row],[Calibre &lt;14]]/FT_RF_264[[#This Row],[Muestra]]),"0")</f>
        <v>0</v>
      </c>
      <c r="AV91" s="38">
        <v>0</v>
      </c>
      <c r="AW91" s="39">
        <f>+IFERROR((FT_RF_264[[#This Row],[Calibre &gt;14]]/FT_RF_264[[#This Row],[Muestra]]),"0")</f>
        <v>0</v>
      </c>
      <c r="AX91" s="38">
        <v>0</v>
      </c>
      <c r="AY91" s="39">
        <f>+IFERROR((FT_RF_264[[#This Row],[Calibre &lt;10]]/FT_RF_264[[#This Row],[Muestra]]),"0")</f>
        <v>0</v>
      </c>
      <c r="AZ91" s="38">
        <v>0</v>
      </c>
      <c r="BA91" s="39">
        <f>+IFERROR((FT_RF_264[[#This Row],[Calibre &gt;13]]/FT_RF_264[[#This Row],[Muestra]]),"0")</f>
        <v>0</v>
      </c>
      <c r="BB91" s="41"/>
      <c r="BG91" s="42"/>
      <c r="BH91" s="43">
        <v>0</v>
      </c>
      <c r="BI91" s="29" t="s">
        <v>894</v>
      </c>
      <c r="BJ91" s="29" t="s">
        <v>894</v>
      </c>
      <c r="BK9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9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91" s="45">
        <f>1-FT_RF_264[[#This Row],[% Defectos]]</f>
        <v>1</v>
      </c>
      <c r="BO91" s="60"/>
      <c r="BP91" s="12">
        <f>SUM(FT_RF_264[[#This Row],[Hoja (Un.)]:[Larvas Caja]])</f>
        <v>0</v>
      </c>
      <c r="BQ91" s="12">
        <f>SUM(FT_RF_264[[#This Row],[Vidrios]:[Plástico]])</f>
        <v>0</v>
      </c>
      <c r="BR91" s="12" t="str">
        <f>IF(ISBLANK(FT_RF_264[[#This Row],[Descripción del producto]]),"",FT_RF_264[[#This Row],[Descripción del producto]])</f>
        <v/>
      </c>
      <c r="BS91" s="29" t="str">
        <f>IF(ISBLANK(FT_RF_264[[#This Row],[N° de Lote]]),"",FT_RF_264[[#This Row],[N° de Lote]])</f>
        <v/>
      </c>
      <c r="BT91" s="29" t="str">
        <f>IF(ISBLANK(FT_RF_264[[#This Row],[N° de Pallet]]),"",FT_RF_264[[#This Row],[N° de Pallet]])</f>
        <v/>
      </c>
    </row>
    <row r="92" spans="2:72">
      <c r="B92" s="29">
        <f>+_xlfn.ISOWEEKNUM(FT_RF_264[[#This Row],[Fecha]])</f>
        <v>52</v>
      </c>
      <c r="E92" s="31"/>
      <c r="F92" s="12" t="str">
        <f>IFERROR(""&amp;_xlfn.XLOOKUP(FT_RF_264[[#This Row],[Código]],BD_Cod[SKU],BD_Cod[Descripción]),"")</f>
        <v/>
      </c>
      <c r="G92" s="32" t="str">
        <f>IFERROR(""&amp;_xlfn.XLOOKUP(FT_RF_264[[#This Row],[Código]],BD_Cod[SKU],BD_Cod[Familia Calidad]),"")</f>
        <v/>
      </c>
      <c r="J92" s="33">
        <v>1000</v>
      </c>
      <c r="L92" s="30" t="s">
        <v>244</v>
      </c>
      <c r="O92" s="30" t="s">
        <v>894</v>
      </c>
      <c r="P92" s="29" t="s">
        <v>894</v>
      </c>
      <c r="Q92" s="37">
        <f>1-FT_RF_264[[#This Row],[% Defectos]]</f>
        <v>1</v>
      </c>
      <c r="R92" s="38">
        <v>0</v>
      </c>
      <c r="S92" s="39">
        <f>+IFERROR((FT_RF_264[[#This Row],[Inmadura]]/FT_RF_264[[#This Row],[Muestra]]),"0")</f>
        <v>0</v>
      </c>
      <c r="T92" s="38">
        <v>0</v>
      </c>
      <c r="U92" s="39">
        <f>+IFERROR((FT_RF_264[[#This Row],[Partidas]]/FT_RF_264[[#This Row],[Muestra]]),"0")</f>
        <v>0</v>
      </c>
      <c r="V92" s="38">
        <v>0</v>
      </c>
      <c r="W92" s="39">
        <f>+IFERROR((FT_RF_264[[#This Row],[Daño Insecto]]/FT_RF_264[[#This Row],[Muestra]]),"0")</f>
        <v>0</v>
      </c>
      <c r="X92" s="38">
        <v>0</v>
      </c>
      <c r="Y92" s="39">
        <f>+IFERROR((FT_RF_264[[#This Row],[Sobremadura]]/FT_RF_264[[#This Row],[Muestra]]),"0")</f>
        <v>0</v>
      </c>
      <c r="Z92" s="38">
        <v>0</v>
      </c>
      <c r="AA92" s="39">
        <f>+IFERROR((FT_RF_264[[#This Row],[Deforme]]/FT_RF_264[[#This Row],[Muestra]]),"0")</f>
        <v>0</v>
      </c>
      <c r="AB92" s="27"/>
      <c r="AC92" s="38">
        <v>0</v>
      </c>
      <c r="AD92" s="39">
        <f>+IFERROR((FT_RF_264[[#This Row],[Valor Extra 1]]/FT_RF_264[[#This Row],[Muestra]]),"0")</f>
        <v>0</v>
      </c>
      <c r="AF92" s="38">
        <v>0</v>
      </c>
      <c r="AG92" s="39">
        <f>+IFERROR((FT_RF_264[[#This Row],[Valor Extra 2]]/FT_RF_264[[#This Row],[Muestra]]),"0")</f>
        <v>0</v>
      </c>
      <c r="AH92" s="40">
        <v>0</v>
      </c>
      <c r="AI92" s="39">
        <f>+IFERROR((FT_RF_264[[#This Row],[Hongos]]/FT_RF_264[[#This Row],[Muestra]]),"0")</f>
        <v>0</v>
      </c>
      <c r="AJ92" s="38">
        <v>0</v>
      </c>
      <c r="AK92" s="39">
        <f>+IFERROR((FT_RF_264[[#This Row],[Block]]/FT_RF_264[[#This Row],[Muestra]]),"0")</f>
        <v>0</v>
      </c>
      <c r="AL92" s="41">
        <v>0</v>
      </c>
      <c r="AM92" s="42">
        <v>0</v>
      </c>
      <c r="AN92" s="38">
        <v>0</v>
      </c>
      <c r="AO92" s="39">
        <f>+IFERROR((FT_RF_264[[#This Row],[Fuera de calibre &lt;12mm]]/FT_RF_264[[#This Row],[Muestra]]),"0")</f>
        <v>0</v>
      </c>
      <c r="AP92" s="38">
        <v>0</v>
      </c>
      <c r="AQ92" s="39">
        <f>+IFERROR((FT_RF_264[[#This Row],[Calibre &lt;25]]/FT_RF_264[[#This Row],[Muestra]]),"0")</f>
        <v>0</v>
      </c>
      <c r="AR92" s="38">
        <v>0</v>
      </c>
      <c r="AS92" s="39">
        <f>+IFERROR((FT_RF_264[[#This Row],[Calibre &gt;12]]/FT_RF_264[[#This Row],[Muestra]]),"0")</f>
        <v>0</v>
      </c>
      <c r="AT92" s="38">
        <v>0</v>
      </c>
      <c r="AU92" s="39">
        <f>+IFERROR((FT_RF_264[[#This Row],[Calibre &lt;14]]/FT_RF_264[[#This Row],[Muestra]]),"0")</f>
        <v>0</v>
      </c>
      <c r="AV92" s="38">
        <v>0</v>
      </c>
      <c r="AW92" s="39">
        <f>+IFERROR((FT_RF_264[[#This Row],[Calibre &gt;14]]/FT_RF_264[[#This Row],[Muestra]]),"0")</f>
        <v>0</v>
      </c>
      <c r="AX92" s="38">
        <v>0</v>
      </c>
      <c r="AY92" s="39">
        <f>+IFERROR((FT_RF_264[[#This Row],[Calibre &lt;10]]/FT_RF_264[[#This Row],[Muestra]]),"0")</f>
        <v>0</v>
      </c>
      <c r="AZ92" s="38">
        <v>0</v>
      </c>
      <c r="BA92" s="39">
        <f>+IFERROR((FT_RF_264[[#This Row],[Calibre &gt;13]]/FT_RF_264[[#This Row],[Muestra]]),"0")</f>
        <v>0</v>
      </c>
      <c r="BB92" s="41"/>
      <c r="BG92" s="42"/>
      <c r="BH92" s="43">
        <v>0</v>
      </c>
      <c r="BI92" s="29" t="s">
        <v>894</v>
      </c>
      <c r="BJ92" s="29" t="s">
        <v>894</v>
      </c>
      <c r="BK9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9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92" s="45">
        <f>1-FT_RF_264[[#This Row],[% Defectos]]</f>
        <v>1</v>
      </c>
      <c r="BO92" s="60"/>
      <c r="BP92" s="12">
        <f>SUM(FT_RF_264[[#This Row],[Hoja (Un.)]:[Larvas Caja]])</f>
        <v>0</v>
      </c>
      <c r="BQ92" s="12">
        <f>SUM(FT_RF_264[[#This Row],[Vidrios]:[Plástico]])</f>
        <v>0</v>
      </c>
      <c r="BR92" s="12" t="str">
        <f>IF(ISBLANK(FT_RF_264[[#This Row],[Descripción del producto]]),"",FT_RF_264[[#This Row],[Descripción del producto]])</f>
        <v/>
      </c>
      <c r="BS92" s="29" t="str">
        <f>IF(ISBLANK(FT_RF_264[[#This Row],[N° de Lote]]),"",FT_RF_264[[#This Row],[N° de Lote]])</f>
        <v/>
      </c>
      <c r="BT92" s="29" t="str">
        <f>IF(ISBLANK(FT_RF_264[[#This Row],[N° de Pallet]]),"",FT_RF_264[[#This Row],[N° de Pallet]])</f>
        <v/>
      </c>
    </row>
    <row r="93" spans="2:72">
      <c r="B93" s="29">
        <f>+_xlfn.ISOWEEKNUM(FT_RF_264[[#This Row],[Fecha]])</f>
        <v>52</v>
      </c>
      <c r="E93" s="31"/>
      <c r="F93" s="12" t="str">
        <f>IFERROR(""&amp;_xlfn.XLOOKUP(FT_RF_264[[#This Row],[Código]],BD_Cod[SKU],BD_Cod[Descripción]),"")</f>
        <v/>
      </c>
      <c r="G93" s="32" t="str">
        <f>IFERROR(""&amp;_xlfn.XLOOKUP(FT_RF_264[[#This Row],[Código]],BD_Cod[SKU],BD_Cod[Familia Calidad]),"")</f>
        <v/>
      </c>
      <c r="J93" s="33">
        <v>1000</v>
      </c>
      <c r="L93" s="30" t="s">
        <v>244</v>
      </c>
      <c r="O93" s="30" t="s">
        <v>894</v>
      </c>
      <c r="P93" s="29" t="s">
        <v>894</v>
      </c>
      <c r="Q93" s="37">
        <f>1-FT_RF_264[[#This Row],[% Defectos]]</f>
        <v>1</v>
      </c>
      <c r="R93" s="38">
        <v>0</v>
      </c>
      <c r="S93" s="39">
        <f>+IFERROR((FT_RF_264[[#This Row],[Inmadura]]/FT_RF_264[[#This Row],[Muestra]]),"0")</f>
        <v>0</v>
      </c>
      <c r="T93" s="38">
        <v>0</v>
      </c>
      <c r="U93" s="39">
        <f>+IFERROR((FT_RF_264[[#This Row],[Partidas]]/FT_RF_264[[#This Row],[Muestra]]),"0")</f>
        <v>0</v>
      </c>
      <c r="V93" s="38">
        <v>0</v>
      </c>
      <c r="W93" s="39">
        <f>+IFERROR((FT_RF_264[[#This Row],[Daño Insecto]]/FT_RF_264[[#This Row],[Muestra]]),"0")</f>
        <v>0</v>
      </c>
      <c r="X93" s="38">
        <v>0</v>
      </c>
      <c r="Y93" s="39">
        <f>+IFERROR((FT_RF_264[[#This Row],[Sobremadura]]/FT_RF_264[[#This Row],[Muestra]]),"0")</f>
        <v>0</v>
      </c>
      <c r="Z93" s="38">
        <v>0</v>
      </c>
      <c r="AA93" s="39">
        <f>+IFERROR((FT_RF_264[[#This Row],[Deforme]]/FT_RF_264[[#This Row],[Muestra]]),"0")</f>
        <v>0</v>
      </c>
      <c r="AB93" s="27"/>
      <c r="AC93" s="38">
        <v>0</v>
      </c>
      <c r="AD93" s="39">
        <f>+IFERROR((FT_RF_264[[#This Row],[Valor Extra 1]]/FT_RF_264[[#This Row],[Muestra]]),"0")</f>
        <v>0</v>
      </c>
      <c r="AF93" s="38">
        <v>0</v>
      </c>
      <c r="AG93" s="39">
        <f>+IFERROR((FT_RF_264[[#This Row],[Valor Extra 2]]/FT_RF_264[[#This Row],[Muestra]]),"0")</f>
        <v>0</v>
      </c>
      <c r="AH93" s="40">
        <v>0</v>
      </c>
      <c r="AI93" s="39">
        <f>+IFERROR((FT_RF_264[[#This Row],[Hongos]]/FT_RF_264[[#This Row],[Muestra]]),"0")</f>
        <v>0</v>
      </c>
      <c r="AJ93" s="38">
        <v>0</v>
      </c>
      <c r="AK93" s="39">
        <f>+IFERROR((FT_RF_264[[#This Row],[Block]]/FT_RF_264[[#This Row],[Muestra]]),"0")</f>
        <v>0</v>
      </c>
      <c r="AL93" s="41">
        <v>0</v>
      </c>
      <c r="AM93" s="42">
        <v>0</v>
      </c>
      <c r="AN93" s="38">
        <v>0</v>
      </c>
      <c r="AO93" s="39">
        <f>+IFERROR((FT_RF_264[[#This Row],[Fuera de calibre &lt;12mm]]/FT_RF_264[[#This Row],[Muestra]]),"0")</f>
        <v>0</v>
      </c>
      <c r="AP93" s="38">
        <v>0</v>
      </c>
      <c r="AQ93" s="39">
        <f>+IFERROR((FT_RF_264[[#This Row],[Calibre &lt;25]]/FT_RF_264[[#This Row],[Muestra]]),"0")</f>
        <v>0</v>
      </c>
      <c r="AR93" s="38">
        <v>0</v>
      </c>
      <c r="AS93" s="39">
        <f>+IFERROR((FT_RF_264[[#This Row],[Calibre &gt;12]]/FT_RF_264[[#This Row],[Muestra]]),"0")</f>
        <v>0</v>
      </c>
      <c r="AT93" s="38">
        <v>0</v>
      </c>
      <c r="AU93" s="39">
        <f>+IFERROR((FT_RF_264[[#This Row],[Calibre &lt;14]]/FT_RF_264[[#This Row],[Muestra]]),"0")</f>
        <v>0</v>
      </c>
      <c r="AV93" s="38">
        <v>0</v>
      </c>
      <c r="AW93" s="39">
        <f>+IFERROR((FT_RF_264[[#This Row],[Calibre &gt;14]]/FT_RF_264[[#This Row],[Muestra]]),"0")</f>
        <v>0</v>
      </c>
      <c r="AX93" s="38">
        <v>0</v>
      </c>
      <c r="AY93" s="39">
        <f>+IFERROR((FT_RF_264[[#This Row],[Calibre &lt;10]]/FT_RF_264[[#This Row],[Muestra]]),"0")</f>
        <v>0</v>
      </c>
      <c r="AZ93" s="38">
        <v>0</v>
      </c>
      <c r="BA93" s="39">
        <f>+IFERROR((FT_RF_264[[#This Row],[Calibre &gt;13]]/FT_RF_264[[#This Row],[Muestra]]),"0")</f>
        <v>0</v>
      </c>
      <c r="BB93" s="41"/>
      <c r="BG93" s="42"/>
      <c r="BH93" s="43">
        <v>0</v>
      </c>
      <c r="BI93" s="29" t="s">
        <v>894</v>
      </c>
      <c r="BJ93" s="29" t="s">
        <v>894</v>
      </c>
      <c r="BK9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9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93" s="45">
        <f>1-FT_RF_264[[#This Row],[% Defectos]]</f>
        <v>1</v>
      </c>
      <c r="BO93" s="60"/>
      <c r="BP93" s="12">
        <f>SUM(FT_RF_264[[#This Row],[Hoja (Un.)]:[Larvas Caja]])</f>
        <v>0</v>
      </c>
      <c r="BQ93" s="12">
        <f>SUM(FT_RF_264[[#This Row],[Vidrios]:[Plástico]])</f>
        <v>0</v>
      </c>
      <c r="BR93" s="12" t="str">
        <f>IF(ISBLANK(FT_RF_264[[#This Row],[Descripción del producto]]),"",FT_RF_264[[#This Row],[Descripción del producto]])</f>
        <v/>
      </c>
      <c r="BS93" s="29" t="str">
        <f>IF(ISBLANK(FT_RF_264[[#This Row],[N° de Lote]]),"",FT_RF_264[[#This Row],[N° de Lote]])</f>
        <v/>
      </c>
      <c r="BT93" s="29" t="str">
        <f>IF(ISBLANK(FT_RF_264[[#This Row],[N° de Pallet]]),"",FT_RF_264[[#This Row],[N° de Pallet]])</f>
        <v/>
      </c>
    </row>
    <row r="94" spans="2:72">
      <c r="B94" s="29">
        <f>+_xlfn.ISOWEEKNUM(FT_RF_264[[#This Row],[Fecha]])</f>
        <v>52</v>
      </c>
      <c r="E94" s="31"/>
      <c r="F94" s="12" t="str">
        <f>IFERROR(""&amp;_xlfn.XLOOKUP(FT_RF_264[[#This Row],[Código]],BD_Cod[SKU],BD_Cod[Descripción]),"")</f>
        <v/>
      </c>
      <c r="G94" s="32" t="str">
        <f>IFERROR(""&amp;_xlfn.XLOOKUP(FT_RF_264[[#This Row],[Código]],BD_Cod[SKU],BD_Cod[Familia Calidad]),"")</f>
        <v/>
      </c>
      <c r="J94" s="33">
        <v>1000</v>
      </c>
      <c r="L94" s="30" t="s">
        <v>244</v>
      </c>
      <c r="O94" s="30" t="s">
        <v>894</v>
      </c>
      <c r="P94" s="29" t="s">
        <v>894</v>
      </c>
      <c r="Q94" s="37">
        <f>1-FT_RF_264[[#This Row],[% Defectos]]</f>
        <v>1</v>
      </c>
      <c r="R94" s="38">
        <v>0</v>
      </c>
      <c r="S94" s="39">
        <f>+IFERROR((FT_RF_264[[#This Row],[Inmadura]]/FT_RF_264[[#This Row],[Muestra]]),"0")</f>
        <v>0</v>
      </c>
      <c r="T94" s="38">
        <v>0</v>
      </c>
      <c r="U94" s="39">
        <f>+IFERROR((FT_RF_264[[#This Row],[Partidas]]/FT_RF_264[[#This Row],[Muestra]]),"0")</f>
        <v>0</v>
      </c>
      <c r="V94" s="38">
        <v>0</v>
      </c>
      <c r="W94" s="39">
        <f>+IFERROR((FT_RF_264[[#This Row],[Daño Insecto]]/FT_RF_264[[#This Row],[Muestra]]),"0")</f>
        <v>0</v>
      </c>
      <c r="X94" s="38">
        <v>0</v>
      </c>
      <c r="Y94" s="39">
        <f>+IFERROR((FT_RF_264[[#This Row],[Sobremadura]]/FT_RF_264[[#This Row],[Muestra]]),"0")</f>
        <v>0</v>
      </c>
      <c r="Z94" s="38">
        <v>0</v>
      </c>
      <c r="AA94" s="39">
        <f>+IFERROR((FT_RF_264[[#This Row],[Deforme]]/FT_RF_264[[#This Row],[Muestra]]),"0")</f>
        <v>0</v>
      </c>
      <c r="AB94" s="27"/>
      <c r="AC94" s="38">
        <v>0</v>
      </c>
      <c r="AD94" s="39">
        <f>+IFERROR((FT_RF_264[[#This Row],[Valor Extra 1]]/FT_RF_264[[#This Row],[Muestra]]),"0")</f>
        <v>0</v>
      </c>
      <c r="AF94" s="38">
        <v>0</v>
      </c>
      <c r="AG94" s="39">
        <f>+IFERROR((FT_RF_264[[#This Row],[Valor Extra 2]]/FT_RF_264[[#This Row],[Muestra]]),"0")</f>
        <v>0</v>
      </c>
      <c r="AH94" s="40">
        <v>0</v>
      </c>
      <c r="AI94" s="39">
        <f>+IFERROR((FT_RF_264[[#This Row],[Hongos]]/FT_RF_264[[#This Row],[Muestra]]),"0")</f>
        <v>0</v>
      </c>
      <c r="AJ94" s="38">
        <v>0</v>
      </c>
      <c r="AK94" s="39">
        <f>+IFERROR((FT_RF_264[[#This Row],[Block]]/FT_RF_264[[#This Row],[Muestra]]),"0")</f>
        <v>0</v>
      </c>
      <c r="AL94" s="41">
        <v>0</v>
      </c>
      <c r="AM94" s="42">
        <v>0</v>
      </c>
      <c r="AN94" s="38">
        <v>0</v>
      </c>
      <c r="AO94" s="39">
        <f>+IFERROR((FT_RF_264[[#This Row],[Fuera de calibre &lt;12mm]]/FT_RF_264[[#This Row],[Muestra]]),"0")</f>
        <v>0</v>
      </c>
      <c r="AP94" s="38">
        <v>0</v>
      </c>
      <c r="AQ94" s="39">
        <f>+IFERROR((FT_RF_264[[#This Row],[Calibre &lt;25]]/FT_RF_264[[#This Row],[Muestra]]),"0")</f>
        <v>0</v>
      </c>
      <c r="AR94" s="38">
        <v>0</v>
      </c>
      <c r="AS94" s="39">
        <f>+IFERROR((FT_RF_264[[#This Row],[Calibre &gt;12]]/FT_RF_264[[#This Row],[Muestra]]),"0")</f>
        <v>0</v>
      </c>
      <c r="AT94" s="38">
        <v>0</v>
      </c>
      <c r="AU94" s="39">
        <f>+IFERROR((FT_RF_264[[#This Row],[Calibre &lt;14]]/FT_RF_264[[#This Row],[Muestra]]),"0")</f>
        <v>0</v>
      </c>
      <c r="AV94" s="38">
        <v>0</v>
      </c>
      <c r="AW94" s="39">
        <f>+IFERROR((FT_RF_264[[#This Row],[Calibre &gt;14]]/FT_RF_264[[#This Row],[Muestra]]),"0")</f>
        <v>0</v>
      </c>
      <c r="AX94" s="38">
        <v>0</v>
      </c>
      <c r="AY94" s="39">
        <f>+IFERROR((FT_RF_264[[#This Row],[Calibre &lt;10]]/FT_RF_264[[#This Row],[Muestra]]),"0")</f>
        <v>0</v>
      </c>
      <c r="AZ94" s="38">
        <v>0</v>
      </c>
      <c r="BA94" s="39">
        <f>+IFERROR((FT_RF_264[[#This Row],[Calibre &gt;13]]/FT_RF_264[[#This Row],[Muestra]]),"0")</f>
        <v>0</v>
      </c>
      <c r="BB94" s="41"/>
      <c r="BG94" s="42"/>
      <c r="BH94" s="43">
        <v>0</v>
      </c>
      <c r="BI94" s="29" t="s">
        <v>894</v>
      </c>
      <c r="BJ94" s="29" t="s">
        <v>894</v>
      </c>
      <c r="BK9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9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94" s="45">
        <f>1-FT_RF_264[[#This Row],[% Defectos]]</f>
        <v>1</v>
      </c>
      <c r="BO94" s="60"/>
      <c r="BP94" s="12">
        <f>SUM(FT_RF_264[[#This Row],[Hoja (Un.)]:[Larvas Caja]])</f>
        <v>0</v>
      </c>
      <c r="BQ94" s="12">
        <f>SUM(FT_RF_264[[#This Row],[Vidrios]:[Plástico]])</f>
        <v>0</v>
      </c>
      <c r="BR94" s="12" t="str">
        <f>IF(ISBLANK(FT_RF_264[[#This Row],[Descripción del producto]]),"",FT_RF_264[[#This Row],[Descripción del producto]])</f>
        <v/>
      </c>
      <c r="BS94" s="29" t="str">
        <f>IF(ISBLANK(FT_RF_264[[#This Row],[N° de Lote]]),"",FT_RF_264[[#This Row],[N° de Lote]])</f>
        <v/>
      </c>
      <c r="BT94" s="29" t="str">
        <f>IF(ISBLANK(FT_RF_264[[#This Row],[N° de Pallet]]),"",FT_RF_264[[#This Row],[N° de Pallet]])</f>
        <v/>
      </c>
    </row>
    <row r="95" spans="2:72">
      <c r="B95" s="29">
        <f>+_xlfn.ISOWEEKNUM(FT_RF_264[[#This Row],[Fecha]])</f>
        <v>52</v>
      </c>
      <c r="E95" s="31"/>
      <c r="F95" s="12" t="str">
        <f>IFERROR(""&amp;_xlfn.XLOOKUP(FT_RF_264[[#This Row],[Código]],BD_Cod[SKU],BD_Cod[Descripción]),"")</f>
        <v/>
      </c>
      <c r="G95" s="32" t="str">
        <f>IFERROR(""&amp;_xlfn.XLOOKUP(FT_RF_264[[#This Row],[Código]],BD_Cod[SKU],BD_Cod[Familia Calidad]),"")</f>
        <v/>
      </c>
      <c r="J95" s="33">
        <v>1000</v>
      </c>
      <c r="L95" s="30" t="s">
        <v>244</v>
      </c>
      <c r="O95" s="30" t="s">
        <v>894</v>
      </c>
      <c r="P95" s="29" t="s">
        <v>894</v>
      </c>
      <c r="Q95" s="37">
        <f>1-FT_RF_264[[#This Row],[% Defectos]]</f>
        <v>1</v>
      </c>
      <c r="R95" s="38">
        <v>0</v>
      </c>
      <c r="S95" s="39">
        <f>+IFERROR((FT_RF_264[[#This Row],[Inmadura]]/FT_RF_264[[#This Row],[Muestra]]),"0")</f>
        <v>0</v>
      </c>
      <c r="T95" s="38">
        <v>0</v>
      </c>
      <c r="U95" s="39">
        <f>+IFERROR((FT_RF_264[[#This Row],[Partidas]]/FT_RF_264[[#This Row],[Muestra]]),"0")</f>
        <v>0</v>
      </c>
      <c r="V95" s="38">
        <v>0</v>
      </c>
      <c r="W95" s="39">
        <f>+IFERROR((FT_RF_264[[#This Row],[Daño Insecto]]/FT_RF_264[[#This Row],[Muestra]]),"0")</f>
        <v>0</v>
      </c>
      <c r="X95" s="38">
        <v>0</v>
      </c>
      <c r="Y95" s="39">
        <f>+IFERROR((FT_RF_264[[#This Row],[Sobremadura]]/FT_RF_264[[#This Row],[Muestra]]),"0")</f>
        <v>0</v>
      </c>
      <c r="Z95" s="38">
        <v>0</v>
      </c>
      <c r="AA95" s="39">
        <f>+IFERROR((FT_RF_264[[#This Row],[Deforme]]/FT_RF_264[[#This Row],[Muestra]]),"0")</f>
        <v>0</v>
      </c>
      <c r="AB95" s="27"/>
      <c r="AC95" s="38">
        <v>0</v>
      </c>
      <c r="AD95" s="39">
        <f>+IFERROR((FT_RF_264[[#This Row],[Valor Extra 1]]/FT_RF_264[[#This Row],[Muestra]]),"0")</f>
        <v>0</v>
      </c>
      <c r="AF95" s="38">
        <v>0</v>
      </c>
      <c r="AG95" s="39">
        <f>+IFERROR((FT_RF_264[[#This Row],[Valor Extra 2]]/FT_RF_264[[#This Row],[Muestra]]),"0")</f>
        <v>0</v>
      </c>
      <c r="AH95" s="40">
        <v>0</v>
      </c>
      <c r="AI95" s="39">
        <f>+IFERROR((FT_RF_264[[#This Row],[Hongos]]/FT_RF_264[[#This Row],[Muestra]]),"0")</f>
        <v>0</v>
      </c>
      <c r="AJ95" s="38">
        <v>0</v>
      </c>
      <c r="AK95" s="39">
        <f>+IFERROR((FT_RF_264[[#This Row],[Block]]/FT_RF_264[[#This Row],[Muestra]]),"0")</f>
        <v>0</v>
      </c>
      <c r="AL95" s="41">
        <v>0</v>
      </c>
      <c r="AM95" s="42">
        <v>0</v>
      </c>
      <c r="AN95" s="38">
        <v>0</v>
      </c>
      <c r="AO95" s="39">
        <f>+IFERROR((FT_RF_264[[#This Row],[Fuera de calibre &lt;12mm]]/FT_RF_264[[#This Row],[Muestra]]),"0")</f>
        <v>0</v>
      </c>
      <c r="AP95" s="38">
        <v>0</v>
      </c>
      <c r="AQ95" s="39">
        <f>+IFERROR((FT_RF_264[[#This Row],[Calibre &lt;25]]/FT_RF_264[[#This Row],[Muestra]]),"0")</f>
        <v>0</v>
      </c>
      <c r="AR95" s="38">
        <v>0</v>
      </c>
      <c r="AS95" s="39">
        <f>+IFERROR((FT_RF_264[[#This Row],[Calibre &gt;12]]/FT_RF_264[[#This Row],[Muestra]]),"0")</f>
        <v>0</v>
      </c>
      <c r="AT95" s="38">
        <v>0</v>
      </c>
      <c r="AU95" s="39">
        <f>+IFERROR((FT_RF_264[[#This Row],[Calibre &lt;14]]/FT_RF_264[[#This Row],[Muestra]]),"0")</f>
        <v>0</v>
      </c>
      <c r="AV95" s="38">
        <v>0</v>
      </c>
      <c r="AW95" s="39">
        <f>+IFERROR((FT_RF_264[[#This Row],[Calibre &gt;14]]/FT_RF_264[[#This Row],[Muestra]]),"0")</f>
        <v>0</v>
      </c>
      <c r="AX95" s="38">
        <v>0</v>
      </c>
      <c r="AY95" s="39">
        <f>+IFERROR((FT_RF_264[[#This Row],[Calibre &lt;10]]/FT_RF_264[[#This Row],[Muestra]]),"0")</f>
        <v>0</v>
      </c>
      <c r="AZ95" s="38">
        <v>0</v>
      </c>
      <c r="BA95" s="39">
        <f>+IFERROR((FT_RF_264[[#This Row],[Calibre &gt;13]]/FT_RF_264[[#This Row],[Muestra]]),"0")</f>
        <v>0</v>
      </c>
      <c r="BB95" s="41"/>
      <c r="BG95" s="42"/>
      <c r="BH95" s="43">
        <v>0</v>
      </c>
      <c r="BI95" s="29" t="s">
        <v>894</v>
      </c>
      <c r="BJ95" s="29" t="s">
        <v>894</v>
      </c>
      <c r="BK9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9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95" s="45">
        <f>1-FT_RF_264[[#This Row],[% Defectos]]</f>
        <v>1</v>
      </c>
      <c r="BO95" s="60"/>
      <c r="BP95" s="12">
        <f>SUM(FT_RF_264[[#This Row],[Hoja (Un.)]:[Larvas Caja]])</f>
        <v>0</v>
      </c>
      <c r="BQ95" s="12">
        <f>SUM(FT_RF_264[[#This Row],[Vidrios]:[Plástico]])</f>
        <v>0</v>
      </c>
      <c r="BR95" s="12" t="str">
        <f>IF(ISBLANK(FT_RF_264[[#This Row],[Descripción del producto]]),"",FT_RF_264[[#This Row],[Descripción del producto]])</f>
        <v/>
      </c>
      <c r="BS95" s="29" t="str">
        <f>IF(ISBLANK(FT_RF_264[[#This Row],[N° de Lote]]),"",FT_RF_264[[#This Row],[N° de Lote]])</f>
        <v/>
      </c>
      <c r="BT95" s="29" t="str">
        <f>IF(ISBLANK(FT_RF_264[[#This Row],[N° de Pallet]]),"",FT_RF_264[[#This Row],[N° de Pallet]])</f>
        <v/>
      </c>
    </row>
    <row r="96" spans="2:72">
      <c r="B96" s="29">
        <f>+_xlfn.ISOWEEKNUM(FT_RF_264[[#This Row],[Fecha]])</f>
        <v>52</v>
      </c>
      <c r="E96" s="31"/>
      <c r="F96" s="12" t="str">
        <f>IFERROR(""&amp;_xlfn.XLOOKUP(FT_RF_264[[#This Row],[Código]],BD_Cod[SKU],BD_Cod[Descripción]),"")</f>
        <v/>
      </c>
      <c r="G96" s="32" t="str">
        <f>IFERROR(""&amp;_xlfn.XLOOKUP(FT_RF_264[[#This Row],[Código]],BD_Cod[SKU],BD_Cod[Familia Calidad]),"")</f>
        <v/>
      </c>
      <c r="J96" s="33">
        <v>1000</v>
      </c>
      <c r="L96" s="30" t="s">
        <v>244</v>
      </c>
      <c r="O96" s="30" t="s">
        <v>894</v>
      </c>
      <c r="P96" s="29" t="s">
        <v>894</v>
      </c>
      <c r="Q96" s="37">
        <f>1-FT_RF_264[[#This Row],[% Defectos]]</f>
        <v>1</v>
      </c>
      <c r="R96" s="38">
        <v>0</v>
      </c>
      <c r="S96" s="39">
        <f>+IFERROR((FT_RF_264[[#This Row],[Inmadura]]/FT_RF_264[[#This Row],[Muestra]]),"0")</f>
        <v>0</v>
      </c>
      <c r="T96" s="38">
        <v>0</v>
      </c>
      <c r="U96" s="39">
        <f>+IFERROR((FT_RF_264[[#This Row],[Partidas]]/FT_RF_264[[#This Row],[Muestra]]),"0")</f>
        <v>0</v>
      </c>
      <c r="V96" s="38">
        <v>0</v>
      </c>
      <c r="W96" s="39">
        <f>+IFERROR((FT_RF_264[[#This Row],[Daño Insecto]]/FT_RF_264[[#This Row],[Muestra]]),"0")</f>
        <v>0</v>
      </c>
      <c r="X96" s="38">
        <v>0</v>
      </c>
      <c r="Y96" s="39">
        <f>+IFERROR((FT_RF_264[[#This Row],[Sobremadura]]/FT_RF_264[[#This Row],[Muestra]]),"0")</f>
        <v>0</v>
      </c>
      <c r="Z96" s="38">
        <v>0</v>
      </c>
      <c r="AA96" s="39">
        <f>+IFERROR((FT_RF_264[[#This Row],[Deforme]]/FT_RF_264[[#This Row],[Muestra]]),"0")</f>
        <v>0</v>
      </c>
      <c r="AB96" s="27"/>
      <c r="AC96" s="38">
        <v>0</v>
      </c>
      <c r="AD96" s="39">
        <f>+IFERROR((FT_RF_264[[#This Row],[Valor Extra 1]]/FT_RF_264[[#This Row],[Muestra]]),"0")</f>
        <v>0</v>
      </c>
      <c r="AF96" s="38">
        <v>0</v>
      </c>
      <c r="AG96" s="39">
        <f>+IFERROR((FT_RF_264[[#This Row],[Valor Extra 2]]/FT_RF_264[[#This Row],[Muestra]]),"0")</f>
        <v>0</v>
      </c>
      <c r="AH96" s="40">
        <v>0</v>
      </c>
      <c r="AI96" s="39">
        <f>+IFERROR((FT_RF_264[[#This Row],[Hongos]]/FT_RF_264[[#This Row],[Muestra]]),"0")</f>
        <v>0</v>
      </c>
      <c r="AJ96" s="38">
        <v>0</v>
      </c>
      <c r="AK96" s="39">
        <f>+IFERROR((FT_RF_264[[#This Row],[Block]]/FT_RF_264[[#This Row],[Muestra]]),"0")</f>
        <v>0</v>
      </c>
      <c r="AL96" s="41">
        <v>0</v>
      </c>
      <c r="AM96" s="42">
        <v>0</v>
      </c>
      <c r="AN96" s="38">
        <v>0</v>
      </c>
      <c r="AO96" s="39">
        <f>+IFERROR((FT_RF_264[[#This Row],[Fuera de calibre &lt;12mm]]/FT_RF_264[[#This Row],[Muestra]]),"0")</f>
        <v>0</v>
      </c>
      <c r="AP96" s="38">
        <v>0</v>
      </c>
      <c r="AQ96" s="39">
        <f>+IFERROR((FT_RF_264[[#This Row],[Calibre &lt;25]]/FT_RF_264[[#This Row],[Muestra]]),"0")</f>
        <v>0</v>
      </c>
      <c r="AR96" s="38">
        <v>0</v>
      </c>
      <c r="AS96" s="39">
        <f>+IFERROR((FT_RF_264[[#This Row],[Calibre &gt;12]]/FT_RF_264[[#This Row],[Muestra]]),"0")</f>
        <v>0</v>
      </c>
      <c r="AT96" s="38">
        <v>0</v>
      </c>
      <c r="AU96" s="39">
        <f>+IFERROR((FT_RF_264[[#This Row],[Calibre &lt;14]]/FT_RF_264[[#This Row],[Muestra]]),"0")</f>
        <v>0</v>
      </c>
      <c r="AV96" s="38">
        <v>0</v>
      </c>
      <c r="AW96" s="39">
        <f>+IFERROR((FT_RF_264[[#This Row],[Calibre &gt;14]]/FT_RF_264[[#This Row],[Muestra]]),"0")</f>
        <v>0</v>
      </c>
      <c r="AX96" s="38">
        <v>0</v>
      </c>
      <c r="AY96" s="39">
        <f>+IFERROR((FT_RF_264[[#This Row],[Calibre &lt;10]]/FT_RF_264[[#This Row],[Muestra]]),"0")</f>
        <v>0</v>
      </c>
      <c r="AZ96" s="38">
        <v>0</v>
      </c>
      <c r="BA96" s="39">
        <f>+IFERROR((FT_RF_264[[#This Row],[Calibre &gt;13]]/FT_RF_264[[#This Row],[Muestra]]),"0")</f>
        <v>0</v>
      </c>
      <c r="BB96" s="41"/>
      <c r="BG96" s="42"/>
      <c r="BH96" s="43">
        <v>0</v>
      </c>
      <c r="BI96" s="29" t="s">
        <v>894</v>
      </c>
      <c r="BJ96" s="29" t="s">
        <v>894</v>
      </c>
      <c r="BK9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9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96" s="45">
        <f>1-FT_RF_264[[#This Row],[% Defectos]]</f>
        <v>1</v>
      </c>
      <c r="BO96" s="60"/>
      <c r="BP96" s="12">
        <f>SUM(FT_RF_264[[#This Row],[Hoja (Un.)]:[Larvas Caja]])</f>
        <v>0</v>
      </c>
      <c r="BQ96" s="12">
        <f>SUM(FT_RF_264[[#This Row],[Vidrios]:[Plástico]])</f>
        <v>0</v>
      </c>
      <c r="BR96" s="12" t="str">
        <f>IF(ISBLANK(FT_RF_264[[#This Row],[Descripción del producto]]),"",FT_RF_264[[#This Row],[Descripción del producto]])</f>
        <v/>
      </c>
      <c r="BS96" s="29" t="str">
        <f>IF(ISBLANK(FT_RF_264[[#This Row],[N° de Lote]]),"",FT_RF_264[[#This Row],[N° de Lote]])</f>
        <v/>
      </c>
      <c r="BT96" s="29" t="str">
        <f>IF(ISBLANK(FT_RF_264[[#This Row],[N° de Pallet]]),"",FT_RF_264[[#This Row],[N° de Pallet]])</f>
        <v/>
      </c>
    </row>
    <row r="97" spans="2:72">
      <c r="B97" s="29">
        <f>+_xlfn.ISOWEEKNUM(FT_RF_264[[#This Row],[Fecha]])</f>
        <v>52</v>
      </c>
      <c r="E97" s="31"/>
      <c r="F97" s="12" t="str">
        <f>IFERROR(""&amp;_xlfn.XLOOKUP(FT_RF_264[[#This Row],[Código]],BD_Cod[SKU],BD_Cod[Descripción]),"")</f>
        <v/>
      </c>
      <c r="G97" s="32" t="str">
        <f>IFERROR(""&amp;_xlfn.XLOOKUP(FT_RF_264[[#This Row],[Código]],BD_Cod[SKU],BD_Cod[Familia Calidad]),"")</f>
        <v/>
      </c>
      <c r="J97" s="33">
        <v>1000</v>
      </c>
      <c r="L97" s="30" t="s">
        <v>244</v>
      </c>
      <c r="O97" s="30" t="s">
        <v>894</v>
      </c>
      <c r="P97" s="29" t="s">
        <v>894</v>
      </c>
      <c r="Q97" s="37">
        <f>1-FT_RF_264[[#This Row],[% Defectos]]</f>
        <v>1</v>
      </c>
      <c r="R97" s="38">
        <v>0</v>
      </c>
      <c r="S97" s="39">
        <f>+IFERROR((FT_RF_264[[#This Row],[Inmadura]]/FT_RF_264[[#This Row],[Muestra]]),"0")</f>
        <v>0</v>
      </c>
      <c r="T97" s="38">
        <v>0</v>
      </c>
      <c r="U97" s="39">
        <f>+IFERROR((FT_RF_264[[#This Row],[Partidas]]/FT_RF_264[[#This Row],[Muestra]]),"0")</f>
        <v>0</v>
      </c>
      <c r="V97" s="38">
        <v>0</v>
      </c>
      <c r="W97" s="39">
        <f>+IFERROR((FT_RF_264[[#This Row],[Daño Insecto]]/FT_RF_264[[#This Row],[Muestra]]),"0")</f>
        <v>0</v>
      </c>
      <c r="X97" s="38">
        <v>0</v>
      </c>
      <c r="Y97" s="39">
        <f>+IFERROR((FT_RF_264[[#This Row],[Sobremadura]]/FT_RF_264[[#This Row],[Muestra]]),"0")</f>
        <v>0</v>
      </c>
      <c r="Z97" s="38">
        <v>0</v>
      </c>
      <c r="AA97" s="39">
        <f>+IFERROR((FT_RF_264[[#This Row],[Deforme]]/FT_RF_264[[#This Row],[Muestra]]),"0")</f>
        <v>0</v>
      </c>
      <c r="AB97" s="27"/>
      <c r="AC97" s="38">
        <v>0</v>
      </c>
      <c r="AD97" s="39">
        <f>+IFERROR((FT_RF_264[[#This Row],[Valor Extra 1]]/FT_RF_264[[#This Row],[Muestra]]),"0")</f>
        <v>0</v>
      </c>
      <c r="AF97" s="38">
        <v>0</v>
      </c>
      <c r="AG97" s="39">
        <f>+IFERROR((FT_RF_264[[#This Row],[Valor Extra 2]]/FT_RF_264[[#This Row],[Muestra]]),"0")</f>
        <v>0</v>
      </c>
      <c r="AH97" s="40">
        <v>0</v>
      </c>
      <c r="AI97" s="39">
        <f>+IFERROR((FT_RF_264[[#This Row],[Hongos]]/FT_RF_264[[#This Row],[Muestra]]),"0")</f>
        <v>0</v>
      </c>
      <c r="AJ97" s="38">
        <v>0</v>
      </c>
      <c r="AK97" s="39">
        <f>+IFERROR((FT_RF_264[[#This Row],[Block]]/FT_RF_264[[#This Row],[Muestra]]),"0")</f>
        <v>0</v>
      </c>
      <c r="AL97" s="41">
        <v>0</v>
      </c>
      <c r="AM97" s="42">
        <v>0</v>
      </c>
      <c r="AN97" s="38">
        <v>0</v>
      </c>
      <c r="AO97" s="39">
        <f>+IFERROR((FT_RF_264[[#This Row],[Fuera de calibre &lt;12mm]]/FT_RF_264[[#This Row],[Muestra]]),"0")</f>
        <v>0</v>
      </c>
      <c r="AP97" s="38">
        <v>0</v>
      </c>
      <c r="AQ97" s="39">
        <f>+IFERROR((FT_RF_264[[#This Row],[Calibre &lt;25]]/FT_RF_264[[#This Row],[Muestra]]),"0")</f>
        <v>0</v>
      </c>
      <c r="AR97" s="38">
        <v>0</v>
      </c>
      <c r="AS97" s="39">
        <f>+IFERROR((FT_RF_264[[#This Row],[Calibre &gt;12]]/FT_RF_264[[#This Row],[Muestra]]),"0")</f>
        <v>0</v>
      </c>
      <c r="AT97" s="38">
        <v>0</v>
      </c>
      <c r="AU97" s="39">
        <f>+IFERROR((FT_RF_264[[#This Row],[Calibre &lt;14]]/FT_RF_264[[#This Row],[Muestra]]),"0")</f>
        <v>0</v>
      </c>
      <c r="AV97" s="38">
        <v>0</v>
      </c>
      <c r="AW97" s="39">
        <f>+IFERROR((FT_RF_264[[#This Row],[Calibre &gt;14]]/FT_RF_264[[#This Row],[Muestra]]),"0")</f>
        <v>0</v>
      </c>
      <c r="AX97" s="38">
        <v>0</v>
      </c>
      <c r="AY97" s="39">
        <f>+IFERROR((FT_RF_264[[#This Row],[Calibre &lt;10]]/FT_RF_264[[#This Row],[Muestra]]),"0")</f>
        <v>0</v>
      </c>
      <c r="AZ97" s="38">
        <v>0</v>
      </c>
      <c r="BA97" s="39">
        <f>+IFERROR((FT_RF_264[[#This Row],[Calibre &gt;13]]/FT_RF_264[[#This Row],[Muestra]]),"0")</f>
        <v>0</v>
      </c>
      <c r="BB97" s="41"/>
      <c r="BG97" s="42"/>
      <c r="BH97" s="43">
        <v>0</v>
      </c>
      <c r="BI97" s="29" t="s">
        <v>894</v>
      </c>
      <c r="BJ97" s="29" t="s">
        <v>894</v>
      </c>
      <c r="BK9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9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97" s="45">
        <f>1-FT_RF_264[[#This Row],[% Defectos]]</f>
        <v>1</v>
      </c>
      <c r="BO97" s="60"/>
      <c r="BP97" s="12">
        <f>SUM(FT_RF_264[[#This Row],[Hoja (Un.)]:[Larvas Caja]])</f>
        <v>0</v>
      </c>
      <c r="BQ97" s="12">
        <f>SUM(FT_RF_264[[#This Row],[Vidrios]:[Plástico]])</f>
        <v>0</v>
      </c>
      <c r="BR97" s="12" t="str">
        <f>IF(ISBLANK(FT_RF_264[[#This Row],[Descripción del producto]]),"",FT_RF_264[[#This Row],[Descripción del producto]])</f>
        <v/>
      </c>
      <c r="BS97" s="29" t="str">
        <f>IF(ISBLANK(FT_RF_264[[#This Row],[N° de Lote]]),"",FT_RF_264[[#This Row],[N° de Lote]])</f>
        <v/>
      </c>
      <c r="BT97" s="29" t="str">
        <f>IF(ISBLANK(FT_RF_264[[#This Row],[N° de Pallet]]),"",FT_RF_264[[#This Row],[N° de Pallet]])</f>
        <v/>
      </c>
    </row>
    <row r="98" spans="2:72">
      <c r="B98" s="29">
        <f>+_xlfn.ISOWEEKNUM(FT_RF_264[[#This Row],[Fecha]])</f>
        <v>52</v>
      </c>
      <c r="E98" s="31"/>
      <c r="F98" s="12" t="str">
        <f>IFERROR(""&amp;_xlfn.XLOOKUP(FT_RF_264[[#This Row],[Código]],BD_Cod[SKU],BD_Cod[Descripción]),"")</f>
        <v/>
      </c>
      <c r="G98" s="32" t="str">
        <f>IFERROR(""&amp;_xlfn.XLOOKUP(FT_RF_264[[#This Row],[Código]],BD_Cod[SKU],BD_Cod[Familia Calidad]),"")</f>
        <v/>
      </c>
      <c r="J98" s="33">
        <v>1000</v>
      </c>
      <c r="L98" s="30" t="s">
        <v>244</v>
      </c>
      <c r="O98" s="30" t="s">
        <v>894</v>
      </c>
      <c r="P98" s="29" t="s">
        <v>894</v>
      </c>
      <c r="Q98" s="37">
        <f>1-FT_RF_264[[#This Row],[% Defectos]]</f>
        <v>1</v>
      </c>
      <c r="R98" s="38">
        <v>0</v>
      </c>
      <c r="S98" s="39">
        <f>+IFERROR((FT_RF_264[[#This Row],[Inmadura]]/FT_RF_264[[#This Row],[Muestra]]),"0")</f>
        <v>0</v>
      </c>
      <c r="T98" s="38">
        <v>0</v>
      </c>
      <c r="U98" s="39">
        <f>+IFERROR((FT_RF_264[[#This Row],[Partidas]]/FT_RF_264[[#This Row],[Muestra]]),"0")</f>
        <v>0</v>
      </c>
      <c r="V98" s="38">
        <v>0</v>
      </c>
      <c r="W98" s="39">
        <f>+IFERROR((FT_RF_264[[#This Row],[Daño Insecto]]/FT_RF_264[[#This Row],[Muestra]]),"0")</f>
        <v>0</v>
      </c>
      <c r="X98" s="38">
        <v>0</v>
      </c>
      <c r="Y98" s="39">
        <f>+IFERROR((FT_RF_264[[#This Row],[Sobremadura]]/FT_RF_264[[#This Row],[Muestra]]),"0")</f>
        <v>0</v>
      </c>
      <c r="Z98" s="38">
        <v>0</v>
      </c>
      <c r="AA98" s="39">
        <f>+IFERROR((FT_RF_264[[#This Row],[Deforme]]/FT_RF_264[[#This Row],[Muestra]]),"0")</f>
        <v>0</v>
      </c>
      <c r="AB98" s="27"/>
      <c r="AC98" s="38">
        <v>0</v>
      </c>
      <c r="AD98" s="39">
        <f>+IFERROR((FT_RF_264[[#This Row],[Valor Extra 1]]/FT_RF_264[[#This Row],[Muestra]]),"0")</f>
        <v>0</v>
      </c>
      <c r="AF98" s="38">
        <v>0</v>
      </c>
      <c r="AG98" s="39">
        <f>+IFERROR((FT_RF_264[[#This Row],[Valor Extra 2]]/FT_RF_264[[#This Row],[Muestra]]),"0")</f>
        <v>0</v>
      </c>
      <c r="AH98" s="40">
        <v>0</v>
      </c>
      <c r="AI98" s="39">
        <f>+IFERROR((FT_RF_264[[#This Row],[Hongos]]/FT_RF_264[[#This Row],[Muestra]]),"0")</f>
        <v>0</v>
      </c>
      <c r="AJ98" s="38">
        <v>0</v>
      </c>
      <c r="AK98" s="39">
        <f>+IFERROR((FT_RF_264[[#This Row],[Block]]/FT_RF_264[[#This Row],[Muestra]]),"0")</f>
        <v>0</v>
      </c>
      <c r="AL98" s="41">
        <v>0</v>
      </c>
      <c r="AM98" s="42">
        <v>0</v>
      </c>
      <c r="AN98" s="38">
        <v>0</v>
      </c>
      <c r="AO98" s="39">
        <f>+IFERROR((FT_RF_264[[#This Row],[Fuera de calibre &lt;12mm]]/FT_RF_264[[#This Row],[Muestra]]),"0")</f>
        <v>0</v>
      </c>
      <c r="AP98" s="38">
        <v>0</v>
      </c>
      <c r="AQ98" s="39">
        <f>+IFERROR((FT_RF_264[[#This Row],[Calibre &lt;25]]/FT_RF_264[[#This Row],[Muestra]]),"0")</f>
        <v>0</v>
      </c>
      <c r="AR98" s="38">
        <v>0</v>
      </c>
      <c r="AS98" s="39">
        <f>+IFERROR((FT_RF_264[[#This Row],[Calibre &gt;12]]/FT_RF_264[[#This Row],[Muestra]]),"0")</f>
        <v>0</v>
      </c>
      <c r="AT98" s="38">
        <v>0</v>
      </c>
      <c r="AU98" s="39">
        <f>+IFERROR((FT_RF_264[[#This Row],[Calibre &lt;14]]/FT_RF_264[[#This Row],[Muestra]]),"0")</f>
        <v>0</v>
      </c>
      <c r="AV98" s="38">
        <v>0</v>
      </c>
      <c r="AW98" s="39">
        <f>+IFERROR((FT_RF_264[[#This Row],[Calibre &gt;14]]/FT_RF_264[[#This Row],[Muestra]]),"0")</f>
        <v>0</v>
      </c>
      <c r="AX98" s="38">
        <v>0</v>
      </c>
      <c r="AY98" s="39">
        <f>+IFERROR((FT_RF_264[[#This Row],[Calibre &lt;10]]/FT_RF_264[[#This Row],[Muestra]]),"0")</f>
        <v>0</v>
      </c>
      <c r="AZ98" s="38">
        <v>0</v>
      </c>
      <c r="BA98" s="39">
        <f>+IFERROR((FT_RF_264[[#This Row],[Calibre &gt;13]]/FT_RF_264[[#This Row],[Muestra]]),"0")</f>
        <v>0</v>
      </c>
      <c r="BB98" s="41"/>
      <c r="BG98" s="42"/>
      <c r="BH98" s="43">
        <v>0</v>
      </c>
      <c r="BI98" s="29" t="s">
        <v>894</v>
      </c>
      <c r="BJ98" s="29" t="s">
        <v>894</v>
      </c>
      <c r="BK9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9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98" s="45">
        <f>1-FT_RF_264[[#This Row],[% Defectos]]</f>
        <v>1</v>
      </c>
      <c r="BO98" s="60"/>
      <c r="BP98" s="12">
        <f>SUM(FT_RF_264[[#This Row],[Hoja (Un.)]:[Larvas Caja]])</f>
        <v>0</v>
      </c>
      <c r="BQ98" s="12">
        <f>SUM(FT_RF_264[[#This Row],[Vidrios]:[Plástico]])</f>
        <v>0</v>
      </c>
      <c r="BR98" s="12" t="str">
        <f>IF(ISBLANK(FT_RF_264[[#This Row],[Descripción del producto]]),"",FT_RF_264[[#This Row],[Descripción del producto]])</f>
        <v/>
      </c>
      <c r="BS98" s="29" t="str">
        <f>IF(ISBLANK(FT_RF_264[[#This Row],[N° de Lote]]),"",FT_RF_264[[#This Row],[N° de Lote]])</f>
        <v/>
      </c>
      <c r="BT98" s="29" t="str">
        <f>IF(ISBLANK(FT_RF_264[[#This Row],[N° de Pallet]]),"",FT_RF_264[[#This Row],[N° de Pallet]])</f>
        <v/>
      </c>
    </row>
    <row r="99" spans="2:72">
      <c r="B99" s="29">
        <f>+_xlfn.ISOWEEKNUM(FT_RF_264[[#This Row],[Fecha]])</f>
        <v>52</v>
      </c>
      <c r="E99" s="31"/>
      <c r="F99" s="12" t="str">
        <f>IFERROR(""&amp;_xlfn.XLOOKUP(FT_RF_264[[#This Row],[Código]],BD_Cod[SKU],BD_Cod[Descripción]),"")</f>
        <v/>
      </c>
      <c r="G99" s="32" t="str">
        <f>IFERROR(""&amp;_xlfn.XLOOKUP(FT_RF_264[[#This Row],[Código]],BD_Cod[SKU],BD_Cod[Familia Calidad]),"")</f>
        <v/>
      </c>
      <c r="J99" s="33">
        <v>1000</v>
      </c>
      <c r="L99" s="30" t="s">
        <v>244</v>
      </c>
      <c r="O99" s="30" t="s">
        <v>894</v>
      </c>
      <c r="P99" s="29" t="s">
        <v>894</v>
      </c>
      <c r="Q99" s="37">
        <f>1-FT_RF_264[[#This Row],[% Defectos]]</f>
        <v>1</v>
      </c>
      <c r="R99" s="38">
        <v>0</v>
      </c>
      <c r="S99" s="39">
        <f>+IFERROR((FT_RF_264[[#This Row],[Inmadura]]/FT_RF_264[[#This Row],[Muestra]]),"0")</f>
        <v>0</v>
      </c>
      <c r="T99" s="38">
        <v>0</v>
      </c>
      <c r="U99" s="39">
        <f>+IFERROR((FT_RF_264[[#This Row],[Partidas]]/FT_RF_264[[#This Row],[Muestra]]),"0")</f>
        <v>0</v>
      </c>
      <c r="V99" s="38">
        <v>0</v>
      </c>
      <c r="W99" s="39">
        <f>+IFERROR((FT_RF_264[[#This Row],[Daño Insecto]]/FT_RF_264[[#This Row],[Muestra]]),"0")</f>
        <v>0</v>
      </c>
      <c r="X99" s="38">
        <v>0</v>
      </c>
      <c r="Y99" s="39">
        <f>+IFERROR((FT_RF_264[[#This Row],[Sobremadura]]/FT_RF_264[[#This Row],[Muestra]]),"0")</f>
        <v>0</v>
      </c>
      <c r="Z99" s="38">
        <v>0</v>
      </c>
      <c r="AA99" s="39">
        <f>+IFERROR((FT_RF_264[[#This Row],[Deforme]]/FT_RF_264[[#This Row],[Muestra]]),"0")</f>
        <v>0</v>
      </c>
      <c r="AB99" s="27"/>
      <c r="AC99" s="38">
        <v>0</v>
      </c>
      <c r="AD99" s="39">
        <f>+IFERROR((FT_RF_264[[#This Row],[Valor Extra 1]]/FT_RF_264[[#This Row],[Muestra]]),"0")</f>
        <v>0</v>
      </c>
      <c r="AF99" s="38">
        <v>0</v>
      </c>
      <c r="AG99" s="39">
        <f>+IFERROR((FT_RF_264[[#This Row],[Valor Extra 2]]/FT_RF_264[[#This Row],[Muestra]]),"0")</f>
        <v>0</v>
      </c>
      <c r="AH99" s="40">
        <v>0</v>
      </c>
      <c r="AI99" s="39">
        <f>+IFERROR((FT_RF_264[[#This Row],[Hongos]]/FT_RF_264[[#This Row],[Muestra]]),"0")</f>
        <v>0</v>
      </c>
      <c r="AJ99" s="38">
        <v>0</v>
      </c>
      <c r="AK99" s="39">
        <f>+IFERROR((FT_RF_264[[#This Row],[Block]]/FT_RF_264[[#This Row],[Muestra]]),"0")</f>
        <v>0</v>
      </c>
      <c r="AL99" s="41">
        <v>0</v>
      </c>
      <c r="AM99" s="42">
        <v>0</v>
      </c>
      <c r="AN99" s="38">
        <v>0</v>
      </c>
      <c r="AO99" s="39">
        <f>+IFERROR((FT_RF_264[[#This Row],[Fuera de calibre &lt;12mm]]/FT_RF_264[[#This Row],[Muestra]]),"0")</f>
        <v>0</v>
      </c>
      <c r="AP99" s="38">
        <v>0</v>
      </c>
      <c r="AQ99" s="39">
        <f>+IFERROR((FT_RF_264[[#This Row],[Calibre &lt;25]]/FT_RF_264[[#This Row],[Muestra]]),"0")</f>
        <v>0</v>
      </c>
      <c r="AR99" s="38">
        <v>0</v>
      </c>
      <c r="AS99" s="39">
        <f>+IFERROR((FT_RF_264[[#This Row],[Calibre &gt;12]]/FT_RF_264[[#This Row],[Muestra]]),"0")</f>
        <v>0</v>
      </c>
      <c r="AT99" s="38">
        <v>0</v>
      </c>
      <c r="AU99" s="39">
        <f>+IFERROR((FT_RF_264[[#This Row],[Calibre &lt;14]]/FT_RF_264[[#This Row],[Muestra]]),"0")</f>
        <v>0</v>
      </c>
      <c r="AV99" s="38">
        <v>0</v>
      </c>
      <c r="AW99" s="39">
        <f>+IFERROR((FT_RF_264[[#This Row],[Calibre &gt;14]]/FT_RF_264[[#This Row],[Muestra]]),"0")</f>
        <v>0</v>
      </c>
      <c r="AX99" s="38">
        <v>0</v>
      </c>
      <c r="AY99" s="39">
        <f>+IFERROR((FT_RF_264[[#This Row],[Calibre &lt;10]]/FT_RF_264[[#This Row],[Muestra]]),"0")</f>
        <v>0</v>
      </c>
      <c r="AZ99" s="38">
        <v>0</v>
      </c>
      <c r="BA99" s="39">
        <f>+IFERROR((FT_RF_264[[#This Row],[Calibre &gt;13]]/FT_RF_264[[#This Row],[Muestra]]),"0")</f>
        <v>0</v>
      </c>
      <c r="BB99" s="41"/>
      <c r="BG99" s="42"/>
      <c r="BH99" s="43">
        <v>0</v>
      </c>
      <c r="BI99" s="29" t="s">
        <v>894</v>
      </c>
      <c r="BJ99" s="29" t="s">
        <v>894</v>
      </c>
      <c r="BK9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9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99" s="45">
        <f>1-FT_RF_264[[#This Row],[% Defectos]]</f>
        <v>1</v>
      </c>
      <c r="BO99" s="60"/>
      <c r="BP99" s="12">
        <f>SUM(FT_RF_264[[#This Row],[Hoja (Un.)]:[Larvas Caja]])</f>
        <v>0</v>
      </c>
      <c r="BQ99" s="12">
        <f>SUM(FT_RF_264[[#This Row],[Vidrios]:[Plástico]])</f>
        <v>0</v>
      </c>
      <c r="BR99" s="12" t="str">
        <f>IF(ISBLANK(FT_RF_264[[#This Row],[Descripción del producto]]),"",FT_RF_264[[#This Row],[Descripción del producto]])</f>
        <v/>
      </c>
      <c r="BS99" s="29" t="str">
        <f>IF(ISBLANK(FT_RF_264[[#This Row],[N° de Lote]]),"",FT_RF_264[[#This Row],[N° de Lote]])</f>
        <v/>
      </c>
      <c r="BT99" s="29" t="str">
        <f>IF(ISBLANK(FT_RF_264[[#This Row],[N° de Pallet]]),"",FT_RF_264[[#This Row],[N° de Pallet]])</f>
        <v/>
      </c>
    </row>
    <row r="100" spans="2:72">
      <c r="B100" s="29">
        <f>+_xlfn.ISOWEEKNUM(FT_RF_264[[#This Row],[Fecha]])</f>
        <v>52</v>
      </c>
      <c r="E100" s="31"/>
      <c r="F100" s="12" t="str">
        <f>IFERROR(""&amp;_xlfn.XLOOKUP(FT_RF_264[[#This Row],[Código]],BD_Cod[SKU],BD_Cod[Descripción]),"")</f>
        <v/>
      </c>
      <c r="G100" s="32" t="str">
        <f>IFERROR(""&amp;_xlfn.XLOOKUP(FT_RF_264[[#This Row],[Código]],BD_Cod[SKU],BD_Cod[Familia Calidad]),"")</f>
        <v/>
      </c>
      <c r="J100" s="33">
        <v>1000</v>
      </c>
      <c r="L100" s="30" t="s">
        <v>244</v>
      </c>
      <c r="O100" s="30" t="s">
        <v>894</v>
      </c>
      <c r="P100" s="29" t="s">
        <v>894</v>
      </c>
      <c r="Q100" s="37">
        <f>1-FT_RF_264[[#This Row],[% Defectos]]</f>
        <v>1</v>
      </c>
      <c r="R100" s="38">
        <v>0</v>
      </c>
      <c r="S100" s="39">
        <f>+IFERROR((FT_RF_264[[#This Row],[Inmadura]]/FT_RF_264[[#This Row],[Muestra]]),"0")</f>
        <v>0</v>
      </c>
      <c r="T100" s="38">
        <v>0</v>
      </c>
      <c r="U100" s="39">
        <f>+IFERROR((FT_RF_264[[#This Row],[Partidas]]/FT_RF_264[[#This Row],[Muestra]]),"0")</f>
        <v>0</v>
      </c>
      <c r="V100" s="38">
        <v>0</v>
      </c>
      <c r="W100" s="39">
        <f>+IFERROR((FT_RF_264[[#This Row],[Daño Insecto]]/FT_RF_264[[#This Row],[Muestra]]),"0")</f>
        <v>0</v>
      </c>
      <c r="X100" s="38">
        <v>0</v>
      </c>
      <c r="Y100" s="39">
        <f>+IFERROR((FT_RF_264[[#This Row],[Sobremadura]]/FT_RF_264[[#This Row],[Muestra]]),"0")</f>
        <v>0</v>
      </c>
      <c r="Z100" s="38">
        <v>0</v>
      </c>
      <c r="AA100" s="39">
        <f>+IFERROR((FT_RF_264[[#This Row],[Deforme]]/FT_RF_264[[#This Row],[Muestra]]),"0")</f>
        <v>0</v>
      </c>
      <c r="AB100" s="27"/>
      <c r="AC100" s="38">
        <v>0</v>
      </c>
      <c r="AD100" s="39">
        <f>+IFERROR((FT_RF_264[[#This Row],[Valor Extra 1]]/FT_RF_264[[#This Row],[Muestra]]),"0")</f>
        <v>0</v>
      </c>
      <c r="AF100" s="38">
        <v>0</v>
      </c>
      <c r="AG100" s="39">
        <f>+IFERROR((FT_RF_264[[#This Row],[Valor Extra 2]]/FT_RF_264[[#This Row],[Muestra]]),"0")</f>
        <v>0</v>
      </c>
      <c r="AH100" s="40">
        <v>0</v>
      </c>
      <c r="AI100" s="39">
        <f>+IFERROR((FT_RF_264[[#This Row],[Hongos]]/FT_RF_264[[#This Row],[Muestra]]),"0")</f>
        <v>0</v>
      </c>
      <c r="AJ100" s="38">
        <v>0</v>
      </c>
      <c r="AK100" s="39">
        <f>+IFERROR((FT_RF_264[[#This Row],[Block]]/FT_RF_264[[#This Row],[Muestra]]),"0")</f>
        <v>0</v>
      </c>
      <c r="AL100" s="41">
        <v>0</v>
      </c>
      <c r="AM100" s="42">
        <v>0</v>
      </c>
      <c r="AN100" s="38">
        <v>0</v>
      </c>
      <c r="AO100" s="39">
        <f>+IFERROR((FT_RF_264[[#This Row],[Fuera de calibre &lt;12mm]]/FT_RF_264[[#This Row],[Muestra]]),"0")</f>
        <v>0</v>
      </c>
      <c r="AP100" s="38">
        <v>0</v>
      </c>
      <c r="AQ100" s="39">
        <f>+IFERROR((FT_RF_264[[#This Row],[Calibre &lt;25]]/FT_RF_264[[#This Row],[Muestra]]),"0")</f>
        <v>0</v>
      </c>
      <c r="AR100" s="38">
        <v>0</v>
      </c>
      <c r="AS100" s="39">
        <f>+IFERROR((FT_RF_264[[#This Row],[Calibre &gt;12]]/FT_RF_264[[#This Row],[Muestra]]),"0")</f>
        <v>0</v>
      </c>
      <c r="AT100" s="38">
        <v>0</v>
      </c>
      <c r="AU100" s="39">
        <f>+IFERROR((FT_RF_264[[#This Row],[Calibre &lt;14]]/FT_RF_264[[#This Row],[Muestra]]),"0")</f>
        <v>0</v>
      </c>
      <c r="AV100" s="38">
        <v>0</v>
      </c>
      <c r="AW100" s="39">
        <f>+IFERROR((FT_RF_264[[#This Row],[Calibre &gt;14]]/FT_RF_264[[#This Row],[Muestra]]),"0")</f>
        <v>0</v>
      </c>
      <c r="AX100" s="38">
        <v>0</v>
      </c>
      <c r="AY100" s="39">
        <f>+IFERROR((FT_RF_264[[#This Row],[Calibre &lt;10]]/FT_RF_264[[#This Row],[Muestra]]),"0")</f>
        <v>0</v>
      </c>
      <c r="AZ100" s="38">
        <v>0</v>
      </c>
      <c r="BA100" s="39">
        <f>+IFERROR((FT_RF_264[[#This Row],[Calibre &gt;13]]/FT_RF_264[[#This Row],[Muestra]]),"0")</f>
        <v>0</v>
      </c>
      <c r="BB100" s="41"/>
      <c r="BG100" s="42"/>
      <c r="BH100" s="43">
        <v>0</v>
      </c>
      <c r="BI100" s="29" t="s">
        <v>894</v>
      </c>
      <c r="BJ100" s="29" t="s">
        <v>894</v>
      </c>
      <c r="BK10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0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00" s="45">
        <f>1-FT_RF_264[[#This Row],[% Defectos]]</f>
        <v>1</v>
      </c>
      <c r="BO100" s="60"/>
      <c r="BP100" s="12">
        <f>SUM(FT_RF_264[[#This Row],[Hoja (Un.)]:[Larvas Caja]])</f>
        <v>0</v>
      </c>
      <c r="BQ100" s="12">
        <f>SUM(FT_RF_264[[#This Row],[Vidrios]:[Plástico]])</f>
        <v>0</v>
      </c>
      <c r="BR100" s="12" t="str">
        <f>IF(ISBLANK(FT_RF_264[[#This Row],[Descripción del producto]]),"",FT_RF_264[[#This Row],[Descripción del producto]])</f>
        <v/>
      </c>
      <c r="BS100" s="29" t="str">
        <f>IF(ISBLANK(FT_RF_264[[#This Row],[N° de Lote]]),"",FT_RF_264[[#This Row],[N° de Lote]])</f>
        <v/>
      </c>
      <c r="BT100" s="29" t="str">
        <f>IF(ISBLANK(FT_RF_264[[#This Row],[N° de Pallet]]),"",FT_RF_264[[#This Row],[N° de Pallet]])</f>
        <v/>
      </c>
    </row>
    <row r="101" spans="2:72">
      <c r="B101" s="29">
        <f>+_xlfn.ISOWEEKNUM(FT_RF_264[[#This Row],[Fecha]])</f>
        <v>52</v>
      </c>
      <c r="E101" s="31"/>
      <c r="F101" s="12" t="str">
        <f>IFERROR(""&amp;_xlfn.XLOOKUP(FT_RF_264[[#This Row],[Código]],BD_Cod[SKU],BD_Cod[Descripción]),"")</f>
        <v/>
      </c>
      <c r="G101" s="32" t="str">
        <f>IFERROR(""&amp;_xlfn.XLOOKUP(FT_RF_264[[#This Row],[Código]],BD_Cod[SKU],BD_Cod[Familia Calidad]),"")</f>
        <v/>
      </c>
      <c r="J101" s="33">
        <v>1000</v>
      </c>
      <c r="L101" s="30" t="s">
        <v>244</v>
      </c>
      <c r="O101" s="30" t="s">
        <v>894</v>
      </c>
      <c r="P101" s="29" t="s">
        <v>894</v>
      </c>
      <c r="Q101" s="37">
        <f>1-FT_RF_264[[#This Row],[% Defectos]]</f>
        <v>1</v>
      </c>
      <c r="R101" s="38">
        <v>0</v>
      </c>
      <c r="S101" s="39">
        <f>+IFERROR((FT_RF_264[[#This Row],[Inmadura]]/FT_RF_264[[#This Row],[Muestra]]),"0")</f>
        <v>0</v>
      </c>
      <c r="T101" s="38">
        <v>0</v>
      </c>
      <c r="U101" s="39">
        <f>+IFERROR((FT_RF_264[[#This Row],[Partidas]]/FT_RF_264[[#This Row],[Muestra]]),"0")</f>
        <v>0</v>
      </c>
      <c r="V101" s="38">
        <v>0</v>
      </c>
      <c r="W101" s="39">
        <f>+IFERROR((FT_RF_264[[#This Row],[Daño Insecto]]/FT_RF_264[[#This Row],[Muestra]]),"0")</f>
        <v>0</v>
      </c>
      <c r="X101" s="38">
        <v>0</v>
      </c>
      <c r="Y101" s="39">
        <f>+IFERROR((FT_RF_264[[#This Row],[Sobremadura]]/FT_RF_264[[#This Row],[Muestra]]),"0")</f>
        <v>0</v>
      </c>
      <c r="Z101" s="38">
        <v>0</v>
      </c>
      <c r="AA101" s="39">
        <f>+IFERROR((FT_RF_264[[#This Row],[Deforme]]/FT_RF_264[[#This Row],[Muestra]]),"0")</f>
        <v>0</v>
      </c>
      <c r="AB101" s="27"/>
      <c r="AC101" s="38">
        <v>0</v>
      </c>
      <c r="AD101" s="39">
        <f>+IFERROR((FT_RF_264[[#This Row],[Valor Extra 1]]/FT_RF_264[[#This Row],[Muestra]]),"0")</f>
        <v>0</v>
      </c>
      <c r="AF101" s="38">
        <v>0</v>
      </c>
      <c r="AG101" s="39">
        <f>+IFERROR((FT_RF_264[[#This Row],[Valor Extra 2]]/FT_RF_264[[#This Row],[Muestra]]),"0")</f>
        <v>0</v>
      </c>
      <c r="AH101" s="40">
        <v>0</v>
      </c>
      <c r="AI101" s="39">
        <f>+IFERROR((FT_RF_264[[#This Row],[Hongos]]/FT_RF_264[[#This Row],[Muestra]]),"0")</f>
        <v>0</v>
      </c>
      <c r="AJ101" s="38">
        <v>0</v>
      </c>
      <c r="AK101" s="39">
        <f>+IFERROR((FT_RF_264[[#This Row],[Block]]/FT_RF_264[[#This Row],[Muestra]]),"0")</f>
        <v>0</v>
      </c>
      <c r="AL101" s="41">
        <v>0</v>
      </c>
      <c r="AM101" s="42">
        <v>0</v>
      </c>
      <c r="AN101" s="38">
        <v>0</v>
      </c>
      <c r="AO101" s="39">
        <f>+IFERROR((FT_RF_264[[#This Row],[Fuera de calibre &lt;12mm]]/FT_RF_264[[#This Row],[Muestra]]),"0")</f>
        <v>0</v>
      </c>
      <c r="AP101" s="38">
        <v>0</v>
      </c>
      <c r="AQ101" s="39">
        <f>+IFERROR((FT_RF_264[[#This Row],[Calibre &lt;25]]/FT_RF_264[[#This Row],[Muestra]]),"0")</f>
        <v>0</v>
      </c>
      <c r="AR101" s="38">
        <v>0</v>
      </c>
      <c r="AS101" s="39">
        <f>+IFERROR((FT_RF_264[[#This Row],[Calibre &gt;12]]/FT_RF_264[[#This Row],[Muestra]]),"0")</f>
        <v>0</v>
      </c>
      <c r="AT101" s="38">
        <v>0</v>
      </c>
      <c r="AU101" s="39">
        <f>+IFERROR((FT_RF_264[[#This Row],[Calibre &lt;14]]/FT_RF_264[[#This Row],[Muestra]]),"0")</f>
        <v>0</v>
      </c>
      <c r="AV101" s="38">
        <v>0</v>
      </c>
      <c r="AW101" s="39">
        <f>+IFERROR((FT_RF_264[[#This Row],[Calibre &gt;14]]/FT_RF_264[[#This Row],[Muestra]]),"0")</f>
        <v>0</v>
      </c>
      <c r="AX101" s="38">
        <v>0</v>
      </c>
      <c r="AY101" s="39">
        <f>+IFERROR((FT_RF_264[[#This Row],[Calibre &lt;10]]/FT_RF_264[[#This Row],[Muestra]]),"0")</f>
        <v>0</v>
      </c>
      <c r="AZ101" s="38">
        <v>0</v>
      </c>
      <c r="BA101" s="39">
        <f>+IFERROR((FT_RF_264[[#This Row],[Calibre &gt;13]]/FT_RF_264[[#This Row],[Muestra]]),"0")</f>
        <v>0</v>
      </c>
      <c r="BB101" s="41"/>
      <c r="BG101" s="42"/>
      <c r="BH101" s="43">
        <v>0</v>
      </c>
      <c r="BI101" s="29" t="s">
        <v>894</v>
      </c>
      <c r="BJ101" s="29" t="s">
        <v>894</v>
      </c>
      <c r="BK10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0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01" s="45">
        <f>1-FT_RF_264[[#This Row],[% Defectos]]</f>
        <v>1</v>
      </c>
      <c r="BO101" s="60"/>
      <c r="BP101" s="12">
        <f>SUM(FT_RF_264[[#This Row],[Hoja (Un.)]:[Larvas Caja]])</f>
        <v>0</v>
      </c>
      <c r="BQ101" s="12">
        <f>SUM(FT_RF_264[[#This Row],[Vidrios]:[Plástico]])</f>
        <v>0</v>
      </c>
      <c r="BR101" s="12" t="str">
        <f>IF(ISBLANK(FT_RF_264[[#This Row],[Descripción del producto]]),"",FT_RF_264[[#This Row],[Descripción del producto]])</f>
        <v/>
      </c>
      <c r="BS101" s="29" t="str">
        <f>IF(ISBLANK(FT_RF_264[[#This Row],[N° de Lote]]),"",FT_RF_264[[#This Row],[N° de Lote]])</f>
        <v/>
      </c>
      <c r="BT101" s="29" t="str">
        <f>IF(ISBLANK(FT_RF_264[[#This Row],[N° de Pallet]]),"",FT_RF_264[[#This Row],[N° de Pallet]])</f>
        <v/>
      </c>
    </row>
    <row r="102" spans="2:72">
      <c r="B102" s="29">
        <f>+_xlfn.ISOWEEKNUM(FT_RF_264[[#This Row],[Fecha]])</f>
        <v>52</v>
      </c>
      <c r="E102" s="31"/>
      <c r="F102" s="12" t="str">
        <f>IFERROR(""&amp;_xlfn.XLOOKUP(FT_RF_264[[#This Row],[Código]],BD_Cod[SKU],BD_Cod[Descripción]),"")</f>
        <v/>
      </c>
      <c r="G102" s="32" t="str">
        <f>IFERROR(""&amp;_xlfn.XLOOKUP(FT_RF_264[[#This Row],[Código]],BD_Cod[SKU],BD_Cod[Familia Calidad]),"")</f>
        <v/>
      </c>
      <c r="J102" s="33">
        <v>1000</v>
      </c>
      <c r="L102" s="30" t="s">
        <v>244</v>
      </c>
      <c r="O102" s="30" t="s">
        <v>894</v>
      </c>
      <c r="P102" s="29" t="s">
        <v>894</v>
      </c>
      <c r="Q102" s="37">
        <f>1-FT_RF_264[[#This Row],[% Defectos]]</f>
        <v>1</v>
      </c>
      <c r="R102" s="38">
        <v>0</v>
      </c>
      <c r="S102" s="39">
        <f>+IFERROR((FT_RF_264[[#This Row],[Inmadura]]/FT_RF_264[[#This Row],[Muestra]]),"0")</f>
        <v>0</v>
      </c>
      <c r="T102" s="38">
        <v>0</v>
      </c>
      <c r="U102" s="39">
        <f>+IFERROR((FT_RF_264[[#This Row],[Partidas]]/FT_RF_264[[#This Row],[Muestra]]),"0")</f>
        <v>0</v>
      </c>
      <c r="V102" s="38">
        <v>0</v>
      </c>
      <c r="W102" s="39">
        <f>+IFERROR((FT_RF_264[[#This Row],[Daño Insecto]]/FT_RF_264[[#This Row],[Muestra]]),"0")</f>
        <v>0</v>
      </c>
      <c r="X102" s="38">
        <v>0</v>
      </c>
      <c r="Y102" s="39">
        <f>+IFERROR((FT_RF_264[[#This Row],[Sobremadura]]/FT_RF_264[[#This Row],[Muestra]]),"0")</f>
        <v>0</v>
      </c>
      <c r="Z102" s="38">
        <v>0</v>
      </c>
      <c r="AA102" s="39">
        <f>+IFERROR((FT_RF_264[[#This Row],[Deforme]]/FT_RF_264[[#This Row],[Muestra]]),"0")</f>
        <v>0</v>
      </c>
      <c r="AB102" s="27"/>
      <c r="AC102" s="38">
        <v>0</v>
      </c>
      <c r="AD102" s="39">
        <f>+IFERROR((FT_RF_264[[#This Row],[Valor Extra 1]]/FT_RF_264[[#This Row],[Muestra]]),"0")</f>
        <v>0</v>
      </c>
      <c r="AF102" s="38">
        <v>0</v>
      </c>
      <c r="AG102" s="39">
        <f>+IFERROR((FT_RF_264[[#This Row],[Valor Extra 2]]/FT_RF_264[[#This Row],[Muestra]]),"0")</f>
        <v>0</v>
      </c>
      <c r="AH102" s="40">
        <v>0</v>
      </c>
      <c r="AI102" s="39">
        <f>+IFERROR((FT_RF_264[[#This Row],[Hongos]]/FT_RF_264[[#This Row],[Muestra]]),"0")</f>
        <v>0</v>
      </c>
      <c r="AJ102" s="38">
        <v>0</v>
      </c>
      <c r="AK102" s="39">
        <f>+IFERROR((FT_RF_264[[#This Row],[Block]]/FT_RF_264[[#This Row],[Muestra]]),"0")</f>
        <v>0</v>
      </c>
      <c r="AL102" s="41">
        <v>0</v>
      </c>
      <c r="AM102" s="42">
        <v>0</v>
      </c>
      <c r="AN102" s="38">
        <v>0</v>
      </c>
      <c r="AO102" s="39">
        <f>+IFERROR((FT_RF_264[[#This Row],[Fuera de calibre &lt;12mm]]/FT_RF_264[[#This Row],[Muestra]]),"0")</f>
        <v>0</v>
      </c>
      <c r="AP102" s="38">
        <v>0</v>
      </c>
      <c r="AQ102" s="39">
        <f>+IFERROR((FT_RF_264[[#This Row],[Calibre &lt;25]]/FT_RF_264[[#This Row],[Muestra]]),"0")</f>
        <v>0</v>
      </c>
      <c r="AR102" s="38">
        <v>0</v>
      </c>
      <c r="AS102" s="39">
        <f>+IFERROR((FT_RF_264[[#This Row],[Calibre &gt;12]]/FT_RF_264[[#This Row],[Muestra]]),"0")</f>
        <v>0</v>
      </c>
      <c r="AT102" s="38">
        <v>0</v>
      </c>
      <c r="AU102" s="39">
        <f>+IFERROR((FT_RF_264[[#This Row],[Calibre &lt;14]]/FT_RF_264[[#This Row],[Muestra]]),"0")</f>
        <v>0</v>
      </c>
      <c r="AV102" s="38">
        <v>0</v>
      </c>
      <c r="AW102" s="39">
        <f>+IFERROR((FT_RF_264[[#This Row],[Calibre &gt;14]]/FT_RF_264[[#This Row],[Muestra]]),"0")</f>
        <v>0</v>
      </c>
      <c r="AX102" s="38">
        <v>0</v>
      </c>
      <c r="AY102" s="39">
        <f>+IFERROR((FT_RF_264[[#This Row],[Calibre &lt;10]]/FT_RF_264[[#This Row],[Muestra]]),"0")</f>
        <v>0</v>
      </c>
      <c r="AZ102" s="38">
        <v>0</v>
      </c>
      <c r="BA102" s="39">
        <f>+IFERROR((FT_RF_264[[#This Row],[Calibre &gt;13]]/FT_RF_264[[#This Row],[Muestra]]),"0")</f>
        <v>0</v>
      </c>
      <c r="BB102" s="41"/>
      <c r="BG102" s="42"/>
      <c r="BH102" s="43">
        <v>0</v>
      </c>
      <c r="BI102" s="29" t="s">
        <v>894</v>
      </c>
      <c r="BJ102" s="29" t="s">
        <v>894</v>
      </c>
      <c r="BK10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0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02" s="45">
        <f>1-FT_RF_264[[#This Row],[% Defectos]]</f>
        <v>1</v>
      </c>
      <c r="BO102" s="60"/>
      <c r="BP102" s="12">
        <f>SUM(FT_RF_264[[#This Row],[Hoja (Un.)]:[Larvas Caja]])</f>
        <v>0</v>
      </c>
      <c r="BQ102" s="12">
        <f>SUM(FT_RF_264[[#This Row],[Vidrios]:[Plástico]])</f>
        <v>0</v>
      </c>
      <c r="BR102" s="12" t="str">
        <f>IF(ISBLANK(FT_RF_264[[#This Row],[Descripción del producto]]),"",FT_RF_264[[#This Row],[Descripción del producto]])</f>
        <v/>
      </c>
      <c r="BS102" s="29" t="str">
        <f>IF(ISBLANK(FT_RF_264[[#This Row],[N° de Lote]]),"",FT_RF_264[[#This Row],[N° de Lote]])</f>
        <v/>
      </c>
      <c r="BT102" s="29" t="str">
        <f>IF(ISBLANK(FT_RF_264[[#This Row],[N° de Pallet]]),"",FT_RF_264[[#This Row],[N° de Pallet]])</f>
        <v/>
      </c>
    </row>
    <row r="103" spans="2:72">
      <c r="B103" s="29">
        <f>+_xlfn.ISOWEEKNUM(FT_RF_264[[#This Row],[Fecha]])</f>
        <v>52</v>
      </c>
      <c r="E103" s="31"/>
      <c r="F103" s="12" t="str">
        <f>IFERROR(""&amp;_xlfn.XLOOKUP(FT_RF_264[[#This Row],[Código]],BD_Cod[SKU],BD_Cod[Descripción]),"")</f>
        <v/>
      </c>
      <c r="G103" s="32" t="str">
        <f>IFERROR(""&amp;_xlfn.XLOOKUP(FT_RF_264[[#This Row],[Código]],BD_Cod[SKU],BD_Cod[Familia Calidad]),"")</f>
        <v/>
      </c>
      <c r="J103" s="33">
        <v>1000</v>
      </c>
      <c r="L103" s="30" t="s">
        <v>244</v>
      </c>
      <c r="O103" s="30" t="s">
        <v>894</v>
      </c>
      <c r="P103" s="29" t="s">
        <v>894</v>
      </c>
      <c r="Q103" s="37">
        <f>1-FT_RF_264[[#This Row],[% Defectos]]</f>
        <v>1</v>
      </c>
      <c r="R103" s="38">
        <v>0</v>
      </c>
      <c r="S103" s="39">
        <f>+IFERROR((FT_RF_264[[#This Row],[Inmadura]]/FT_RF_264[[#This Row],[Muestra]]),"0")</f>
        <v>0</v>
      </c>
      <c r="T103" s="38">
        <v>0</v>
      </c>
      <c r="U103" s="39">
        <f>+IFERROR((FT_RF_264[[#This Row],[Partidas]]/FT_RF_264[[#This Row],[Muestra]]),"0")</f>
        <v>0</v>
      </c>
      <c r="V103" s="38">
        <v>0</v>
      </c>
      <c r="W103" s="39">
        <f>+IFERROR((FT_RF_264[[#This Row],[Daño Insecto]]/FT_RF_264[[#This Row],[Muestra]]),"0")</f>
        <v>0</v>
      </c>
      <c r="X103" s="38">
        <v>0</v>
      </c>
      <c r="Y103" s="39">
        <f>+IFERROR((FT_RF_264[[#This Row],[Sobremadura]]/FT_RF_264[[#This Row],[Muestra]]),"0")</f>
        <v>0</v>
      </c>
      <c r="Z103" s="38">
        <v>0</v>
      </c>
      <c r="AA103" s="39">
        <f>+IFERROR((FT_RF_264[[#This Row],[Deforme]]/FT_RF_264[[#This Row],[Muestra]]),"0")</f>
        <v>0</v>
      </c>
      <c r="AB103" s="27"/>
      <c r="AC103" s="38">
        <v>0</v>
      </c>
      <c r="AD103" s="39">
        <f>+IFERROR((FT_RF_264[[#This Row],[Valor Extra 1]]/FT_RF_264[[#This Row],[Muestra]]),"0")</f>
        <v>0</v>
      </c>
      <c r="AF103" s="38">
        <v>0</v>
      </c>
      <c r="AG103" s="39">
        <f>+IFERROR((FT_RF_264[[#This Row],[Valor Extra 2]]/FT_RF_264[[#This Row],[Muestra]]),"0")</f>
        <v>0</v>
      </c>
      <c r="AH103" s="40">
        <v>0</v>
      </c>
      <c r="AI103" s="39">
        <f>+IFERROR((FT_RF_264[[#This Row],[Hongos]]/FT_RF_264[[#This Row],[Muestra]]),"0")</f>
        <v>0</v>
      </c>
      <c r="AJ103" s="38">
        <v>0</v>
      </c>
      <c r="AK103" s="39">
        <f>+IFERROR((FT_RF_264[[#This Row],[Block]]/FT_RF_264[[#This Row],[Muestra]]),"0")</f>
        <v>0</v>
      </c>
      <c r="AL103" s="41">
        <v>0</v>
      </c>
      <c r="AM103" s="42">
        <v>0</v>
      </c>
      <c r="AN103" s="38">
        <v>0</v>
      </c>
      <c r="AO103" s="39">
        <f>+IFERROR((FT_RF_264[[#This Row],[Fuera de calibre &lt;12mm]]/FT_RF_264[[#This Row],[Muestra]]),"0")</f>
        <v>0</v>
      </c>
      <c r="AP103" s="38">
        <v>0</v>
      </c>
      <c r="AQ103" s="39">
        <f>+IFERROR((FT_RF_264[[#This Row],[Calibre &lt;25]]/FT_RF_264[[#This Row],[Muestra]]),"0")</f>
        <v>0</v>
      </c>
      <c r="AR103" s="38">
        <v>0</v>
      </c>
      <c r="AS103" s="39">
        <f>+IFERROR((FT_RF_264[[#This Row],[Calibre &gt;12]]/FT_RF_264[[#This Row],[Muestra]]),"0")</f>
        <v>0</v>
      </c>
      <c r="AT103" s="38">
        <v>0</v>
      </c>
      <c r="AU103" s="39">
        <f>+IFERROR((FT_RF_264[[#This Row],[Calibre &lt;14]]/FT_RF_264[[#This Row],[Muestra]]),"0")</f>
        <v>0</v>
      </c>
      <c r="AV103" s="38">
        <v>0</v>
      </c>
      <c r="AW103" s="39">
        <f>+IFERROR((FT_RF_264[[#This Row],[Calibre &gt;14]]/FT_RF_264[[#This Row],[Muestra]]),"0")</f>
        <v>0</v>
      </c>
      <c r="AX103" s="38">
        <v>0</v>
      </c>
      <c r="AY103" s="39">
        <f>+IFERROR((FT_RF_264[[#This Row],[Calibre &lt;10]]/FT_RF_264[[#This Row],[Muestra]]),"0")</f>
        <v>0</v>
      </c>
      <c r="AZ103" s="38">
        <v>0</v>
      </c>
      <c r="BA103" s="39">
        <f>+IFERROR((FT_RF_264[[#This Row],[Calibre &gt;13]]/FT_RF_264[[#This Row],[Muestra]]),"0")</f>
        <v>0</v>
      </c>
      <c r="BB103" s="41"/>
      <c r="BG103" s="42"/>
      <c r="BH103" s="43">
        <v>0</v>
      </c>
      <c r="BI103" s="29" t="s">
        <v>894</v>
      </c>
      <c r="BJ103" s="29" t="s">
        <v>894</v>
      </c>
      <c r="BK10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0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03" s="45">
        <f>1-FT_RF_264[[#This Row],[% Defectos]]</f>
        <v>1</v>
      </c>
      <c r="BO103" s="60"/>
      <c r="BP103" s="12">
        <f>SUM(FT_RF_264[[#This Row],[Hoja (Un.)]:[Larvas Caja]])</f>
        <v>0</v>
      </c>
      <c r="BQ103" s="12">
        <f>SUM(FT_RF_264[[#This Row],[Vidrios]:[Plástico]])</f>
        <v>0</v>
      </c>
      <c r="BR103" s="12" t="str">
        <f>IF(ISBLANK(FT_RF_264[[#This Row],[Descripción del producto]]),"",FT_RF_264[[#This Row],[Descripción del producto]])</f>
        <v/>
      </c>
      <c r="BS103" s="29" t="str">
        <f>IF(ISBLANK(FT_RF_264[[#This Row],[N° de Lote]]),"",FT_RF_264[[#This Row],[N° de Lote]])</f>
        <v/>
      </c>
      <c r="BT103" s="29" t="str">
        <f>IF(ISBLANK(FT_RF_264[[#This Row],[N° de Pallet]]),"",FT_RF_264[[#This Row],[N° de Pallet]])</f>
        <v/>
      </c>
    </row>
    <row r="104" spans="2:72">
      <c r="B104" s="29">
        <f>+_xlfn.ISOWEEKNUM(FT_RF_264[[#This Row],[Fecha]])</f>
        <v>52</v>
      </c>
      <c r="E104" s="31"/>
      <c r="F104" s="12" t="str">
        <f>IFERROR(""&amp;_xlfn.XLOOKUP(FT_RF_264[[#This Row],[Código]],BD_Cod[SKU],BD_Cod[Descripción]),"")</f>
        <v/>
      </c>
      <c r="G104" s="32" t="str">
        <f>IFERROR(""&amp;_xlfn.XLOOKUP(FT_RF_264[[#This Row],[Código]],BD_Cod[SKU],BD_Cod[Familia Calidad]),"")</f>
        <v/>
      </c>
      <c r="J104" s="33">
        <v>1000</v>
      </c>
      <c r="L104" s="30" t="s">
        <v>244</v>
      </c>
      <c r="O104" s="30" t="s">
        <v>894</v>
      </c>
      <c r="P104" s="29" t="s">
        <v>894</v>
      </c>
      <c r="Q104" s="37">
        <f>1-FT_RF_264[[#This Row],[% Defectos]]</f>
        <v>1</v>
      </c>
      <c r="R104" s="38">
        <v>0</v>
      </c>
      <c r="S104" s="39">
        <f>+IFERROR((FT_RF_264[[#This Row],[Inmadura]]/FT_RF_264[[#This Row],[Muestra]]),"0")</f>
        <v>0</v>
      </c>
      <c r="T104" s="38">
        <v>0</v>
      </c>
      <c r="U104" s="39">
        <f>+IFERROR((FT_RF_264[[#This Row],[Partidas]]/FT_RF_264[[#This Row],[Muestra]]),"0")</f>
        <v>0</v>
      </c>
      <c r="V104" s="38">
        <v>0</v>
      </c>
      <c r="W104" s="39">
        <f>+IFERROR((FT_RF_264[[#This Row],[Daño Insecto]]/FT_RF_264[[#This Row],[Muestra]]),"0")</f>
        <v>0</v>
      </c>
      <c r="X104" s="38">
        <v>0</v>
      </c>
      <c r="Y104" s="39">
        <f>+IFERROR((FT_RF_264[[#This Row],[Sobremadura]]/FT_RF_264[[#This Row],[Muestra]]),"0")</f>
        <v>0</v>
      </c>
      <c r="Z104" s="38">
        <v>0</v>
      </c>
      <c r="AA104" s="39">
        <f>+IFERROR((FT_RF_264[[#This Row],[Deforme]]/FT_RF_264[[#This Row],[Muestra]]),"0")</f>
        <v>0</v>
      </c>
      <c r="AB104" s="27"/>
      <c r="AC104" s="38">
        <v>0</v>
      </c>
      <c r="AD104" s="39">
        <f>+IFERROR((FT_RF_264[[#This Row],[Valor Extra 1]]/FT_RF_264[[#This Row],[Muestra]]),"0")</f>
        <v>0</v>
      </c>
      <c r="AF104" s="38">
        <v>0</v>
      </c>
      <c r="AG104" s="39">
        <f>+IFERROR((FT_RF_264[[#This Row],[Valor Extra 2]]/FT_RF_264[[#This Row],[Muestra]]),"0")</f>
        <v>0</v>
      </c>
      <c r="AH104" s="40">
        <v>0</v>
      </c>
      <c r="AI104" s="39">
        <f>+IFERROR((FT_RF_264[[#This Row],[Hongos]]/FT_RF_264[[#This Row],[Muestra]]),"0")</f>
        <v>0</v>
      </c>
      <c r="AJ104" s="38">
        <v>0</v>
      </c>
      <c r="AK104" s="39">
        <f>+IFERROR((FT_RF_264[[#This Row],[Block]]/FT_RF_264[[#This Row],[Muestra]]),"0")</f>
        <v>0</v>
      </c>
      <c r="AL104" s="41">
        <v>0</v>
      </c>
      <c r="AM104" s="42">
        <v>0</v>
      </c>
      <c r="AN104" s="38">
        <v>0</v>
      </c>
      <c r="AO104" s="39">
        <f>+IFERROR((FT_RF_264[[#This Row],[Fuera de calibre &lt;12mm]]/FT_RF_264[[#This Row],[Muestra]]),"0")</f>
        <v>0</v>
      </c>
      <c r="AP104" s="38">
        <v>0</v>
      </c>
      <c r="AQ104" s="39">
        <f>+IFERROR((FT_RF_264[[#This Row],[Calibre &lt;25]]/FT_RF_264[[#This Row],[Muestra]]),"0")</f>
        <v>0</v>
      </c>
      <c r="AR104" s="38">
        <v>0</v>
      </c>
      <c r="AS104" s="39">
        <f>+IFERROR((FT_RF_264[[#This Row],[Calibre &gt;12]]/FT_RF_264[[#This Row],[Muestra]]),"0")</f>
        <v>0</v>
      </c>
      <c r="AT104" s="38">
        <v>0</v>
      </c>
      <c r="AU104" s="39">
        <f>+IFERROR((FT_RF_264[[#This Row],[Calibre &lt;14]]/FT_RF_264[[#This Row],[Muestra]]),"0")</f>
        <v>0</v>
      </c>
      <c r="AV104" s="38">
        <v>0</v>
      </c>
      <c r="AW104" s="39">
        <f>+IFERROR((FT_RF_264[[#This Row],[Calibre &gt;14]]/FT_RF_264[[#This Row],[Muestra]]),"0")</f>
        <v>0</v>
      </c>
      <c r="AX104" s="38">
        <v>0</v>
      </c>
      <c r="AY104" s="39">
        <f>+IFERROR((FT_RF_264[[#This Row],[Calibre &lt;10]]/FT_RF_264[[#This Row],[Muestra]]),"0")</f>
        <v>0</v>
      </c>
      <c r="AZ104" s="38">
        <v>0</v>
      </c>
      <c r="BA104" s="39">
        <f>+IFERROR((FT_RF_264[[#This Row],[Calibre &gt;13]]/FT_RF_264[[#This Row],[Muestra]]),"0")</f>
        <v>0</v>
      </c>
      <c r="BB104" s="41"/>
      <c r="BG104" s="42"/>
      <c r="BH104" s="43">
        <v>0</v>
      </c>
      <c r="BI104" s="29" t="s">
        <v>894</v>
      </c>
      <c r="BJ104" s="29" t="s">
        <v>894</v>
      </c>
      <c r="BK10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0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04" s="45">
        <f>1-FT_RF_264[[#This Row],[% Defectos]]</f>
        <v>1</v>
      </c>
      <c r="BO104" s="60"/>
      <c r="BP104" s="12">
        <f>SUM(FT_RF_264[[#This Row],[Hoja (Un.)]:[Larvas Caja]])</f>
        <v>0</v>
      </c>
      <c r="BQ104" s="12">
        <f>SUM(FT_RF_264[[#This Row],[Vidrios]:[Plástico]])</f>
        <v>0</v>
      </c>
      <c r="BR104" s="12" t="str">
        <f>IF(ISBLANK(FT_RF_264[[#This Row],[Descripción del producto]]),"",FT_RF_264[[#This Row],[Descripción del producto]])</f>
        <v/>
      </c>
      <c r="BS104" s="29" t="str">
        <f>IF(ISBLANK(FT_RF_264[[#This Row],[N° de Lote]]),"",FT_RF_264[[#This Row],[N° de Lote]])</f>
        <v/>
      </c>
      <c r="BT104" s="29" t="str">
        <f>IF(ISBLANK(FT_RF_264[[#This Row],[N° de Pallet]]),"",FT_RF_264[[#This Row],[N° de Pallet]])</f>
        <v/>
      </c>
    </row>
    <row r="105" spans="2:72">
      <c r="B105" s="29">
        <f>+_xlfn.ISOWEEKNUM(FT_RF_264[[#This Row],[Fecha]])</f>
        <v>52</v>
      </c>
      <c r="E105" s="31"/>
      <c r="F105" s="12" t="str">
        <f>IFERROR(""&amp;_xlfn.XLOOKUP(FT_RF_264[[#This Row],[Código]],BD_Cod[SKU],BD_Cod[Descripción]),"")</f>
        <v/>
      </c>
      <c r="G105" s="32" t="str">
        <f>IFERROR(""&amp;_xlfn.XLOOKUP(FT_RF_264[[#This Row],[Código]],BD_Cod[SKU],BD_Cod[Familia Calidad]),"")</f>
        <v/>
      </c>
      <c r="J105" s="33">
        <v>1000</v>
      </c>
      <c r="L105" s="30" t="s">
        <v>244</v>
      </c>
      <c r="O105" s="30" t="s">
        <v>894</v>
      </c>
      <c r="P105" s="29" t="s">
        <v>894</v>
      </c>
      <c r="Q105" s="37">
        <f>1-FT_RF_264[[#This Row],[% Defectos]]</f>
        <v>1</v>
      </c>
      <c r="R105" s="38">
        <v>0</v>
      </c>
      <c r="S105" s="39">
        <f>+IFERROR((FT_RF_264[[#This Row],[Inmadura]]/FT_RF_264[[#This Row],[Muestra]]),"0")</f>
        <v>0</v>
      </c>
      <c r="T105" s="38">
        <v>0</v>
      </c>
      <c r="U105" s="39">
        <f>+IFERROR((FT_RF_264[[#This Row],[Partidas]]/FT_RF_264[[#This Row],[Muestra]]),"0")</f>
        <v>0</v>
      </c>
      <c r="V105" s="38">
        <v>0</v>
      </c>
      <c r="W105" s="39">
        <f>+IFERROR((FT_RF_264[[#This Row],[Daño Insecto]]/FT_RF_264[[#This Row],[Muestra]]),"0")</f>
        <v>0</v>
      </c>
      <c r="X105" s="38">
        <v>0</v>
      </c>
      <c r="Y105" s="39">
        <f>+IFERROR((FT_RF_264[[#This Row],[Sobremadura]]/FT_RF_264[[#This Row],[Muestra]]),"0")</f>
        <v>0</v>
      </c>
      <c r="Z105" s="38">
        <v>0</v>
      </c>
      <c r="AA105" s="39">
        <f>+IFERROR((FT_RF_264[[#This Row],[Deforme]]/FT_RF_264[[#This Row],[Muestra]]),"0")</f>
        <v>0</v>
      </c>
      <c r="AB105" s="27"/>
      <c r="AC105" s="38">
        <v>0</v>
      </c>
      <c r="AD105" s="39">
        <f>+IFERROR((FT_RF_264[[#This Row],[Valor Extra 1]]/FT_RF_264[[#This Row],[Muestra]]),"0")</f>
        <v>0</v>
      </c>
      <c r="AF105" s="38">
        <v>0</v>
      </c>
      <c r="AG105" s="39">
        <f>+IFERROR((FT_RF_264[[#This Row],[Valor Extra 2]]/FT_RF_264[[#This Row],[Muestra]]),"0")</f>
        <v>0</v>
      </c>
      <c r="AH105" s="40">
        <v>0</v>
      </c>
      <c r="AI105" s="39">
        <f>+IFERROR((FT_RF_264[[#This Row],[Hongos]]/FT_RF_264[[#This Row],[Muestra]]),"0")</f>
        <v>0</v>
      </c>
      <c r="AJ105" s="38">
        <v>0</v>
      </c>
      <c r="AK105" s="39">
        <f>+IFERROR((FT_RF_264[[#This Row],[Block]]/FT_RF_264[[#This Row],[Muestra]]),"0")</f>
        <v>0</v>
      </c>
      <c r="AL105" s="41">
        <v>0</v>
      </c>
      <c r="AM105" s="42">
        <v>0</v>
      </c>
      <c r="AN105" s="38">
        <v>0</v>
      </c>
      <c r="AO105" s="39">
        <f>+IFERROR((FT_RF_264[[#This Row],[Fuera de calibre &lt;12mm]]/FT_RF_264[[#This Row],[Muestra]]),"0")</f>
        <v>0</v>
      </c>
      <c r="AP105" s="38">
        <v>0</v>
      </c>
      <c r="AQ105" s="39">
        <f>+IFERROR((FT_RF_264[[#This Row],[Calibre &lt;25]]/FT_RF_264[[#This Row],[Muestra]]),"0")</f>
        <v>0</v>
      </c>
      <c r="AR105" s="38">
        <v>0</v>
      </c>
      <c r="AS105" s="39">
        <f>+IFERROR((FT_RF_264[[#This Row],[Calibre &gt;12]]/FT_RF_264[[#This Row],[Muestra]]),"0")</f>
        <v>0</v>
      </c>
      <c r="AT105" s="38">
        <v>0</v>
      </c>
      <c r="AU105" s="39">
        <f>+IFERROR((FT_RF_264[[#This Row],[Calibre &lt;14]]/FT_RF_264[[#This Row],[Muestra]]),"0")</f>
        <v>0</v>
      </c>
      <c r="AV105" s="38">
        <v>0</v>
      </c>
      <c r="AW105" s="39">
        <f>+IFERROR((FT_RF_264[[#This Row],[Calibre &gt;14]]/FT_RF_264[[#This Row],[Muestra]]),"0")</f>
        <v>0</v>
      </c>
      <c r="AX105" s="38">
        <v>0</v>
      </c>
      <c r="AY105" s="39">
        <f>+IFERROR((FT_RF_264[[#This Row],[Calibre &lt;10]]/FT_RF_264[[#This Row],[Muestra]]),"0")</f>
        <v>0</v>
      </c>
      <c r="AZ105" s="38">
        <v>0</v>
      </c>
      <c r="BA105" s="39">
        <f>+IFERROR((FT_RF_264[[#This Row],[Calibre &gt;13]]/FT_RF_264[[#This Row],[Muestra]]),"0")</f>
        <v>0</v>
      </c>
      <c r="BB105" s="41"/>
      <c r="BG105" s="42"/>
      <c r="BH105" s="43">
        <v>0</v>
      </c>
      <c r="BI105" s="29" t="s">
        <v>894</v>
      </c>
      <c r="BJ105" s="29" t="s">
        <v>894</v>
      </c>
      <c r="BK10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0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05" s="45">
        <f>1-FT_RF_264[[#This Row],[% Defectos]]</f>
        <v>1</v>
      </c>
      <c r="BO105" s="60"/>
      <c r="BP105" s="12">
        <f>SUM(FT_RF_264[[#This Row],[Hoja (Un.)]:[Larvas Caja]])</f>
        <v>0</v>
      </c>
      <c r="BQ105" s="12">
        <f>SUM(FT_RF_264[[#This Row],[Vidrios]:[Plástico]])</f>
        <v>0</v>
      </c>
      <c r="BR105" s="12" t="str">
        <f>IF(ISBLANK(FT_RF_264[[#This Row],[Descripción del producto]]),"",FT_RF_264[[#This Row],[Descripción del producto]])</f>
        <v/>
      </c>
      <c r="BS105" s="29" t="str">
        <f>IF(ISBLANK(FT_RF_264[[#This Row],[N° de Lote]]),"",FT_RF_264[[#This Row],[N° de Lote]])</f>
        <v/>
      </c>
      <c r="BT105" s="29" t="str">
        <f>IF(ISBLANK(FT_RF_264[[#This Row],[N° de Pallet]]),"",FT_RF_264[[#This Row],[N° de Pallet]])</f>
        <v/>
      </c>
    </row>
    <row r="106" spans="2:72">
      <c r="B106" s="29">
        <f>+_xlfn.ISOWEEKNUM(FT_RF_264[[#This Row],[Fecha]])</f>
        <v>52</v>
      </c>
      <c r="E106" s="31"/>
      <c r="F106" s="12" t="str">
        <f>IFERROR(""&amp;_xlfn.XLOOKUP(FT_RF_264[[#This Row],[Código]],BD_Cod[SKU],BD_Cod[Descripción]),"")</f>
        <v/>
      </c>
      <c r="G106" s="32" t="str">
        <f>IFERROR(""&amp;_xlfn.XLOOKUP(FT_RF_264[[#This Row],[Código]],BD_Cod[SKU],BD_Cod[Familia Calidad]),"")</f>
        <v/>
      </c>
      <c r="J106" s="33">
        <v>1000</v>
      </c>
      <c r="L106" s="30" t="s">
        <v>244</v>
      </c>
      <c r="O106" s="30" t="s">
        <v>894</v>
      </c>
      <c r="P106" s="29" t="s">
        <v>894</v>
      </c>
      <c r="Q106" s="37">
        <f>1-FT_RF_264[[#This Row],[% Defectos]]</f>
        <v>1</v>
      </c>
      <c r="R106" s="38">
        <v>0</v>
      </c>
      <c r="S106" s="39">
        <f>+IFERROR((FT_RF_264[[#This Row],[Inmadura]]/FT_RF_264[[#This Row],[Muestra]]),"0")</f>
        <v>0</v>
      </c>
      <c r="T106" s="38">
        <v>0</v>
      </c>
      <c r="U106" s="39">
        <f>+IFERROR((FT_RF_264[[#This Row],[Partidas]]/FT_RF_264[[#This Row],[Muestra]]),"0")</f>
        <v>0</v>
      </c>
      <c r="V106" s="38">
        <v>0</v>
      </c>
      <c r="W106" s="39">
        <f>+IFERROR((FT_RF_264[[#This Row],[Daño Insecto]]/FT_RF_264[[#This Row],[Muestra]]),"0")</f>
        <v>0</v>
      </c>
      <c r="X106" s="38">
        <v>0</v>
      </c>
      <c r="Y106" s="39">
        <f>+IFERROR((FT_RF_264[[#This Row],[Sobremadura]]/FT_RF_264[[#This Row],[Muestra]]),"0")</f>
        <v>0</v>
      </c>
      <c r="Z106" s="38">
        <v>0</v>
      </c>
      <c r="AA106" s="39">
        <f>+IFERROR((FT_RF_264[[#This Row],[Deforme]]/FT_RF_264[[#This Row],[Muestra]]),"0")</f>
        <v>0</v>
      </c>
      <c r="AB106" s="27"/>
      <c r="AC106" s="38">
        <v>0</v>
      </c>
      <c r="AD106" s="39">
        <f>+IFERROR((FT_RF_264[[#This Row],[Valor Extra 1]]/FT_RF_264[[#This Row],[Muestra]]),"0")</f>
        <v>0</v>
      </c>
      <c r="AF106" s="38">
        <v>0</v>
      </c>
      <c r="AG106" s="39">
        <f>+IFERROR((FT_RF_264[[#This Row],[Valor Extra 2]]/FT_RF_264[[#This Row],[Muestra]]),"0")</f>
        <v>0</v>
      </c>
      <c r="AH106" s="40">
        <v>0</v>
      </c>
      <c r="AI106" s="39">
        <f>+IFERROR((FT_RF_264[[#This Row],[Hongos]]/FT_RF_264[[#This Row],[Muestra]]),"0")</f>
        <v>0</v>
      </c>
      <c r="AJ106" s="38">
        <v>0</v>
      </c>
      <c r="AK106" s="39">
        <f>+IFERROR((FT_RF_264[[#This Row],[Block]]/FT_RF_264[[#This Row],[Muestra]]),"0")</f>
        <v>0</v>
      </c>
      <c r="AL106" s="41">
        <v>0</v>
      </c>
      <c r="AM106" s="42">
        <v>0</v>
      </c>
      <c r="AN106" s="38">
        <v>0</v>
      </c>
      <c r="AO106" s="39">
        <f>+IFERROR((FT_RF_264[[#This Row],[Fuera de calibre &lt;12mm]]/FT_RF_264[[#This Row],[Muestra]]),"0")</f>
        <v>0</v>
      </c>
      <c r="AP106" s="38">
        <v>0</v>
      </c>
      <c r="AQ106" s="39">
        <f>+IFERROR((FT_RF_264[[#This Row],[Calibre &lt;25]]/FT_RF_264[[#This Row],[Muestra]]),"0")</f>
        <v>0</v>
      </c>
      <c r="AR106" s="38">
        <v>0</v>
      </c>
      <c r="AS106" s="39">
        <f>+IFERROR((FT_RF_264[[#This Row],[Calibre &gt;12]]/FT_RF_264[[#This Row],[Muestra]]),"0")</f>
        <v>0</v>
      </c>
      <c r="AT106" s="38">
        <v>0</v>
      </c>
      <c r="AU106" s="39">
        <f>+IFERROR((FT_RF_264[[#This Row],[Calibre &lt;14]]/FT_RF_264[[#This Row],[Muestra]]),"0")</f>
        <v>0</v>
      </c>
      <c r="AV106" s="38">
        <v>0</v>
      </c>
      <c r="AW106" s="39">
        <f>+IFERROR((FT_RF_264[[#This Row],[Calibre &gt;14]]/FT_RF_264[[#This Row],[Muestra]]),"0")</f>
        <v>0</v>
      </c>
      <c r="AX106" s="38">
        <v>0</v>
      </c>
      <c r="AY106" s="39">
        <f>+IFERROR((FT_RF_264[[#This Row],[Calibre &lt;10]]/FT_RF_264[[#This Row],[Muestra]]),"0")</f>
        <v>0</v>
      </c>
      <c r="AZ106" s="38">
        <v>0</v>
      </c>
      <c r="BA106" s="39">
        <f>+IFERROR((FT_RF_264[[#This Row],[Calibre &gt;13]]/FT_RF_264[[#This Row],[Muestra]]),"0")</f>
        <v>0</v>
      </c>
      <c r="BB106" s="41"/>
      <c r="BG106" s="42"/>
      <c r="BH106" s="43">
        <v>0</v>
      </c>
      <c r="BI106" s="29" t="s">
        <v>894</v>
      </c>
      <c r="BJ106" s="29" t="s">
        <v>894</v>
      </c>
      <c r="BK10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0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06" s="45">
        <f>1-FT_RF_264[[#This Row],[% Defectos]]</f>
        <v>1</v>
      </c>
      <c r="BO106" s="60"/>
      <c r="BP106" s="12">
        <f>SUM(FT_RF_264[[#This Row],[Hoja (Un.)]:[Larvas Caja]])</f>
        <v>0</v>
      </c>
      <c r="BQ106" s="12">
        <f>SUM(FT_RF_264[[#This Row],[Vidrios]:[Plástico]])</f>
        <v>0</v>
      </c>
      <c r="BR106" s="12" t="str">
        <f>IF(ISBLANK(FT_RF_264[[#This Row],[Descripción del producto]]),"",FT_RF_264[[#This Row],[Descripción del producto]])</f>
        <v/>
      </c>
      <c r="BS106" s="29" t="str">
        <f>IF(ISBLANK(FT_RF_264[[#This Row],[N° de Lote]]),"",FT_RF_264[[#This Row],[N° de Lote]])</f>
        <v/>
      </c>
      <c r="BT106" s="29" t="str">
        <f>IF(ISBLANK(FT_RF_264[[#This Row],[N° de Pallet]]),"",FT_RF_264[[#This Row],[N° de Pallet]])</f>
        <v/>
      </c>
    </row>
    <row r="107" spans="2:72">
      <c r="B107" s="29">
        <f>+_xlfn.ISOWEEKNUM(FT_RF_264[[#This Row],[Fecha]])</f>
        <v>52</v>
      </c>
      <c r="E107" s="31"/>
      <c r="F107" s="12" t="str">
        <f>IFERROR(""&amp;_xlfn.XLOOKUP(FT_RF_264[[#This Row],[Código]],BD_Cod[SKU],BD_Cod[Descripción]),"")</f>
        <v/>
      </c>
      <c r="G107" s="32" t="str">
        <f>IFERROR(""&amp;_xlfn.XLOOKUP(FT_RF_264[[#This Row],[Código]],BD_Cod[SKU],BD_Cod[Familia Calidad]),"")</f>
        <v/>
      </c>
      <c r="J107" s="33">
        <v>1000</v>
      </c>
      <c r="L107" s="30" t="s">
        <v>244</v>
      </c>
      <c r="O107" s="30" t="s">
        <v>894</v>
      </c>
      <c r="P107" s="29" t="s">
        <v>894</v>
      </c>
      <c r="Q107" s="37">
        <f>1-FT_RF_264[[#This Row],[% Defectos]]</f>
        <v>1</v>
      </c>
      <c r="R107" s="38">
        <v>0</v>
      </c>
      <c r="S107" s="39">
        <f>+IFERROR((FT_RF_264[[#This Row],[Inmadura]]/FT_RF_264[[#This Row],[Muestra]]),"0")</f>
        <v>0</v>
      </c>
      <c r="T107" s="38">
        <v>0</v>
      </c>
      <c r="U107" s="39">
        <f>+IFERROR((FT_RF_264[[#This Row],[Partidas]]/FT_RF_264[[#This Row],[Muestra]]),"0")</f>
        <v>0</v>
      </c>
      <c r="V107" s="38">
        <v>0</v>
      </c>
      <c r="W107" s="39">
        <f>+IFERROR((FT_RF_264[[#This Row],[Daño Insecto]]/FT_RF_264[[#This Row],[Muestra]]),"0")</f>
        <v>0</v>
      </c>
      <c r="X107" s="38">
        <v>0</v>
      </c>
      <c r="Y107" s="39">
        <f>+IFERROR((FT_RF_264[[#This Row],[Sobremadura]]/FT_RF_264[[#This Row],[Muestra]]),"0")</f>
        <v>0</v>
      </c>
      <c r="Z107" s="38">
        <v>0</v>
      </c>
      <c r="AA107" s="39">
        <f>+IFERROR((FT_RF_264[[#This Row],[Deforme]]/FT_RF_264[[#This Row],[Muestra]]),"0")</f>
        <v>0</v>
      </c>
      <c r="AB107" s="27"/>
      <c r="AC107" s="38">
        <v>0</v>
      </c>
      <c r="AD107" s="39">
        <f>+IFERROR((FT_RF_264[[#This Row],[Valor Extra 1]]/FT_RF_264[[#This Row],[Muestra]]),"0")</f>
        <v>0</v>
      </c>
      <c r="AF107" s="38">
        <v>0</v>
      </c>
      <c r="AG107" s="39">
        <f>+IFERROR((FT_RF_264[[#This Row],[Valor Extra 2]]/FT_RF_264[[#This Row],[Muestra]]),"0")</f>
        <v>0</v>
      </c>
      <c r="AH107" s="40">
        <v>0</v>
      </c>
      <c r="AI107" s="39">
        <f>+IFERROR((FT_RF_264[[#This Row],[Hongos]]/FT_RF_264[[#This Row],[Muestra]]),"0")</f>
        <v>0</v>
      </c>
      <c r="AJ107" s="38">
        <v>0</v>
      </c>
      <c r="AK107" s="39">
        <f>+IFERROR((FT_RF_264[[#This Row],[Block]]/FT_RF_264[[#This Row],[Muestra]]),"0")</f>
        <v>0</v>
      </c>
      <c r="AL107" s="41">
        <v>0</v>
      </c>
      <c r="AM107" s="42">
        <v>0</v>
      </c>
      <c r="AN107" s="38">
        <v>0</v>
      </c>
      <c r="AO107" s="39">
        <f>+IFERROR((FT_RF_264[[#This Row],[Fuera de calibre &lt;12mm]]/FT_RF_264[[#This Row],[Muestra]]),"0")</f>
        <v>0</v>
      </c>
      <c r="AP107" s="38">
        <v>0</v>
      </c>
      <c r="AQ107" s="39">
        <f>+IFERROR((FT_RF_264[[#This Row],[Calibre &lt;25]]/FT_RF_264[[#This Row],[Muestra]]),"0")</f>
        <v>0</v>
      </c>
      <c r="AR107" s="38">
        <v>0</v>
      </c>
      <c r="AS107" s="39">
        <f>+IFERROR((FT_RF_264[[#This Row],[Calibre &gt;12]]/FT_RF_264[[#This Row],[Muestra]]),"0")</f>
        <v>0</v>
      </c>
      <c r="AT107" s="38">
        <v>0</v>
      </c>
      <c r="AU107" s="39">
        <f>+IFERROR((FT_RF_264[[#This Row],[Calibre &lt;14]]/FT_RF_264[[#This Row],[Muestra]]),"0")</f>
        <v>0</v>
      </c>
      <c r="AV107" s="38">
        <v>0</v>
      </c>
      <c r="AW107" s="39">
        <f>+IFERROR((FT_RF_264[[#This Row],[Calibre &gt;14]]/FT_RF_264[[#This Row],[Muestra]]),"0")</f>
        <v>0</v>
      </c>
      <c r="AX107" s="38">
        <v>0</v>
      </c>
      <c r="AY107" s="39">
        <f>+IFERROR((FT_RF_264[[#This Row],[Calibre &lt;10]]/FT_RF_264[[#This Row],[Muestra]]),"0")</f>
        <v>0</v>
      </c>
      <c r="AZ107" s="38">
        <v>0</v>
      </c>
      <c r="BA107" s="39">
        <f>+IFERROR((FT_RF_264[[#This Row],[Calibre &gt;13]]/FT_RF_264[[#This Row],[Muestra]]),"0")</f>
        <v>0</v>
      </c>
      <c r="BB107" s="41"/>
      <c r="BG107" s="42"/>
      <c r="BH107" s="43">
        <v>0</v>
      </c>
      <c r="BI107" s="29" t="s">
        <v>894</v>
      </c>
      <c r="BJ107" s="29" t="s">
        <v>894</v>
      </c>
      <c r="BK10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0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07" s="45">
        <f>1-FT_RF_264[[#This Row],[% Defectos]]</f>
        <v>1</v>
      </c>
      <c r="BO107" s="60"/>
      <c r="BP107" s="12">
        <f>SUM(FT_RF_264[[#This Row],[Hoja (Un.)]:[Larvas Caja]])</f>
        <v>0</v>
      </c>
      <c r="BQ107" s="12">
        <f>SUM(FT_RF_264[[#This Row],[Vidrios]:[Plástico]])</f>
        <v>0</v>
      </c>
      <c r="BR107" s="12" t="str">
        <f>IF(ISBLANK(FT_RF_264[[#This Row],[Descripción del producto]]),"",FT_RF_264[[#This Row],[Descripción del producto]])</f>
        <v/>
      </c>
      <c r="BS107" s="29" t="str">
        <f>IF(ISBLANK(FT_RF_264[[#This Row],[N° de Lote]]),"",FT_RF_264[[#This Row],[N° de Lote]])</f>
        <v/>
      </c>
      <c r="BT107" s="29" t="str">
        <f>IF(ISBLANK(FT_RF_264[[#This Row],[N° de Pallet]]),"",FT_RF_264[[#This Row],[N° de Pallet]])</f>
        <v/>
      </c>
    </row>
    <row r="108" spans="2:72">
      <c r="B108" s="29">
        <f>+_xlfn.ISOWEEKNUM(FT_RF_264[[#This Row],[Fecha]])</f>
        <v>52</v>
      </c>
      <c r="E108" s="31"/>
      <c r="F108" s="12" t="str">
        <f>IFERROR(""&amp;_xlfn.XLOOKUP(FT_RF_264[[#This Row],[Código]],BD_Cod[SKU],BD_Cod[Descripción]),"")</f>
        <v/>
      </c>
      <c r="G108" s="32" t="str">
        <f>IFERROR(""&amp;_xlfn.XLOOKUP(FT_RF_264[[#This Row],[Código]],BD_Cod[SKU],BD_Cod[Familia Calidad]),"")</f>
        <v/>
      </c>
      <c r="J108" s="33">
        <v>1000</v>
      </c>
      <c r="L108" s="30" t="s">
        <v>244</v>
      </c>
      <c r="O108" s="30" t="s">
        <v>894</v>
      </c>
      <c r="P108" s="29" t="s">
        <v>894</v>
      </c>
      <c r="Q108" s="37">
        <f>1-FT_RF_264[[#This Row],[% Defectos]]</f>
        <v>1</v>
      </c>
      <c r="R108" s="38">
        <v>0</v>
      </c>
      <c r="S108" s="39">
        <f>+IFERROR((FT_RF_264[[#This Row],[Inmadura]]/FT_RF_264[[#This Row],[Muestra]]),"0")</f>
        <v>0</v>
      </c>
      <c r="T108" s="38">
        <v>0</v>
      </c>
      <c r="U108" s="39">
        <f>+IFERROR((FT_RF_264[[#This Row],[Partidas]]/FT_RF_264[[#This Row],[Muestra]]),"0")</f>
        <v>0</v>
      </c>
      <c r="V108" s="38">
        <v>0</v>
      </c>
      <c r="W108" s="39">
        <f>+IFERROR((FT_RF_264[[#This Row],[Daño Insecto]]/FT_RF_264[[#This Row],[Muestra]]),"0")</f>
        <v>0</v>
      </c>
      <c r="X108" s="38">
        <v>0</v>
      </c>
      <c r="Y108" s="39">
        <f>+IFERROR((FT_RF_264[[#This Row],[Sobremadura]]/FT_RF_264[[#This Row],[Muestra]]),"0")</f>
        <v>0</v>
      </c>
      <c r="Z108" s="38">
        <v>0</v>
      </c>
      <c r="AA108" s="39">
        <f>+IFERROR((FT_RF_264[[#This Row],[Deforme]]/FT_RF_264[[#This Row],[Muestra]]),"0")</f>
        <v>0</v>
      </c>
      <c r="AB108" s="27"/>
      <c r="AC108" s="38">
        <v>0</v>
      </c>
      <c r="AD108" s="39">
        <f>+IFERROR((FT_RF_264[[#This Row],[Valor Extra 1]]/FT_RF_264[[#This Row],[Muestra]]),"0")</f>
        <v>0</v>
      </c>
      <c r="AF108" s="38">
        <v>0</v>
      </c>
      <c r="AG108" s="39">
        <f>+IFERROR((FT_RF_264[[#This Row],[Valor Extra 2]]/FT_RF_264[[#This Row],[Muestra]]),"0")</f>
        <v>0</v>
      </c>
      <c r="AH108" s="40">
        <v>0</v>
      </c>
      <c r="AI108" s="39">
        <f>+IFERROR((FT_RF_264[[#This Row],[Hongos]]/FT_RF_264[[#This Row],[Muestra]]),"0")</f>
        <v>0</v>
      </c>
      <c r="AJ108" s="38">
        <v>0</v>
      </c>
      <c r="AK108" s="39">
        <f>+IFERROR((FT_RF_264[[#This Row],[Block]]/FT_RF_264[[#This Row],[Muestra]]),"0")</f>
        <v>0</v>
      </c>
      <c r="AL108" s="41">
        <v>0</v>
      </c>
      <c r="AM108" s="42">
        <v>0</v>
      </c>
      <c r="AN108" s="38">
        <v>0</v>
      </c>
      <c r="AO108" s="39">
        <f>+IFERROR((FT_RF_264[[#This Row],[Fuera de calibre &lt;12mm]]/FT_RF_264[[#This Row],[Muestra]]),"0")</f>
        <v>0</v>
      </c>
      <c r="AP108" s="38">
        <v>0</v>
      </c>
      <c r="AQ108" s="39">
        <f>+IFERROR((FT_RF_264[[#This Row],[Calibre &lt;25]]/FT_RF_264[[#This Row],[Muestra]]),"0")</f>
        <v>0</v>
      </c>
      <c r="AR108" s="38">
        <v>0</v>
      </c>
      <c r="AS108" s="39">
        <f>+IFERROR((FT_RF_264[[#This Row],[Calibre &gt;12]]/FT_RF_264[[#This Row],[Muestra]]),"0")</f>
        <v>0</v>
      </c>
      <c r="AT108" s="38">
        <v>0</v>
      </c>
      <c r="AU108" s="39">
        <f>+IFERROR((FT_RF_264[[#This Row],[Calibre &lt;14]]/FT_RF_264[[#This Row],[Muestra]]),"0")</f>
        <v>0</v>
      </c>
      <c r="AV108" s="38">
        <v>0</v>
      </c>
      <c r="AW108" s="39">
        <f>+IFERROR((FT_RF_264[[#This Row],[Calibre &gt;14]]/FT_RF_264[[#This Row],[Muestra]]),"0")</f>
        <v>0</v>
      </c>
      <c r="AX108" s="38">
        <v>0</v>
      </c>
      <c r="AY108" s="39">
        <f>+IFERROR((FT_RF_264[[#This Row],[Calibre &lt;10]]/FT_RF_264[[#This Row],[Muestra]]),"0")</f>
        <v>0</v>
      </c>
      <c r="AZ108" s="38">
        <v>0</v>
      </c>
      <c r="BA108" s="39">
        <f>+IFERROR((FT_RF_264[[#This Row],[Calibre &gt;13]]/FT_RF_264[[#This Row],[Muestra]]),"0")</f>
        <v>0</v>
      </c>
      <c r="BB108" s="41"/>
      <c r="BG108" s="42"/>
      <c r="BH108" s="43">
        <v>0</v>
      </c>
      <c r="BI108" s="29" t="s">
        <v>894</v>
      </c>
      <c r="BJ108" s="29" t="s">
        <v>894</v>
      </c>
      <c r="BK10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0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08" s="45">
        <f>1-FT_RF_264[[#This Row],[% Defectos]]</f>
        <v>1</v>
      </c>
      <c r="BO108" s="60"/>
      <c r="BP108" s="12">
        <f>SUM(FT_RF_264[[#This Row],[Hoja (Un.)]:[Larvas Caja]])</f>
        <v>0</v>
      </c>
      <c r="BQ108" s="12">
        <f>SUM(FT_RF_264[[#This Row],[Vidrios]:[Plástico]])</f>
        <v>0</v>
      </c>
      <c r="BR108" s="12" t="str">
        <f>IF(ISBLANK(FT_RF_264[[#This Row],[Descripción del producto]]),"",FT_RF_264[[#This Row],[Descripción del producto]])</f>
        <v/>
      </c>
      <c r="BS108" s="29" t="str">
        <f>IF(ISBLANK(FT_RF_264[[#This Row],[N° de Lote]]),"",FT_RF_264[[#This Row],[N° de Lote]])</f>
        <v/>
      </c>
      <c r="BT108" s="29" t="str">
        <f>IF(ISBLANK(FT_RF_264[[#This Row],[N° de Pallet]]),"",FT_RF_264[[#This Row],[N° de Pallet]])</f>
        <v/>
      </c>
    </row>
    <row r="109" spans="2:72">
      <c r="B109" s="29">
        <f>+_xlfn.ISOWEEKNUM(FT_RF_264[[#This Row],[Fecha]])</f>
        <v>52</v>
      </c>
      <c r="E109" s="31"/>
      <c r="F109" s="12" t="str">
        <f>IFERROR(""&amp;_xlfn.XLOOKUP(FT_RF_264[[#This Row],[Código]],BD_Cod[SKU],BD_Cod[Descripción]),"")</f>
        <v/>
      </c>
      <c r="G109" s="32" t="str">
        <f>IFERROR(""&amp;_xlfn.XLOOKUP(FT_RF_264[[#This Row],[Código]],BD_Cod[SKU],BD_Cod[Familia Calidad]),"")</f>
        <v/>
      </c>
      <c r="J109" s="33">
        <v>1000</v>
      </c>
      <c r="L109" s="30" t="s">
        <v>244</v>
      </c>
      <c r="O109" s="30" t="s">
        <v>894</v>
      </c>
      <c r="P109" s="29" t="s">
        <v>894</v>
      </c>
      <c r="Q109" s="37">
        <f>1-FT_RF_264[[#This Row],[% Defectos]]</f>
        <v>1</v>
      </c>
      <c r="R109" s="38">
        <v>0</v>
      </c>
      <c r="S109" s="39">
        <f>+IFERROR((FT_RF_264[[#This Row],[Inmadura]]/FT_RF_264[[#This Row],[Muestra]]),"0")</f>
        <v>0</v>
      </c>
      <c r="T109" s="38">
        <v>0</v>
      </c>
      <c r="U109" s="39">
        <f>+IFERROR((FT_RF_264[[#This Row],[Partidas]]/FT_RF_264[[#This Row],[Muestra]]),"0")</f>
        <v>0</v>
      </c>
      <c r="V109" s="38">
        <v>0</v>
      </c>
      <c r="W109" s="39">
        <f>+IFERROR((FT_RF_264[[#This Row],[Daño Insecto]]/FT_RF_264[[#This Row],[Muestra]]),"0")</f>
        <v>0</v>
      </c>
      <c r="X109" s="38">
        <v>0</v>
      </c>
      <c r="Y109" s="39">
        <f>+IFERROR((FT_RF_264[[#This Row],[Sobremadura]]/FT_RF_264[[#This Row],[Muestra]]),"0")</f>
        <v>0</v>
      </c>
      <c r="Z109" s="38">
        <v>0</v>
      </c>
      <c r="AA109" s="39">
        <f>+IFERROR((FT_RF_264[[#This Row],[Deforme]]/FT_RF_264[[#This Row],[Muestra]]),"0")</f>
        <v>0</v>
      </c>
      <c r="AB109" s="27"/>
      <c r="AC109" s="38">
        <v>0</v>
      </c>
      <c r="AD109" s="39">
        <f>+IFERROR((FT_RF_264[[#This Row],[Valor Extra 1]]/FT_RF_264[[#This Row],[Muestra]]),"0")</f>
        <v>0</v>
      </c>
      <c r="AF109" s="38">
        <v>0</v>
      </c>
      <c r="AG109" s="39">
        <f>+IFERROR((FT_RF_264[[#This Row],[Valor Extra 2]]/FT_RF_264[[#This Row],[Muestra]]),"0")</f>
        <v>0</v>
      </c>
      <c r="AH109" s="40">
        <v>0</v>
      </c>
      <c r="AI109" s="39">
        <f>+IFERROR((FT_RF_264[[#This Row],[Hongos]]/FT_RF_264[[#This Row],[Muestra]]),"0")</f>
        <v>0</v>
      </c>
      <c r="AJ109" s="38">
        <v>0</v>
      </c>
      <c r="AK109" s="39">
        <f>+IFERROR((FT_RF_264[[#This Row],[Block]]/FT_RF_264[[#This Row],[Muestra]]),"0")</f>
        <v>0</v>
      </c>
      <c r="AL109" s="41">
        <v>0</v>
      </c>
      <c r="AM109" s="42">
        <v>0</v>
      </c>
      <c r="AN109" s="38">
        <v>0</v>
      </c>
      <c r="AO109" s="39">
        <f>+IFERROR((FT_RF_264[[#This Row],[Fuera de calibre &lt;12mm]]/FT_RF_264[[#This Row],[Muestra]]),"0")</f>
        <v>0</v>
      </c>
      <c r="AP109" s="38">
        <v>0</v>
      </c>
      <c r="AQ109" s="39">
        <f>+IFERROR((FT_RF_264[[#This Row],[Calibre &lt;25]]/FT_RF_264[[#This Row],[Muestra]]),"0")</f>
        <v>0</v>
      </c>
      <c r="AR109" s="38">
        <v>0</v>
      </c>
      <c r="AS109" s="39">
        <f>+IFERROR((FT_RF_264[[#This Row],[Calibre &gt;12]]/FT_RF_264[[#This Row],[Muestra]]),"0")</f>
        <v>0</v>
      </c>
      <c r="AT109" s="38">
        <v>0</v>
      </c>
      <c r="AU109" s="39">
        <f>+IFERROR((FT_RF_264[[#This Row],[Calibre &lt;14]]/FT_RF_264[[#This Row],[Muestra]]),"0")</f>
        <v>0</v>
      </c>
      <c r="AV109" s="38">
        <v>0</v>
      </c>
      <c r="AW109" s="39">
        <f>+IFERROR((FT_RF_264[[#This Row],[Calibre &gt;14]]/FT_RF_264[[#This Row],[Muestra]]),"0")</f>
        <v>0</v>
      </c>
      <c r="AX109" s="38">
        <v>0</v>
      </c>
      <c r="AY109" s="39">
        <f>+IFERROR((FT_RF_264[[#This Row],[Calibre &lt;10]]/FT_RF_264[[#This Row],[Muestra]]),"0")</f>
        <v>0</v>
      </c>
      <c r="AZ109" s="38">
        <v>0</v>
      </c>
      <c r="BA109" s="39">
        <f>+IFERROR((FT_RF_264[[#This Row],[Calibre &gt;13]]/FT_RF_264[[#This Row],[Muestra]]),"0")</f>
        <v>0</v>
      </c>
      <c r="BB109" s="41"/>
      <c r="BG109" s="42"/>
      <c r="BH109" s="43">
        <v>0</v>
      </c>
      <c r="BI109" s="29" t="s">
        <v>894</v>
      </c>
      <c r="BJ109" s="29" t="s">
        <v>894</v>
      </c>
      <c r="BK10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0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09" s="45">
        <f>1-FT_RF_264[[#This Row],[% Defectos]]</f>
        <v>1</v>
      </c>
      <c r="BO109" s="60"/>
      <c r="BP109" s="12">
        <f>SUM(FT_RF_264[[#This Row],[Hoja (Un.)]:[Larvas Caja]])</f>
        <v>0</v>
      </c>
      <c r="BQ109" s="12">
        <f>SUM(FT_RF_264[[#This Row],[Vidrios]:[Plástico]])</f>
        <v>0</v>
      </c>
      <c r="BR109" s="12" t="str">
        <f>IF(ISBLANK(FT_RF_264[[#This Row],[Descripción del producto]]),"",FT_RF_264[[#This Row],[Descripción del producto]])</f>
        <v/>
      </c>
      <c r="BS109" s="29" t="str">
        <f>IF(ISBLANK(FT_RF_264[[#This Row],[N° de Lote]]),"",FT_RF_264[[#This Row],[N° de Lote]])</f>
        <v/>
      </c>
      <c r="BT109" s="29" t="str">
        <f>IF(ISBLANK(FT_RF_264[[#This Row],[N° de Pallet]]),"",FT_RF_264[[#This Row],[N° de Pallet]])</f>
        <v/>
      </c>
    </row>
    <row r="110" spans="2:72">
      <c r="B110" s="29">
        <f>+_xlfn.ISOWEEKNUM(FT_RF_264[[#This Row],[Fecha]])</f>
        <v>52</v>
      </c>
      <c r="E110" s="31"/>
      <c r="F110" s="12" t="str">
        <f>IFERROR(""&amp;_xlfn.XLOOKUP(FT_RF_264[[#This Row],[Código]],BD_Cod[SKU],BD_Cod[Descripción]),"")</f>
        <v/>
      </c>
      <c r="G110" s="32" t="str">
        <f>IFERROR(""&amp;_xlfn.XLOOKUP(FT_RF_264[[#This Row],[Código]],BD_Cod[SKU],BD_Cod[Familia Calidad]),"")</f>
        <v/>
      </c>
      <c r="J110" s="33">
        <v>1000</v>
      </c>
      <c r="L110" s="30" t="s">
        <v>244</v>
      </c>
      <c r="O110" s="30" t="s">
        <v>894</v>
      </c>
      <c r="P110" s="29" t="s">
        <v>894</v>
      </c>
      <c r="Q110" s="37">
        <f>1-FT_RF_264[[#This Row],[% Defectos]]</f>
        <v>1</v>
      </c>
      <c r="R110" s="38">
        <v>0</v>
      </c>
      <c r="S110" s="39">
        <f>+IFERROR((FT_RF_264[[#This Row],[Inmadura]]/FT_RF_264[[#This Row],[Muestra]]),"0")</f>
        <v>0</v>
      </c>
      <c r="T110" s="38">
        <v>0</v>
      </c>
      <c r="U110" s="39">
        <f>+IFERROR((FT_RF_264[[#This Row],[Partidas]]/FT_RF_264[[#This Row],[Muestra]]),"0")</f>
        <v>0</v>
      </c>
      <c r="V110" s="38">
        <v>0</v>
      </c>
      <c r="W110" s="39">
        <f>+IFERROR((FT_RF_264[[#This Row],[Daño Insecto]]/FT_RF_264[[#This Row],[Muestra]]),"0")</f>
        <v>0</v>
      </c>
      <c r="X110" s="38">
        <v>0</v>
      </c>
      <c r="Y110" s="39">
        <f>+IFERROR((FT_RF_264[[#This Row],[Sobremadura]]/FT_RF_264[[#This Row],[Muestra]]),"0")</f>
        <v>0</v>
      </c>
      <c r="Z110" s="38">
        <v>0</v>
      </c>
      <c r="AA110" s="39">
        <f>+IFERROR((FT_RF_264[[#This Row],[Deforme]]/FT_RF_264[[#This Row],[Muestra]]),"0")</f>
        <v>0</v>
      </c>
      <c r="AB110" s="27"/>
      <c r="AC110" s="38">
        <v>0</v>
      </c>
      <c r="AD110" s="39">
        <f>+IFERROR((FT_RF_264[[#This Row],[Valor Extra 1]]/FT_RF_264[[#This Row],[Muestra]]),"0")</f>
        <v>0</v>
      </c>
      <c r="AF110" s="38">
        <v>0</v>
      </c>
      <c r="AG110" s="39">
        <f>+IFERROR((FT_RF_264[[#This Row],[Valor Extra 2]]/FT_RF_264[[#This Row],[Muestra]]),"0")</f>
        <v>0</v>
      </c>
      <c r="AH110" s="40">
        <v>0</v>
      </c>
      <c r="AI110" s="39">
        <f>+IFERROR((FT_RF_264[[#This Row],[Hongos]]/FT_RF_264[[#This Row],[Muestra]]),"0")</f>
        <v>0</v>
      </c>
      <c r="AJ110" s="38">
        <v>0</v>
      </c>
      <c r="AK110" s="39">
        <f>+IFERROR((FT_RF_264[[#This Row],[Block]]/FT_RF_264[[#This Row],[Muestra]]),"0")</f>
        <v>0</v>
      </c>
      <c r="AL110" s="41">
        <v>0</v>
      </c>
      <c r="AM110" s="42">
        <v>0</v>
      </c>
      <c r="AN110" s="38">
        <v>0</v>
      </c>
      <c r="AO110" s="39">
        <f>+IFERROR((FT_RF_264[[#This Row],[Fuera de calibre &lt;12mm]]/FT_RF_264[[#This Row],[Muestra]]),"0")</f>
        <v>0</v>
      </c>
      <c r="AP110" s="38">
        <v>0</v>
      </c>
      <c r="AQ110" s="39">
        <f>+IFERROR((FT_RF_264[[#This Row],[Calibre &lt;25]]/FT_RF_264[[#This Row],[Muestra]]),"0")</f>
        <v>0</v>
      </c>
      <c r="AR110" s="38">
        <v>0</v>
      </c>
      <c r="AS110" s="39">
        <f>+IFERROR((FT_RF_264[[#This Row],[Calibre &gt;12]]/FT_RF_264[[#This Row],[Muestra]]),"0")</f>
        <v>0</v>
      </c>
      <c r="AT110" s="38">
        <v>0</v>
      </c>
      <c r="AU110" s="39">
        <f>+IFERROR((FT_RF_264[[#This Row],[Calibre &lt;14]]/FT_RF_264[[#This Row],[Muestra]]),"0")</f>
        <v>0</v>
      </c>
      <c r="AV110" s="38">
        <v>0</v>
      </c>
      <c r="AW110" s="39">
        <f>+IFERROR((FT_RF_264[[#This Row],[Calibre &gt;14]]/FT_RF_264[[#This Row],[Muestra]]),"0")</f>
        <v>0</v>
      </c>
      <c r="AX110" s="38">
        <v>0</v>
      </c>
      <c r="AY110" s="39">
        <f>+IFERROR((FT_RF_264[[#This Row],[Calibre &lt;10]]/FT_RF_264[[#This Row],[Muestra]]),"0")</f>
        <v>0</v>
      </c>
      <c r="AZ110" s="38">
        <v>0</v>
      </c>
      <c r="BA110" s="39">
        <f>+IFERROR((FT_RF_264[[#This Row],[Calibre &gt;13]]/FT_RF_264[[#This Row],[Muestra]]),"0")</f>
        <v>0</v>
      </c>
      <c r="BB110" s="41"/>
      <c r="BG110" s="42"/>
      <c r="BH110" s="43">
        <v>0</v>
      </c>
      <c r="BI110" s="29" t="s">
        <v>894</v>
      </c>
      <c r="BJ110" s="29" t="s">
        <v>894</v>
      </c>
      <c r="BK11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1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10" s="45">
        <f>1-FT_RF_264[[#This Row],[% Defectos]]</f>
        <v>1</v>
      </c>
      <c r="BO110" s="60"/>
      <c r="BP110" s="12">
        <f>SUM(FT_RF_264[[#This Row],[Hoja (Un.)]:[Larvas Caja]])</f>
        <v>0</v>
      </c>
      <c r="BQ110" s="12">
        <f>SUM(FT_RF_264[[#This Row],[Vidrios]:[Plástico]])</f>
        <v>0</v>
      </c>
      <c r="BR110" s="12" t="str">
        <f>IF(ISBLANK(FT_RF_264[[#This Row],[Descripción del producto]]),"",FT_RF_264[[#This Row],[Descripción del producto]])</f>
        <v/>
      </c>
      <c r="BS110" s="29" t="str">
        <f>IF(ISBLANK(FT_RF_264[[#This Row],[N° de Lote]]),"",FT_RF_264[[#This Row],[N° de Lote]])</f>
        <v/>
      </c>
      <c r="BT110" s="29" t="str">
        <f>IF(ISBLANK(FT_RF_264[[#This Row],[N° de Pallet]]),"",FT_RF_264[[#This Row],[N° de Pallet]])</f>
        <v/>
      </c>
    </row>
    <row r="111" spans="2:72">
      <c r="B111" s="29">
        <f>+_xlfn.ISOWEEKNUM(FT_RF_264[[#This Row],[Fecha]])</f>
        <v>52</v>
      </c>
      <c r="E111" s="31"/>
      <c r="F111" s="12" t="str">
        <f>IFERROR(""&amp;_xlfn.XLOOKUP(FT_RF_264[[#This Row],[Código]],BD_Cod[SKU],BD_Cod[Descripción]),"")</f>
        <v/>
      </c>
      <c r="G111" s="32" t="str">
        <f>IFERROR(""&amp;_xlfn.XLOOKUP(FT_RF_264[[#This Row],[Código]],BD_Cod[SKU],BD_Cod[Familia Calidad]),"")</f>
        <v/>
      </c>
      <c r="J111" s="33">
        <v>1000</v>
      </c>
      <c r="L111" s="30" t="s">
        <v>244</v>
      </c>
      <c r="O111" s="30" t="s">
        <v>894</v>
      </c>
      <c r="P111" s="29" t="s">
        <v>894</v>
      </c>
      <c r="Q111" s="37">
        <f>1-FT_RF_264[[#This Row],[% Defectos]]</f>
        <v>1</v>
      </c>
      <c r="R111" s="38">
        <v>0</v>
      </c>
      <c r="S111" s="39">
        <f>+IFERROR((FT_RF_264[[#This Row],[Inmadura]]/FT_RF_264[[#This Row],[Muestra]]),"0")</f>
        <v>0</v>
      </c>
      <c r="T111" s="38">
        <v>0</v>
      </c>
      <c r="U111" s="39">
        <f>+IFERROR((FT_RF_264[[#This Row],[Partidas]]/FT_RF_264[[#This Row],[Muestra]]),"0")</f>
        <v>0</v>
      </c>
      <c r="V111" s="38">
        <v>0</v>
      </c>
      <c r="W111" s="39">
        <f>+IFERROR((FT_RF_264[[#This Row],[Daño Insecto]]/FT_RF_264[[#This Row],[Muestra]]),"0")</f>
        <v>0</v>
      </c>
      <c r="X111" s="38">
        <v>0</v>
      </c>
      <c r="Y111" s="39">
        <f>+IFERROR((FT_RF_264[[#This Row],[Sobremadura]]/FT_RF_264[[#This Row],[Muestra]]),"0")</f>
        <v>0</v>
      </c>
      <c r="Z111" s="38">
        <v>0</v>
      </c>
      <c r="AA111" s="39">
        <f>+IFERROR((FT_RF_264[[#This Row],[Deforme]]/FT_RF_264[[#This Row],[Muestra]]),"0")</f>
        <v>0</v>
      </c>
      <c r="AB111" s="27"/>
      <c r="AC111" s="38">
        <v>0</v>
      </c>
      <c r="AD111" s="39">
        <f>+IFERROR((FT_RF_264[[#This Row],[Valor Extra 1]]/FT_RF_264[[#This Row],[Muestra]]),"0")</f>
        <v>0</v>
      </c>
      <c r="AF111" s="38">
        <v>0</v>
      </c>
      <c r="AG111" s="39">
        <f>+IFERROR((FT_RF_264[[#This Row],[Valor Extra 2]]/FT_RF_264[[#This Row],[Muestra]]),"0")</f>
        <v>0</v>
      </c>
      <c r="AH111" s="40">
        <v>0</v>
      </c>
      <c r="AI111" s="39">
        <f>+IFERROR((FT_RF_264[[#This Row],[Hongos]]/FT_RF_264[[#This Row],[Muestra]]),"0")</f>
        <v>0</v>
      </c>
      <c r="AJ111" s="38">
        <v>0</v>
      </c>
      <c r="AK111" s="39">
        <f>+IFERROR((FT_RF_264[[#This Row],[Block]]/FT_RF_264[[#This Row],[Muestra]]),"0")</f>
        <v>0</v>
      </c>
      <c r="AL111" s="41">
        <v>0</v>
      </c>
      <c r="AM111" s="42">
        <v>0</v>
      </c>
      <c r="AN111" s="38">
        <v>0</v>
      </c>
      <c r="AO111" s="39">
        <f>+IFERROR((FT_RF_264[[#This Row],[Fuera de calibre &lt;12mm]]/FT_RF_264[[#This Row],[Muestra]]),"0")</f>
        <v>0</v>
      </c>
      <c r="AP111" s="38">
        <v>0</v>
      </c>
      <c r="AQ111" s="39">
        <f>+IFERROR((FT_RF_264[[#This Row],[Calibre &lt;25]]/FT_RF_264[[#This Row],[Muestra]]),"0")</f>
        <v>0</v>
      </c>
      <c r="AR111" s="38">
        <v>0</v>
      </c>
      <c r="AS111" s="39">
        <f>+IFERROR((FT_RF_264[[#This Row],[Calibre &gt;12]]/FT_RF_264[[#This Row],[Muestra]]),"0")</f>
        <v>0</v>
      </c>
      <c r="AT111" s="38">
        <v>0</v>
      </c>
      <c r="AU111" s="39">
        <f>+IFERROR((FT_RF_264[[#This Row],[Calibre &lt;14]]/FT_RF_264[[#This Row],[Muestra]]),"0")</f>
        <v>0</v>
      </c>
      <c r="AV111" s="38">
        <v>0</v>
      </c>
      <c r="AW111" s="39">
        <f>+IFERROR((FT_RF_264[[#This Row],[Calibre &gt;14]]/FT_RF_264[[#This Row],[Muestra]]),"0")</f>
        <v>0</v>
      </c>
      <c r="AX111" s="38">
        <v>0</v>
      </c>
      <c r="AY111" s="39">
        <f>+IFERROR((FT_RF_264[[#This Row],[Calibre &lt;10]]/FT_RF_264[[#This Row],[Muestra]]),"0")</f>
        <v>0</v>
      </c>
      <c r="AZ111" s="38">
        <v>0</v>
      </c>
      <c r="BA111" s="39">
        <f>+IFERROR((FT_RF_264[[#This Row],[Calibre &gt;13]]/FT_RF_264[[#This Row],[Muestra]]),"0")</f>
        <v>0</v>
      </c>
      <c r="BB111" s="41"/>
      <c r="BG111" s="42"/>
      <c r="BH111" s="43">
        <v>0</v>
      </c>
      <c r="BI111" s="29" t="s">
        <v>894</v>
      </c>
      <c r="BJ111" s="29" t="s">
        <v>894</v>
      </c>
      <c r="BK11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1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11" s="45">
        <f>1-FT_RF_264[[#This Row],[% Defectos]]</f>
        <v>1</v>
      </c>
      <c r="BO111" s="60"/>
      <c r="BP111" s="12">
        <f>SUM(FT_RF_264[[#This Row],[Hoja (Un.)]:[Larvas Caja]])</f>
        <v>0</v>
      </c>
      <c r="BQ111" s="12">
        <f>SUM(FT_RF_264[[#This Row],[Vidrios]:[Plástico]])</f>
        <v>0</v>
      </c>
      <c r="BR111" s="12" t="str">
        <f>IF(ISBLANK(FT_RF_264[[#This Row],[Descripción del producto]]),"",FT_RF_264[[#This Row],[Descripción del producto]])</f>
        <v/>
      </c>
      <c r="BS111" s="29" t="str">
        <f>IF(ISBLANK(FT_RF_264[[#This Row],[N° de Lote]]),"",FT_RF_264[[#This Row],[N° de Lote]])</f>
        <v/>
      </c>
      <c r="BT111" s="29" t="str">
        <f>IF(ISBLANK(FT_RF_264[[#This Row],[N° de Pallet]]),"",FT_RF_264[[#This Row],[N° de Pallet]])</f>
        <v/>
      </c>
    </row>
    <row r="112" spans="2:72">
      <c r="B112" s="29">
        <f>+_xlfn.ISOWEEKNUM(FT_RF_264[[#This Row],[Fecha]])</f>
        <v>52</v>
      </c>
      <c r="E112" s="31"/>
      <c r="F112" s="12" t="str">
        <f>IFERROR(""&amp;_xlfn.XLOOKUP(FT_RF_264[[#This Row],[Código]],BD_Cod[SKU],BD_Cod[Descripción]),"")</f>
        <v/>
      </c>
      <c r="G112" s="32" t="str">
        <f>IFERROR(""&amp;_xlfn.XLOOKUP(FT_RF_264[[#This Row],[Código]],BD_Cod[SKU],BD_Cod[Familia Calidad]),"")</f>
        <v/>
      </c>
      <c r="J112" s="33">
        <v>1000</v>
      </c>
      <c r="L112" s="30" t="s">
        <v>244</v>
      </c>
      <c r="O112" s="30" t="s">
        <v>894</v>
      </c>
      <c r="P112" s="29" t="s">
        <v>894</v>
      </c>
      <c r="Q112" s="37">
        <f>1-FT_RF_264[[#This Row],[% Defectos]]</f>
        <v>1</v>
      </c>
      <c r="R112" s="38">
        <v>0</v>
      </c>
      <c r="S112" s="39">
        <f>+IFERROR((FT_RF_264[[#This Row],[Inmadura]]/FT_RF_264[[#This Row],[Muestra]]),"0")</f>
        <v>0</v>
      </c>
      <c r="T112" s="38">
        <v>0</v>
      </c>
      <c r="U112" s="39">
        <f>+IFERROR((FT_RF_264[[#This Row],[Partidas]]/FT_RF_264[[#This Row],[Muestra]]),"0")</f>
        <v>0</v>
      </c>
      <c r="V112" s="38">
        <v>0</v>
      </c>
      <c r="W112" s="39">
        <f>+IFERROR((FT_RF_264[[#This Row],[Daño Insecto]]/FT_RF_264[[#This Row],[Muestra]]),"0")</f>
        <v>0</v>
      </c>
      <c r="X112" s="38">
        <v>0</v>
      </c>
      <c r="Y112" s="39">
        <f>+IFERROR((FT_RF_264[[#This Row],[Sobremadura]]/FT_RF_264[[#This Row],[Muestra]]),"0")</f>
        <v>0</v>
      </c>
      <c r="Z112" s="38">
        <v>0</v>
      </c>
      <c r="AA112" s="39">
        <f>+IFERROR((FT_RF_264[[#This Row],[Deforme]]/FT_RF_264[[#This Row],[Muestra]]),"0")</f>
        <v>0</v>
      </c>
      <c r="AB112" s="27"/>
      <c r="AC112" s="38">
        <v>0</v>
      </c>
      <c r="AD112" s="39">
        <f>+IFERROR((FT_RF_264[[#This Row],[Valor Extra 1]]/FT_RF_264[[#This Row],[Muestra]]),"0")</f>
        <v>0</v>
      </c>
      <c r="AF112" s="38">
        <v>0</v>
      </c>
      <c r="AG112" s="39">
        <f>+IFERROR((FT_RF_264[[#This Row],[Valor Extra 2]]/FT_RF_264[[#This Row],[Muestra]]),"0")</f>
        <v>0</v>
      </c>
      <c r="AH112" s="40">
        <v>0</v>
      </c>
      <c r="AI112" s="39">
        <f>+IFERROR((FT_RF_264[[#This Row],[Hongos]]/FT_RF_264[[#This Row],[Muestra]]),"0")</f>
        <v>0</v>
      </c>
      <c r="AJ112" s="38">
        <v>0</v>
      </c>
      <c r="AK112" s="39">
        <f>+IFERROR((FT_RF_264[[#This Row],[Block]]/FT_RF_264[[#This Row],[Muestra]]),"0")</f>
        <v>0</v>
      </c>
      <c r="AL112" s="41">
        <v>0</v>
      </c>
      <c r="AM112" s="42">
        <v>0</v>
      </c>
      <c r="AN112" s="38">
        <v>0</v>
      </c>
      <c r="AO112" s="39">
        <f>+IFERROR((FT_RF_264[[#This Row],[Fuera de calibre &lt;12mm]]/FT_RF_264[[#This Row],[Muestra]]),"0")</f>
        <v>0</v>
      </c>
      <c r="AP112" s="38">
        <v>0</v>
      </c>
      <c r="AQ112" s="39">
        <f>+IFERROR((FT_RF_264[[#This Row],[Calibre &lt;25]]/FT_RF_264[[#This Row],[Muestra]]),"0")</f>
        <v>0</v>
      </c>
      <c r="AR112" s="38">
        <v>0</v>
      </c>
      <c r="AS112" s="39">
        <f>+IFERROR((FT_RF_264[[#This Row],[Calibre &gt;12]]/FT_RF_264[[#This Row],[Muestra]]),"0")</f>
        <v>0</v>
      </c>
      <c r="AT112" s="38">
        <v>0</v>
      </c>
      <c r="AU112" s="39">
        <f>+IFERROR((FT_RF_264[[#This Row],[Calibre &lt;14]]/FT_RF_264[[#This Row],[Muestra]]),"0")</f>
        <v>0</v>
      </c>
      <c r="AV112" s="38">
        <v>0</v>
      </c>
      <c r="AW112" s="39">
        <f>+IFERROR((FT_RF_264[[#This Row],[Calibre &gt;14]]/FT_RF_264[[#This Row],[Muestra]]),"0")</f>
        <v>0</v>
      </c>
      <c r="AX112" s="38">
        <v>0</v>
      </c>
      <c r="AY112" s="39">
        <f>+IFERROR((FT_RF_264[[#This Row],[Calibre &lt;10]]/FT_RF_264[[#This Row],[Muestra]]),"0")</f>
        <v>0</v>
      </c>
      <c r="AZ112" s="38">
        <v>0</v>
      </c>
      <c r="BA112" s="39">
        <f>+IFERROR((FT_RF_264[[#This Row],[Calibre &gt;13]]/FT_RF_264[[#This Row],[Muestra]]),"0")</f>
        <v>0</v>
      </c>
      <c r="BB112" s="41"/>
      <c r="BG112" s="42"/>
      <c r="BH112" s="43">
        <v>0</v>
      </c>
      <c r="BI112" s="29" t="s">
        <v>894</v>
      </c>
      <c r="BJ112" s="29" t="s">
        <v>894</v>
      </c>
      <c r="BK11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1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12" s="45">
        <f>1-FT_RF_264[[#This Row],[% Defectos]]</f>
        <v>1</v>
      </c>
      <c r="BO112" s="60"/>
      <c r="BP112" s="12">
        <f>SUM(FT_RF_264[[#This Row],[Hoja (Un.)]:[Larvas Caja]])</f>
        <v>0</v>
      </c>
      <c r="BQ112" s="12">
        <f>SUM(FT_RF_264[[#This Row],[Vidrios]:[Plástico]])</f>
        <v>0</v>
      </c>
      <c r="BR112" s="12" t="str">
        <f>IF(ISBLANK(FT_RF_264[[#This Row],[Descripción del producto]]),"",FT_RF_264[[#This Row],[Descripción del producto]])</f>
        <v/>
      </c>
      <c r="BS112" s="29" t="str">
        <f>IF(ISBLANK(FT_RF_264[[#This Row],[N° de Lote]]),"",FT_RF_264[[#This Row],[N° de Lote]])</f>
        <v/>
      </c>
      <c r="BT112" s="29" t="str">
        <f>IF(ISBLANK(FT_RF_264[[#This Row],[N° de Pallet]]),"",FT_RF_264[[#This Row],[N° de Pallet]])</f>
        <v/>
      </c>
    </row>
    <row r="113" spans="2:72">
      <c r="B113" s="29">
        <f>+_xlfn.ISOWEEKNUM(FT_RF_264[[#This Row],[Fecha]])</f>
        <v>52</v>
      </c>
      <c r="E113" s="31"/>
      <c r="F113" s="12" t="str">
        <f>IFERROR(""&amp;_xlfn.XLOOKUP(FT_RF_264[[#This Row],[Código]],BD_Cod[SKU],BD_Cod[Descripción]),"")</f>
        <v/>
      </c>
      <c r="G113" s="32" t="str">
        <f>IFERROR(""&amp;_xlfn.XLOOKUP(FT_RF_264[[#This Row],[Código]],BD_Cod[SKU],BD_Cod[Familia Calidad]),"")</f>
        <v/>
      </c>
      <c r="J113" s="33">
        <v>1000</v>
      </c>
      <c r="L113" s="30" t="s">
        <v>244</v>
      </c>
      <c r="O113" s="30" t="s">
        <v>894</v>
      </c>
      <c r="P113" s="29" t="s">
        <v>894</v>
      </c>
      <c r="Q113" s="37">
        <f>1-FT_RF_264[[#This Row],[% Defectos]]</f>
        <v>1</v>
      </c>
      <c r="R113" s="38">
        <v>0</v>
      </c>
      <c r="S113" s="39">
        <f>+IFERROR((FT_RF_264[[#This Row],[Inmadura]]/FT_RF_264[[#This Row],[Muestra]]),"0")</f>
        <v>0</v>
      </c>
      <c r="T113" s="38">
        <v>0</v>
      </c>
      <c r="U113" s="39">
        <f>+IFERROR((FT_RF_264[[#This Row],[Partidas]]/FT_RF_264[[#This Row],[Muestra]]),"0")</f>
        <v>0</v>
      </c>
      <c r="V113" s="38">
        <v>0</v>
      </c>
      <c r="W113" s="39">
        <f>+IFERROR((FT_RF_264[[#This Row],[Daño Insecto]]/FT_RF_264[[#This Row],[Muestra]]),"0")</f>
        <v>0</v>
      </c>
      <c r="X113" s="38">
        <v>0</v>
      </c>
      <c r="Y113" s="39">
        <f>+IFERROR((FT_RF_264[[#This Row],[Sobremadura]]/FT_RF_264[[#This Row],[Muestra]]),"0")</f>
        <v>0</v>
      </c>
      <c r="Z113" s="38">
        <v>0</v>
      </c>
      <c r="AA113" s="39">
        <f>+IFERROR((FT_RF_264[[#This Row],[Deforme]]/FT_RF_264[[#This Row],[Muestra]]),"0")</f>
        <v>0</v>
      </c>
      <c r="AB113" s="27"/>
      <c r="AC113" s="38">
        <v>0</v>
      </c>
      <c r="AD113" s="39">
        <f>+IFERROR((FT_RF_264[[#This Row],[Valor Extra 1]]/FT_RF_264[[#This Row],[Muestra]]),"0")</f>
        <v>0</v>
      </c>
      <c r="AF113" s="38">
        <v>0</v>
      </c>
      <c r="AG113" s="39">
        <f>+IFERROR((FT_RF_264[[#This Row],[Valor Extra 2]]/FT_RF_264[[#This Row],[Muestra]]),"0")</f>
        <v>0</v>
      </c>
      <c r="AH113" s="40">
        <v>0</v>
      </c>
      <c r="AI113" s="39">
        <f>+IFERROR((FT_RF_264[[#This Row],[Hongos]]/FT_RF_264[[#This Row],[Muestra]]),"0")</f>
        <v>0</v>
      </c>
      <c r="AJ113" s="38">
        <v>0</v>
      </c>
      <c r="AK113" s="39">
        <f>+IFERROR((FT_RF_264[[#This Row],[Block]]/FT_RF_264[[#This Row],[Muestra]]),"0")</f>
        <v>0</v>
      </c>
      <c r="AL113" s="41">
        <v>0</v>
      </c>
      <c r="AM113" s="42">
        <v>0</v>
      </c>
      <c r="AN113" s="38">
        <v>0</v>
      </c>
      <c r="AO113" s="39">
        <f>+IFERROR((FT_RF_264[[#This Row],[Fuera de calibre &lt;12mm]]/FT_RF_264[[#This Row],[Muestra]]),"0")</f>
        <v>0</v>
      </c>
      <c r="AP113" s="38">
        <v>0</v>
      </c>
      <c r="AQ113" s="39">
        <f>+IFERROR((FT_RF_264[[#This Row],[Calibre &lt;25]]/FT_RF_264[[#This Row],[Muestra]]),"0")</f>
        <v>0</v>
      </c>
      <c r="AR113" s="38">
        <v>0</v>
      </c>
      <c r="AS113" s="39">
        <f>+IFERROR((FT_RF_264[[#This Row],[Calibre &gt;12]]/FT_RF_264[[#This Row],[Muestra]]),"0")</f>
        <v>0</v>
      </c>
      <c r="AT113" s="38">
        <v>0</v>
      </c>
      <c r="AU113" s="39">
        <f>+IFERROR((FT_RF_264[[#This Row],[Calibre &lt;14]]/FT_RF_264[[#This Row],[Muestra]]),"0")</f>
        <v>0</v>
      </c>
      <c r="AV113" s="38">
        <v>0</v>
      </c>
      <c r="AW113" s="39">
        <f>+IFERROR((FT_RF_264[[#This Row],[Calibre &gt;14]]/FT_RF_264[[#This Row],[Muestra]]),"0")</f>
        <v>0</v>
      </c>
      <c r="AX113" s="38">
        <v>0</v>
      </c>
      <c r="AY113" s="39">
        <f>+IFERROR((FT_RF_264[[#This Row],[Calibre &lt;10]]/FT_RF_264[[#This Row],[Muestra]]),"0")</f>
        <v>0</v>
      </c>
      <c r="AZ113" s="38">
        <v>0</v>
      </c>
      <c r="BA113" s="39">
        <f>+IFERROR((FT_RF_264[[#This Row],[Calibre &gt;13]]/FT_RF_264[[#This Row],[Muestra]]),"0")</f>
        <v>0</v>
      </c>
      <c r="BB113" s="41"/>
      <c r="BG113" s="42"/>
      <c r="BH113" s="43">
        <v>0</v>
      </c>
      <c r="BI113" s="29" t="s">
        <v>894</v>
      </c>
      <c r="BJ113" s="29" t="s">
        <v>894</v>
      </c>
      <c r="BK11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1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13" s="45">
        <f>1-FT_RF_264[[#This Row],[% Defectos]]</f>
        <v>1</v>
      </c>
      <c r="BO113" s="60"/>
      <c r="BP113" s="12">
        <f>SUM(FT_RF_264[[#This Row],[Hoja (Un.)]:[Larvas Caja]])</f>
        <v>0</v>
      </c>
      <c r="BQ113" s="12">
        <f>SUM(FT_RF_264[[#This Row],[Vidrios]:[Plástico]])</f>
        <v>0</v>
      </c>
      <c r="BR113" s="12" t="str">
        <f>IF(ISBLANK(FT_RF_264[[#This Row],[Descripción del producto]]),"",FT_RF_264[[#This Row],[Descripción del producto]])</f>
        <v/>
      </c>
      <c r="BS113" s="29" t="str">
        <f>IF(ISBLANK(FT_RF_264[[#This Row],[N° de Lote]]),"",FT_RF_264[[#This Row],[N° de Lote]])</f>
        <v/>
      </c>
      <c r="BT113" s="29" t="str">
        <f>IF(ISBLANK(FT_RF_264[[#This Row],[N° de Pallet]]),"",FT_RF_264[[#This Row],[N° de Pallet]])</f>
        <v/>
      </c>
    </row>
    <row r="114" spans="2:72">
      <c r="B114" s="29">
        <f>+_xlfn.ISOWEEKNUM(FT_RF_264[[#This Row],[Fecha]])</f>
        <v>52</v>
      </c>
      <c r="E114" s="31"/>
      <c r="F114" s="12" t="str">
        <f>IFERROR(""&amp;_xlfn.XLOOKUP(FT_RF_264[[#This Row],[Código]],BD_Cod[SKU],BD_Cod[Descripción]),"")</f>
        <v/>
      </c>
      <c r="G114" s="32" t="str">
        <f>IFERROR(""&amp;_xlfn.XLOOKUP(FT_RF_264[[#This Row],[Código]],BD_Cod[SKU],BD_Cod[Familia Calidad]),"")</f>
        <v/>
      </c>
      <c r="J114" s="33">
        <v>1000</v>
      </c>
      <c r="L114" s="30" t="s">
        <v>244</v>
      </c>
      <c r="O114" s="30" t="s">
        <v>894</v>
      </c>
      <c r="P114" s="29" t="s">
        <v>894</v>
      </c>
      <c r="Q114" s="37">
        <f>1-FT_RF_264[[#This Row],[% Defectos]]</f>
        <v>1</v>
      </c>
      <c r="R114" s="38">
        <v>0</v>
      </c>
      <c r="S114" s="39">
        <f>+IFERROR((FT_RF_264[[#This Row],[Inmadura]]/FT_RF_264[[#This Row],[Muestra]]),"0")</f>
        <v>0</v>
      </c>
      <c r="T114" s="38">
        <v>0</v>
      </c>
      <c r="U114" s="39">
        <f>+IFERROR((FT_RF_264[[#This Row],[Partidas]]/FT_RF_264[[#This Row],[Muestra]]),"0")</f>
        <v>0</v>
      </c>
      <c r="V114" s="38">
        <v>0</v>
      </c>
      <c r="W114" s="39">
        <f>+IFERROR((FT_RF_264[[#This Row],[Daño Insecto]]/FT_RF_264[[#This Row],[Muestra]]),"0")</f>
        <v>0</v>
      </c>
      <c r="X114" s="38">
        <v>0</v>
      </c>
      <c r="Y114" s="39">
        <f>+IFERROR((FT_RF_264[[#This Row],[Sobremadura]]/FT_RF_264[[#This Row],[Muestra]]),"0")</f>
        <v>0</v>
      </c>
      <c r="Z114" s="38">
        <v>0</v>
      </c>
      <c r="AA114" s="39">
        <f>+IFERROR((FT_RF_264[[#This Row],[Deforme]]/FT_RF_264[[#This Row],[Muestra]]),"0")</f>
        <v>0</v>
      </c>
      <c r="AB114" s="27"/>
      <c r="AC114" s="38">
        <v>0</v>
      </c>
      <c r="AD114" s="39">
        <f>+IFERROR((FT_RF_264[[#This Row],[Valor Extra 1]]/FT_RF_264[[#This Row],[Muestra]]),"0")</f>
        <v>0</v>
      </c>
      <c r="AF114" s="38">
        <v>0</v>
      </c>
      <c r="AG114" s="39">
        <f>+IFERROR((FT_RF_264[[#This Row],[Valor Extra 2]]/FT_RF_264[[#This Row],[Muestra]]),"0")</f>
        <v>0</v>
      </c>
      <c r="AH114" s="40">
        <v>0</v>
      </c>
      <c r="AI114" s="39">
        <f>+IFERROR((FT_RF_264[[#This Row],[Hongos]]/FT_RF_264[[#This Row],[Muestra]]),"0")</f>
        <v>0</v>
      </c>
      <c r="AJ114" s="38">
        <v>0</v>
      </c>
      <c r="AK114" s="39">
        <f>+IFERROR((FT_RF_264[[#This Row],[Block]]/FT_RF_264[[#This Row],[Muestra]]),"0")</f>
        <v>0</v>
      </c>
      <c r="AL114" s="41">
        <v>0</v>
      </c>
      <c r="AM114" s="42">
        <v>0</v>
      </c>
      <c r="AN114" s="38">
        <v>0</v>
      </c>
      <c r="AO114" s="39">
        <f>+IFERROR((FT_RF_264[[#This Row],[Fuera de calibre &lt;12mm]]/FT_RF_264[[#This Row],[Muestra]]),"0")</f>
        <v>0</v>
      </c>
      <c r="AP114" s="38">
        <v>0</v>
      </c>
      <c r="AQ114" s="39">
        <f>+IFERROR((FT_RF_264[[#This Row],[Calibre &lt;25]]/FT_RF_264[[#This Row],[Muestra]]),"0")</f>
        <v>0</v>
      </c>
      <c r="AR114" s="38">
        <v>0</v>
      </c>
      <c r="AS114" s="39">
        <f>+IFERROR((FT_RF_264[[#This Row],[Calibre &gt;12]]/FT_RF_264[[#This Row],[Muestra]]),"0")</f>
        <v>0</v>
      </c>
      <c r="AT114" s="38">
        <v>0</v>
      </c>
      <c r="AU114" s="39">
        <f>+IFERROR((FT_RF_264[[#This Row],[Calibre &lt;14]]/FT_RF_264[[#This Row],[Muestra]]),"0")</f>
        <v>0</v>
      </c>
      <c r="AV114" s="38">
        <v>0</v>
      </c>
      <c r="AW114" s="39">
        <f>+IFERROR((FT_RF_264[[#This Row],[Calibre &gt;14]]/FT_RF_264[[#This Row],[Muestra]]),"0")</f>
        <v>0</v>
      </c>
      <c r="AX114" s="38">
        <v>0</v>
      </c>
      <c r="AY114" s="39">
        <f>+IFERROR((FT_RF_264[[#This Row],[Calibre &lt;10]]/FT_RF_264[[#This Row],[Muestra]]),"0")</f>
        <v>0</v>
      </c>
      <c r="AZ114" s="38">
        <v>0</v>
      </c>
      <c r="BA114" s="39">
        <f>+IFERROR((FT_RF_264[[#This Row],[Calibre &gt;13]]/FT_RF_264[[#This Row],[Muestra]]),"0")</f>
        <v>0</v>
      </c>
      <c r="BB114" s="41"/>
      <c r="BG114" s="42"/>
      <c r="BH114" s="43">
        <v>0</v>
      </c>
      <c r="BI114" s="29" t="s">
        <v>894</v>
      </c>
      <c r="BJ114" s="29" t="s">
        <v>894</v>
      </c>
      <c r="BK11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1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14" s="45">
        <f>1-FT_RF_264[[#This Row],[% Defectos]]</f>
        <v>1</v>
      </c>
      <c r="BO114" s="60"/>
      <c r="BP114" s="12">
        <f>SUM(FT_RF_264[[#This Row],[Hoja (Un.)]:[Larvas Caja]])</f>
        <v>0</v>
      </c>
      <c r="BQ114" s="12">
        <f>SUM(FT_RF_264[[#This Row],[Vidrios]:[Plástico]])</f>
        <v>0</v>
      </c>
      <c r="BR114" s="12" t="str">
        <f>IF(ISBLANK(FT_RF_264[[#This Row],[Descripción del producto]]),"",FT_RF_264[[#This Row],[Descripción del producto]])</f>
        <v/>
      </c>
      <c r="BS114" s="29" t="str">
        <f>IF(ISBLANK(FT_RF_264[[#This Row],[N° de Lote]]),"",FT_RF_264[[#This Row],[N° de Lote]])</f>
        <v/>
      </c>
      <c r="BT114" s="29" t="str">
        <f>IF(ISBLANK(FT_RF_264[[#This Row],[N° de Pallet]]),"",FT_RF_264[[#This Row],[N° de Pallet]])</f>
        <v/>
      </c>
    </row>
    <row r="115" spans="2:72">
      <c r="B115" s="29">
        <f>+_xlfn.ISOWEEKNUM(FT_RF_264[[#This Row],[Fecha]])</f>
        <v>52</v>
      </c>
      <c r="E115" s="31"/>
      <c r="F115" s="12" t="str">
        <f>IFERROR(""&amp;_xlfn.XLOOKUP(FT_RF_264[[#This Row],[Código]],BD_Cod[SKU],BD_Cod[Descripción]),"")</f>
        <v/>
      </c>
      <c r="G115" s="32" t="str">
        <f>IFERROR(""&amp;_xlfn.XLOOKUP(FT_RF_264[[#This Row],[Código]],BD_Cod[SKU],BD_Cod[Familia Calidad]),"")</f>
        <v/>
      </c>
      <c r="J115" s="33">
        <v>1000</v>
      </c>
      <c r="L115" s="30" t="s">
        <v>244</v>
      </c>
      <c r="O115" s="30" t="s">
        <v>894</v>
      </c>
      <c r="P115" s="29" t="s">
        <v>894</v>
      </c>
      <c r="Q115" s="37">
        <f>1-FT_RF_264[[#This Row],[% Defectos]]</f>
        <v>1</v>
      </c>
      <c r="R115" s="38">
        <v>0</v>
      </c>
      <c r="S115" s="39">
        <f>+IFERROR((FT_RF_264[[#This Row],[Inmadura]]/FT_RF_264[[#This Row],[Muestra]]),"0")</f>
        <v>0</v>
      </c>
      <c r="T115" s="38">
        <v>0</v>
      </c>
      <c r="U115" s="39">
        <f>+IFERROR((FT_RF_264[[#This Row],[Partidas]]/FT_RF_264[[#This Row],[Muestra]]),"0")</f>
        <v>0</v>
      </c>
      <c r="V115" s="38">
        <v>0</v>
      </c>
      <c r="W115" s="39">
        <f>+IFERROR((FT_RF_264[[#This Row],[Daño Insecto]]/FT_RF_264[[#This Row],[Muestra]]),"0")</f>
        <v>0</v>
      </c>
      <c r="X115" s="38">
        <v>0</v>
      </c>
      <c r="Y115" s="39">
        <f>+IFERROR((FT_RF_264[[#This Row],[Sobremadura]]/FT_RF_264[[#This Row],[Muestra]]),"0")</f>
        <v>0</v>
      </c>
      <c r="Z115" s="38">
        <v>0</v>
      </c>
      <c r="AA115" s="39">
        <f>+IFERROR((FT_RF_264[[#This Row],[Deforme]]/FT_RF_264[[#This Row],[Muestra]]),"0")</f>
        <v>0</v>
      </c>
      <c r="AB115" s="27"/>
      <c r="AC115" s="38">
        <v>0</v>
      </c>
      <c r="AD115" s="39">
        <f>+IFERROR((FT_RF_264[[#This Row],[Valor Extra 1]]/FT_RF_264[[#This Row],[Muestra]]),"0")</f>
        <v>0</v>
      </c>
      <c r="AF115" s="38">
        <v>0</v>
      </c>
      <c r="AG115" s="39">
        <f>+IFERROR((FT_RF_264[[#This Row],[Valor Extra 2]]/FT_RF_264[[#This Row],[Muestra]]),"0")</f>
        <v>0</v>
      </c>
      <c r="AH115" s="40">
        <v>0</v>
      </c>
      <c r="AI115" s="39">
        <f>+IFERROR((FT_RF_264[[#This Row],[Hongos]]/FT_RF_264[[#This Row],[Muestra]]),"0")</f>
        <v>0</v>
      </c>
      <c r="AJ115" s="38">
        <v>0</v>
      </c>
      <c r="AK115" s="39">
        <f>+IFERROR((FT_RF_264[[#This Row],[Block]]/FT_RF_264[[#This Row],[Muestra]]),"0")</f>
        <v>0</v>
      </c>
      <c r="AL115" s="41">
        <v>0</v>
      </c>
      <c r="AM115" s="42">
        <v>0</v>
      </c>
      <c r="AN115" s="38">
        <v>0</v>
      </c>
      <c r="AO115" s="39">
        <f>+IFERROR((FT_RF_264[[#This Row],[Fuera de calibre &lt;12mm]]/FT_RF_264[[#This Row],[Muestra]]),"0")</f>
        <v>0</v>
      </c>
      <c r="AP115" s="38">
        <v>0</v>
      </c>
      <c r="AQ115" s="39">
        <f>+IFERROR((FT_RF_264[[#This Row],[Calibre &lt;25]]/FT_RF_264[[#This Row],[Muestra]]),"0")</f>
        <v>0</v>
      </c>
      <c r="AR115" s="38">
        <v>0</v>
      </c>
      <c r="AS115" s="39">
        <f>+IFERROR((FT_RF_264[[#This Row],[Calibre &gt;12]]/FT_RF_264[[#This Row],[Muestra]]),"0")</f>
        <v>0</v>
      </c>
      <c r="AT115" s="38">
        <v>0</v>
      </c>
      <c r="AU115" s="39">
        <f>+IFERROR((FT_RF_264[[#This Row],[Calibre &lt;14]]/FT_RF_264[[#This Row],[Muestra]]),"0")</f>
        <v>0</v>
      </c>
      <c r="AV115" s="38">
        <v>0</v>
      </c>
      <c r="AW115" s="39">
        <f>+IFERROR((FT_RF_264[[#This Row],[Calibre &gt;14]]/FT_RF_264[[#This Row],[Muestra]]),"0")</f>
        <v>0</v>
      </c>
      <c r="AX115" s="38">
        <v>0</v>
      </c>
      <c r="AY115" s="39">
        <f>+IFERROR((FT_RF_264[[#This Row],[Calibre &lt;10]]/FT_RF_264[[#This Row],[Muestra]]),"0")</f>
        <v>0</v>
      </c>
      <c r="AZ115" s="38">
        <v>0</v>
      </c>
      <c r="BA115" s="39">
        <f>+IFERROR((FT_RF_264[[#This Row],[Calibre &gt;13]]/FT_RF_264[[#This Row],[Muestra]]),"0")</f>
        <v>0</v>
      </c>
      <c r="BB115" s="41"/>
      <c r="BG115" s="42"/>
      <c r="BH115" s="43">
        <v>0</v>
      </c>
      <c r="BI115" s="29" t="s">
        <v>894</v>
      </c>
      <c r="BJ115" s="29" t="s">
        <v>894</v>
      </c>
      <c r="BK11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1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15" s="45">
        <f>1-FT_RF_264[[#This Row],[% Defectos]]</f>
        <v>1</v>
      </c>
      <c r="BO115" s="60"/>
      <c r="BP115" s="12">
        <f>SUM(FT_RF_264[[#This Row],[Hoja (Un.)]:[Larvas Caja]])</f>
        <v>0</v>
      </c>
      <c r="BQ115" s="12">
        <f>SUM(FT_RF_264[[#This Row],[Vidrios]:[Plástico]])</f>
        <v>0</v>
      </c>
      <c r="BR115" s="12" t="str">
        <f>IF(ISBLANK(FT_RF_264[[#This Row],[Descripción del producto]]),"",FT_RF_264[[#This Row],[Descripción del producto]])</f>
        <v/>
      </c>
      <c r="BS115" s="29" t="str">
        <f>IF(ISBLANK(FT_RF_264[[#This Row],[N° de Lote]]),"",FT_RF_264[[#This Row],[N° de Lote]])</f>
        <v/>
      </c>
      <c r="BT115" s="29" t="str">
        <f>IF(ISBLANK(FT_RF_264[[#This Row],[N° de Pallet]]),"",FT_RF_264[[#This Row],[N° de Pallet]])</f>
        <v/>
      </c>
    </row>
    <row r="116" spans="2:72">
      <c r="B116" s="29">
        <f>+_xlfn.ISOWEEKNUM(FT_RF_264[[#This Row],[Fecha]])</f>
        <v>52</v>
      </c>
      <c r="E116" s="31"/>
      <c r="F116" s="12" t="str">
        <f>IFERROR(""&amp;_xlfn.XLOOKUP(FT_RF_264[[#This Row],[Código]],BD_Cod[SKU],BD_Cod[Descripción]),"")</f>
        <v/>
      </c>
      <c r="G116" s="32" t="str">
        <f>IFERROR(""&amp;_xlfn.XLOOKUP(FT_RF_264[[#This Row],[Código]],BD_Cod[SKU],BD_Cod[Familia Calidad]),"")</f>
        <v/>
      </c>
      <c r="J116" s="33">
        <v>1000</v>
      </c>
      <c r="L116" s="30" t="s">
        <v>244</v>
      </c>
      <c r="O116" s="30" t="s">
        <v>894</v>
      </c>
      <c r="P116" s="29" t="s">
        <v>894</v>
      </c>
      <c r="Q116" s="37">
        <f>1-FT_RF_264[[#This Row],[% Defectos]]</f>
        <v>1</v>
      </c>
      <c r="R116" s="38">
        <v>0</v>
      </c>
      <c r="S116" s="39">
        <f>+IFERROR((FT_RF_264[[#This Row],[Inmadura]]/FT_RF_264[[#This Row],[Muestra]]),"0")</f>
        <v>0</v>
      </c>
      <c r="T116" s="38">
        <v>0</v>
      </c>
      <c r="U116" s="39">
        <f>+IFERROR((FT_RF_264[[#This Row],[Partidas]]/FT_RF_264[[#This Row],[Muestra]]),"0")</f>
        <v>0</v>
      </c>
      <c r="V116" s="38">
        <v>0</v>
      </c>
      <c r="W116" s="39">
        <f>+IFERROR((FT_RF_264[[#This Row],[Daño Insecto]]/FT_RF_264[[#This Row],[Muestra]]),"0")</f>
        <v>0</v>
      </c>
      <c r="X116" s="38">
        <v>0</v>
      </c>
      <c r="Y116" s="39">
        <f>+IFERROR((FT_RF_264[[#This Row],[Sobremadura]]/FT_RF_264[[#This Row],[Muestra]]),"0")</f>
        <v>0</v>
      </c>
      <c r="Z116" s="38">
        <v>0</v>
      </c>
      <c r="AA116" s="39">
        <f>+IFERROR((FT_RF_264[[#This Row],[Deforme]]/FT_RF_264[[#This Row],[Muestra]]),"0")</f>
        <v>0</v>
      </c>
      <c r="AB116" s="27"/>
      <c r="AC116" s="38">
        <v>0</v>
      </c>
      <c r="AD116" s="39">
        <f>+IFERROR((FT_RF_264[[#This Row],[Valor Extra 1]]/FT_RF_264[[#This Row],[Muestra]]),"0")</f>
        <v>0</v>
      </c>
      <c r="AF116" s="38">
        <v>0</v>
      </c>
      <c r="AG116" s="39">
        <f>+IFERROR((FT_RF_264[[#This Row],[Valor Extra 2]]/FT_RF_264[[#This Row],[Muestra]]),"0")</f>
        <v>0</v>
      </c>
      <c r="AH116" s="40">
        <v>0</v>
      </c>
      <c r="AI116" s="39">
        <f>+IFERROR((FT_RF_264[[#This Row],[Hongos]]/FT_RF_264[[#This Row],[Muestra]]),"0")</f>
        <v>0</v>
      </c>
      <c r="AJ116" s="38">
        <v>0</v>
      </c>
      <c r="AK116" s="39">
        <f>+IFERROR((FT_RF_264[[#This Row],[Block]]/FT_RF_264[[#This Row],[Muestra]]),"0")</f>
        <v>0</v>
      </c>
      <c r="AL116" s="41">
        <v>0</v>
      </c>
      <c r="AM116" s="42">
        <v>0</v>
      </c>
      <c r="AN116" s="38">
        <v>0</v>
      </c>
      <c r="AO116" s="39">
        <f>+IFERROR((FT_RF_264[[#This Row],[Fuera de calibre &lt;12mm]]/FT_RF_264[[#This Row],[Muestra]]),"0")</f>
        <v>0</v>
      </c>
      <c r="AP116" s="38">
        <v>0</v>
      </c>
      <c r="AQ116" s="39">
        <f>+IFERROR((FT_RF_264[[#This Row],[Calibre &lt;25]]/FT_RF_264[[#This Row],[Muestra]]),"0")</f>
        <v>0</v>
      </c>
      <c r="AR116" s="38">
        <v>0</v>
      </c>
      <c r="AS116" s="39">
        <f>+IFERROR((FT_RF_264[[#This Row],[Calibre &gt;12]]/FT_RF_264[[#This Row],[Muestra]]),"0")</f>
        <v>0</v>
      </c>
      <c r="AT116" s="38">
        <v>0</v>
      </c>
      <c r="AU116" s="39">
        <f>+IFERROR((FT_RF_264[[#This Row],[Calibre &lt;14]]/FT_RF_264[[#This Row],[Muestra]]),"0")</f>
        <v>0</v>
      </c>
      <c r="AV116" s="38">
        <v>0</v>
      </c>
      <c r="AW116" s="39">
        <f>+IFERROR((FT_RF_264[[#This Row],[Calibre &gt;14]]/FT_RF_264[[#This Row],[Muestra]]),"0")</f>
        <v>0</v>
      </c>
      <c r="AX116" s="38">
        <v>0</v>
      </c>
      <c r="AY116" s="39">
        <f>+IFERROR((FT_RF_264[[#This Row],[Calibre &lt;10]]/FT_RF_264[[#This Row],[Muestra]]),"0")</f>
        <v>0</v>
      </c>
      <c r="AZ116" s="38">
        <v>0</v>
      </c>
      <c r="BA116" s="39">
        <f>+IFERROR((FT_RF_264[[#This Row],[Calibre &gt;13]]/FT_RF_264[[#This Row],[Muestra]]),"0")</f>
        <v>0</v>
      </c>
      <c r="BB116" s="41"/>
      <c r="BG116" s="42"/>
      <c r="BH116" s="43">
        <v>0</v>
      </c>
      <c r="BI116" s="29" t="s">
        <v>894</v>
      </c>
      <c r="BJ116" s="29" t="s">
        <v>894</v>
      </c>
      <c r="BK11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1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16" s="45">
        <f>1-FT_RF_264[[#This Row],[% Defectos]]</f>
        <v>1</v>
      </c>
      <c r="BO116" s="60"/>
      <c r="BP116" s="12">
        <f>SUM(FT_RF_264[[#This Row],[Hoja (Un.)]:[Larvas Caja]])</f>
        <v>0</v>
      </c>
      <c r="BQ116" s="12">
        <f>SUM(FT_RF_264[[#This Row],[Vidrios]:[Plástico]])</f>
        <v>0</v>
      </c>
      <c r="BR116" s="12" t="str">
        <f>IF(ISBLANK(FT_RF_264[[#This Row],[Descripción del producto]]),"",FT_RF_264[[#This Row],[Descripción del producto]])</f>
        <v/>
      </c>
      <c r="BS116" s="29" t="str">
        <f>IF(ISBLANK(FT_RF_264[[#This Row],[N° de Lote]]),"",FT_RF_264[[#This Row],[N° de Lote]])</f>
        <v/>
      </c>
      <c r="BT116" s="29" t="str">
        <f>IF(ISBLANK(FT_RF_264[[#This Row],[N° de Pallet]]),"",FT_RF_264[[#This Row],[N° de Pallet]])</f>
        <v/>
      </c>
    </row>
    <row r="117" spans="2:72">
      <c r="B117" s="29">
        <f>+_xlfn.ISOWEEKNUM(FT_RF_264[[#This Row],[Fecha]])</f>
        <v>52</v>
      </c>
      <c r="E117" s="31"/>
      <c r="F117" s="12" t="str">
        <f>IFERROR(""&amp;_xlfn.XLOOKUP(FT_RF_264[[#This Row],[Código]],BD_Cod[SKU],BD_Cod[Descripción]),"")</f>
        <v/>
      </c>
      <c r="G117" s="32" t="str">
        <f>IFERROR(""&amp;_xlfn.XLOOKUP(FT_RF_264[[#This Row],[Código]],BD_Cod[SKU],BD_Cod[Familia Calidad]),"")</f>
        <v/>
      </c>
      <c r="J117" s="33">
        <v>1000</v>
      </c>
      <c r="L117" s="30" t="s">
        <v>244</v>
      </c>
      <c r="O117" s="30" t="s">
        <v>894</v>
      </c>
      <c r="P117" s="29" t="s">
        <v>894</v>
      </c>
      <c r="Q117" s="37">
        <f>1-FT_RF_264[[#This Row],[% Defectos]]</f>
        <v>1</v>
      </c>
      <c r="R117" s="38">
        <v>0</v>
      </c>
      <c r="S117" s="39">
        <f>+IFERROR((FT_RF_264[[#This Row],[Inmadura]]/FT_RF_264[[#This Row],[Muestra]]),"0")</f>
        <v>0</v>
      </c>
      <c r="T117" s="38">
        <v>0</v>
      </c>
      <c r="U117" s="39">
        <f>+IFERROR((FT_RF_264[[#This Row],[Partidas]]/FT_RF_264[[#This Row],[Muestra]]),"0")</f>
        <v>0</v>
      </c>
      <c r="V117" s="38">
        <v>0</v>
      </c>
      <c r="W117" s="39">
        <f>+IFERROR((FT_RF_264[[#This Row],[Daño Insecto]]/FT_RF_264[[#This Row],[Muestra]]),"0")</f>
        <v>0</v>
      </c>
      <c r="X117" s="38">
        <v>0</v>
      </c>
      <c r="Y117" s="39">
        <f>+IFERROR((FT_RF_264[[#This Row],[Sobremadura]]/FT_RF_264[[#This Row],[Muestra]]),"0")</f>
        <v>0</v>
      </c>
      <c r="Z117" s="38">
        <v>0</v>
      </c>
      <c r="AA117" s="39">
        <f>+IFERROR((FT_RF_264[[#This Row],[Deforme]]/FT_RF_264[[#This Row],[Muestra]]),"0")</f>
        <v>0</v>
      </c>
      <c r="AB117" s="27"/>
      <c r="AC117" s="38">
        <v>0</v>
      </c>
      <c r="AD117" s="39">
        <f>+IFERROR((FT_RF_264[[#This Row],[Valor Extra 1]]/FT_RF_264[[#This Row],[Muestra]]),"0")</f>
        <v>0</v>
      </c>
      <c r="AF117" s="38">
        <v>0</v>
      </c>
      <c r="AG117" s="39">
        <f>+IFERROR((FT_RF_264[[#This Row],[Valor Extra 2]]/FT_RF_264[[#This Row],[Muestra]]),"0")</f>
        <v>0</v>
      </c>
      <c r="AH117" s="40">
        <v>0</v>
      </c>
      <c r="AI117" s="39">
        <f>+IFERROR((FT_RF_264[[#This Row],[Hongos]]/FT_RF_264[[#This Row],[Muestra]]),"0")</f>
        <v>0</v>
      </c>
      <c r="AJ117" s="38">
        <v>0</v>
      </c>
      <c r="AK117" s="39">
        <f>+IFERROR((FT_RF_264[[#This Row],[Block]]/FT_RF_264[[#This Row],[Muestra]]),"0")</f>
        <v>0</v>
      </c>
      <c r="AL117" s="41">
        <v>0</v>
      </c>
      <c r="AM117" s="42">
        <v>0</v>
      </c>
      <c r="AN117" s="38">
        <v>0</v>
      </c>
      <c r="AO117" s="39">
        <f>+IFERROR((FT_RF_264[[#This Row],[Fuera de calibre &lt;12mm]]/FT_RF_264[[#This Row],[Muestra]]),"0")</f>
        <v>0</v>
      </c>
      <c r="AP117" s="38">
        <v>0</v>
      </c>
      <c r="AQ117" s="39">
        <f>+IFERROR((FT_RF_264[[#This Row],[Calibre &lt;25]]/FT_RF_264[[#This Row],[Muestra]]),"0")</f>
        <v>0</v>
      </c>
      <c r="AR117" s="38">
        <v>0</v>
      </c>
      <c r="AS117" s="39">
        <f>+IFERROR((FT_RF_264[[#This Row],[Calibre &gt;12]]/FT_RF_264[[#This Row],[Muestra]]),"0")</f>
        <v>0</v>
      </c>
      <c r="AT117" s="38">
        <v>0</v>
      </c>
      <c r="AU117" s="39">
        <f>+IFERROR((FT_RF_264[[#This Row],[Calibre &lt;14]]/FT_RF_264[[#This Row],[Muestra]]),"0")</f>
        <v>0</v>
      </c>
      <c r="AV117" s="38">
        <v>0</v>
      </c>
      <c r="AW117" s="39">
        <f>+IFERROR((FT_RF_264[[#This Row],[Calibre &gt;14]]/FT_RF_264[[#This Row],[Muestra]]),"0")</f>
        <v>0</v>
      </c>
      <c r="AX117" s="38">
        <v>0</v>
      </c>
      <c r="AY117" s="39">
        <f>+IFERROR((FT_RF_264[[#This Row],[Calibre &lt;10]]/FT_RF_264[[#This Row],[Muestra]]),"0")</f>
        <v>0</v>
      </c>
      <c r="AZ117" s="38">
        <v>0</v>
      </c>
      <c r="BA117" s="39">
        <f>+IFERROR((FT_RF_264[[#This Row],[Calibre &gt;13]]/FT_RF_264[[#This Row],[Muestra]]),"0")</f>
        <v>0</v>
      </c>
      <c r="BB117" s="41"/>
      <c r="BG117" s="42"/>
      <c r="BH117" s="43">
        <v>0</v>
      </c>
      <c r="BI117" s="29" t="s">
        <v>894</v>
      </c>
      <c r="BJ117" s="29" t="s">
        <v>894</v>
      </c>
      <c r="BK11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1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17" s="45">
        <f>1-FT_RF_264[[#This Row],[% Defectos]]</f>
        <v>1</v>
      </c>
      <c r="BO117" s="60"/>
      <c r="BP117" s="12">
        <f>SUM(FT_RF_264[[#This Row],[Hoja (Un.)]:[Larvas Caja]])</f>
        <v>0</v>
      </c>
      <c r="BQ117" s="12">
        <f>SUM(FT_RF_264[[#This Row],[Vidrios]:[Plástico]])</f>
        <v>0</v>
      </c>
      <c r="BR117" s="12" t="str">
        <f>IF(ISBLANK(FT_RF_264[[#This Row],[Descripción del producto]]),"",FT_RF_264[[#This Row],[Descripción del producto]])</f>
        <v/>
      </c>
      <c r="BS117" s="29" t="str">
        <f>IF(ISBLANK(FT_RF_264[[#This Row],[N° de Lote]]),"",FT_RF_264[[#This Row],[N° de Lote]])</f>
        <v/>
      </c>
      <c r="BT117" s="29" t="str">
        <f>IF(ISBLANK(FT_RF_264[[#This Row],[N° de Pallet]]),"",FT_RF_264[[#This Row],[N° de Pallet]])</f>
        <v/>
      </c>
    </row>
    <row r="118" spans="2:72">
      <c r="B118" s="29">
        <f>+_xlfn.ISOWEEKNUM(FT_RF_264[[#This Row],[Fecha]])</f>
        <v>52</v>
      </c>
      <c r="E118" s="31"/>
      <c r="F118" s="12" t="str">
        <f>IFERROR(""&amp;_xlfn.XLOOKUP(FT_RF_264[[#This Row],[Código]],BD_Cod[SKU],BD_Cod[Descripción]),"")</f>
        <v/>
      </c>
      <c r="G118" s="32" t="str">
        <f>IFERROR(""&amp;_xlfn.XLOOKUP(FT_RF_264[[#This Row],[Código]],BD_Cod[SKU],BD_Cod[Familia Calidad]),"")</f>
        <v/>
      </c>
      <c r="J118" s="33">
        <v>1000</v>
      </c>
      <c r="L118" s="30" t="s">
        <v>244</v>
      </c>
      <c r="O118" s="30" t="s">
        <v>894</v>
      </c>
      <c r="P118" s="29" t="s">
        <v>894</v>
      </c>
      <c r="Q118" s="37">
        <f>1-FT_RF_264[[#This Row],[% Defectos]]</f>
        <v>1</v>
      </c>
      <c r="R118" s="38">
        <v>0</v>
      </c>
      <c r="S118" s="39">
        <f>+IFERROR((FT_RF_264[[#This Row],[Inmadura]]/FT_RF_264[[#This Row],[Muestra]]),"0")</f>
        <v>0</v>
      </c>
      <c r="T118" s="38">
        <v>0</v>
      </c>
      <c r="U118" s="39">
        <f>+IFERROR((FT_RF_264[[#This Row],[Partidas]]/FT_RF_264[[#This Row],[Muestra]]),"0")</f>
        <v>0</v>
      </c>
      <c r="V118" s="38">
        <v>0</v>
      </c>
      <c r="W118" s="39">
        <f>+IFERROR((FT_RF_264[[#This Row],[Daño Insecto]]/FT_RF_264[[#This Row],[Muestra]]),"0")</f>
        <v>0</v>
      </c>
      <c r="X118" s="38">
        <v>0</v>
      </c>
      <c r="Y118" s="39">
        <f>+IFERROR((FT_RF_264[[#This Row],[Sobremadura]]/FT_RF_264[[#This Row],[Muestra]]),"0")</f>
        <v>0</v>
      </c>
      <c r="Z118" s="38">
        <v>0</v>
      </c>
      <c r="AA118" s="39">
        <f>+IFERROR((FT_RF_264[[#This Row],[Deforme]]/FT_RF_264[[#This Row],[Muestra]]),"0")</f>
        <v>0</v>
      </c>
      <c r="AB118" s="27"/>
      <c r="AC118" s="38">
        <v>0</v>
      </c>
      <c r="AD118" s="39">
        <f>+IFERROR((FT_RF_264[[#This Row],[Valor Extra 1]]/FT_RF_264[[#This Row],[Muestra]]),"0")</f>
        <v>0</v>
      </c>
      <c r="AF118" s="38">
        <v>0</v>
      </c>
      <c r="AG118" s="39">
        <f>+IFERROR((FT_RF_264[[#This Row],[Valor Extra 2]]/FT_RF_264[[#This Row],[Muestra]]),"0")</f>
        <v>0</v>
      </c>
      <c r="AH118" s="40">
        <v>0</v>
      </c>
      <c r="AI118" s="39">
        <f>+IFERROR((FT_RF_264[[#This Row],[Hongos]]/FT_RF_264[[#This Row],[Muestra]]),"0")</f>
        <v>0</v>
      </c>
      <c r="AJ118" s="38">
        <v>0</v>
      </c>
      <c r="AK118" s="39">
        <f>+IFERROR((FT_RF_264[[#This Row],[Block]]/FT_RF_264[[#This Row],[Muestra]]),"0")</f>
        <v>0</v>
      </c>
      <c r="AL118" s="41">
        <v>0</v>
      </c>
      <c r="AM118" s="42">
        <v>0</v>
      </c>
      <c r="AN118" s="38">
        <v>0</v>
      </c>
      <c r="AO118" s="39">
        <f>+IFERROR((FT_RF_264[[#This Row],[Fuera de calibre &lt;12mm]]/FT_RF_264[[#This Row],[Muestra]]),"0")</f>
        <v>0</v>
      </c>
      <c r="AP118" s="38">
        <v>0</v>
      </c>
      <c r="AQ118" s="39">
        <f>+IFERROR((FT_RF_264[[#This Row],[Calibre &lt;25]]/FT_RF_264[[#This Row],[Muestra]]),"0")</f>
        <v>0</v>
      </c>
      <c r="AR118" s="38">
        <v>0</v>
      </c>
      <c r="AS118" s="39">
        <f>+IFERROR((FT_RF_264[[#This Row],[Calibre &gt;12]]/FT_RF_264[[#This Row],[Muestra]]),"0")</f>
        <v>0</v>
      </c>
      <c r="AT118" s="38">
        <v>0</v>
      </c>
      <c r="AU118" s="39">
        <f>+IFERROR((FT_RF_264[[#This Row],[Calibre &lt;14]]/FT_RF_264[[#This Row],[Muestra]]),"0")</f>
        <v>0</v>
      </c>
      <c r="AV118" s="38">
        <v>0</v>
      </c>
      <c r="AW118" s="39">
        <f>+IFERROR((FT_RF_264[[#This Row],[Calibre &gt;14]]/FT_RF_264[[#This Row],[Muestra]]),"0")</f>
        <v>0</v>
      </c>
      <c r="AX118" s="38">
        <v>0</v>
      </c>
      <c r="AY118" s="39">
        <f>+IFERROR((FT_RF_264[[#This Row],[Calibre &lt;10]]/FT_RF_264[[#This Row],[Muestra]]),"0")</f>
        <v>0</v>
      </c>
      <c r="AZ118" s="38">
        <v>0</v>
      </c>
      <c r="BA118" s="39">
        <f>+IFERROR((FT_RF_264[[#This Row],[Calibre &gt;13]]/FT_RF_264[[#This Row],[Muestra]]),"0")</f>
        <v>0</v>
      </c>
      <c r="BB118" s="41"/>
      <c r="BG118" s="42"/>
      <c r="BH118" s="43">
        <v>0</v>
      </c>
      <c r="BI118" s="29" t="s">
        <v>894</v>
      </c>
      <c r="BJ118" s="29" t="s">
        <v>894</v>
      </c>
      <c r="BK11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1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18" s="45">
        <f>1-FT_RF_264[[#This Row],[% Defectos]]</f>
        <v>1</v>
      </c>
      <c r="BO118" s="60"/>
      <c r="BP118" s="12">
        <f>SUM(FT_RF_264[[#This Row],[Hoja (Un.)]:[Larvas Caja]])</f>
        <v>0</v>
      </c>
      <c r="BQ118" s="12">
        <f>SUM(FT_RF_264[[#This Row],[Vidrios]:[Plástico]])</f>
        <v>0</v>
      </c>
      <c r="BR118" s="12" t="str">
        <f>IF(ISBLANK(FT_RF_264[[#This Row],[Descripción del producto]]),"",FT_RF_264[[#This Row],[Descripción del producto]])</f>
        <v/>
      </c>
      <c r="BS118" s="29" t="str">
        <f>IF(ISBLANK(FT_RF_264[[#This Row],[N° de Lote]]),"",FT_RF_264[[#This Row],[N° de Lote]])</f>
        <v/>
      </c>
      <c r="BT118" s="29" t="str">
        <f>IF(ISBLANK(FT_RF_264[[#This Row],[N° de Pallet]]),"",FT_RF_264[[#This Row],[N° de Pallet]])</f>
        <v/>
      </c>
    </row>
    <row r="119" spans="2:72">
      <c r="B119" s="29">
        <f>+_xlfn.ISOWEEKNUM(FT_RF_264[[#This Row],[Fecha]])</f>
        <v>52</v>
      </c>
      <c r="E119" s="31"/>
      <c r="F119" s="12" t="str">
        <f>IFERROR(""&amp;_xlfn.XLOOKUP(FT_RF_264[[#This Row],[Código]],BD_Cod[SKU],BD_Cod[Descripción]),"")</f>
        <v/>
      </c>
      <c r="G119" s="32" t="str">
        <f>IFERROR(""&amp;_xlfn.XLOOKUP(FT_RF_264[[#This Row],[Código]],BD_Cod[SKU],BD_Cod[Familia Calidad]),"")</f>
        <v/>
      </c>
      <c r="J119" s="33">
        <v>1000</v>
      </c>
      <c r="L119" s="30" t="s">
        <v>244</v>
      </c>
      <c r="O119" s="30" t="s">
        <v>894</v>
      </c>
      <c r="P119" s="29" t="s">
        <v>894</v>
      </c>
      <c r="Q119" s="37">
        <f>1-FT_RF_264[[#This Row],[% Defectos]]</f>
        <v>1</v>
      </c>
      <c r="R119" s="38">
        <v>0</v>
      </c>
      <c r="S119" s="39">
        <f>+IFERROR((FT_RF_264[[#This Row],[Inmadura]]/FT_RF_264[[#This Row],[Muestra]]),"0")</f>
        <v>0</v>
      </c>
      <c r="T119" s="38">
        <v>0</v>
      </c>
      <c r="U119" s="39">
        <f>+IFERROR((FT_RF_264[[#This Row],[Partidas]]/FT_RF_264[[#This Row],[Muestra]]),"0")</f>
        <v>0</v>
      </c>
      <c r="V119" s="38">
        <v>0</v>
      </c>
      <c r="W119" s="39">
        <f>+IFERROR((FT_RF_264[[#This Row],[Daño Insecto]]/FT_RF_264[[#This Row],[Muestra]]),"0")</f>
        <v>0</v>
      </c>
      <c r="X119" s="38">
        <v>0</v>
      </c>
      <c r="Y119" s="39">
        <f>+IFERROR((FT_RF_264[[#This Row],[Sobremadura]]/FT_RF_264[[#This Row],[Muestra]]),"0")</f>
        <v>0</v>
      </c>
      <c r="Z119" s="38">
        <v>0</v>
      </c>
      <c r="AA119" s="39">
        <f>+IFERROR((FT_RF_264[[#This Row],[Deforme]]/FT_RF_264[[#This Row],[Muestra]]),"0")</f>
        <v>0</v>
      </c>
      <c r="AB119" s="27"/>
      <c r="AC119" s="38">
        <v>0</v>
      </c>
      <c r="AD119" s="39">
        <f>+IFERROR((FT_RF_264[[#This Row],[Valor Extra 1]]/FT_RF_264[[#This Row],[Muestra]]),"0")</f>
        <v>0</v>
      </c>
      <c r="AF119" s="38">
        <v>0</v>
      </c>
      <c r="AG119" s="39">
        <f>+IFERROR((FT_RF_264[[#This Row],[Valor Extra 2]]/FT_RF_264[[#This Row],[Muestra]]),"0")</f>
        <v>0</v>
      </c>
      <c r="AH119" s="40">
        <v>0</v>
      </c>
      <c r="AI119" s="39">
        <f>+IFERROR((FT_RF_264[[#This Row],[Hongos]]/FT_RF_264[[#This Row],[Muestra]]),"0")</f>
        <v>0</v>
      </c>
      <c r="AJ119" s="38">
        <v>0</v>
      </c>
      <c r="AK119" s="39">
        <f>+IFERROR((FT_RF_264[[#This Row],[Block]]/FT_RF_264[[#This Row],[Muestra]]),"0")</f>
        <v>0</v>
      </c>
      <c r="AL119" s="41">
        <v>0</v>
      </c>
      <c r="AM119" s="42">
        <v>0</v>
      </c>
      <c r="AN119" s="38">
        <v>0</v>
      </c>
      <c r="AO119" s="39">
        <f>+IFERROR((FT_RF_264[[#This Row],[Fuera de calibre &lt;12mm]]/FT_RF_264[[#This Row],[Muestra]]),"0")</f>
        <v>0</v>
      </c>
      <c r="AP119" s="38">
        <v>0</v>
      </c>
      <c r="AQ119" s="39">
        <f>+IFERROR((FT_RF_264[[#This Row],[Calibre &lt;25]]/FT_RF_264[[#This Row],[Muestra]]),"0")</f>
        <v>0</v>
      </c>
      <c r="AR119" s="38">
        <v>0</v>
      </c>
      <c r="AS119" s="39">
        <f>+IFERROR((FT_RF_264[[#This Row],[Calibre &gt;12]]/FT_RF_264[[#This Row],[Muestra]]),"0")</f>
        <v>0</v>
      </c>
      <c r="AT119" s="38">
        <v>0</v>
      </c>
      <c r="AU119" s="39">
        <f>+IFERROR((FT_RF_264[[#This Row],[Calibre &lt;14]]/FT_RF_264[[#This Row],[Muestra]]),"0")</f>
        <v>0</v>
      </c>
      <c r="AV119" s="38">
        <v>0</v>
      </c>
      <c r="AW119" s="39">
        <f>+IFERROR((FT_RF_264[[#This Row],[Calibre &gt;14]]/FT_RF_264[[#This Row],[Muestra]]),"0")</f>
        <v>0</v>
      </c>
      <c r="AX119" s="38">
        <v>0</v>
      </c>
      <c r="AY119" s="39">
        <f>+IFERROR((FT_RF_264[[#This Row],[Calibre &lt;10]]/FT_RF_264[[#This Row],[Muestra]]),"0")</f>
        <v>0</v>
      </c>
      <c r="AZ119" s="38">
        <v>0</v>
      </c>
      <c r="BA119" s="39">
        <f>+IFERROR((FT_RF_264[[#This Row],[Calibre &gt;13]]/FT_RF_264[[#This Row],[Muestra]]),"0")</f>
        <v>0</v>
      </c>
      <c r="BB119" s="41"/>
      <c r="BG119" s="42"/>
      <c r="BH119" s="43">
        <v>0</v>
      </c>
      <c r="BI119" s="29" t="s">
        <v>894</v>
      </c>
      <c r="BJ119" s="29" t="s">
        <v>894</v>
      </c>
      <c r="BK11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1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19" s="45">
        <f>1-FT_RF_264[[#This Row],[% Defectos]]</f>
        <v>1</v>
      </c>
      <c r="BO119" s="60"/>
      <c r="BP119" s="12">
        <f>SUM(FT_RF_264[[#This Row],[Hoja (Un.)]:[Larvas Caja]])</f>
        <v>0</v>
      </c>
      <c r="BQ119" s="12">
        <f>SUM(FT_RF_264[[#This Row],[Vidrios]:[Plástico]])</f>
        <v>0</v>
      </c>
      <c r="BR119" s="12" t="str">
        <f>IF(ISBLANK(FT_RF_264[[#This Row],[Descripción del producto]]),"",FT_RF_264[[#This Row],[Descripción del producto]])</f>
        <v/>
      </c>
      <c r="BS119" s="29" t="str">
        <f>IF(ISBLANK(FT_RF_264[[#This Row],[N° de Lote]]),"",FT_RF_264[[#This Row],[N° de Lote]])</f>
        <v/>
      </c>
      <c r="BT119" s="29" t="str">
        <f>IF(ISBLANK(FT_RF_264[[#This Row],[N° de Pallet]]),"",FT_RF_264[[#This Row],[N° de Pallet]])</f>
        <v/>
      </c>
    </row>
    <row r="120" spans="2:72">
      <c r="B120" s="29">
        <f>+_xlfn.ISOWEEKNUM(FT_RF_264[[#This Row],[Fecha]])</f>
        <v>52</v>
      </c>
      <c r="E120" s="31"/>
      <c r="F120" s="12" t="str">
        <f>IFERROR(""&amp;_xlfn.XLOOKUP(FT_RF_264[[#This Row],[Código]],BD_Cod[SKU],BD_Cod[Descripción]),"")</f>
        <v/>
      </c>
      <c r="G120" s="32" t="str">
        <f>IFERROR(""&amp;_xlfn.XLOOKUP(FT_RF_264[[#This Row],[Código]],BD_Cod[SKU],BD_Cod[Familia Calidad]),"")</f>
        <v/>
      </c>
      <c r="J120" s="33">
        <v>1000</v>
      </c>
      <c r="L120" s="30" t="s">
        <v>244</v>
      </c>
      <c r="O120" s="30" t="s">
        <v>894</v>
      </c>
      <c r="P120" s="29" t="s">
        <v>894</v>
      </c>
      <c r="Q120" s="37">
        <f>1-FT_RF_264[[#This Row],[% Defectos]]</f>
        <v>1</v>
      </c>
      <c r="R120" s="38">
        <v>0</v>
      </c>
      <c r="S120" s="39">
        <f>+IFERROR((FT_RF_264[[#This Row],[Inmadura]]/FT_RF_264[[#This Row],[Muestra]]),"0")</f>
        <v>0</v>
      </c>
      <c r="T120" s="38">
        <v>0</v>
      </c>
      <c r="U120" s="39">
        <f>+IFERROR((FT_RF_264[[#This Row],[Partidas]]/FT_RF_264[[#This Row],[Muestra]]),"0")</f>
        <v>0</v>
      </c>
      <c r="V120" s="38">
        <v>0</v>
      </c>
      <c r="W120" s="39">
        <f>+IFERROR((FT_RF_264[[#This Row],[Daño Insecto]]/FT_RF_264[[#This Row],[Muestra]]),"0")</f>
        <v>0</v>
      </c>
      <c r="X120" s="38">
        <v>0</v>
      </c>
      <c r="Y120" s="39">
        <f>+IFERROR((FT_RF_264[[#This Row],[Sobremadura]]/FT_RF_264[[#This Row],[Muestra]]),"0")</f>
        <v>0</v>
      </c>
      <c r="Z120" s="38">
        <v>0</v>
      </c>
      <c r="AA120" s="39">
        <f>+IFERROR((FT_RF_264[[#This Row],[Deforme]]/FT_RF_264[[#This Row],[Muestra]]),"0")</f>
        <v>0</v>
      </c>
      <c r="AB120" s="27"/>
      <c r="AC120" s="38">
        <v>0</v>
      </c>
      <c r="AD120" s="39">
        <f>+IFERROR((FT_RF_264[[#This Row],[Valor Extra 1]]/FT_RF_264[[#This Row],[Muestra]]),"0")</f>
        <v>0</v>
      </c>
      <c r="AF120" s="38">
        <v>0</v>
      </c>
      <c r="AG120" s="39">
        <f>+IFERROR((FT_RF_264[[#This Row],[Valor Extra 2]]/FT_RF_264[[#This Row],[Muestra]]),"0")</f>
        <v>0</v>
      </c>
      <c r="AH120" s="40">
        <v>0</v>
      </c>
      <c r="AI120" s="39">
        <f>+IFERROR((FT_RF_264[[#This Row],[Hongos]]/FT_RF_264[[#This Row],[Muestra]]),"0")</f>
        <v>0</v>
      </c>
      <c r="AJ120" s="38">
        <v>0</v>
      </c>
      <c r="AK120" s="39">
        <f>+IFERROR((FT_RF_264[[#This Row],[Block]]/FT_RF_264[[#This Row],[Muestra]]),"0")</f>
        <v>0</v>
      </c>
      <c r="AL120" s="41">
        <v>0</v>
      </c>
      <c r="AM120" s="42">
        <v>0</v>
      </c>
      <c r="AN120" s="38">
        <v>0</v>
      </c>
      <c r="AO120" s="39">
        <f>+IFERROR((FT_RF_264[[#This Row],[Fuera de calibre &lt;12mm]]/FT_RF_264[[#This Row],[Muestra]]),"0")</f>
        <v>0</v>
      </c>
      <c r="AP120" s="38">
        <v>0</v>
      </c>
      <c r="AQ120" s="39">
        <f>+IFERROR((FT_RF_264[[#This Row],[Calibre &lt;25]]/FT_RF_264[[#This Row],[Muestra]]),"0")</f>
        <v>0</v>
      </c>
      <c r="AR120" s="38">
        <v>0</v>
      </c>
      <c r="AS120" s="39">
        <f>+IFERROR((FT_RF_264[[#This Row],[Calibre &gt;12]]/FT_RF_264[[#This Row],[Muestra]]),"0")</f>
        <v>0</v>
      </c>
      <c r="AT120" s="38">
        <v>0</v>
      </c>
      <c r="AU120" s="39">
        <f>+IFERROR((FT_RF_264[[#This Row],[Calibre &lt;14]]/FT_RF_264[[#This Row],[Muestra]]),"0")</f>
        <v>0</v>
      </c>
      <c r="AV120" s="38">
        <v>0</v>
      </c>
      <c r="AW120" s="39">
        <f>+IFERROR((FT_RF_264[[#This Row],[Calibre &gt;14]]/FT_RF_264[[#This Row],[Muestra]]),"0")</f>
        <v>0</v>
      </c>
      <c r="AX120" s="38">
        <v>0</v>
      </c>
      <c r="AY120" s="39">
        <f>+IFERROR((FT_RF_264[[#This Row],[Calibre &lt;10]]/FT_RF_264[[#This Row],[Muestra]]),"0")</f>
        <v>0</v>
      </c>
      <c r="AZ120" s="38">
        <v>0</v>
      </c>
      <c r="BA120" s="39">
        <f>+IFERROR((FT_RF_264[[#This Row],[Calibre &gt;13]]/FT_RF_264[[#This Row],[Muestra]]),"0")</f>
        <v>0</v>
      </c>
      <c r="BB120" s="41"/>
      <c r="BG120" s="42"/>
      <c r="BH120" s="43">
        <v>0</v>
      </c>
      <c r="BI120" s="29" t="s">
        <v>894</v>
      </c>
      <c r="BJ120" s="29" t="s">
        <v>894</v>
      </c>
      <c r="BK12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2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20" s="45">
        <f>1-FT_RF_264[[#This Row],[% Defectos]]</f>
        <v>1</v>
      </c>
      <c r="BO120" s="60"/>
      <c r="BP120" s="12">
        <f>SUM(FT_RF_264[[#This Row],[Hoja (Un.)]:[Larvas Caja]])</f>
        <v>0</v>
      </c>
      <c r="BQ120" s="12">
        <f>SUM(FT_RF_264[[#This Row],[Vidrios]:[Plástico]])</f>
        <v>0</v>
      </c>
      <c r="BR120" s="12" t="str">
        <f>IF(ISBLANK(FT_RF_264[[#This Row],[Descripción del producto]]),"",FT_RF_264[[#This Row],[Descripción del producto]])</f>
        <v/>
      </c>
      <c r="BS120" s="29" t="str">
        <f>IF(ISBLANK(FT_RF_264[[#This Row],[N° de Lote]]),"",FT_RF_264[[#This Row],[N° de Lote]])</f>
        <v/>
      </c>
      <c r="BT120" s="29" t="str">
        <f>IF(ISBLANK(FT_RF_264[[#This Row],[N° de Pallet]]),"",FT_RF_264[[#This Row],[N° de Pallet]])</f>
        <v/>
      </c>
    </row>
    <row r="121" spans="2:72">
      <c r="B121" s="29">
        <f>+_xlfn.ISOWEEKNUM(FT_RF_264[[#This Row],[Fecha]])</f>
        <v>52</v>
      </c>
      <c r="E121" s="31"/>
      <c r="F121" s="12" t="str">
        <f>IFERROR(""&amp;_xlfn.XLOOKUP(FT_RF_264[[#This Row],[Código]],BD_Cod[SKU],BD_Cod[Descripción]),"")</f>
        <v/>
      </c>
      <c r="G121" s="32" t="str">
        <f>IFERROR(""&amp;_xlfn.XLOOKUP(FT_RF_264[[#This Row],[Código]],BD_Cod[SKU],BD_Cod[Familia Calidad]),"")</f>
        <v/>
      </c>
      <c r="J121" s="33">
        <v>1000</v>
      </c>
      <c r="L121" s="30" t="s">
        <v>244</v>
      </c>
      <c r="O121" s="30" t="s">
        <v>894</v>
      </c>
      <c r="P121" s="29" t="s">
        <v>894</v>
      </c>
      <c r="Q121" s="37">
        <f>1-FT_RF_264[[#This Row],[% Defectos]]</f>
        <v>1</v>
      </c>
      <c r="R121" s="38">
        <v>0</v>
      </c>
      <c r="S121" s="39">
        <f>+IFERROR((FT_RF_264[[#This Row],[Inmadura]]/FT_RF_264[[#This Row],[Muestra]]),"0")</f>
        <v>0</v>
      </c>
      <c r="T121" s="38">
        <v>0</v>
      </c>
      <c r="U121" s="39">
        <f>+IFERROR((FT_RF_264[[#This Row],[Partidas]]/FT_RF_264[[#This Row],[Muestra]]),"0")</f>
        <v>0</v>
      </c>
      <c r="V121" s="38">
        <v>0</v>
      </c>
      <c r="W121" s="39">
        <f>+IFERROR((FT_RF_264[[#This Row],[Daño Insecto]]/FT_RF_264[[#This Row],[Muestra]]),"0")</f>
        <v>0</v>
      </c>
      <c r="X121" s="38">
        <v>0</v>
      </c>
      <c r="Y121" s="39">
        <f>+IFERROR((FT_RF_264[[#This Row],[Sobremadura]]/FT_RF_264[[#This Row],[Muestra]]),"0")</f>
        <v>0</v>
      </c>
      <c r="Z121" s="38">
        <v>0</v>
      </c>
      <c r="AA121" s="39">
        <f>+IFERROR((FT_RF_264[[#This Row],[Deforme]]/FT_RF_264[[#This Row],[Muestra]]),"0")</f>
        <v>0</v>
      </c>
      <c r="AB121" s="27"/>
      <c r="AC121" s="38">
        <v>0</v>
      </c>
      <c r="AD121" s="39">
        <f>+IFERROR((FT_RF_264[[#This Row],[Valor Extra 1]]/FT_RF_264[[#This Row],[Muestra]]),"0")</f>
        <v>0</v>
      </c>
      <c r="AF121" s="38">
        <v>0</v>
      </c>
      <c r="AG121" s="39">
        <f>+IFERROR((FT_RF_264[[#This Row],[Valor Extra 2]]/FT_RF_264[[#This Row],[Muestra]]),"0")</f>
        <v>0</v>
      </c>
      <c r="AH121" s="40">
        <v>0</v>
      </c>
      <c r="AI121" s="39">
        <f>+IFERROR((FT_RF_264[[#This Row],[Hongos]]/FT_RF_264[[#This Row],[Muestra]]),"0")</f>
        <v>0</v>
      </c>
      <c r="AJ121" s="38">
        <v>0</v>
      </c>
      <c r="AK121" s="39">
        <f>+IFERROR((FT_RF_264[[#This Row],[Block]]/FT_RF_264[[#This Row],[Muestra]]),"0")</f>
        <v>0</v>
      </c>
      <c r="AL121" s="41">
        <v>0</v>
      </c>
      <c r="AM121" s="42">
        <v>0</v>
      </c>
      <c r="AN121" s="38">
        <v>0</v>
      </c>
      <c r="AO121" s="39">
        <f>+IFERROR((FT_RF_264[[#This Row],[Fuera de calibre &lt;12mm]]/FT_RF_264[[#This Row],[Muestra]]),"0")</f>
        <v>0</v>
      </c>
      <c r="AP121" s="38">
        <v>0</v>
      </c>
      <c r="AQ121" s="39">
        <f>+IFERROR((FT_RF_264[[#This Row],[Calibre &lt;25]]/FT_RF_264[[#This Row],[Muestra]]),"0")</f>
        <v>0</v>
      </c>
      <c r="AR121" s="38">
        <v>0</v>
      </c>
      <c r="AS121" s="39">
        <f>+IFERROR((FT_RF_264[[#This Row],[Calibre &gt;12]]/FT_RF_264[[#This Row],[Muestra]]),"0")</f>
        <v>0</v>
      </c>
      <c r="AT121" s="38">
        <v>0</v>
      </c>
      <c r="AU121" s="39">
        <f>+IFERROR((FT_RF_264[[#This Row],[Calibre &lt;14]]/FT_RF_264[[#This Row],[Muestra]]),"0")</f>
        <v>0</v>
      </c>
      <c r="AV121" s="38">
        <v>0</v>
      </c>
      <c r="AW121" s="39">
        <f>+IFERROR((FT_RF_264[[#This Row],[Calibre &gt;14]]/FT_RF_264[[#This Row],[Muestra]]),"0")</f>
        <v>0</v>
      </c>
      <c r="AX121" s="38">
        <v>0</v>
      </c>
      <c r="AY121" s="39">
        <f>+IFERROR((FT_RF_264[[#This Row],[Calibre &lt;10]]/FT_RF_264[[#This Row],[Muestra]]),"0")</f>
        <v>0</v>
      </c>
      <c r="AZ121" s="38">
        <v>0</v>
      </c>
      <c r="BA121" s="39">
        <f>+IFERROR((FT_RF_264[[#This Row],[Calibre &gt;13]]/FT_RF_264[[#This Row],[Muestra]]),"0")</f>
        <v>0</v>
      </c>
      <c r="BB121" s="41"/>
      <c r="BG121" s="42"/>
      <c r="BH121" s="43">
        <v>0</v>
      </c>
      <c r="BI121" s="29" t="s">
        <v>894</v>
      </c>
      <c r="BJ121" s="29" t="s">
        <v>894</v>
      </c>
      <c r="BK12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2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21" s="45">
        <f>1-FT_RF_264[[#This Row],[% Defectos]]</f>
        <v>1</v>
      </c>
      <c r="BO121" s="60"/>
      <c r="BP121" s="12">
        <f>SUM(FT_RF_264[[#This Row],[Hoja (Un.)]:[Larvas Caja]])</f>
        <v>0</v>
      </c>
      <c r="BQ121" s="12">
        <f>SUM(FT_RF_264[[#This Row],[Vidrios]:[Plástico]])</f>
        <v>0</v>
      </c>
      <c r="BR121" s="12" t="str">
        <f>IF(ISBLANK(FT_RF_264[[#This Row],[Descripción del producto]]),"",FT_RF_264[[#This Row],[Descripción del producto]])</f>
        <v/>
      </c>
      <c r="BS121" s="29" t="str">
        <f>IF(ISBLANK(FT_RF_264[[#This Row],[N° de Lote]]),"",FT_RF_264[[#This Row],[N° de Lote]])</f>
        <v/>
      </c>
      <c r="BT121" s="29" t="str">
        <f>IF(ISBLANK(FT_RF_264[[#This Row],[N° de Pallet]]),"",FT_RF_264[[#This Row],[N° de Pallet]])</f>
        <v/>
      </c>
    </row>
    <row r="122" spans="2:72">
      <c r="B122" s="29">
        <f>+_xlfn.ISOWEEKNUM(FT_RF_264[[#This Row],[Fecha]])</f>
        <v>52</v>
      </c>
      <c r="E122" s="31"/>
      <c r="F122" s="12" t="str">
        <f>IFERROR(""&amp;_xlfn.XLOOKUP(FT_RF_264[[#This Row],[Código]],BD_Cod[SKU],BD_Cod[Descripción]),"")</f>
        <v/>
      </c>
      <c r="G122" s="32" t="str">
        <f>IFERROR(""&amp;_xlfn.XLOOKUP(FT_RF_264[[#This Row],[Código]],BD_Cod[SKU],BD_Cod[Familia Calidad]),"")</f>
        <v/>
      </c>
      <c r="J122" s="33">
        <v>1000</v>
      </c>
      <c r="L122" s="30" t="s">
        <v>244</v>
      </c>
      <c r="O122" s="30" t="s">
        <v>894</v>
      </c>
      <c r="P122" s="29" t="s">
        <v>894</v>
      </c>
      <c r="Q122" s="37">
        <f>1-FT_RF_264[[#This Row],[% Defectos]]</f>
        <v>1</v>
      </c>
      <c r="R122" s="38">
        <v>0</v>
      </c>
      <c r="S122" s="39">
        <f>+IFERROR((FT_RF_264[[#This Row],[Inmadura]]/FT_RF_264[[#This Row],[Muestra]]),"0")</f>
        <v>0</v>
      </c>
      <c r="T122" s="38">
        <v>0</v>
      </c>
      <c r="U122" s="39">
        <f>+IFERROR((FT_RF_264[[#This Row],[Partidas]]/FT_RF_264[[#This Row],[Muestra]]),"0")</f>
        <v>0</v>
      </c>
      <c r="V122" s="38">
        <v>0</v>
      </c>
      <c r="W122" s="39">
        <f>+IFERROR((FT_RF_264[[#This Row],[Daño Insecto]]/FT_RF_264[[#This Row],[Muestra]]),"0")</f>
        <v>0</v>
      </c>
      <c r="X122" s="38">
        <v>0</v>
      </c>
      <c r="Y122" s="39">
        <f>+IFERROR((FT_RF_264[[#This Row],[Sobremadura]]/FT_RF_264[[#This Row],[Muestra]]),"0")</f>
        <v>0</v>
      </c>
      <c r="Z122" s="38">
        <v>0</v>
      </c>
      <c r="AA122" s="39">
        <f>+IFERROR((FT_RF_264[[#This Row],[Deforme]]/FT_RF_264[[#This Row],[Muestra]]),"0")</f>
        <v>0</v>
      </c>
      <c r="AB122" s="27"/>
      <c r="AC122" s="38">
        <v>0</v>
      </c>
      <c r="AD122" s="39">
        <f>+IFERROR((FT_RF_264[[#This Row],[Valor Extra 1]]/FT_RF_264[[#This Row],[Muestra]]),"0")</f>
        <v>0</v>
      </c>
      <c r="AF122" s="38">
        <v>0</v>
      </c>
      <c r="AG122" s="39">
        <f>+IFERROR((FT_RF_264[[#This Row],[Valor Extra 2]]/FT_RF_264[[#This Row],[Muestra]]),"0")</f>
        <v>0</v>
      </c>
      <c r="AH122" s="40">
        <v>0</v>
      </c>
      <c r="AI122" s="39">
        <f>+IFERROR((FT_RF_264[[#This Row],[Hongos]]/FT_RF_264[[#This Row],[Muestra]]),"0")</f>
        <v>0</v>
      </c>
      <c r="AJ122" s="38">
        <v>0</v>
      </c>
      <c r="AK122" s="39">
        <f>+IFERROR((FT_RF_264[[#This Row],[Block]]/FT_RF_264[[#This Row],[Muestra]]),"0")</f>
        <v>0</v>
      </c>
      <c r="AL122" s="41">
        <v>0</v>
      </c>
      <c r="AM122" s="42">
        <v>0</v>
      </c>
      <c r="AN122" s="38">
        <v>0</v>
      </c>
      <c r="AO122" s="39">
        <f>+IFERROR((FT_RF_264[[#This Row],[Fuera de calibre &lt;12mm]]/FT_RF_264[[#This Row],[Muestra]]),"0")</f>
        <v>0</v>
      </c>
      <c r="AP122" s="38">
        <v>0</v>
      </c>
      <c r="AQ122" s="39">
        <f>+IFERROR((FT_RF_264[[#This Row],[Calibre &lt;25]]/FT_RF_264[[#This Row],[Muestra]]),"0")</f>
        <v>0</v>
      </c>
      <c r="AR122" s="38">
        <v>0</v>
      </c>
      <c r="AS122" s="39">
        <f>+IFERROR((FT_RF_264[[#This Row],[Calibre &gt;12]]/FT_RF_264[[#This Row],[Muestra]]),"0")</f>
        <v>0</v>
      </c>
      <c r="AT122" s="38">
        <v>0</v>
      </c>
      <c r="AU122" s="39">
        <f>+IFERROR((FT_RF_264[[#This Row],[Calibre &lt;14]]/FT_RF_264[[#This Row],[Muestra]]),"0")</f>
        <v>0</v>
      </c>
      <c r="AV122" s="38">
        <v>0</v>
      </c>
      <c r="AW122" s="39">
        <f>+IFERROR((FT_RF_264[[#This Row],[Calibre &gt;14]]/FT_RF_264[[#This Row],[Muestra]]),"0")</f>
        <v>0</v>
      </c>
      <c r="AX122" s="38">
        <v>0</v>
      </c>
      <c r="AY122" s="39">
        <f>+IFERROR((FT_RF_264[[#This Row],[Calibre &lt;10]]/FT_RF_264[[#This Row],[Muestra]]),"0")</f>
        <v>0</v>
      </c>
      <c r="AZ122" s="38">
        <v>0</v>
      </c>
      <c r="BA122" s="39">
        <f>+IFERROR((FT_RF_264[[#This Row],[Calibre &gt;13]]/FT_RF_264[[#This Row],[Muestra]]),"0")</f>
        <v>0</v>
      </c>
      <c r="BB122" s="41"/>
      <c r="BG122" s="42"/>
      <c r="BH122" s="43">
        <v>0</v>
      </c>
      <c r="BI122" s="29" t="s">
        <v>894</v>
      </c>
      <c r="BJ122" s="29" t="s">
        <v>894</v>
      </c>
      <c r="BK12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2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22" s="45">
        <f>1-FT_RF_264[[#This Row],[% Defectos]]</f>
        <v>1</v>
      </c>
      <c r="BO122" s="60"/>
      <c r="BP122" s="12">
        <f>SUM(FT_RF_264[[#This Row],[Hoja (Un.)]:[Larvas Caja]])</f>
        <v>0</v>
      </c>
      <c r="BQ122" s="12">
        <f>SUM(FT_RF_264[[#This Row],[Vidrios]:[Plástico]])</f>
        <v>0</v>
      </c>
      <c r="BR122" s="12" t="str">
        <f>IF(ISBLANK(FT_RF_264[[#This Row],[Descripción del producto]]),"",FT_RF_264[[#This Row],[Descripción del producto]])</f>
        <v/>
      </c>
      <c r="BS122" s="29" t="str">
        <f>IF(ISBLANK(FT_RF_264[[#This Row],[N° de Lote]]),"",FT_RF_264[[#This Row],[N° de Lote]])</f>
        <v/>
      </c>
      <c r="BT122" s="29" t="str">
        <f>IF(ISBLANK(FT_RF_264[[#This Row],[N° de Pallet]]),"",FT_RF_264[[#This Row],[N° de Pallet]])</f>
        <v/>
      </c>
    </row>
    <row r="123" spans="2:72">
      <c r="B123" s="29">
        <f>+_xlfn.ISOWEEKNUM(FT_RF_264[[#This Row],[Fecha]])</f>
        <v>52</v>
      </c>
      <c r="E123" s="31"/>
      <c r="F123" s="12" t="str">
        <f>IFERROR(""&amp;_xlfn.XLOOKUP(FT_RF_264[[#This Row],[Código]],BD_Cod[SKU],BD_Cod[Descripción]),"")</f>
        <v/>
      </c>
      <c r="G123" s="32" t="str">
        <f>IFERROR(""&amp;_xlfn.XLOOKUP(FT_RF_264[[#This Row],[Código]],BD_Cod[SKU],BD_Cod[Familia Calidad]),"")</f>
        <v/>
      </c>
      <c r="J123" s="33">
        <v>1000</v>
      </c>
      <c r="L123" s="30" t="s">
        <v>244</v>
      </c>
      <c r="O123" s="30" t="s">
        <v>894</v>
      </c>
      <c r="P123" s="29" t="s">
        <v>894</v>
      </c>
      <c r="Q123" s="37">
        <f>1-FT_RF_264[[#This Row],[% Defectos]]</f>
        <v>1</v>
      </c>
      <c r="R123" s="38">
        <v>0</v>
      </c>
      <c r="S123" s="39">
        <f>+IFERROR((FT_RF_264[[#This Row],[Inmadura]]/FT_RF_264[[#This Row],[Muestra]]),"0")</f>
        <v>0</v>
      </c>
      <c r="T123" s="38">
        <v>0</v>
      </c>
      <c r="U123" s="39">
        <f>+IFERROR((FT_RF_264[[#This Row],[Partidas]]/FT_RF_264[[#This Row],[Muestra]]),"0")</f>
        <v>0</v>
      </c>
      <c r="V123" s="38">
        <v>0</v>
      </c>
      <c r="W123" s="39">
        <f>+IFERROR((FT_RF_264[[#This Row],[Daño Insecto]]/FT_RF_264[[#This Row],[Muestra]]),"0")</f>
        <v>0</v>
      </c>
      <c r="X123" s="38">
        <v>0</v>
      </c>
      <c r="Y123" s="39">
        <f>+IFERROR((FT_RF_264[[#This Row],[Sobremadura]]/FT_RF_264[[#This Row],[Muestra]]),"0")</f>
        <v>0</v>
      </c>
      <c r="Z123" s="38">
        <v>0</v>
      </c>
      <c r="AA123" s="39">
        <f>+IFERROR((FT_RF_264[[#This Row],[Deforme]]/FT_RF_264[[#This Row],[Muestra]]),"0")</f>
        <v>0</v>
      </c>
      <c r="AB123" s="27"/>
      <c r="AC123" s="38">
        <v>0</v>
      </c>
      <c r="AD123" s="39">
        <f>+IFERROR((FT_RF_264[[#This Row],[Valor Extra 1]]/FT_RF_264[[#This Row],[Muestra]]),"0")</f>
        <v>0</v>
      </c>
      <c r="AF123" s="38">
        <v>0</v>
      </c>
      <c r="AG123" s="39">
        <f>+IFERROR((FT_RF_264[[#This Row],[Valor Extra 2]]/FT_RF_264[[#This Row],[Muestra]]),"0")</f>
        <v>0</v>
      </c>
      <c r="AH123" s="40">
        <v>0</v>
      </c>
      <c r="AI123" s="39">
        <f>+IFERROR((FT_RF_264[[#This Row],[Hongos]]/FT_RF_264[[#This Row],[Muestra]]),"0")</f>
        <v>0</v>
      </c>
      <c r="AJ123" s="38">
        <v>0</v>
      </c>
      <c r="AK123" s="39">
        <f>+IFERROR((FT_RF_264[[#This Row],[Block]]/FT_RF_264[[#This Row],[Muestra]]),"0")</f>
        <v>0</v>
      </c>
      <c r="AL123" s="41">
        <v>0</v>
      </c>
      <c r="AM123" s="42">
        <v>0</v>
      </c>
      <c r="AN123" s="38">
        <v>0</v>
      </c>
      <c r="AO123" s="39">
        <f>+IFERROR((FT_RF_264[[#This Row],[Fuera de calibre &lt;12mm]]/FT_RF_264[[#This Row],[Muestra]]),"0")</f>
        <v>0</v>
      </c>
      <c r="AP123" s="38">
        <v>0</v>
      </c>
      <c r="AQ123" s="39">
        <f>+IFERROR((FT_RF_264[[#This Row],[Calibre &lt;25]]/FT_RF_264[[#This Row],[Muestra]]),"0")</f>
        <v>0</v>
      </c>
      <c r="AR123" s="38">
        <v>0</v>
      </c>
      <c r="AS123" s="39">
        <f>+IFERROR((FT_RF_264[[#This Row],[Calibre &gt;12]]/FT_RF_264[[#This Row],[Muestra]]),"0")</f>
        <v>0</v>
      </c>
      <c r="AT123" s="38">
        <v>0</v>
      </c>
      <c r="AU123" s="39">
        <f>+IFERROR((FT_RF_264[[#This Row],[Calibre &lt;14]]/FT_RF_264[[#This Row],[Muestra]]),"0")</f>
        <v>0</v>
      </c>
      <c r="AV123" s="38">
        <v>0</v>
      </c>
      <c r="AW123" s="39">
        <f>+IFERROR((FT_RF_264[[#This Row],[Calibre &gt;14]]/FT_RF_264[[#This Row],[Muestra]]),"0")</f>
        <v>0</v>
      </c>
      <c r="AX123" s="38">
        <v>0</v>
      </c>
      <c r="AY123" s="39">
        <f>+IFERROR((FT_RF_264[[#This Row],[Calibre &lt;10]]/FT_RF_264[[#This Row],[Muestra]]),"0")</f>
        <v>0</v>
      </c>
      <c r="AZ123" s="38">
        <v>0</v>
      </c>
      <c r="BA123" s="39">
        <f>+IFERROR((FT_RF_264[[#This Row],[Calibre &gt;13]]/FT_RF_264[[#This Row],[Muestra]]),"0")</f>
        <v>0</v>
      </c>
      <c r="BB123" s="41"/>
      <c r="BG123" s="42"/>
      <c r="BH123" s="43">
        <v>0</v>
      </c>
      <c r="BI123" s="29" t="s">
        <v>894</v>
      </c>
      <c r="BJ123" s="29" t="s">
        <v>894</v>
      </c>
      <c r="BK12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2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23" s="45">
        <f>1-FT_RF_264[[#This Row],[% Defectos]]</f>
        <v>1</v>
      </c>
      <c r="BO123" s="60"/>
      <c r="BP123" s="12">
        <f>SUM(FT_RF_264[[#This Row],[Hoja (Un.)]:[Larvas Caja]])</f>
        <v>0</v>
      </c>
      <c r="BQ123" s="12">
        <f>SUM(FT_RF_264[[#This Row],[Vidrios]:[Plástico]])</f>
        <v>0</v>
      </c>
      <c r="BR123" s="12" t="str">
        <f>IF(ISBLANK(FT_RF_264[[#This Row],[Descripción del producto]]),"",FT_RF_264[[#This Row],[Descripción del producto]])</f>
        <v/>
      </c>
      <c r="BS123" s="29" t="str">
        <f>IF(ISBLANK(FT_RF_264[[#This Row],[N° de Lote]]),"",FT_RF_264[[#This Row],[N° de Lote]])</f>
        <v/>
      </c>
      <c r="BT123" s="29" t="str">
        <f>IF(ISBLANK(FT_RF_264[[#This Row],[N° de Pallet]]),"",FT_RF_264[[#This Row],[N° de Pallet]])</f>
        <v/>
      </c>
    </row>
    <row r="124" spans="2:72">
      <c r="B124" s="29">
        <f>+_xlfn.ISOWEEKNUM(FT_RF_264[[#This Row],[Fecha]])</f>
        <v>52</v>
      </c>
      <c r="E124" s="31"/>
      <c r="F124" s="12" t="str">
        <f>IFERROR(""&amp;_xlfn.XLOOKUP(FT_RF_264[[#This Row],[Código]],BD_Cod[SKU],BD_Cod[Descripción]),"")</f>
        <v/>
      </c>
      <c r="G124" s="32" t="str">
        <f>IFERROR(""&amp;_xlfn.XLOOKUP(FT_RF_264[[#This Row],[Código]],BD_Cod[SKU],BD_Cod[Familia Calidad]),"")</f>
        <v/>
      </c>
      <c r="J124" s="33">
        <v>1000</v>
      </c>
      <c r="L124" s="30" t="s">
        <v>244</v>
      </c>
      <c r="O124" s="30" t="s">
        <v>894</v>
      </c>
      <c r="P124" s="29" t="s">
        <v>894</v>
      </c>
      <c r="Q124" s="37">
        <f>1-FT_RF_264[[#This Row],[% Defectos]]</f>
        <v>1</v>
      </c>
      <c r="R124" s="38">
        <v>0</v>
      </c>
      <c r="S124" s="39">
        <f>+IFERROR((FT_RF_264[[#This Row],[Inmadura]]/FT_RF_264[[#This Row],[Muestra]]),"0")</f>
        <v>0</v>
      </c>
      <c r="T124" s="38">
        <v>0</v>
      </c>
      <c r="U124" s="39">
        <f>+IFERROR((FT_RF_264[[#This Row],[Partidas]]/FT_RF_264[[#This Row],[Muestra]]),"0")</f>
        <v>0</v>
      </c>
      <c r="V124" s="38">
        <v>0</v>
      </c>
      <c r="W124" s="39">
        <f>+IFERROR((FT_RF_264[[#This Row],[Daño Insecto]]/FT_RF_264[[#This Row],[Muestra]]),"0")</f>
        <v>0</v>
      </c>
      <c r="X124" s="38">
        <v>0</v>
      </c>
      <c r="Y124" s="39">
        <f>+IFERROR((FT_RF_264[[#This Row],[Sobremadura]]/FT_RF_264[[#This Row],[Muestra]]),"0")</f>
        <v>0</v>
      </c>
      <c r="Z124" s="38">
        <v>0</v>
      </c>
      <c r="AA124" s="39">
        <f>+IFERROR((FT_RF_264[[#This Row],[Deforme]]/FT_RF_264[[#This Row],[Muestra]]),"0")</f>
        <v>0</v>
      </c>
      <c r="AB124" s="27"/>
      <c r="AC124" s="38">
        <v>0</v>
      </c>
      <c r="AD124" s="39">
        <f>+IFERROR((FT_RF_264[[#This Row],[Valor Extra 1]]/FT_RF_264[[#This Row],[Muestra]]),"0")</f>
        <v>0</v>
      </c>
      <c r="AF124" s="38">
        <v>0</v>
      </c>
      <c r="AG124" s="39">
        <f>+IFERROR((FT_RF_264[[#This Row],[Valor Extra 2]]/FT_RF_264[[#This Row],[Muestra]]),"0")</f>
        <v>0</v>
      </c>
      <c r="AH124" s="40">
        <v>0</v>
      </c>
      <c r="AI124" s="39">
        <f>+IFERROR((FT_RF_264[[#This Row],[Hongos]]/FT_RF_264[[#This Row],[Muestra]]),"0")</f>
        <v>0</v>
      </c>
      <c r="AJ124" s="38">
        <v>0</v>
      </c>
      <c r="AK124" s="39">
        <f>+IFERROR((FT_RF_264[[#This Row],[Block]]/FT_RF_264[[#This Row],[Muestra]]),"0")</f>
        <v>0</v>
      </c>
      <c r="AL124" s="41">
        <v>0</v>
      </c>
      <c r="AM124" s="42">
        <v>0</v>
      </c>
      <c r="AN124" s="38">
        <v>0</v>
      </c>
      <c r="AO124" s="39">
        <f>+IFERROR((FT_RF_264[[#This Row],[Fuera de calibre &lt;12mm]]/FT_RF_264[[#This Row],[Muestra]]),"0")</f>
        <v>0</v>
      </c>
      <c r="AP124" s="38">
        <v>0</v>
      </c>
      <c r="AQ124" s="39">
        <f>+IFERROR((FT_RF_264[[#This Row],[Calibre &lt;25]]/FT_RF_264[[#This Row],[Muestra]]),"0")</f>
        <v>0</v>
      </c>
      <c r="AR124" s="38">
        <v>0</v>
      </c>
      <c r="AS124" s="39">
        <f>+IFERROR((FT_RF_264[[#This Row],[Calibre &gt;12]]/FT_RF_264[[#This Row],[Muestra]]),"0")</f>
        <v>0</v>
      </c>
      <c r="AT124" s="38">
        <v>0</v>
      </c>
      <c r="AU124" s="39">
        <f>+IFERROR((FT_RF_264[[#This Row],[Calibre &lt;14]]/FT_RF_264[[#This Row],[Muestra]]),"0")</f>
        <v>0</v>
      </c>
      <c r="AV124" s="38">
        <v>0</v>
      </c>
      <c r="AW124" s="39">
        <f>+IFERROR((FT_RF_264[[#This Row],[Calibre &gt;14]]/FT_RF_264[[#This Row],[Muestra]]),"0")</f>
        <v>0</v>
      </c>
      <c r="AX124" s="38">
        <v>0</v>
      </c>
      <c r="AY124" s="39">
        <f>+IFERROR((FT_RF_264[[#This Row],[Calibre &lt;10]]/FT_RF_264[[#This Row],[Muestra]]),"0")</f>
        <v>0</v>
      </c>
      <c r="AZ124" s="38">
        <v>0</v>
      </c>
      <c r="BA124" s="39">
        <f>+IFERROR((FT_RF_264[[#This Row],[Calibre &gt;13]]/FT_RF_264[[#This Row],[Muestra]]),"0")</f>
        <v>0</v>
      </c>
      <c r="BB124" s="41"/>
      <c r="BG124" s="42"/>
      <c r="BH124" s="43">
        <v>0</v>
      </c>
      <c r="BI124" s="29" t="s">
        <v>894</v>
      </c>
      <c r="BJ124" s="29" t="s">
        <v>894</v>
      </c>
      <c r="BK12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2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24" s="45">
        <f>1-FT_RF_264[[#This Row],[% Defectos]]</f>
        <v>1</v>
      </c>
      <c r="BO124" s="60"/>
      <c r="BP124" s="12">
        <f>SUM(FT_RF_264[[#This Row],[Hoja (Un.)]:[Larvas Caja]])</f>
        <v>0</v>
      </c>
      <c r="BQ124" s="12">
        <f>SUM(FT_RF_264[[#This Row],[Vidrios]:[Plástico]])</f>
        <v>0</v>
      </c>
      <c r="BR124" s="12" t="str">
        <f>IF(ISBLANK(FT_RF_264[[#This Row],[Descripción del producto]]),"",FT_RF_264[[#This Row],[Descripción del producto]])</f>
        <v/>
      </c>
      <c r="BS124" s="29" t="str">
        <f>IF(ISBLANK(FT_RF_264[[#This Row],[N° de Lote]]),"",FT_RF_264[[#This Row],[N° de Lote]])</f>
        <v/>
      </c>
      <c r="BT124" s="29" t="str">
        <f>IF(ISBLANK(FT_RF_264[[#This Row],[N° de Pallet]]),"",FT_RF_264[[#This Row],[N° de Pallet]])</f>
        <v/>
      </c>
    </row>
    <row r="125" spans="2:72">
      <c r="B125" s="29">
        <f>+_xlfn.ISOWEEKNUM(FT_RF_264[[#This Row],[Fecha]])</f>
        <v>52</v>
      </c>
      <c r="E125" s="31"/>
      <c r="F125" s="12" t="str">
        <f>IFERROR(""&amp;_xlfn.XLOOKUP(FT_RF_264[[#This Row],[Código]],BD_Cod[SKU],BD_Cod[Descripción]),"")</f>
        <v/>
      </c>
      <c r="G125" s="32" t="str">
        <f>IFERROR(""&amp;_xlfn.XLOOKUP(FT_RF_264[[#This Row],[Código]],BD_Cod[SKU],BD_Cod[Familia Calidad]),"")</f>
        <v/>
      </c>
      <c r="J125" s="33">
        <v>1000</v>
      </c>
      <c r="L125" s="30" t="s">
        <v>244</v>
      </c>
      <c r="O125" s="30" t="s">
        <v>894</v>
      </c>
      <c r="P125" s="29" t="s">
        <v>894</v>
      </c>
      <c r="Q125" s="37">
        <f>1-FT_RF_264[[#This Row],[% Defectos]]</f>
        <v>1</v>
      </c>
      <c r="R125" s="38">
        <v>0</v>
      </c>
      <c r="S125" s="39">
        <f>+IFERROR((FT_RF_264[[#This Row],[Inmadura]]/FT_RF_264[[#This Row],[Muestra]]),"0")</f>
        <v>0</v>
      </c>
      <c r="T125" s="38">
        <v>0</v>
      </c>
      <c r="U125" s="39">
        <f>+IFERROR((FT_RF_264[[#This Row],[Partidas]]/FT_RF_264[[#This Row],[Muestra]]),"0")</f>
        <v>0</v>
      </c>
      <c r="V125" s="38">
        <v>0</v>
      </c>
      <c r="W125" s="39">
        <f>+IFERROR((FT_RF_264[[#This Row],[Daño Insecto]]/FT_RF_264[[#This Row],[Muestra]]),"0")</f>
        <v>0</v>
      </c>
      <c r="X125" s="38">
        <v>0</v>
      </c>
      <c r="Y125" s="39">
        <f>+IFERROR((FT_RF_264[[#This Row],[Sobremadura]]/FT_RF_264[[#This Row],[Muestra]]),"0")</f>
        <v>0</v>
      </c>
      <c r="Z125" s="38">
        <v>0</v>
      </c>
      <c r="AA125" s="39">
        <f>+IFERROR((FT_RF_264[[#This Row],[Deforme]]/FT_RF_264[[#This Row],[Muestra]]),"0")</f>
        <v>0</v>
      </c>
      <c r="AB125" s="27"/>
      <c r="AC125" s="38">
        <v>0</v>
      </c>
      <c r="AD125" s="39">
        <f>+IFERROR((FT_RF_264[[#This Row],[Valor Extra 1]]/FT_RF_264[[#This Row],[Muestra]]),"0")</f>
        <v>0</v>
      </c>
      <c r="AF125" s="38">
        <v>0</v>
      </c>
      <c r="AG125" s="39">
        <f>+IFERROR((FT_RF_264[[#This Row],[Valor Extra 2]]/FT_RF_264[[#This Row],[Muestra]]),"0")</f>
        <v>0</v>
      </c>
      <c r="AH125" s="40">
        <v>0</v>
      </c>
      <c r="AI125" s="39">
        <f>+IFERROR((FT_RF_264[[#This Row],[Hongos]]/FT_RF_264[[#This Row],[Muestra]]),"0")</f>
        <v>0</v>
      </c>
      <c r="AJ125" s="38">
        <v>0</v>
      </c>
      <c r="AK125" s="39">
        <f>+IFERROR((FT_RF_264[[#This Row],[Block]]/FT_RF_264[[#This Row],[Muestra]]),"0")</f>
        <v>0</v>
      </c>
      <c r="AL125" s="41">
        <v>0</v>
      </c>
      <c r="AM125" s="42">
        <v>0</v>
      </c>
      <c r="AN125" s="38">
        <v>0</v>
      </c>
      <c r="AO125" s="39">
        <f>+IFERROR((FT_RF_264[[#This Row],[Fuera de calibre &lt;12mm]]/FT_RF_264[[#This Row],[Muestra]]),"0")</f>
        <v>0</v>
      </c>
      <c r="AP125" s="38">
        <v>0</v>
      </c>
      <c r="AQ125" s="39">
        <f>+IFERROR((FT_RF_264[[#This Row],[Calibre &lt;25]]/FT_RF_264[[#This Row],[Muestra]]),"0")</f>
        <v>0</v>
      </c>
      <c r="AR125" s="38">
        <v>0</v>
      </c>
      <c r="AS125" s="39">
        <f>+IFERROR((FT_RF_264[[#This Row],[Calibre &gt;12]]/FT_RF_264[[#This Row],[Muestra]]),"0")</f>
        <v>0</v>
      </c>
      <c r="AT125" s="38">
        <v>0</v>
      </c>
      <c r="AU125" s="39">
        <f>+IFERROR((FT_RF_264[[#This Row],[Calibre &lt;14]]/FT_RF_264[[#This Row],[Muestra]]),"0")</f>
        <v>0</v>
      </c>
      <c r="AV125" s="38">
        <v>0</v>
      </c>
      <c r="AW125" s="39">
        <f>+IFERROR((FT_RF_264[[#This Row],[Calibre &gt;14]]/FT_RF_264[[#This Row],[Muestra]]),"0")</f>
        <v>0</v>
      </c>
      <c r="AX125" s="38">
        <v>0</v>
      </c>
      <c r="AY125" s="39">
        <f>+IFERROR((FT_RF_264[[#This Row],[Calibre &lt;10]]/FT_RF_264[[#This Row],[Muestra]]),"0")</f>
        <v>0</v>
      </c>
      <c r="AZ125" s="38">
        <v>0</v>
      </c>
      <c r="BA125" s="39">
        <f>+IFERROR((FT_RF_264[[#This Row],[Calibre &gt;13]]/FT_RF_264[[#This Row],[Muestra]]),"0")</f>
        <v>0</v>
      </c>
      <c r="BB125" s="41"/>
      <c r="BG125" s="42"/>
      <c r="BH125" s="43">
        <v>0</v>
      </c>
      <c r="BI125" s="29" t="s">
        <v>894</v>
      </c>
      <c r="BJ125" s="29" t="s">
        <v>894</v>
      </c>
      <c r="BK12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2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25" s="45">
        <f>1-FT_RF_264[[#This Row],[% Defectos]]</f>
        <v>1</v>
      </c>
      <c r="BO125" s="60"/>
      <c r="BP125" s="12">
        <f>SUM(FT_RF_264[[#This Row],[Hoja (Un.)]:[Larvas Caja]])</f>
        <v>0</v>
      </c>
      <c r="BQ125" s="12">
        <f>SUM(FT_RF_264[[#This Row],[Vidrios]:[Plástico]])</f>
        <v>0</v>
      </c>
      <c r="BR125" s="12" t="str">
        <f>IF(ISBLANK(FT_RF_264[[#This Row],[Descripción del producto]]),"",FT_RF_264[[#This Row],[Descripción del producto]])</f>
        <v/>
      </c>
      <c r="BS125" s="29" t="str">
        <f>IF(ISBLANK(FT_RF_264[[#This Row],[N° de Lote]]),"",FT_RF_264[[#This Row],[N° de Lote]])</f>
        <v/>
      </c>
      <c r="BT125" s="29" t="str">
        <f>IF(ISBLANK(FT_RF_264[[#This Row],[N° de Pallet]]),"",FT_RF_264[[#This Row],[N° de Pallet]])</f>
        <v/>
      </c>
    </row>
    <row r="126" spans="2:72">
      <c r="B126" s="29">
        <f>+_xlfn.ISOWEEKNUM(FT_RF_264[[#This Row],[Fecha]])</f>
        <v>52</v>
      </c>
      <c r="E126" s="31"/>
      <c r="F126" s="12" t="str">
        <f>IFERROR(""&amp;_xlfn.XLOOKUP(FT_RF_264[[#This Row],[Código]],BD_Cod[SKU],BD_Cod[Descripción]),"")</f>
        <v/>
      </c>
      <c r="G126" s="32" t="str">
        <f>IFERROR(""&amp;_xlfn.XLOOKUP(FT_RF_264[[#This Row],[Código]],BD_Cod[SKU],BD_Cod[Familia Calidad]),"")</f>
        <v/>
      </c>
      <c r="J126" s="33">
        <v>1000</v>
      </c>
      <c r="L126" s="30" t="s">
        <v>244</v>
      </c>
      <c r="O126" s="30" t="s">
        <v>894</v>
      </c>
      <c r="P126" s="29" t="s">
        <v>894</v>
      </c>
      <c r="Q126" s="37">
        <f>1-FT_RF_264[[#This Row],[% Defectos]]</f>
        <v>1</v>
      </c>
      <c r="R126" s="38">
        <v>0</v>
      </c>
      <c r="S126" s="39">
        <f>+IFERROR((FT_RF_264[[#This Row],[Inmadura]]/FT_RF_264[[#This Row],[Muestra]]),"0")</f>
        <v>0</v>
      </c>
      <c r="T126" s="38">
        <v>0</v>
      </c>
      <c r="U126" s="39">
        <f>+IFERROR((FT_RF_264[[#This Row],[Partidas]]/FT_RF_264[[#This Row],[Muestra]]),"0")</f>
        <v>0</v>
      </c>
      <c r="V126" s="38">
        <v>0</v>
      </c>
      <c r="W126" s="39">
        <f>+IFERROR((FT_RF_264[[#This Row],[Daño Insecto]]/FT_RF_264[[#This Row],[Muestra]]),"0")</f>
        <v>0</v>
      </c>
      <c r="X126" s="38">
        <v>0</v>
      </c>
      <c r="Y126" s="39">
        <f>+IFERROR((FT_RF_264[[#This Row],[Sobremadura]]/FT_RF_264[[#This Row],[Muestra]]),"0")</f>
        <v>0</v>
      </c>
      <c r="Z126" s="38">
        <v>0</v>
      </c>
      <c r="AA126" s="39">
        <f>+IFERROR((FT_RF_264[[#This Row],[Deforme]]/FT_RF_264[[#This Row],[Muestra]]),"0")</f>
        <v>0</v>
      </c>
      <c r="AB126" s="27"/>
      <c r="AC126" s="38">
        <v>0</v>
      </c>
      <c r="AD126" s="39">
        <f>+IFERROR((FT_RF_264[[#This Row],[Valor Extra 1]]/FT_RF_264[[#This Row],[Muestra]]),"0")</f>
        <v>0</v>
      </c>
      <c r="AF126" s="38">
        <v>0</v>
      </c>
      <c r="AG126" s="39">
        <f>+IFERROR((FT_RF_264[[#This Row],[Valor Extra 2]]/FT_RF_264[[#This Row],[Muestra]]),"0")</f>
        <v>0</v>
      </c>
      <c r="AH126" s="40">
        <v>0</v>
      </c>
      <c r="AI126" s="39">
        <f>+IFERROR((FT_RF_264[[#This Row],[Hongos]]/FT_RF_264[[#This Row],[Muestra]]),"0")</f>
        <v>0</v>
      </c>
      <c r="AJ126" s="38">
        <v>0</v>
      </c>
      <c r="AK126" s="39">
        <f>+IFERROR((FT_RF_264[[#This Row],[Block]]/FT_RF_264[[#This Row],[Muestra]]),"0")</f>
        <v>0</v>
      </c>
      <c r="AL126" s="41">
        <v>0</v>
      </c>
      <c r="AM126" s="42">
        <v>0</v>
      </c>
      <c r="AN126" s="38">
        <v>0</v>
      </c>
      <c r="AO126" s="39">
        <f>+IFERROR((FT_RF_264[[#This Row],[Fuera de calibre &lt;12mm]]/FT_RF_264[[#This Row],[Muestra]]),"0")</f>
        <v>0</v>
      </c>
      <c r="AP126" s="38">
        <v>0</v>
      </c>
      <c r="AQ126" s="39">
        <f>+IFERROR((FT_RF_264[[#This Row],[Calibre &lt;25]]/FT_RF_264[[#This Row],[Muestra]]),"0")</f>
        <v>0</v>
      </c>
      <c r="AR126" s="38">
        <v>0</v>
      </c>
      <c r="AS126" s="39">
        <f>+IFERROR((FT_RF_264[[#This Row],[Calibre &gt;12]]/FT_RF_264[[#This Row],[Muestra]]),"0")</f>
        <v>0</v>
      </c>
      <c r="AT126" s="38">
        <v>0</v>
      </c>
      <c r="AU126" s="39">
        <f>+IFERROR((FT_RF_264[[#This Row],[Calibre &lt;14]]/FT_RF_264[[#This Row],[Muestra]]),"0")</f>
        <v>0</v>
      </c>
      <c r="AV126" s="38">
        <v>0</v>
      </c>
      <c r="AW126" s="39">
        <f>+IFERROR((FT_RF_264[[#This Row],[Calibre &gt;14]]/FT_RF_264[[#This Row],[Muestra]]),"0")</f>
        <v>0</v>
      </c>
      <c r="AX126" s="38">
        <v>0</v>
      </c>
      <c r="AY126" s="39">
        <f>+IFERROR((FT_RF_264[[#This Row],[Calibre &lt;10]]/FT_RF_264[[#This Row],[Muestra]]),"0")</f>
        <v>0</v>
      </c>
      <c r="AZ126" s="38">
        <v>0</v>
      </c>
      <c r="BA126" s="39">
        <f>+IFERROR((FT_RF_264[[#This Row],[Calibre &gt;13]]/FT_RF_264[[#This Row],[Muestra]]),"0")</f>
        <v>0</v>
      </c>
      <c r="BB126" s="41"/>
      <c r="BG126" s="42"/>
      <c r="BH126" s="43">
        <v>0</v>
      </c>
      <c r="BI126" s="29" t="s">
        <v>894</v>
      </c>
      <c r="BJ126" s="29" t="s">
        <v>894</v>
      </c>
      <c r="BK12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2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26" s="45">
        <f>1-FT_RF_264[[#This Row],[% Defectos]]</f>
        <v>1</v>
      </c>
      <c r="BO126" s="60"/>
      <c r="BP126" s="12">
        <f>SUM(FT_RF_264[[#This Row],[Hoja (Un.)]:[Larvas Caja]])</f>
        <v>0</v>
      </c>
      <c r="BQ126" s="12">
        <f>SUM(FT_RF_264[[#This Row],[Vidrios]:[Plástico]])</f>
        <v>0</v>
      </c>
      <c r="BR126" s="12" t="str">
        <f>IF(ISBLANK(FT_RF_264[[#This Row],[Descripción del producto]]),"",FT_RF_264[[#This Row],[Descripción del producto]])</f>
        <v/>
      </c>
      <c r="BS126" s="29" t="str">
        <f>IF(ISBLANK(FT_RF_264[[#This Row],[N° de Lote]]),"",FT_RF_264[[#This Row],[N° de Lote]])</f>
        <v/>
      </c>
      <c r="BT126" s="29" t="str">
        <f>IF(ISBLANK(FT_RF_264[[#This Row],[N° de Pallet]]),"",FT_RF_264[[#This Row],[N° de Pallet]])</f>
        <v/>
      </c>
    </row>
    <row r="127" spans="2:72">
      <c r="B127" s="29">
        <f>+_xlfn.ISOWEEKNUM(FT_RF_264[[#This Row],[Fecha]])</f>
        <v>52</v>
      </c>
      <c r="E127" s="31"/>
      <c r="F127" s="12" t="str">
        <f>IFERROR(""&amp;_xlfn.XLOOKUP(FT_RF_264[[#This Row],[Código]],BD_Cod[SKU],BD_Cod[Descripción]),"")</f>
        <v/>
      </c>
      <c r="G127" s="32" t="str">
        <f>IFERROR(""&amp;_xlfn.XLOOKUP(FT_RF_264[[#This Row],[Código]],BD_Cod[SKU],BD_Cod[Familia Calidad]),"")</f>
        <v/>
      </c>
      <c r="J127" s="33">
        <v>1000</v>
      </c>
      <c r="L127" s="30" t="s">
        <v>244</v>
      </c>
      <c r="O127" s="30" t="s">
        <v>894</v>
      </c>
      <c r="P127" s="29" t="s">
        <v>894</v>
      </c>
      <c r="Q127" s="37">
        <f>1-FT_RF_264[[#This Row],[% Defectos]]</f>
        <v>1</v>
      </c>
      <c r="R127" s="38">
        <v>0</v>
      </c>
      <c r="S127" s="39">
        <f>+IFERROR((FT_RF_264[[#This Row],[Inmadura]]/FT_RF_264[[#This Row],[Muestra]]),"0")</f>
        <v>0</v>
      </c>
      <c r="T127" s="38">
        <v>0</v>
      </c>
      <c r="U127" s="39">
        <f>+IFERROR((FT_RF_264[[#This Row],[Partidas]]/FT_RF_264[[#This Row],[Muestra]]),"0")</f>
        <v>0</v>
      </c>
      <c r="V127" s="38">
        <v>0</v>
      </c>
      <c r="W127" s="39">
        <f>+IFERROR((FT_RF_264[[#This Row],[Daño Insecto]]/FT_RF_264[[#This Row],[Muestra]]),"0")</f>
        <v>0</v>
      </c>
      <c r="X127" s="38">
        <v>0</v>
      </c>
      <c r="Y127" s="39">
        <f>+IFERROR((FT_RF_264[[#This Row],[Sobremadura]]/FT_RF_264[[#This Row],[Muestra]]),"0")</f>
        <v>0</v>
      </c>
      <c r="Z127" s="38">
        <v>0</v>
      </c>
      <c r="AA127" s="39">
        <f>+IFERROR((FT_RF_264[[#This Row],[Deforme]]/FT_RF_264[[#This Row],[Muestra]]),"0")</f>
        <v>0</v>
      </c>
      <c r="AB127" s="27"/>
      <c r="AC127" s="38">
        <v>0</v>
      </c>
      <c r="AD127" s="39">
        <f>+IFERROR((FT_RF_264[[#This Row],[Valor Extra 1]]/FT_RF_264[[#This Row],[Muestra]]),"0")</f>
        <v>0</v>
      </c>
      <c r="AF127" s="38">
        <v>0</v>
      </c>
      <c r="AG127" s="39">
        <f>+IFERROR((FT_RF_264[[#This Row],[Valor Extra 2]]/FT_RF_264[[#This Row],[Muestra]]),"0")</f>
        <v>0</v>
      </c>
      <c r="AH127" s="40">
        <v>0</v>
      </c>
      <c r="AI127" s="39">
        <f>+IFERROR((FT_RF_264[[#This Row],[Hongos]]/FT_RF_264[[#This Row],[Muestra]]),"0")</f>
        <v>0</v>
      </c>
      <c r="AJ127" s="38">
        <v>0</v>
      </c>
      <c r="AK127" s="39">
        <f>+IFERROR((FT_RF_264[[#This Row],[Block]]/FT_RF_264[[#This Row],[Muestra]]),"0")</f>
        <v>0</v>
      </c>
      <c r="AL127" s="41">
        <v>0</v>
      </c>
      <c r="AM127" s="42">
        <v>0</v>
      </c>
      <c r="AN127" s="38">
        <v>0</v>
      </c>
      <c r="AO127" s="39">
        <f>+IFERROR((FT_RF_264[[#This Row],[Fuera de calibre &lt;12mm]]/FT_RF_264[[#This Row],[Muestra]]),"0")</f>
        <v>0</v>
      </c>
      <c r="AP127" s="38">
        <v>0</v>
      </c>
      <c r="AQ127" s="39">
        <f>+IFERROR((FT_RF_264[[#This Row],[Calibre &lt;25]]/FT_RF_264[[#This Row],[Muestra]]),"0")</f>
        <v>0</v>
      </c>
      <c r="AR127" s="38">
        <v>0</v>
      </c>
      <c r="AS127" s="39">
        <f>+IFERROR((FT_RF_264[[#This Row],[Calibre &gt;12]]/FT_RF_264[[#This Row],[Muestra]]),"0")</f>
        <v>0</v>
      </c>
      <c r="AT127" s="38">
        <v>0</v>
      </c>
      <c r="AU127" s="39">
        <f>+IFERROR((FT_RF_264[[#This Row],[Calibre &lt;14]]/FT_RF_264[[#This Row],[Muestra]]),"0")</f>
        <v>0</v>
      </c>
      <c r="AV127" s="38">
        <v>0</v>
      </c>
      <c r="AW127" s="39">
        <f>+IFERROR((FT_RF_264[[#This Row],[Calibre &gt;14]]/FT_RF_264[[#This Row],[Muestra]]),"0")</f>
        <v>0</v>
      </c>
      <c r="AX127" s="38">
        <v>0</v>
      </c>
      <c r="AY127" s="39">
        <f>+IFERROR((FT_RF_264[[#This Row],[Calibre &lt;10]]/FT_RF_264[[#This Row],[Muestra]]),"0")</f>
        <v>0</v>
      </c>
      <c r="AZ127" s="38">
        <v>0</v>
      </c>
      <c r="BA127" s="39">
        <f>+IFERROR((FT_RF_264[[#This Row],[Calibre &gt;13]]/FT_RF_264[[#This Row],[Muestra]]),"0")</f>
        <v>0</v>
      </c>
      <c r="BB127" s="41"/>
      <c r="BG127" s="42"/>
      <c r="BH127" s="43">
        <v>0</v>
      </c>
      <c r="BI127" s="29" t="s">
        <v>894</v>
      </c>
      <c r="BJ127" s="29" t="s">
        <v>894</v>
      </c>
      <c r="BK12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2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27" s="45">
        <f>1-FT_RF_264[[#This Row],[% Defectos]]</f>
        <v>1</v>
      </c>
      <c r="BO127" s="60"/>
      <c r="BP127" s="12">
        <f>SUM(FT_RF_264[[#This Row],[Hoja (Un.)]:[Larvas Caja]])</f>
        <v>0</v>
      </c>
      <c r="BQ127" s="12">
        <f>SUM(FT_RF_264[[#This Row],[Vidrios]:[Plástico]])</f>
        <v>0</v>
      </c>
      <c r="BR127" s="12" t="str">
        <f>IF(ISBLANK(FT_RF_264[[#This Row],[Descripción del producto]]),"",FT_RF_264[[#This Row],[Descripción del producto]])</f>
        <v/>
      </c>
      <c r="BS127" s="29" t="str">
        <f>IF(ISBLANK(FT_RF_264[[#This Row],[N° de Lote]]),"",FT_RF_264[[#This Row],[N° de Lote]])</f>
        <v/>
      </c>
      <c r="BT127" s="29" t="str">
        <f>IF(ISBLANK(FT_RF_264[[#This Row],[N° de Pallet]]),"",FT_RF_264[[#This Row],[N° de Pallet]])</f>
        <v/>
      </c>
    </row>
    <row r="128" spans="2:72">
      <c r="B128" s="29">
        <f>+_xlfn.ISOWEEKNUM(FT_RF_264[[#This Row],[Fecha]])</f>
        <v>52</v>
      </c>
      <c r="E128" s="31"/>
      <c r="F128" s="12" t="str">
        <f>IFERROR(""&amp;_xlfn.XLOOKUP(FT_RF_264[[#This Row],[Código]],BD_Cod[SKU],BD_Cod[Descripción]),"")</f>
        <v/>
      </c>
      <c r="G128" s="32" t="str">
        <f>IFERROR(""&amp;_xlfn.XLOOKUP(FT_RF_264[[#This Row],[Código]],BD_Cod[SKU],BD_Cod[Familia Calidad]),"")</f>
        <v/>
      </c>
      <c r="J128" s="33">
        <v>1000</v>
      </c>
      <c r="L128" s="30" t="s">
        <v>244</v>
      </c>
      <c r="O128" s="30" t="s">
        <v>894</v>
      </c>
      <c r="P128" s="29" t="s">
        <v>894</v>
      </c>
      <c r="Q128" s="37">
        <f>1-FT_RF_264[[#This Row],[% Defectos]]</f>
        <v>1</v>
      </c>
      <c r="R128" s="38">
        <v>0</v>
      </c>
      <c r="S128" s="39">
        <f>+IFERROR((FT_RF_264[[#This Row],[Inmadura]]/FT_RF_264[[#This Row],[Muestra]]),"0")</f>
        <v>0</v>
      </c>
      <c r="T128" s="38">
        <v>0</v>
      </c>
      <c r="U128" s="39">
        <f>+IFERROR((FT_RF_264[[#This Row],[Partidas]]/FT_RF_264[[#This Row],[Muestra]]),"0")</f>
        <v>0</v>
      </c>
      <c r="V128" s="38">
        <v>0</v>
      </c>
      <c r="W128" s="39">
        <f>+IFERROR((FT_RF_264[[#This Row],[Daño Insecto]]/FT_RF_264[[#This Row],[Muestra]]),"0")</f>
        <v>0</v>
      </c>
      <c r="X128" s="38">
        <v>0</v>
      </c>
      <c r="Y128" s="39">
        <f>+IFERROR((FT_RF_264[[#This Row],[Sobremadura]]/FT_RF_264[[#This Row],[Muestra]]),"0")</f>
        <v>0</v>
      </c>
      <c r="Z128" s="38">
        <v>0</v>
      </c>
      <c r="AA128" s="39">
        <f>+IFERROR((FT_RF_264[[#This Row],[Deforme]]/FT_RF_264[[#This Row],[Muestra]]),"0")</f>
        <v>0</v>
      </c>
      <c r="AB128" s="27"/>
      <c r="AC128" s="38">
        <v>0</v>
      </c>
      <c r="AD128" s="39">
        <f>+IFERROR((FT_RF_264[[#This Row],[Valor Extra 1]]/FT_RF_264[[#This Row],[Muestra]]),"0")</f>
        <v>0</v>
      </c>
      <c r="AF128" s="38">
        <v>0</v>
      </c>
      <c r="AG128" s="39">
        <f>+IFERROR((FT_RF_264[[#This Row],[Valor Extra 2]]/FT_RF_264[[#This Row],[Muestra]]),"0")</f>
        <v>0</v>
      </c>
      <c r="AH128" s="40">
        <v>0</v>
      </c>
      <c r="AI128" s="39">
        <f>+IFERROR((FT_RF_264[[#This Row],[Hongos]]/FT_RF_264[[#This Row],[Muestra]]),"0")</f>
        <v>0</v>
      </c>
      <c r="AJ128" s="38">
        <v>0</v>
      </c>
      <c r="AK128" s="39">
        <f>+IFERROR((FT_RF_264[[#This Row],[Block]]/FT_RF_264[[#This Row],[Muestra]]),"0")</f>
        <v>0</v>
      </c>
      <c r="AL128" s="41">
        <v>0</v>
      </c>
      <c r="AM128" s="42">
        <v>0</v>
      </c>
      <c r="AN128" s="38">
        <v>0</v>
      </c>
      <c r="AO128" s="39">
        <f>+IFERROR((FT_RF_264[[#This Row],[Fuera de calibre &lt;12mm]]/FT_RF_264[[#This Row],[Muestra]]),"0")</f>
        <v>0</v>
      </c>
      <c r="AP128" s="38">
        <v>0</v>
      </c>
      <c r="AQ128" s="39">
        <f>+IFERROR((FT_RF_264[[#This Row],[Calibre &lt;25]]/FT_RF_264[[#This Row],[Muestra]]),"0")</f>
        <v>0</v>
      </c>
      <c r="AR128" s="38">
        <v>0</v>
      </c>
      <c r="AS128" s="39">
        <f>+IFERROR((FT_RF_264[[#This Row],[Calibre &gt;12]]/FT_RF_264[[#This Row],[Muestra]]),"0")</f>
        <v>0</v>
      </c>
      <c r="AT128" s="38">
        <v>0</v>
      </c>
      <c r="AU128" s="39">
        <f>+IFERROR((FT_RF_264[[#This Row],[Calibre &lt;14]]/FT_RF_264[[#This Row],[Muestra]]),"0")</f>
        <v>0</v>
      </c>
      <c r="AV128" s="38">
        <v>0</v>
      </c>
      <c r="AW128" s="39">
        <f>+IFERROR((FT_RF_264[[#This Row],[Calibre &gt;14]]/FT_RF_264[[#This Row],[Muestra]]),"0")</f>
        <v>0</v>
      </c>
      <c r="AX128" s="38">
        <v>0</v>
      </c>
      <c r="AY128" s="39">
        <f>+IFERROR((FT_RF_264[[#This Row],[Calibre &lt;10]]/FT_RF_264[[#This Row],[Muestra]]),"0")</f>
        <v>0</v>
      </c>
      <c r="AZ128" s="38">
        <v>0</v>
      </c>
      <c r="BA128" s="39">
        <f>+IFERROR((FT_RF_264[[#This Row],[Calibre &gt;13]]/FT_RF_264[[#This Row],[Muestra]]),"0")</f>
        <v>0</v>
      </c>
      <c r="BB128" s="41"/>
      <c r="BG128" s="42"/>
      <c r="BH128" s="43">
        <v>0</v>
      </c>
      <c r="BI128" s="29" t="s">
        <v>894</v>
      </c>
      <c r="BJ128" s="29" t="s">
        <v>894</v>
      </c>
      <c r="BK12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2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28" s="45">
        <f>1-FT_RF_264[[#This Row],[% Defectos]]</f>
        <v>1</v>
      </c>
      <c r="BO128" s="60"/>
      <c r="BP128" s="12">
        <f>SUM(FT_RF_264[[#This Row],[Hoja (Un.)]:[Larvas Caja]])</f>
        <v>0</v>
      </c>
      <c r="BQ128" s="12">
        <f>SUM(FT_RF_264[[#This Row],[Vidrios]:[Plástico]])</f>
        <v>0</v>
      </c>
      <c r="BR128" s="12" t="str">
        <f>IF(ISBLANK(FT_RF_264[[#This Row],[Descripción del producto]]),"",FT_RF_264[[#This Row],[Descripción del producto]])</f>
        <v/>
      </c>
      <c r="BS128" s="29" t="str">
        <f>IF(ISBLANK(FT_RF_264[[#This Row],[N° de Lote]]),"",FT_RF_264[[#This Row],[N° de Lote]])</f>
        <v/>
      </c>
      <c r="BT128" s="29" t="str">
        <f>IF(ISBLANK(FT_RF_264[[#This Row],[N° de Pallet]]),"",FT_RF_264[[#This Row],[N° de Pallet]])</f>
        <v/>
      </c>
    </row>
    <row r="129" spans="2:72">
      <c r="B129" s="29">
        <f>+_xlfn.ISOWEEKNUM(FT_RF_264[[#This Row],[Fecha]])</f>
        <v>52</v>
      </c>
      <c r="E129" s="31"/>
      <c r="F129" s="12" t="str">
        <f>IFERROR(""&amp;_xlfn.XLOOKUP(FT_RF_264[[#This Row],[Código]],BD_Cod[SKU],BD_Cod[Descripción]),"")</f>
        <v/>
      </c>
      <c r="G129" s="32" t="str">
        <f>IFERROR(""&amp;_xlfn.XLOOKUP(FT_RF_264[[#This Row],[Código]],BD_Cod[SKU],BD_Cod[Familia Calidad]),"")</f>
        <v/>
      </c>
      <c r="J129" s="33">
        <v>1000</v>
      </c>
      <c r="L129" s="30" t="s">
        <v>244</v>
      </c>
      <c r="O129" s="30" t="s">
        <v>894</v>
      </c>
      <c r="P129" s="29" t="s">
        <v>894</v>
      </c>
      <c r="Q129" s="37">
        <f>1-FT_RF_264[[#This Row],[% Defectos]]</f>
        <v>1</v>
      </c>
      <c r="R129" s="38">
        <v>0</v>
      </c>
      <c r="S129" s="39">
        <f>+IFERROR((FT_RF_264[[#This Row],[Inmadura]]/FT_RF_264[[#This Row],[Muestra]]),"0")</f>
        <v>0</v>
      </c>
      <c r="T129" s="38">
        <v>0</v>
      </c>
      <c r="U129" s="39">
        <f>+IFERROR((FT_RF_264[[#This Row],[Partidas]]/FT_RF_264[[#This Row],[Muestra]]),"0")</f>
        <v>0</v>
      </c>
      <c r="V129" s="38">
        <v>0</v>
      </c>
      <c r="W129" s="39">
        <f>+IFERROR((FT_RF_264[[#This Row],[Daño Insecto]]/FT_RF_264[[#This Row],[Muestra]]),"0")</f>
        <v>0</v>
      </c>
      <c r="X129" s="38">
        <v>0</v>
      </c>
      <c r="Y129" s="39">
        <f>+IFERROR((FT_RF_264[[#This Row],[Sobremadura]]/FT_RF_264[[#This Row],[Muestra]]),"0")</f>
        <v>0</v>
      </c>
      <c r="Z129" s="38">
        <v>0</v>
      </c>
      <c r="AA129" s="39">
        <f>+IFERROR((FT_RF_264[[#This Row],[Deforme]]/FT_RF_264[[#This Row],[Muestra]]),"0")</f>
        <v>0</v>
      </c>
      <c r="AB129" s="27"/>
      <c r="AC129" s="38">
        <v>0</v>
      </c>
      <c r="AD129" s="39">
        <f>+IFERROR((FT_RF_264[[#This Row],[Valor Extra 1]]/FT_RF_264[[#This Row],[Muestra]]),"0")</f>
        <v>0</v>
      </c>
      <c r="AF129" s="38">
        <v>0</v>
      </c>
      <c r="AG129" s="39">
        <f>+IFERROR((FT_RF_264[[#This Row],[Valor Extra 2]]/FT_RF_264[[#This Row],[Muestra]]),"0")</f>
        <v>0</v>
      </c>
      <c r="AH129" s="40">
        <v>0</v>
      </c>
      <c r="AI129" s="39">
        <f>+IFERROR((FT_RF_264[[#This Row],[Hongos]]/FT_RF_264[[#This Row],[Muestra]]),"0")</f>
        <v>0</v>
      </c>
      <c r="AJ129" s="38">
        <v>0</v>
      </c>
      <c r="AK129" s="39">
        <f>+IFERROR((FT_RF_264[[#This Row],[Block]]/FT_RF_264[[#This Row],[Muestra]]),"0")</f>
        <v>0</v>
      </c>
      <c r="AL129" s="41">
        <v>0</v>
      </c>
      <c r="AM129" s="42">
        <v>0</v>
      </c>
      <c r="AN129" s="38">
        <v>0</v>
      </c>
      <c r="AO129" s="39">
        <f>+IFERROR((FT_RF_264[[#This Row],[Fuera de calibre &lt;12mm]]/FT_RF_264[[#This Row],[Muestra]]),"0")</f>
        <v>0</v>
      </c>
      <c r="AP129" s="38">
        <v>0</v>
      </c>
      <c r="AQ129" s="39">
        <f>+IFERROR((FT_RF_264[[#This Row],[Calibre &lt;25]]/FT_RF_264[[#This Row],[Muestra]]),"0")</f>
        <v>0</v>
      </c>
      <c r="AR129" s="38">
        <v>0</v>
      </c>
      <c r="AS129" s="39">
        <f>+IFERROR((FT_RF_264[[#This Row],[Calibre &gt;12]]/FT_RF_264[[#This Row],[Muestra]]),"0")</f>
        <v>0</v>
      </c>
      <c r="AT129" s="38">
        <v>0</v>
      </c>
      <c r="AU129" s="39">
        <f>+IFERROR((FT_RF_264[[#This Row],[Calibre &lt;14]]/FT_RF_264[[#This Row],[Muestra]]),"0")</f>
        <v>0</v>
      </c>
      <c r="AV129" s="38">
        <v>0</v>
      </c>
      <c r="AW129" s="39">
        <f>+IFERROR((FT_RF_264[[#This Row],[Calibre &gt;14]]/FT_RF_264[[#This Row],[Muestra]]),"0")</f>
        <v>0</v>
      </c>
      <c r="AX129" s="38">
        <v>0</v>
      </c>
      <c r="AY129" s="39">
        <f>+IFERROR((FT_RF_264[[#This Row],[Calibre &lt;10]]/FT_RF_264[[#This Row],[Muestra]]),"0")</f>
        <v>0</v>
      </c>
      <c r="AZ129" s="38">
        <v>0</v>
      </c>
      <c r="BA129" s="39">
        <f>+IFERROR((FT_RF_264[[#This Row],[Calibre &gt;13]]/FT_RF_264[[#This Row],[Muestra]]),"0")</f>
        <v>0</v>
      </c>
      <c r="BB129" s="41"/>
      <c r="BG129" s="42"/>
      <c r="BH129" s="43">
        <v>0</v>
      </c>
      <c r="BI129" s="29" t="s">
        <v>894</v>
      </c>
      <c r="BJ129" s="29" t="s">
        <v>894</v>
      </c>
      <c r="BK12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2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29" s="45">
        <f>1-FT_RF_264[[#This Row],[% Defectos]]</f>
        <v>1</v>
      </c>
      <c r="BO129" s="60"/>
      <c r="BP129" s="12">
        <f>SUM(FT_RF_264[[#This Row],[Hoja (Un.)]:[Larvas Caja]])</f>
        <v>0</v>
      </c>
      <c r="BQ129" s="12">
        <f>SUM(FT_RF_264[[#This Row],[Vidrios]:[Plástico]])</f>
        <v>0</v>
      </c>
      <c r="BR129" s="12" t="str">
        <f>IF(ISBLANK(FT_RF_264[[#This Row],[Descripción del producto]]),"",FT_RF_264[[#This Row],[Descripción del producto]])</f>
        <v/>
      </c>
      <c r="BS129" s="29" t="str">
        <f>IF(ISBLANK(FT_RF_264[[#This Row],[N° de Lote]]),"",FT_RF_264[[#This Row],[N° de Lote]])</f>
        <v/>
      </c>
      <c r="BT129" s="29" t="str">
        <f>IF(ISBLANK(FT_RF_264[[#This Row],[N° de Pallet]]),"",FT_RF_264[[#This Row],[N° de Pallet]])</f>
        <v/>
      </c>
    </row>
    <row r="130" spans="2:72">
      <c r="B130" s="29">
        <f>+_xlfn.ISOWEEKNUM(FT_RF_264[[#This Row],[Fecha]])</f>
        <v>52</v>
      </c>
      <c r="E130" s="31"/>
      <c r="F130" s="12" t="str">
        <f>IFERROR(""&amp;_xlfn.XLOOKUP(FT_RF_264[[#This Row],[Código]],BD_Cod[SKU],BD_Cod[Descripción]),"")</f>
        <v/>
      </c>
      <c r="G130" s="32" t="str">
        <f>IFERROR(""&amp;_xlfn.XLOOKUP(FT_RF_264[[#This Row],[Código]],BD_Cod[SKU],BD_Cod[Familia Calidad]),"")</f>
        <v/>
      </c>
      <c r="J130" s="33">
        <v>1000</v>
      </c>
      <c r="L130" s="30" t="s">
        <v>244</v>
      </c>
      <c r="O130" s="30" t="s">
        <v>894</v>
      </c>
      <c r="P130" s="29" t="s">
        <v>894</v>
      </c>
      <c r="Q130" s="37">
        <f>1-FT_RF_264[[#This Row],[% Defectos]]</f>
        <v>1</v>
      </c>
      <c r="R130" s="38">
        <v>0</v>
      </c>
      <c r="S130" s="39">
        <f>+IFERROR((FT_RF_264[[#This Row],[Inmadura]]/FT_RF_264[[#This Row],[Muestra]]),"0")</f>
        <v>0</v>
      </c>
      <c r="T130" s="38">
        <v>0</v>
      </c>
      <c r="U130" s="39">
        <f>+IFERROR((FT_RF_264[[#This Row],[Partidas]]/FT_RF_264[[#This Row],[Muestra]]),"0")</f>
        <v>0</v>
      </c>
      <c r="V130" s="38">
        <v>0</v>
      </c>
      <c r="W130" s="39">
        <f>+IFERROR((FT_RF_264[[#This Row],[Daño Insecto]]/FT_RF_264[[#This Row],[Muestra]]),"0")</f>
        <v>0</v>
      </c>
      <c r="X130" s="38">
        <v>0</v>
      </c>
      <c r="Y130" s="39">
        <f>+IFERROR((FT_RF_264[[#This Row],[Sobremadura]]/FT_RF_264[[#This Row],[Muestra]]),"0")</f>
        <v>0</v>
      </c>
      <c r="Z130" s="38">
        <v>0</v>
      </c>
      <c r="AA130" s="39">
        <f>+IFERROR((FT_RF_264[[#This Row],[Deforme]]/FT_RF_264[[#This Row],[Muestra]]),"0")</f>
        <v>0</v>
      </c>
      <c r="AB130" s="27"/>
      <c r="AC130" s="38">
        <v>0</v>
      </c>
      <c r="AD130" s="39">
        <f>+IFERROR((FT_RF_264[[#This Row],[Valor Extra 1]]/FT_RF_264[[#This Row],[Muestra]]),"0")</f>
        <v>0</v>
      </c>
      <c r="AF130" s="38">
        <v>0</v>
      </c>
      <c r="AG130" s="39">
        <f>+IFERROR((FT_RF_264[[#This Row],[Valor Extra 2]]/FT_RF_264[[#This Row],[Muestra]]),"0")</f>
        <v>0</v>
      </c>
      <c r="AH130" s="40">
        <v>0</v>
      </c>
      <c r="AI130" s="39">
        <f>+IFERROR((FT_RF_264[[#This Row],[Hongos]]/FT_RF_264[[#This Row],[Muestra]]),"0")</f>
        <v>0</v>
      </c>
      <c r="AJ130" s="38">
        <v>0</v>
      </c>
      <c r="AK130" s="39">
        <f>+IFERROR((FT_RF_264[[#This Row],[Block]]/FT_RF_264[[#This Row],[Muestra]]),"0")</f>
        <v>0</v>
      </c>
      <c r="AL130" s="41">
        <v>0</v>
      </c>
      <c r="AM130" s="42">
        <v>0</v>
      </c>
      <c r="AN130" s="38">
        <v>0</v>
      </c>
      <c r="AO130" s="39">
        <f>+IFERROR((FT_RF_264[[#This Row],[Fuera de calibre &lt;12mm]]/FT_RF_264[[#This Row],[Muestra]]),"0")</f>
        <v>0</v>
      </c>
      <c r="AP130" s="38">
        <v>0</v>
      </c>
      <c r="AQ130" s="39">
        <f>+IFERROR((FT_RF_264[[#This Row],[Calibre &lt;25]]/FT_RF_264[[#This Row],[Muestra]]),"0")</f>
        <v>0</v>
      </c>
      <c r="AR130" s="38">
        <v>0</v>
      </c>
      <c r="AS130" s="39">
        <f>+IFERROR((FT_RF_264[[#This Row],[Calibre &gt;12]]/FT_RF_264[[#This Row],[Muestra]]),"0")</f>
        <v>0</v>
      </c>
      <c r="AT130" s="38">
        <v>0</v>
      </c>
      <c r="AU130" s="39">
        <f>+IFERROR((FT_RF_264[[#This Row],[Calibre &lt;14]]/FT_RF_264[[#This Row],[Muestra]]),"0")</f>
        <v>0</v>
      </c>
      <c r="AV130" s="38">
        <v>0</v>
      </c>
      <c r="AW130" s="39">
        <f>+IFERROR((FT_RF_264[[#This Row],[Calibre &gt;14]]/FT_RF_264[[#This Row],[Muestra]]),"0")</f>
        <v>0</v>
      </c>
      <c r="AX130" s="38">
        <v>0</v>
      </c>
      <c r="AY130" s="39">
        <f>+IFERROR((FT_RF_264[[#This Row],[Calibre &lt;10]]/FT_RF_264[[#This Row],[Muestra]]),"0")</f>
        <v>0</v>
      </c>
      <c r="AZ130" s="38">
        <v>0</v>
      </c>
      <c r="BA130" s="39">
        <f>+IFERROR((FT_RF_264[[#This Row],[Calibre &gt;13]]/FT_RF_264[[#This Row],[Muestra]]),"0")</f>
        <v>0</v>
      </c>
      <c r="BB130" s="41"/>
      <c r="BG130" s="42"/>
      <c r="BH130" s="43">
        <v>0</v>
      </c>
      <c r="BI130" s="29" t="s">
        <v>894</v>
      </c>
      <c r="BJ130" s="29" t="s">
        <v>894</v>
      </c>
      <c r="BK13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3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30" s="45">
        <f>1-FT_RF_264[[#This Row],[% Defectos]]</f>
        <v>1</v>
      </c>
      <c r="BO130" s="60"/>
      <c r="BP130" s="12">
        <f>SUM(FT_RF_264[[#This Row],[Hoja (Un.)]:[Larvas Caja]])</f>
        <v>0</v>
      </c>
      <c r="BQ130" s="12">
        <f>SUM(FT_RF_264[[#This Row],[Vidrios]:[Plástico]])</f>
        <v>0</v>
      </c>
      <c r="BR130" s="12" t="str">
        <f>IF(ISBLANK(FT_RF_264[[#This Row],[Descripción del producto]]),"",FT_RF_264[[#This Row],[Descripción del producto]])</f>
        <v/>
      </c>
      <c r="BS130" s="29" t="str">
        <f>IF(ISBLANK(FT_RF_264[[#This Row],[N° de Lote]]),"",FT_RF_264[[#This Row],[N° de Lote]])</f>
        <v/>
      </c>
      <c r="BT130" s="29" t="str">
        <f>IF(ISBLANK(FT_RF_264[[#This Row],[N° de Pallet]]),"",FT_RF_264[[#This Row],[N° de Pallet]])</f>
        <v/>
      </c>
    </row>
    <row r="131" spans="2:72">
      <c r="B131" s="29">
        <f>+_xlfn.ISOWEEKNUM(FT_RF_264[[#This Row],[Fecha]])</f>
        <v>52</v>
      </c>
      <c r="E131" s="31"/>
      <c r="F131" s="12" t="str">
        <f>IFERROR(""&amp;_xlfn.XLOOKUP(FT_RF_264[[#This Row],[Código]],BD_Cod[SKU],BD_Cod[Descripción]),"")</f>
        <v/>
      </c>
      <c r="G131" s="32" t="str">
        <f>IFERROR(""&amp;_xlfn.XLOOKUP(FT_RF_264[[#This Row],[Código]],BD_Cod[SKU],BD_Cod[Familia Calidad]),"")</f>
        <v/>
      </c>
      <c r="J131" s="33">
        <v>1000</v>
      </c>
      <c r="L131" s="30" t="s">
        <v>244</v>
      </c>
      <c r="O131" s="30" t="s">
        <v>894</v>
      </c>
      <c r="P131" s="29" t="s">
        <v>894</v>
      </c>
      <c r="Q131" s="37">
        <f>1-FT_RF_264[[#This Row],[% Defectos]]</f>
        <v>1</v>
      </c>
      <c r="R131" s="38">
        <v>0</v>
      </c>
      <c r="S131" s="39">
        <f>+IFERROR((FT_RF_264[[#This Row],[Inmadura]]/FT_RF_264[[#This Row],[Muestra]]),"0")</f>
        <v>0</v>
      </c>
      <c r="T131" s="38">
        <v>0</v>
      </c>
      <c r="U131" s="39">
        <f>+IFERROR((FT_RF_264[[#This Row],[Partidas]]/FT_RF_264[[#This Row],[Muestra]]),"0")</f>
        <v>0</v>
      </c>
      <c r="V131" s="38">
        <v>0</v>
      </c>
      <c r="W131" s="39">
        <f>+IFERROR((FT_RF_264[[#This Row],[Daño Insecto]]/FT_RF_264[[#This Row],[Muestra]]),"0")</f>
        <v>0</v>
      </c>
      <c r="X131" s="38">
        <v>0</v>
      </c>
      <c r="Y131" s="39">
        <f>+IFERROR((FT_RF_264[[#This Row],[Sobremadura]]/FT_RF_264[[#This Row],[Muestra]]),"0")</f>
        <v>0</v>
      </c>
      <c r="Z131" s="38">
        <v>0</v>
      </c>
      <c r="AA131" s="39">
        <f>+IFERROR((FT_RF_264[[#This Row],[Deforme]]/FT_RF_264[[#This Row],[Muestra]]),"0")</f>
        <v>0</v>
      </c>
      <c r="AB131" s="27"/>
      <c r="AC131" s="38">
        <v>0</v>
      </c>
      <c r="AD131" s="39">
        <f>+IFERROR((FT_RF_264[[#This Row],[Valor Extra 1]]/FT_RF_264[[#This Row],[Muestra]]),"0")</f>
        <v>0</v>
      </c>
      <c r="AF131" s="38">
        <v>0</v>
      </c>
      <c r="AG131" s="39">
        <f>+IFERROR((FT_RF_264[[#This Row],[Valor Extra 2]]/FT_RF_264[[#This Row],[Muestra]]),"0")</f>
        <v>0</v>
      </c>
      <c r="AH131" s="40">
        <v>0</v>
      </c>
      <c r="AI131" s="39">
        <f>+IFERROR((FT_RF_264[[#This Row],[Hongos]]/FT_RF_264[[#This Row],[Muestra]]),"0")</f>
        <v>0</v>
      </c>
      <c r="AJ131" s="38">
        <v>0</v>
      </c>
      <c r="AK131" s="39">
        <f>+IFERROR((FT_RF_264[[#This Row],[Block]]/FT_RF_264[[#This Row],[Muestra]]),"0")</f>
        <v>0</v>
      </c>
      <c r="AL131" s="41">
        <v>0</v>
      </c>
      <c r="AM131" s="42">
        <v>0</v>
      </c>
      <c r="AN131" s="38">
        <v>0</v>
      </c>
      <c r="AO131" s="39">
        <f>+IFERROR((FT_RF_264[[#This Row],[Fuera de calibre &lt;12mm]]/FT_RF_264[[#This Row],[Muestra]]),"0")</f>
        <v>0</v>
      </c>
      <c r="AP131" s="38">
        <v>0</v>
      </c>
      <c r="AQ131" s="39">
        <f>+IFERROR((FT_RF_264[[#This Row],[Calibre &lt;25]]/FT_RF_264[[#This Row],[Muestra]]),"0")</f>
        <v>0</v>
      </c>
      <c r="AR131" s="38">
        <v>0</v>
      </c>
      <c r="AS131" s="39">
        <f>+IFERROR((FT_RF_264[[#This Row],[Calibre &gt;12]]/FT_RF_264[[#This Row],[Muestra]]),"0")</f>
        <v>0</v>
      </c>
      <c r="AT131" s="38">
        <v>0</v>
      </c>
      <c r="AU131" s="39">
        <f>+IFERROR((FT_RF_264[[#This Row],[Calibre &lt;14]]/FT_RF_264[[#This Row],[Muestra]]),"0")</f>
        <v>0</v>
      </c>
      <c r="AV131" s="38">
        <v>0</v>
      </c>
      <c r="AW131" s="39">
        <f>+IFERROR((FT_RF_264[[#This Row],[Calibre &gt;14]]/FT_RF_264[[#This Row],[Muestra]]),"0")</f>
        <v>0</v>
      </c>
      <c r="AX131" s="38">
        <v>0</v>
      </c>
      <c r="AY131" s="39">
        <f>+IFERROR((FT_RF_264[[#This Row],[Calibre &lt;10]]/FT_RF_264[[#This Row],[Muestra]]),"0")</f>
        <v>0</v>
      </c>
      <c r="AZ131" s="38">
        <v>0</v>
      </c>
      <c r="BA131" s="39">
        <f>+IFERROR((FT_RF_264[[#This Row],[Calibre &gt;13]]/FT_RF_264[[#This Row],[Muestra]]),"0")</f>
        <v>0</v>
      </c>
      <c r="BB131" s="41"/>
      <c r="BG131" s="42"/>
      <c r="BH131" s="43">
        <v>0</v>
      </c>
      <c r="BI131" s="29" t="s">
        <v>894</v>
      </c>
      <c r="BJ131" s="29" t="s">
        <v>894</v>
      </c>
      <c r="BK13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3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31" s="45">
        <f>1-FT_RF_264[[#This Row],[% Defectos]]</f>
        <v>1</v>
      </c>
      <c r="BO131" s="60"/>
      <c r="BP131" s="12">
        <f>SUM(FT_RF_264[[#This Row],[Hoja (Un.)]:[Larvas Caja]])</f>
        <v>0</v>
      </c>
      <c r="BQ131" s="12">
        <f>SUM(FT_RF_264[[#This Row],[Vidrios]:[Plástico]])</f>
        <v>0</v>
      </c>
      <c r="BR131" s="12" t="str">
        <f>IF(ISBLANK(FT_RF_264[[#This Row],[Descripción del producto]]),"",FT_RF_264[[#This Row],[Descripción del producto]])</f>
        <v/>
      </c>
      <c r="BS131" s="29" t="str">
        <f>IF(ISBLANK(FT_RF_264[[#This Row],[N° de Lote]]),"",FT_RF_264[[#This Row],[N° de Lote]])</f>
        <v/>
      </c>
      <c r="BT131" s="29" t="str">
        <f>IF(ISBLANK(FT_RF_264[[#This Row],[N° de Pallet]]),"",FT_RF_264[[#This Row],[N° de Pallet]])</f>
        <v/>
      </c>
    </row>
    <row r="132" spans="2:72">
      <c r="B132" s="29">
        <f>+_xlfn.ISOWEEKNUM(FT_RF_264[[#This Row],[Fecha]])</f>
        <v>52</v>
      </c>
      <c r="E132" s="31"/>
      <c r="F132" s="12" t="str">
        <f>IFERROR(""&amp;_xlfn.XLOOKUP(FT_RF_264[[#This Row],[Código]],BD_Cod[SKU],BD_Cod[Descripción]),"")</f>
        <v/>
      </c>
      <c r="G132" s="32" t="str">
        <f>IFERROR(""&amp;_xlfn.XLOOKUP(FT_RF_264[[#This Row],[Código]],BD_Cod[SKU],BD_Cod[Familia Calidad]),"")</f>
        <v/>
      </c>
      <c r="J132" s="33">
        <v>1000</v>
      </c>
      <c r="L132" s="30" t="s">
        <v>244</v>
      </c>
      <c r="O132" s="30" t="s">
        <v>894</v>
      </c>
      <c r="P132" s="29" t="s">
        <v>894</v>
      </c>
      <c r="Q132" s="37">
        <f>1-FT_RF_264[[#This Row],[% Defectos]]</f>
        <v>1</v>
      </c>
      <c r="R132" s="38">
        <v>0</v>
      </c>
      <c r="S132" s="39">
        <f>+IFERROR((FT_RF_264[[#This Row],[Inmadura]]/FT_RF_264[[#This Row],[Muestra]]),"0")</f>
        <v>0</v>
      </c>
      <c r="T132" s="38">
        <v>0</v>
      </c>
      <c r="U132" s="39">
        <f>+IFERROR((FT_RF_264[[#This Row],[Partidas]]/FT_RF_264[[#This Row],[Muestra]]),"0")</f>
        <v>0</v>
      </c>
      <c r="V132" s="38">
        <v>0</v>
      </c>
      <c r="W132" s="39">
        <f>+IFERROR((FT_RF_264[[#This Row],[Daño Insecto]]/FT_RF_264[[#This Row],[Muestra]]),"0")</f>
        <v>0</v>
      </c>
      <c r="X132" s="38">
        <v>0</v>
      </c>
      <c r="Y132" s="39">
        <f>+IFERROR((FT_RF_264[[#This Row],[Sobremadura]]/FT_RF_264[[#This Row],[Muestra]]),"0")</f>
        <v>0</v>
      </c>
      <c r="Z132" s="38">
        <v>0</v>
      </c>
      <c r="AA132" s="39">
        <f>+IFERROR((FT_RF_264[[#This Row],[Deforme]]/FT_RF_264[[#This Row],[Muestra]]),"0")</f>
        <v>0</v>
      </c>
      <c r="AB132" s="27"/>
      <c r="AC132" s="38">
        <v>0</v>
      </c>
      <c r="AD132" s="39">
        <f>+IFERROR((FT_RF_264[[#This Row],[Valor Extra 1]]/FT_RF_264[[#This Row],[Muestra]]),"0")</f>
        <v>0</v>
      </c>
      <c r="AF132" s="38">
        <v>0</v>
      </c>
      <c r="AG132" s="39">
        <f>+IFERROR((FT_RF_264[[#This Row],[Valor Extra 2]]/FT_RF_264[[#This Row],[Muestra]]),"0")</f>
        <v>0</v>
      </c>
      <c r="AH132" s="40">
        <v>0</v>
      </c>
      <c r="AI132" s="39">
        <f>+IFERROR((FT_RF_264[[#This Row],[Hongos]]/FT_RF_264[[#This Row],[Muestra]]),"0")</f>
        <v>0</v>
      </c>
      <c r="AJ132" s="38">
        <v>0</v>
      </c>
      <c r="AK132" s="39">
        <f>+IFERROR((FT_RF_264[[#This Row],[Block]]/FT_RF_264[[#This Row],[Muestra]]),"0")</f>
        <v>0</v>
      </c>
      <c r="AL132" s="41">
        <v>0</v>
      </c>
      <c r="AM132" s="42">
        <v>0</v>
      </c>
      <c r="AN132" s="38">
        <v>0</v>
      </c>
      <c r="AO132" s="39">
        <f>+IFERROR((FT_RF_264[[#This Row],[Fuera de calibre &lt;12mm]]/FT_RF_264[[#This Row],[Muestra]]),"0")</f>
        <v>0</v>
      </c>
      <c r="AP132" s="38">
        <v>0</v>
      </c>
      <c r="AQ132" s="39">
        <f>+IFERROR((FT_RF_264[[#This Row],[Calibre &lt;25]]/FT_RF_264[[#This Row],[Muestra]]),"0")</f>
        <v>0</v>
      </c>
      <c r="AR132" s="38">
        <v>0</v>
      </c>
      <c r="AS132" s="39">
        <f>+IFERROR((FT_RF_264[[#This Row],[Calibre &gt;12]]/FT_RF_264[[#This Row],[Muestra]]),"0")</f>
        <v>0</v>
      </c>
      <c r="AT132" s="38">
        <v>0</v>
      </c>
      <c r="AU132" s="39">
        <f>+IFERROR((FT_RF_264[[#This Row],[Calibre &lt;14]]/FT_RF_264[[#This Row],[Muestra]]),"0")</f>
        <v>0</v>
      </c>
      <c r="AV132" s="38">
        <v>0</v>
      </c>
      <c r="AW132" s="39">
        <f>+IFERROR((FT_RF_264[[#This Row],[Calibre &gt;14]]/FT_RF_264[[#This Row],[Muestra]]),"0")</f>
        <v>0</v>
      </c>
      <c r="AX132" s="38">
        <v>0</v>
      </c>
      <c r="AY132" s="39">
        <f>+IFERROR((FT_RF_264[[#This Row],[Calibre &lt;10]]/FT_RF_264[[#This Row],[Muestra]]),"0")</f>
        <v>0</v>
      </c>
      <c r="AZ132" s="38">
        <v>0</v>
      </c>
      <c r="BA132" s="39">
        <f>+IFERROR((FT_RF_264[[#This Row],[Calibre &gt;13]]/FT_RF_264[[#This Row],[Muestra]]),"0")</f>
        <v>0</v>
      </c>
      <c r="BB132" s="41"/>
      <c r="BG132" s="42"/>
      <c r="BH132" s="43">
        <v>0</v>
      </c>
      <c r="BI132" s="29" t="s">
        <v>894</v>
      </c>
      <c r="BJ132" s="29" t="s">
        <v>894</v>
      </c>
      <c r="BK13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3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32" s="45">
        <f>1-FT_RF_264[[#This Row],[% Defectos]]</f>
        <v>1</v>
      </c>
      <c r="BO132" s="60"/>
      <c r="BP132" s="12">
        <f>SUM(FT_RF_264[[#This Row],[Hoja (Un.)]:[Larvas Caja]])</f>
        <v>0</v>
      </c>
      <c r="BQ132" s="12">
        <f>SUM(FT_RF_264[[#This Row],[Vidrios]:[Plástico]])</f>
        <v>0</v>
      </c>
      <c r="BR132" s="12" t="str">
        <f>IF(ISBLANK(FT_RF_264[[#This Row],[Descripción del producto]]),"",FT_RF_264[[#This Row],[Descripción del producto]])</f>
        <v/>
      </c>
      <c r="BS132" s="29" t="str">
        <f>IF(ISBLANK(FT_RF_264[[#This Row],[N° de Lote]]),"",FT_RF_264[[#This Row],[N° de Lote]])</f>
        <v/>
      </c>
      <c r="BT132" s="29" t="str">
        <f>IF(ISBLANK(FT_RF_264[[#This Row],[N° de Pallet]]),"",FT_RF_264[[#This Row],[N° de Pallet]])</f>
        <v/>
      </c>
    </row>
    <row r="133" spans="2:72">
      <c r="B133" s="29">
        <f>+_xlfn.ISOWEEKNUM(FT_RF_264[[#This Row],[Fecha]])</f>
        <v>52</v>
      </c>
      <c r="E133" s="31"/>
      <c r="F133" s="12" t="str">
        <f>IFERROR(""&amp;_xlfn.XLOOKUP(FT_RF_264[[#This Row],[Código]],BD_Cod[SKU],BD_Cod[Descripción]),"")</f>
        <v/>
      </c>
      <c r="G133" s="32" t="str">
        <f>IFERROR(""&amp;_xlfn.XLOOKUP(FT_RF_264[[#This Row],[Código]],BD_Cod[SKU],BD_Cod[Familia Calidad]),"")</f>
        <v/>
      </c>
      <c r="J133" s="33">
        <v>1000</v>
      </c>
      <c r="L133" s="30" t="s">
        <v>244</v>
      </c>
      <c r="O133" s="30" t="s">
        <v>894</v>
      </c>
      <c r="P133" s="29" t="s">
        <v>894</v>
      </c>
      <c r="Q133" s="37">
        <f>1-FT_RF_264[[#This Row],[% Defectos]]</f>
        <v>1</v>
      </c>
      <c r="R133" s="38">
        <v>0</v>
      </c>
      <c r="S133" s="39">
        <f>+IFERROR((FT_RF_264[[#This Row],[Inmadura]]/FT_RF_264[[#This Row],[Muestra]]),"0")</f>
        <v>0</v>
      </c>
      <c r="T133" s="38">
        <v>0</v>
      </c>
      <c r="U133" s="39">
        <f>+IFERROR((FT_RF_264[[#This Row],[Partidas]]/FT_RF_264[[#This Row],[Muestra]]),"0")</f>
        <v>0</v>
      </c>
      <c r="V133" s="38">
        <v>0</v>
      </c>
      <c r="W133" s="39">
        <f>+IFERROR((FT_RF_264[[#This Row],[Daño Insecto]]/FT_RF_264[[#This Row],[Muestra]]),"0")</f>
        <v>0</v>
      </c>
      <c r="X133" s="38">
        <v>0</v>
      </c>
      <c r="Y133" s="39">
        <f>+IFERROR((FT_RF_264[[#This Row],[Sobremadura]]/FT_RF_264[[#This Row],[Muestra]]),"0")</f>
        <v>0</v>
      </c>
      <c r="Z133" s="38">
        <v>0</v>
      </c>
      <c r="AA133" s="39">
        <f>+IFERROR((FT_RF_264[[#This Row],[Deforme]]/FT_RF_264[[#This Row],[Muestra]]),"0")</f>
        <v>0</v>
      </c>
      <c r="AB133" s="27"/>
      <c r="AC133" s="38">
        <v>0</v>
      </c>
      <c r="AD133" s="39">
        <f>+IFERROR((FT_RF_264[[#This Row],[Valor Extra 1]]/FT_RF_264[[#This Row],[Muestra]]),"0")</f>
        <v>0</v>
      </c>
      <c r="AF133" s="38">
        <v>0</v>
      </c>
      <c r="AG133" s="39">
        <f>+IFERROR((FT_RF_264[[#This Row],[Valor Extra 2]]/FT_RF_264[[#This Row],[Muestra]]),"0")</f>
        <v>0</v>
      </c>
      <c r="AH133" s="40">
        <v>0</v>
      </c>
      <c r="AI133" s="39">
        <f>+IFERROR((FT_RF_264[[#This Row],[Hongos]]/FT_RF_264[[#This Row],[Muestra]]),"0")</f>
        <v>0</v>
      </c>
      <c r="AJ133" s="38">
        <v>0</v>
      </c>
      <c r="AK133" s="39">
        <f>+IFERROR((FT_RF_264[[#This Row],[Block]]/FT_RF_264[[#This Row],[Muestra]]),"0")</f>
        <v>0</v>
      </c>
      <c r="AL133" s="41">
        <v>0</v>
      </c>
      <c r="AM133" s="42">
        <v>0</v>
      </c>
      <c r="AN133" s="38">
        <v>0</v>
      </c>
      <c r="AO133" s="39">
        <f>+IFERROR((FT_RF_264[[#This Row],[Fuera de calibre &lt;12mm]]/FT_RF_264[[#This Row],[Muestra]]),"0")</f>
        <v>0</v>
      </c>
      <c r="AP133" s="38">
        <v>0</v>
      </c>
      <c r="AQ133" s="39">
        <f>+IFERROR((FT_RF_264[[#This Row],[Calibre &lt;25]]/FT_RF_264[[#This Row],[Muestra]]),"0")</f>
        <v>0</v>
      </c>
      <c r="AR133" s="38">
        <v>0</v>
      </c>
      <c r="AS133" s="39">
        <f>+IFERROR((FT_RF_264[[#This Row],[Calibre &gt;12]]/FT_RF_264[[#This Row],[Muestra]]),"0")</f>
        <v>0</v>
      </c>
      <c r="AT133" s="38">
        <v>0</v>
      </c>
      <c r="AU133" s="39">
        <f>+IFERROR((FT_RF_264[[#This Row],[Calibre &lt;14]]/FT_RF_264[[#This Row],[Muestra]]),"0")</f>
        <v>0</v>
      </c>
      <c r="AV133" s="38">
        <v>0</v>
      </c>
      <c r="AW133" s="39">
        <f>+IFERROR((FT_RF_264[[#This Row],[Calibre &gt;14]]/FT_RF_264[[#This Row],[Muestra]]),"0")</f>
        <v>0</v>
      </c>
      <c r="AX133" s="38">
        <v>0</v>
      </c>
      <c r="AY133" s="39">
        <f>+IFERROR((FT_RF_264[[#This Row],[Calibre &lt;10]]/FT_RF_264[[#This Row],[Muestra]]),"0")</f>
        <v>0</v>
      </c>
      <c r="AZ133" s="38">
        <v>0</v>
      </c>
      <c r="BA133" s="39">
        <f>+IFERROR((FT_RF_264[[#This Row],[Calibre &gt;13]]/FT_RF_264[[#This Row],[Muestra]]),"0")</f>
        <v>0</v>
      </c>
      <c r="BB133" s="41"/>
      <c r="BG133" s="42"/>
      <c r="BH133" s="43">
        <v>0</v>
      </c>
      <c r="BI133" s="29" t="s">
        <v>894</v>
      </c>
      <c r="BJ133" s="29" t="s">
        <v>894</v>
      </c>
      <c r="BK13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3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33" s="45">
        <f>1-FT_RF_264[[#This Row],[% Defectos]]</f>
        <v>1</v>
      </c>
      <c r="BO133" s="60"/>
      <c r="BP133" s="12">
        <f>SUM(FT_RF_264[[#This Row],[Hoja (Un.)]:[Larvas Caja]])</f>
        <v>0</v>
      </c>
      <c r="BQ133" s="12">
        <f>SUM(FT_RF_264[[#This Row],[Vidrios]:[Plástico]])</f>
        <v>0</v>
      </c>
      <c r="BR133" s="12" t="str">
        <f>IF(ISBLANK(FT_RF_264[[#This Row],[Descripción del producto]]),"",FT_RF_264[[#This Row],[Descripción del producto]])</f>
        <v/>
      </c>
      <c r="BS133" s="29" t="str">
        <f>IF(ISBLANK(FT_RF_264[[#This Row],[N° de Lote]]),"",FT_RF_264[[#This Row],[N° de Lote]])</f>
        <v/>
      </c>
      <c r="BT133" s="29" t="str">
        <f>IF(ISBLANK(FT_RF_264[[#This Row],[N° de Pallet]]),"",FT_RF_264[[#This Row],[N° de Pallet]])</f>
        <v/>
      </c>
    </row>
    <row r="134" spans="2:72">
      <c r="B134" s="29">
        <f>+_xlfn.ISOWEEKNUM(FT_RF_264[[#This Row],[Fecha]])</f>
        <v>52</v>
      </c>
      <c r="E134" s="31"/>
      <c r="F134" s="12" t="str">
        <f>IFERROR(""&amp;_xlfn.XLOOKUP(FT_RF_264[[#This Row],[Código]],BD_Cod[SKU],BD_Cod[Descripción]),"")</f>
        <v/>
      </c>
      <c r="G134" s="32" t="str">
        <f>IFERROR(""&amp;_xlfn.XLOOKUP(FT_RF_264[[#This Row],[Código]],BD_Cod[SKU],BD_Cod[Familia Calidad]),"")</f>
        <v/>
      </c>
      <c r="J134" s="33">
        <v>1000</v>
      </c>
      <c r="L134" s="30" t="s">
        <v>244</v>
      </c>
      <c r="O134" s="30" t="s">
        <v>894</v>
      </c>
      <c r="P134" s="29" t="s">
        <v>894</v>
      </c>
      <c r="Q134" s="37">
        <f>1-FT_RF_264[[#This Row],[% Defectos]]</f>
        <v>1</v>
      </c>
      <c r="R134" s="38">
        <v>0</v>
      </c>
      <c r="S134" s="39">
        <f>+IFERROR((FT_RF_264[[#This Row],[Inmadura]]/FT_RF_264[[#This Row],[Muestra]]),"0")</f>
        <v>0</v>
      </c>
      <c r="T134" s="38">
        <v>0</v>
      </c>
      <c r="U134" s="39">
        <f>+IFERROR((FT_RF_264[[#This Row],[Partidas]]/FT_RF_264[[#This Row],[Muestra]]),"0")</f>
        <v>0</v>
      </c>
      <c r="V134" s="38">
        <v>0</v>
      </c>
      <c r="W134" s="39">
        <f>+IFERROR((FT_RF_264[[#This Row],[Daño Insecto]]/FT_RF_264[[#This Row],[Muestra]]),"0")</f>
        <v>0</v>
      </c>
      <c r="X134" s="38">
        <v>0</v>
      </c>
      <c r="Y134" s="39">
        <f>+IFERROR((FT_RF_264[[#This Row],[Sobremadura]]/FT_RF_264[[#This Row],[Muestra]]),"0")</f>
        <v>0</v>
      </c>
      <c r="Z134" s="38">
        <v>0</v>
      </c>
      <c r="AA134" s="39">
        <f>+IFERROR((FT_RF_264[[#This Row],[Deforme]]/FT_RF_264[[#This Row],[Muestra]]),"0")</f>
        <v>0</v>
      </c>
      <c r="AB134" s="27"/>
      <c r="AC134" s="38">
        <v>0</v>
      </c>
      <c r="AD134" s="39">
        <f>+IFERROR((FT_RF_264[[#This Row],[Valor Extra 1]]/FT_RF_264[[#This Row],[Muestra]]),"0")</f>
        <v>0</v>
      </c>
      <c r="AF134" s="38">
        <v>0</v>
      </c>
      <c r="AG134" s="39">
        <f>+IFERROR((FT_RF_264[[#This Row],[Valor Extra 2]]/FT_RF_264[[#This Row],[Muestra]]),"0")</f>
        <v>0</v>
      </c>
      <c r="AH134" s="40">
        <v>0</v>
      </c>
      <c r="AI134" s="39">
        <f>+IFERROR((FT_RF_264[[#This Row],[Hongos]]/FT_RF_264[[#This Row],[Muestra]]),"0")</f>
        <v>0</v>
      </c>
      <c r="AJ134" s="38">
        <v>0</v>
      </c>
      <c r="AK134" s="39">
        <f>+IFERROR((FT_RF_264[[#This Row],[Block]]/FT_RF_264[[#This Row],[Muestra]]),"0")</f>
        <v>0</v>
      </c>
      <c r="AL134" s="41">
        <v>0</v>
      </c>
      <c r="AM134" s="42">
        <v>0</v>
      </c>
      <c r="AN134" s="38">
        <v>0</v>
      </c>
      <c r="AO134" s="39">
        <f>+IFERROR((FT_RF_264[[#This Row],[Fuera de calibre &lt;12mm]]/FT_RF_264[[#This Row],[Muestra]]),"0")</f>
        <v>0</v>
      </c>
      <c r="AP134" s="38">
        <v>0</v>
      </c>
      <c r="AQ134" s="39">
        <f>+IFERROR((FT_RF_264[[#This Row],[Calibre &lt;25]]/FT_RF_264[[#This Row],[Muestra]]),"0")</f>
        <v>0</v>
      </c>
      <c r="AR134" s="38">
        <v>0</v>
      </c>
      <c r="AS134" s="39">
        <f>+IFERROR((FT_RF_264[[#This Row],[Calibre &gt;12]]/FT_RF_264[[#This Row],[Muestra]]),"0")</f>
        <v>0</v>
      </c>
      <c r="AT134" s="38">
        <v>0</v>
      </c>
      <c r="AU134" s="39">
        <f>+IFERROR((FT_RF_264[[#This Row],[Calibre &lt;14]]/FT_RF_264[[#This Row],[Muestra]]),"0")</f>
        <v>0</v>
      </c>
      <c r="AV134" s="38">
        <v>0</v>
      </c>
      <c r="AW134" s="39">
        <f>+IFERROR((FT_RF_264[[#This Row],[Calibre &gt;14]]/FT_RF_264[[#This Row],[Muestra]]),"0")</f>
        <v>0</v>
      </c>
      <c r="AX134" s="38">
        <v>0</v>
      </c>
      <c r="AY134" s="39">
        <f>+IFERROR((FT_RF_264[[#This Row],[Calibre &lt;10]]/FT_RF_264[[#This Row],[Muestra]]),"0")</f>
        <v>0</v>
      </c>
      <c r="AZ134" s="38">
        <v>0</v>
      </c>
      <c r="BA134" s="39">
        <f>+IFERROR((FT_RF_264[[#This Row],[Calibre &gt;13]]/FT_RF_264[[#This Row],[Muestra]]),"0")</f>
        <v>0</v>
      </c>
      <c r="BB134" s="41"/>
      <c r="BG134" s="42"/>
      <c r="BH134" s="43">
        <v>0</v>
      </c>
      <c r="BI134" s="29" t="s">
        <v>894</v>
      </c>
      <c r="BJ134" s="29" t="s">
        <v>894</v>
      </c>
      <c r="BK13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3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34" s="45">
        <f>1-FT_RF_264[[#This Row],[% Defectos]]</f>
        <v>1</v>
      </c>
      <c r="BO134" s="60"/>
      <c r="BP134" s="12">
        <f>SUM(FT_RF_264[[#This Row],[Hoja (Un.)]:[Larvas Caja]])</f>
        <v>0</v>
      </c>
      <c r="BQ134" s="12">
        <f>SUM(FT_RF_264[[#This Row],[Vidrios]:[Plástico]])</f>
        <v>0</v>
      </c>
      <c r="BR134" s="12" t="str">
        <f>IF(ISBLANK(FT_RF_264[[#This Row],[Descripción del producto]]),"",FT_RF_264[[#This Row],[Descripción del producto]])</f>
        <v/>
      </c>
      <c r="BS134" s="29" t="str">
        <f>IF(ISBLANK(FT_RF_264[[#This Row],[N° de Lote]]),"",FT_RF_264[[#This Row],[N° de Lote]])</f>
        <v/>
      </c>
      <c r="BT134" s="29" t="str">
        <f>IF(ISBLANK(FT_RF_264[[#This Row],[N° de Pallet]]),"",FT_RF_264[[#This Row],[N° de Pallet]])</f>
        <v/>
      </c>
    </row>
    <row r="135" spans="2:72">
      <c r="B135" s="29">
        <f>+_xlfn.ISOWEEKNUM(FT_RF_264[[#This Row],[Fecha]])</f>
        <v>52</v>
      </c>
      <c r="E135" s="31"/>
      <c r="F135" s="12" t="str">
        <f>IFERROR(""&amp;_xlfn.XLOOKUP(FT_RF_264[[#This Row],[Código]],BD_Cod[SKU],BD_Cod[Descripción]),"")</f>
        <v/>
      </c>
      <c r="G135" s="32" t="str">
        <f>IFERROR(""&amp;_xlfn.XLOOKUP(FT_RF_264[[#This Row],[Código]],BD_Cod[SKU],BD_Cod[Familia Calidad]),"")</f>
        <v/>
      </c>
      <c r="J135" s="33">
        <v>1000</v>
      </c>
      <c r="L135" s="30" t="s">
        <v>244</v>
      </c>
      <c r="O135" s="30" t="s">
        <v>894</v>
      </c>
      <c r="P135" s="29" t="s">
        <v>894</v>
      </c>
      <c r="Q135" s="37">
        <f>1-FT_RF_264[[#This Row],[% Defectos]]</f>
        <v>1</v>
      </c>
      <c r="R135" s="38">
        <v>0</v>
      </c>
      <c r="S135" s="39">
        <f>+IFERROR((FT_RF_264[[#This Row],[Inmadura]]/FT_RF_264[[#This Row],[Muestra]]),"0")</f>
        <v>0</v>
      </c>
      <c r="T135" s="38">
        <v>0</v>
      </c>
      <c r="U135" s="39">
        <f>+IFERROR((FT_RF_264[[#This Row],[Partidas]]/FT_RF_264[[#This Row],[Muestra]]),"0")</f>
        <v>0</v>
      </c>
      <c r="V135" s="38">
        <v>0</v>
      </c>
      <c r="W135" s="39">
        <f>+IFERROR((FT_RF_264[[#This Row],[Daño Insecto]]/FT_RF_264[[#This Row],[Muestra]]),"0")</f>
        <v>0</v>
      </c>
      <c r="X135" s="38">
        <v>0</v>
      </c>
      <c r="Y135" s="39">
        <f>+IFERROR((FT_RF_264[[#This Row],[Sobremadura]]/FT_RF_264[[#This Row],[Muestra]]),"0")</f>
        <v>0</v>
      </c>
      <c r="Z135" s="38">
        <v>0</v>
      </c>
      <c r="AA135" s="39">
        <f>+IFERROR((FT_RF_264[[#This Row],[Deforme]]/FT_RF_264[[#This Row],[Muestra]]),"0")</f>
        <v>0</v>
      </c>
      <c r="AB135" s="27"/>
      <c r="AC135" s="38">
        <v>0</v>
      </c>
      <c r="AD135" s="39">
        <f>+IFERROR((FT_RF_264[[#This Row],[Valor Extra 1]]/FT_RF_264[[#This Row],[Muestra]]),"0")</f>
        <v>0</v>
      </c>
      <c r="AF135" s="38">
        <v>0</v>
      </c>
      <c r="AG135" s="39">
        <f>+IFERROR((FT_RF_264[[#This Row],[Valor Extra 2]]/FT_RF_264[[#This Row],[Muestra]]),"0")</f>
        <v>0</v>
      </c>
      <c r="AH135" s="40">
        <v>0</v>
      </c>
      <c r="AI135" s="39">
        <f>+IFERROR((FT_RF_264[[#This Row],[Hongos]]/FT_RF_264[[#This Row],[Muestra]]),"0")</f>
        <v>0</v>
      </c>
      <c r="AJ135" s="38">
        <v>0</v>
      </c>
      <c r="AK135" s="39">
        <f>+IFERROR((FT_RF_264[[#This Row],[Block]]/FT_RF_264[[#This Row],[Muestra]]),"0")</f>
        <v>0</v>
      </c>
      <c r="AL135" s="41">
        <v>0</v>
      </c>
      <c r="AM135" s="42">
        <v>0</v>
      </c>
      <c r="AN135" s="38">
        <v>0</v>
      </c>
      <c r="AO135" s="39">
        <f>+IFERROR((FT_RF_264[[#This Row],[Fuera de calibre &lt;12mm]]/FT_RF_264[[#This Row],[Muestra]]),"0")</f>
        <v>0</v>
      </c>
      <c r="AP135" s="38">
        <v>0</v>
      </c>
      <c r="AQ135" s="39">
        <f>+IFERROR((FT_RF_264[[#This Row],[Calibre &lt;25]]/FT_RF_264[[#This Row],[Muestra]]),"0")</f>
        <v>0</v>
      </c>
      <c r="AR135" s="38">
        <v>0</v>
      </c>
      <c r="AS135" s="39">
        <f>+IFERROR((FT_RF_264[[#This Row],[Calibre &gt;12]]/FT_RF_264[[#This Row],[Muestra]]),"0")</f>
        <v>0</v>
      </c>
      <c r="AT135" s="38">
        <v>0</v>
      </c>
      <c r="AU135" s="39">
        <f>+IFERROR((FT_RF_264[[#This Row],[Calibre &lt;14]]/FT_RF_264[[#This Row],[Muestra]]),"0")</f>
        <v>0</v>
      </c>
      <c r="AV135" s="38">
        <v>0</v>
      </c>
      <c r="AW135" s="39">
        <f>+IFERROR((FT_RF_264[[#This Row],[Calibre &gt;14]]/FT_RF_264[[#This Row],[Muestra]]),"0")</f>
        <v>0</v>
      </c>
      <c r="AX135" s="38">
        <v>0</v>
      </c>
      <c r="AY135" s="39">
        <f>+IFERROR((FT_RF_264[[#This Row],[Calibre &lt;10]]/FT_RF_264[[#This Row],[Muestra]]),"0")</f>
        <v>0</v>
      </c>
      <c r="AZ135" s="38">
        <v>0</v>
      </c>
      <c r="BA135" s="39">
        <f>+IFERROR((FT_RF_264[[#This Row],[Calibre &gt;13]]/FT_RF_264[[#This Row],[Muestra]]),"0")</f>
        <v>0</v>
      </c>
      <c r="BB135" s="41"/>
      <c r="BG135" s="42"/>
      <c r="BH135" s="43">
        <v>0</v>
      </c>
      <c r="BI135" s="29" t="s">
        <v>894</v>
      </c>
      <c r="BJ135" s="29" t="s">
        <v>894</v>
      </c>
      <c r="BK13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3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35" s="45">
        <f>1-FT_RF_264[[#This Row],[% Defectos]]</f>
        <v>1</v>
      </c>
      <c r="BO135" s="60"/>
      <c r="BP135" s="12">
        <f>SUM(FT_RF_264[[#This Row],[Hoja (Un.)]:[Larvas Caja]])</f>
        <v>0</v>
      </c>
      <c r="BQ135" s="12">
        <f>SUM(FT_RF_264[[#This Row],[Vidrios]:[Plástico]])</f>
        <v>0</v>
      </c>
      <c r="BR135" s="12" t="str">
        <f>IF(ISBLANK(FT_RF_264[[#This Row],[Descripción del producto]]),"",FT_RF_264[[#This Row],[Descripción del producto]])</f>
        <v/>
      </c>
      <c r="BS135" s="29" t="str">
        <f>IF(ISBLANK(FT_RF_264[[#This Row],[N° de Lote]]),"",FT_RF_264[[#This Row],[N° de Lote]])</f>
        <v/>
      </c>
      <c r="BT135" s="29" t="str">
        <f>IF(ISBLANK(FT_RF_264[[#This Row],[N° de Pallet]]),"",FT_RF_264[[#This Row],[N° de Pallet]])</f>
        <v/>
      </c>
    </row>
    <row r="136" spans="2:72">
      <c r="B136" s="29">
        <f>+_xlfn.ISOWEEKNUM(FT_RF_264[[#This Row],[Fecha]])</f>
        <v>52</v>
      </c>
      <c r="E136" s="31"/>
      <c r="F136" s="12" t="str">
        <f>IFERROR(""&amp;_xlfn.XLOOKUP(FT_RF_264[[#This Row],[Código]],BD_Cod[SKU],BD_Cod[Descripción]),"")</f>
        <v/>
      </c>
      <c r="G136" s="32" t="str">
        <f>IFERROR(""&amp;_xlfn.XLOOKUP(FT_RF_264[[#This Row],[Código]],BD_Cod[SKU],BD_Cod[Familia Calidad]),"")</f>
        <v/>
      </c>
      <c r="J136" s="33">
        <v>1000</v>
      </c>
      <c r="L136" s="30" t="s">
        <v>244</v>
      </c>
      <c r="O136" s="30" t="s">
        <v>894</v>
      </c>
      <c r="P136" s="29" t="s">
        <v>894</v>
      </c>
      <c r="Q136" s="37">
        <f>1-FT_RF_264[[#This Row],[% Defectos]]</f>
        <v>1</v>
      </c>
      <c r="R136" s="38">
        <v>0</v>
      </c>
      <c r="S136" s="39">
        <f>+IFERROR((FT_RF_264[[#This Row],[Inmadura]]/FT_RF_264[[#This Row],[Muestra]]),"0")</f>
        <v>0</v>
      </c>
      <c r="T136" s="38">
        <v>0</v>
      </c>
      <c r="U136" s="39">
        <f>+IFERROR((FT_RF_264[[#This Row],[Partidas]]/FT_RF_264[[#This Row],[Muestra]]),"0")</f>
        <v>0</v>
      </c>
      <c r="V136" s="38">
        <v>0</v>
      </c>
      <c r="W136" s="39">
        <f>+IFERROR((FT_RF_264[[#This Row],[Daño Insecto]]/FT_RF_264[[#This Row],[Muestra]]),"0")</f>
        <v>0</v>
      </c>
      <c r="X136" s="38">
        <v>0</v>
      </c>
      <c r="Y136" s="39">
        <f>+IFERROR((FT_RF_264[[#This Row],[Sobremadura]]/FT_RF_264[[#This Row],[Muestra]]),"0")</f>
        <v>0</v>
      </c>
      <c r="Z136" s="38">
        <v>0</v>
      </c>
      <c r="AA136" s="39">
        <f>+IFERROR((FT_RF_264[[#This Row],[Deforme]]/FT_RF_264[[#This Row],[Muestra]]),"0")</f>
        <v>0</v>
      </c>
      <c r="AB136" s="27"/>
      <c r="AC136" s="38">
        <v>0</v>
      </c>
      <c r="AD136" s="39">
        <f>+IFERROR((FT_RF_264[[#This Row],[Valor Extra 1]]/FT_RF_264[[#This Row],[Muestra]]),"0")</f>
        <v>0</v>
      </c>
      <c r="AF136" s="38">
        <v>0</v>
      </c>
      <c r="AG136" s="39">
        <f>+IFERROR((FT_RF_264[[#This Row],[Valor Extra 2]]/FT_RF_264[[#This Row],[Muestra]]),"0")</f>
        <v>0</v>
      </c>
      <c r="AH136" s="40">
        <v>0</v>
      </c>
      <c r="AI136" s="39">
        <f>+IFERROR((FT_RF_264[[#This Row],[Hongos]]/FT_RF_264[[#This Row],[Muestra]]),"0")</f>
        <v>0</v>
      </c>
      <c r="AJ136" s="38">
        <v>0</v>
      </c>
      <c r="AK136" s="39">
        <f>+IFERROR((FT_RF_264[[#This Row],[Block]]/FT_RF_264[[#This Row],[Muestra]]),"0")</f>
        <v>0</v>
      </c>
      <c r="AL136" s="41">
        <v>0</v>
      </c>
      <c r="AM136" s="42">
        <v>0</v>
      </c>
      <c r="AN136" s="38">
        <v>0</v>
      </c>
      <c r="AO136" s="39">
        <f>+IFERROR((FT_RF_264[[#This Row],[Fuera de calibre &lt;12mm]]/FT_RF_264[[#This Row],[Muestra]]),"0")</f>
        <v>0</v>
      </c>
      <c r="AP136" s="38">
        <v>0</v>
      </c>
      <c r="AQ136" s="39">
        <f>+IFERROR((FT_RF_264[[#This Row],[Calibre &lt;25]]/FT_RF_264[[#This Row],[Muestra]]),"0")</f>
        <v>0</v>
      </c>
      <c r="AR136" s="38">
        <v>0</v>
      </c>
      <c r="AS136" s="39">
        <f>+IFERROR((FT_RF_264[[#This Row],[Calibre &gt;12]]/FT_RF_264[[#This Row],[Muestra]]),"0")</f>
        <v>0</v>
      </c>
      <c r="AT136" s="38">
        <v>0</v>
      </c>
      <c r="AU136" s="39">
        <f>+IFERROR((FT_RF_264[[#This Row],[Calibre &lt;14]]/FT_RF_264[[#This Row],[Muestra]]),"0")</f>
        <v>0</v>
      </c>
      <c r="AV136" s="38">
        <v>0</v>
      </c>
      <c r="AW136" s="39">
        <f>+IFERROR((FT_RF_264[[#This Row],[Calibre &gt;14]]/FT_RF_264[[#This Row],[Muestra]]),"0")</f>
        <v>0</v>
      </c>
      <c r="AX136" s="38">
        <v>0</v>
      </c>
      <c r="AY136" s="39">
        <f>+IFERROR((FT_RF_264[[#This Row],[Calibre &lt;10]]/FT_RF_264[[#This Row],[Muestra]]),"0")</f>
        <v>0</v>
      </c>
      <c r="AZ136" s="38">
        <v>0</v>
      </c>
      <c r="BA136" s="39">
        <f>+IFERROR((FT_RF_264[[#This Row],[Calibre &gt;13]]/FT_RF_264[[#This Row],[Muestra]]),"0")</f>
        <v>0</v>
      </c>
      <c r="BB136" s="41"/>
      <c r="BG136" s="42"/>
      <c r="BH136" s="43">
        <v>0</v>
      </c>
      <c r="BI136" s="29" t="s">
        <v>894</v>
      </c>
      <c r="BJ136" s="29" t="s">
        <v>894</v>
      </c>
      <c r="BK13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3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36" s="45">
        <f>1-FT_RF_264[[#This Row],[% Defectos]]</f>
        <v>1</v>
      </c>
      <c r="BO136" s="60"/>
      <c r="BP136" s="12">
        <f>SUM(FT_RF_264[[#This Row],[Hoja (Un.)]:[Larvas Caja]])</f>
        <v>0</v>
      </c>
      <c r="BQ136" s="12">
        <f>SUM(FT_RF_264[[#This Row],[Vidrios]:[Plástico]])</f>
        <v>0</v>
      </c>
      <c r="BR136" s="12" t="str">
        <f>IF(ISBLANK(FT_RF_264[[#This Row],[Descripción del producto]]),"",FT_RF_264[[#This Row],[Descripción del producto]])</f>
        <v/>
      </c>
      <c r="BS136" s="29" t="str">
        <f>IF(ISBLANK(FT_RF_264[[#This Row],[N° de Lote]]),"",FT_RF_264[[#This Row],[N° de Lote]])</f>
        <v/>
      </c>
      <c r="BT136" s="29" t="str">
        <f>IF(ISBLANK(FT_RF_264[[#This Row],[N° de Pallet]]),"",FT_RF_264[[#This Row],[N° de Pallet]])</f>
        <v/>
      </c>
    </row>
    <row r="137" spans="2:72">
      <c r="B137" s="29">
        <f>+_xlfn.ISOWEEKNUM(FT_RF_264[[#This Row],[Fecha]])</f>
        <v>52</v>
      </c>
      <c r="E137" s="31"/>
      <c r="F137" s="12" t="str">
        <f>IFERROR(""&amp;_xlfn.XLOOKUP(FT_RF_264[[#This Row],[Código]],BD_Cod[SKU],BD_Cod[Descripción]),"")</f>
        <v/>
      </c>
      <c r="G137" s="32" t="str">
        <f>IFERROR(""&amp;_xlfn.XLOOKUP(FT_RF_264[[#This Row],[Código]],BD_Cod[SKU],BD_Cod[Familia Calidad]),"")</f>
        <v/>
      </c>
      <c r="J137" s="33">
        <v>1000</v>
      </c>
      <c r="L137" s="30" t="s">
        <v>244</v>
      </c>
      <c r="O137" s="30" t="s">
        <v>894</v>
      </c>
      <c r="P137" s="29" t="s">
        <v>894</v>
      </c>
      <c r="Q137" s="37">
        <f>1-FT_RF_264[[#This Row],[% Defectos]]</f>
        <v>1</v>
      </c>
      <c r="R137" s="38">
        <v>0</v>
      </c>
      <c r="S137" s="39">
        <f>+IFERROR((FT_RF_264[[#This Row],[Inmadura]]/FT_RF_264[[#This Row],[Muestra]]),"0")</f>
        <v>0</v>
      </c>
      <c r="T137" s="38">
        <v>0</v>
      </c>
      <c r="U137" s="39">
        <f>+IFERROR((FT_RF_264[[#This Row],[Partidas]]/FT_RF_264[[#This Row],[Muestra]]),"0")</f>
        <v>0</v>
      </c>
      <c r="V137" s="38">
        <v>0</v>
      </c>
      <c r="W137" s="39">
        <f>+IFERROR((FT_RF_264[[#This Row],[Daño Insecto]]/FT_RF_264[[#This Row],[Muestra]]),"0")</f>
        <v>0</v>
      </c>
      <c r="X137" s="38">
        <v>0</v>
      </c>
      <c r="Y137" s="39">
        <f>+IFERROR((FT_RF_264[[#This Row],[Sobremadura]]/FT_RF_264[[#This Row],[Muestra]]),"0")</f>
        <v>0</v>
      </c>
      <c r="Z137" s="38">
        <v>0</v>
      </c>
      <c r="AA137" s="39">
        <f>+IFERROR((FT_RF_264[[#This Row],[Deforme]]/FT_RF_264[[#This Row],[Muestra]]),"0")</f>
        <v>0</v>
      </c>
      <c r="AB137" s="27"/>
      <c r="AC137" s="38">
        <v>0</v>
      </c>
      <c r="AD137" s="39">
        <f>+IFERROR((FT_RF_264[[#This Row],[Valor Extra 1]]/FT_RF_264[[#This Row],[Muestra]]),"0")</f>
        <v>0</v>
      </c>
      <c r="AF137" s="38">
        <v>0</v>
      </c>
      <c r="AG137" s="39">
        <f>+IFERROR((FT_RF_264[[#This Row],[Valor Extra 2]]/FT_RF_264[[#This Row],[Muestra]]),"0")</f>
        <v>0</v>
      </c>
      <c r="AH137" s="40">
        <v>0</v>
      </c>
      <c r="AI137" s="39">
        <f>+IFERROR((FT_RF_264[[#This Row],[Hongos]]/FT_RF_264[[#This Row],[Muestra]]),"0")</f>
        <v>0</v>
      </c>
      <c r="AJ137" s="38">
        <v>0</v>
      </c>
      <c r="AK137" s="39">
        <f>+IFERROR((FT_RF_264[[#This Row],[Block]]/FT_RF_264[[#This Row],[Muestra]]),"0")</f>
        <v>0</v>
      </c>
      <c r="AL137" s="41">
        <v>0</v>
      </c>
      <c r="AM137" s="42">
        <v>0</v>
      </c>
      <c r="AN137" s="38">
        <v>0</v>
      </c>
      <c r="AO137" s="39">
        <f>+IFERROR((FT_RF_264[[#This Row],[Fuera de calibre &lt;12mm]]/FT_RF_264[[#This Row],[Muestra]]),"0")</f>
        <v>0</v>
      </c>
      <c r="AP137" s="38">
        <v>0</v>
      </c>
      <c r="AQ137" s="39">
        <f>+IFERROR((FT_RF_264[[#This Row],[Calibre &lt;25]]/FT_RF_264[[#This Row],[Muestra]]),"0")</f>
        <v>0</v>
      </c>
      <c r="AR137" s="38">
        <v>0</v>
      </c>
      <c r="AS137" s="39">
        <f>+IFERROR((FT_RF_264[[#This Row],[Calibre &gt;12]]/FT_RF_264[[#This Row],[Muestra]]),"0")</f>
        <v>0</v>
      </c>
      <c r="AT137" s="38">
        <v>0</v>
      </c>
      <c r="AU137" s="39">
        <f>+IFERROR((FT_RF_264[[#This Row],[Calibre &lt;14]]/FT_RF_264[[#This Row],[Muestra]]),"0")</f>
        <v>0</v>
      </c>
      <c r="AV137" s="38">
        <v>0</v>
      </c>
      <c r="AW137" s="39">
        <f>+IFERROR((FT_RF_264[[#This Row],[Calibre &gt;14]]/FT_RF_264[[#This Row],[Muestra]]),"0")</f>
        <v>0</v>
      </c>
      <c r="AX137" s="38">
        <v>0</v>
      </c>
      <c r="AY137" s="39">
        <f>+IFERROR((FT_RF_264[[#This Row],[Calibre &lt;10]]/FT_RF_264[[#This Row],[Muestra]]),"0")</f>
        <v>0</v>
      </c>
      <c r="AZ137" s="38">
        <v>0</v>
      </c>
      <c r="BA137" s="39">
        <f>+IFERROR((FT_RF_264[[#This Row],[Calibre &gt;13]]/FT_RF_264[[#This Row],[Muestra]]),"0")</f>
        <v>0</v>
      </c>
      <c r="BB137" s="41"/>
      <c r="BG137" s="42"/>
      <c r="BH137" s="43">
        <v>0</v>
      </c>
      <c r="BI137" s="29" t="s">
        <v>894</v>
      </c>
      <c r="BJ137" s="29" t="s">
        <v>894</v>
      </c>
      <c r="BK13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3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37" s="45">
        <f>1-FT_RF_264[[#This Row],[% Defectos]]</f>
        <v>1</v>
      </c>
      <c r="BO137" s="60"/>
      <c r="BP137" s="12">
        <f>SUM(FT_RF_264[[#This Row],[Hoja (Un.)]:[Larvas Caja]])</f>
        <v>0</v>
      </c>
      <c r="BQ137" s="12">
        <f>SUM(FT_RF_264[[#This Row],[Vidrios]:[Plástico]])</f>
        <v>0</v>
      </c>
      <c r="BR137" s="12" t="str">
        <f>IF(ISBLANK(FT_RF_264[[#This Row],[Descripción del producto]]),"",FT_RF_264[[#This Row],[Descripción del producto]])</f>
        <v/>
      </c>
      <c r="BS137" s="29" t="str">
        <f>IF(ISBLANK(FT_RF_264[[#This Row],[N° de Lote]]),"",FT_RF_264[[#This Row],[N° de Lote]])</f>
        <v/>
      </c>
      <c r="BT137" s="29" t="str">
        <f>IF(ISBLANK(FT_RF_264[[#This Row],[N° de Pallet]]),"",FT_RF_264[[#This Row],[N° de Pallet]])</f>
        <v/>
      </c>
    </row>
    <row r="138" spans="2:72">
      <c r="B138" s="29">
        <f>+_xlfn.ISOWEEKNUM(FT_RF_264[[#This Row],[Fecha]])</f>
        <v>52</v>
      </c>
      <c r="E138" s="31"/>
      <c r="F138" s="12" t="str">
        <f>IFERROR(""&amp;_xlfn.XLOOKUP(FT_RF_264[[#This Row],[Código]],BD_Cod[SKU],BD_Cod[Descripción]),"")</f>
        <v/>
      </c>
      <c r="G138" s="32" t="str">
        <f>IFERROR(""&amp;_xlfn.XLOOKUP(FT_RF_264[[#This Row],[Código]],BD_Cod[SKU],BD_Cod[Familia Calidad]),"")</f>
        <v/>
      </c>
      <c r="J138" s="33">
        <v>1000</v>
      </c>
      <c r="L138" s="30" t="s">
        <v>244</v>
      </c>
      <c r="O138" s="30" t="s">
        <v>894</v>
      </c>
      <c r="P138" s="29" t="s">
        <v>894</v>
      </c>
      <c r="Q138" s="37">
        <f>1-FT_RF_264[[#This Row],[% Defectos]]</f>
        <v>1</v>
      </c>
      <c r="R138" s="38">
        <v>0</v>
      </c>
      <c r="S138" s="39">
        <f>+IFERROR((FT_RF_264[[#This Row],[Inmadura]]/FT_RF_264[[#This Row],[Muestra]]),"0")</f>
        <v>0</v>
      </c>
      <c r="T138" s="38">
        <v>0</v>
      </c>
      <c r="U138" s="39">
        <f>+IFERROR((FT_RF_264[[#This Row],[Partidas]]/FT_RF_264[[#This Row],[Muestra]]),"0")</f>
        <v>0</v>
      </c>
      <c r="V138" s="38">
        <v>0</v>
      </c>
      <c r="W138" s="39">
        <f>+IFERROR((FT_RF_264[[#This Row],[Daño Insecto]]/FT_RF_264[[#This Row],[Muestra]]),"0")</f>
        <v>0</v>
      </c>
      <c r="X138" s="38">
        <v>0</v>
      </c>
      <c r="Y138" s="39">
        <f>+IFERROR((FT_RF_264[[#This Row],[Sobremadura]]/FT_RF_264[[#This Row],[Muestra]]),"0")</f>
        <v>0</v>
      </c>
      <c r="Z138" s="38">
        <v>0</v>
      </c>
      <c r="AA138" s="39">
        <f>+IFERROR((FT_RF_264[[#This Row],[Deforme]]/FT_RF_264[[#This Row],[Muestra]]),"0")</f>
        <v>0</v>
      </c>
      <c r="AB138" s="27"/>
      <c r="AC138" s="38">
        <v>0</v>
      </c>
      <c r="AD138" s="39">
        <f>+IFERROR((FT_RF_264[[#This Row],[Valor Extra 1]]/FT_RF_264[[#This Row],[Muestra]]),"0")</f>
        <v>0</v>
      </c>
      <c r="AF138" s="38">
        <v>0</v>
      </c>
      <c r="AG138" s="39">
        <f>+IFERROR((FT_RF_264[[#This Row],[Valor Extra 2]]/FT_RF_264[[#This Row],[Muestra]]),"0")</f>
        <v>0</v>
      </c>
      <c r="AH138" s="40">
        <v>0</v>
      </c>
      <c r="AI138" s="39">
        <f>+IFERROR((FT_RF_264[[#This Row],[Hongos]]/FT_RF_264[[#This Row],[Muestra]]),"0")</f>
        <v>0</v>
      </c>
      <c r="AJ138" s="38">
        <v>0</v>
      </c>
      <c r="AK138" s="39">
        <f>+IFERROR((FT_RF_264[[#This Row],[Block]]/FT_RF_264[[#This Row],[Muestra]]),"0")</f>
        <v>0</v>
      </c>
      <c r="AL138" s="41">
        <v>0</v>
      </c>
      <c r="AM138" s="42">
        <v>0</v>
      </c>
      <c r="AN138" s="38">
        <v>0</v>
      </c>
      <c r="AO138" s="39">
        <f>+IFERROR((FT_RF_264[[#This Row],[Fuera de calibre &lt;12mm]]/FT_RF_264[[#This Row],[Muestra]]),"0")</f>
        <v>0</v>
      </c>
      <c r="AP138" s="38">
        <v>0</v>
      </c>
      <c r="AQ138" s="39">
        <f>+IFERROR((FT_RF_264[[#This Row],[Calibre &lt;25]]/FT_RF_264[[#This Row],[Muestra]]),"0")</f>
        <v>0</v>
      </c>
      <c r="AR138" s="38">
        <v>0</v>
      </c>
      <c r="AS138" s="39">
        <f>+IFERROR((FT_RF_264[[#This Row],[Calibre &gt;12]]/FT_RF_264[[#This Row],[Muestra]]),"0")</f>
        <v>0</v>
      </c>
      <c r="AT138" s="38">
        <v>0</v>
      </c>
      <c r="AU138" s="39">
        <f>+IFERROR((FT_RF_264[[#This Row],[Calibre &lt;14]]/FT_RF_264[[#This Row],[Muestra]]),"0")</f>
        <v>0</v>
      </c>
      <c r="AV138" s="38">
        <v>0</v>
      </c>
      <c r="AW138" s="39">
        <f>+IFERROR((FT_RF_264[[#This Row],[Calibre &gt;14]]/FT_RF_264[[#This Row],[Muestra]]),"0")</f>
        <v>0</v>
      </c>
      <c r="AX138" s="38">
        <v>0</v>
      </c>
      <c r="AY138" s="39">
        <f>+IFERROR((FT_RF_264[[#This Row],[Calibre &lt;10]]/FT_RF_264[[#This Row],[Muestra]]),"0")</f>
        <v>0</v>
      </c>
      <c r="AZ138" s="38">
        <v>0</v>
      </c>
      <c r="BA138" s="39">
        <f>+IFERROR((FT_RF_264[[#This Row],[Calibre &gt;13]]/FT_RF_264[[#This Row],[Muestra]]),"0")</f>
        <v>0</v>
      </c>
      <c r="BB138" s="41"/>
      <c r="BG138" s="42"/>
      <c r="BH138" s="43">
        <v>0</v>
      </c>
      <c r="BI138" s="29" t="s">
        <v>894</v>
      </c>
      <c r="BJ138" s="29" t="s">
        <v>894</v>
      </c>
      <c r="BK13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3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38" s="45">
        <f>1-FT_RF_264[[#This Row],[% Defectos]]</f>
        <v>1</v>
      </c>
      <c r="BO138" s="60"/>
      <c r="BP138" s="12">
        <f>SUM(FT_RF_264[[#This Row],[Hoja (Un.)]:[Larvas Caja]])</f>
        <v>0</v>
      </c>
      <c r="BQ138" s="12">
        <f>SUM(FT_RF_264[[#This Row],[Vidrios]:[Plástico]])</f>
        <v>0</v>
      </c>
      <c r="BR138" s="12" t="str">
        <f>IF(ISBLANK(FT_RF_264[[#This Row],[Descripción del producto]]),"",FT_RF_264[[#This Row],[Descripción del producto]])</f>
        <v/>
      </c>
      <c r="BS138" s="29" t="str">
        <f>IF(ISBLANK(FT_RF_264[[#This Row],[N° de Lote]]),"",FT_RF_264[[#This Row],[N° de Lote]])</f>
        <v/>
      </c>
      <c r="BT138" s="29" t="str">
        <f>IF(ISBLANK(FT_RF_264[[#This Row],[N° de Pallet]]),"",FT_RF_264[[#This Row],[N° de Pallet]])</f>
        <v/>
      </c>
    </row>
    <row r="139" spans="2:72">
      <c r="B139" s="29">
        <f>+_xlfn.ISOWEEKNUM(FT_RF_264[[#This Row],[Fecha]])</f>
        <v>52</v>
      </c>
      <c r="E139" s="31"/>
      <c r="F139" s="12" t="str">
        <f>IFERROR(""&amp;_xlfn.XLOOKUP(FT_RF_264[[#This Row],[Código]],BD_Cod[SKU],BD_Cod[Descripción]),"")</f>
        <v/>
      </c>
      <c r="G139" s="32" t="str">
        <f>IFERROR(""&amp;_xlfn.XLOOKUP(FT_RF_264[[#This Row],[Código]],BD_Cod[SKU],BD_Cod[Familia Calidad]),"")</f>
        <v/>
      </c>
      <c r="J139" s="33">
        <v>1000</v>
      </c>
      <c r="L139" s="30" t="s">
        <v>244</v>
      </c>
      <c r="O139" s="30" t="s">
        <v>894</v>
      </c>
      <c r="P139" s="29" t="s">
        <v>894</v>
      </c>
      <c r="Q139" s="37">
        <f>1-FT_RF_264[[#This Row],[% Defectos]]</f>
        <v>1</v>
      </c>
      <c r="R139" s="38">
        <v>0</v>
      </c>
      <c r="S139" s="39">
        <f>+IFERROR((FT_RF_264[[#This Row],[Inmadura]]/FT_RF_264[[#This Row],[Muestra]]),"0")</f>
        <v>0</v>
      </c>
      <c r="T139" s="38">
        <v>0</v>
      </c>
      <c r="U139" s="39">
        <f>+IFERROR((FT_RF_264[[#This Row],[Partidas]]/FT_RF_264[[#This Row],[Muestra]]),"0")</f>
        <v>0</v>
      </c>
      <c r="V139" s="38">
        <v>0</v>
      </c>
      <c r="W139" s="39">
        <f>+IFERROR((FT_RF_264[[#This Row],[Daño Insecto]]/FT_RF_264[[#This Row],[Muestra]]),"0")</f>
        <v>0</v>
      </c>
      <c r="X139" s="38">
        <v>0</v>
      </c>
      <c r="Y139" s="39">
        <f>+IFERROR((FT_RF_264[[#This Row],[Sobremadura]]/FT_RF_264[[#This Row],[Muestra]]),"0")</f>
        <v>0</v>
      </c>
      <c r="Z139" s="38">
        <v>0</v>
      </c>
      <c r="AA139" s="39">
        <f>+IFERROR((FT_RF_264[[#This Row],[Deforme]]/FT_RF_264[[#This Row],[Muestra]]),"0")</f>
        <v>0</v>
      </c>
      <c r="AB139" s="27"/>
      <c r="AC139" s="38">
        <v>0</v>
      </c>
      <c r="AD139" s="39">
        <f>+IFERROR((FT_RF_264[[#This Row],[Valor Extra 1]]/FT_RF_264[[#This Row],[Muestra]]),"0")</f>
        <v>0</v>
      </c>
      <c r="AF139" s="38">
        <v>0</v>
      </c>
      <c r="AG139" s="39">
        <f>+IFERROR((FT_RF_264[[#This Row],[Valor Extra 2]]/FT_RF_264[[#This Row],[Muestra]]),"0")</f>
        <v>0</v>
      </c>
      <c r="AH139" s="40">
        <v>0</v>
      </c>
      <c r="AI139" s="39">
        <f>+IFERROR((FT_RF_264[[#This Row],[Hongos]]/FT_RF_264[[#This Row],[Muestra]]),"0")</f>
        <v>0</v>
      </c>
      <c r="AJ139" s="38">
        <v>0</v>
      </c>
      <c r="AK139" s="39">
        <f>+IFERROR((FT_RF_264[[#This Row],[Block]]/FT_RF_264[[#This Row],[Muestra]]),"0")</f>
        <v>0</v>
      </c>
      <c r="AL139" s="41">
        <v>0</v>
      </c>
      <c r="AM139" s="42">
        <v>0</v>
      </c>
      <c r="AN139" s="38">
        <v>0</v>
      </c>
      <c r="AO139" s="39">
        <f>+IFERROR((FT_RF_264[[#This Row],[Fuera de calibre &lt;12mm]]/FT_RF_264[[#This Row],[Muestra]]),"0")</f>
        <v>0</v>
      </c>
      <c r="AP139" s="38">
        <v>0</v>
      </c>
      <c r="AQ139" s="39">
        <f>+IFERROR((FT_RF_264[[#This Row],[Calibre &lt;25]]/FT_RF_264[[#This Row],[Muestra]]),"0")</f>
        <v>0</v>
      </c>
      <c r="AR139" s="38">
        <v>0</v>
      </c>
      <c r="AS139" s="39">
        <f>+IFERROR((FT_RF_264[[#This Row],[Calibre &gt;12]]/FT_RF_264[[#This Row],[Muestra]]),"0")</f>
        <v>0</v>
      </c>
      <c r="AT139" s="38">
        <v>0</v>
      </c>
      <c r="AU139" s="39">
        <f>+IFERROR((FT_RF_264[[#This Row],[Calibre &lt;14]]/FT_RF_264[[#This Row],[Muestra]]),"0")</f>
        <v>0</v>
      </c>
      <c r="AV139" s="38">
        <v>0</v>
      </c>
      <c r="AW139" s="39">
        <f>+IFERROR((FT_RF_264[[#This Row],[Calibre &gt;14]]/FT_RF_264[[#This Row],[Muestra]]),"0")</f>
        <v>0</v>
      </c>
      <c r="AX139" s="38">
        <v>0</v>
      </c>
      <c r="AY139" s="39">
        <f>+IFERROR((FT_RF_264[[#This Row],[Calibre &lt;10]]/FT_RF_264[[#This Row],[Muestra]]),"0")</f>
        <v>0</v>
      </c>
      <c r="AZ139" s="38">
        <v>0</v>
      </c>
      <c r="BA139" s="39">
        <f>+IFERROR((FT_RF_264[[#This Row],[Calibre &gt;13]]/FT_RF_264[[#This Row],[Muestra]]),"0")</f>
        <v>0</v>
      </c>
      <c r="BB139" s="41"/>
      <c r="BG139" s="42"/>
      <c r="BH139" s="43">
        <v>0</v>
      </c>
      <c r="BI139" s="29" t="s">
        <v>894</v>
      </c>
      <c r="BJ139" s="29" t="s">
        <v>894</v>
      </c>
      <c r="BK13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3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39" s="45">
        <f>1-FT_RF_264[[#This Row],[% Defectos]]</f>
        <v>1</v>
      </c>
      <c r="BO139" s="60"/>
      <c r="BP139" s="12">
        <f>SUM(FT_RF_264[[#This Row],[Hoja (Un.)]:[Larvas Caja]])</f>
        <v>0</v>
      </c>
      <c r="BQ139" s="12">
        <f>SUM(FT_RF_264[[#This Row],[Vidrios]:[Plástico]])</f>
        <v>0</v>
      </c>
      <c r="BR139" s="12" t="str">
        <f>IF(ISBLANK(FT_RF_264[[#This Row],[Descripción del producto]]),"",FT_RF_264[[#This Row],[Descripción del producto]])</f>
        <v/>
      </c>
      <c r="BS139" s="29" t="str">
        <f>IF(ISBLANK(FT_RF_264[[#This Row],[N° de Lote]]),"",FT_RF_264[[#This Row],[N° de Lote]])</f>
        <v/>
      </c>
      <c r="BT139" s="29" t="str">
        <f>IF(ISBLANK(FT_RF_264[[#This Row],[N° de Pallet]]),"",FT_RF_264[[#This Row],[N° de Pallet]])</f>
        <v/>
      </c>
    </row>
    <row r="140" spans="2:72">
      <c r="B140" s="29">
        <f>+_xlfn.ISOWEEKNUM(FT_RF_264[[#This Row],[Fecha]])</f>
        <v>52</v>
      </c>
      <c r="E140" s="31"/>
      <c r="F140" s="12" t="str">
        <f>IFERROR(""&amp;_xlfn.XLOOKUP(FT_RF_264[[#This Row],[Código]],BD_Cod[SKU],BD_Cod[Descripción]),"")</f>
        <v/>
      </c>
      <c r="G140" s="32" t="str">
        <f>IFERROR(""&amp;_xlfn.XLOOKUP(FT_RF_264[[#This Row],[Código]],BD_Cod[SKU],BD_Cod[Familia Calidad]),"")</f>
        <v/>
      </c>
      <c r="J140" s="33">
        <v>1000</v>
      </c>
      <c r="L140" s="30" t="s">
        <v>244</v>
      </c>
      <c r="O140" s="30" t="s">
        <v>894</v>
      </c>
      <c r="P140" s="29" t="s">
        <v>894</v>
      </c>
      <c r="Q140" s="37">
        <f>1-FT_RF_264[[#This Row],[% Defectos]]</f>
        <v>1</v>
      </c>
      <c r="R140" s="38">
        <v>0</v>
      </c>
      <c r="S140" s="39">
        <f>+IFERROR((FT_RF_264[[#This Row],[Inmadura]]/FT_RF_264[[#This Row],[Muestra]]),"0")</f>
        <v>0</v>
      </c>
      <c r="T140" s="38">
        <v>0</v>
      </c>
      <c r="U140" s="39">
        <f>+IFERROR((FT_RF_264[[#This Row],[Partidas]]/FT_RF_264[[#This Row],[Muestra]]),"0")</f>
        <v>0</v>
      </c>
      <c r="V140" s="38">
        <v>0</v>
      </c>
      <c r="W140" s="39">
        <f>+IFERROR((FT_RF_264[[#This Row],[Daño Insecto]]/FT_RF_264[[#This Row],[Muestra]]),"0")</f>
        <v>0</v>
      </c>
      <c r="X140" s="38">
        <v>0</v>
      </c>
      <c r="Y140" s="39">
        <f>+IFERROR((FT_RF_264[[#This Row],[Sobremadura]]/FT_RF_264[[#This Row],[Muestra]]),"0")</f>
        <v>0</v>
      </c>
      <c r="Z140" s="38">
        <v>0</v>
      </c>
      <c r="AA140" s="39">
        <f>+IFERROR((FT_RF_264[[#This Row],[Deforme]]/FT_RF_264[[#This Row],[Muestra]]),"0")</f>
        <v>0</v>
      </c>
      <c r="AB140" s="27"/>
      <c r="AC140" s="38">
        <v>0</v>
      </c>
      <c r="AD140" s="39">
        <f>+IFERROR((FT_RF_264[[#This Row],[Valor Extra 1]]/FT_RF_264[[#This Row],[Muestra]]),"0")</f>
        <v>0</v>
      </c>
      <c r="AF140" s="38">
        <v>0</v>
      </c>
      <c r="AG140" s="39">
        <f>+IFERROR((FT_RF_264[[#This Row],[Valor Extra 2]]/FT_RF_264[[#This Row],[Muestra]]),"0")</f>
        <v>0</v>
      </c>
      <c r="AH140" s="40">
        <v>0</v>
      </c>
      <c r="AI140" s="39">
        <f>+IFERROR((FT_RF_264[[#This Row],[Hongos]]/FT_RF_264[[#This Row],[Muestra]]),"0")</f>
        <v>0</v>
      </c>
      <c r="AJ140" s="38">
        <v>0</v>
      </c>
      <c r="AK140" s="39">
        <f>+IFERROR((FT_RF_264[[#This Row],[Block]]/FT_RF_264[[#This Row],[Muestra]]),"0")</f>
        <v>0</v>
      </c>
      <c r="AL140" s="41">
        <v>0</v>
      </c>
      <c r="AM140" s="42">
        <v>0</v>
      </c>
      <c r="AN140" s="38">
        <v>0</v>
      </c>
      <c r="AO140" s="39">
        <f>+IFERROR((FT_RF_264[[#This Row],[Fuera de calibre &lt;12mm]]/FT_RF_264[[#This Row],[Muestra]]),"0")</f>
        <v>0</v>
      </c>
      <c r="AP140" s="38">
        <v>0</v>
      </c>
      <c r="AQ140" s="39">
        <f>+IFERROR((FT_RF_264[[#This Row],[Calibre &lt;25]]/FT_RF_264[[#This Row],[Muestra]]),"0")</f>
        <v>0</v>
      </c>
      <c r="AR140" s="38">
        <v>0</v>
      </c>
      <c r="AS140" s="39">
        <f>+IFERROR((FT_RF_264[[#This Row],[Calibre &gt;12]]/FT_RF_264[[#This Row],[Muestra]]),"0")</f>
        <v>0</v>
      </c>
      <c r="AT140" s="38">
        <v>0</v>
      </c>
      <c r="AU140" s="39">
        <f>+IFERROR((FT_RF_264[[#This Row],[Calibre &lt;14]]/FT_RF_264[[#This Row],[Muestra]]),"0")</f>
        <v>0</v>
      </c>
      <c r="AV140" s="38">
        <v>0</v>
      </c>
      <c r="AW140" s="39">
        <f>+IFERROR((FT_RF_264[[#This Row],[Calibre &gt;14]]/FT_RF_264[[#This Row],[Muestra]]),"0")</f>
        <v>0</v>
      </c>
      <c r="AX140" s="38">
        <v>0</v>
      </c>
      <c r="AY140" s="39">
        <f>+IFERROR((FT_RF_264[[#This Row],[Calibre &lt;10]]/FT_RF_264[[#This Row],[Muestra]]),"0")</f>
        <v>0</v>
      </c>
      <c r="AZ140" s="38">
        <v>0</v>
      </c>
      <c r="BA140" s="39">
        <f>+IFERROR((FT_RF_264[[#This Row],[Calibre &gt;13]]/FT_RF_264[[#This Row],[Muestra]]),"0")</f>
        <v>0</v>
      </c>
      <c r="BB140" s="41"/>
      <c r="BG140" s="42"/>
      <c r="BH140" s="43">
        <v>0</v>
      </c>
      <c r="BI140" s="29" t="s">
        <v>894</v>
      </c>
      <c r="BJ140" s="29" t="s">
        <v>894</v>
      </c>
      <c r="BK14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4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40" s="45">
        <f>1-FT_RF_264[[#This Row],[% Defectos]]</f>
        <v>1</v>
      </c>
      <c r="BO140" s="60"/>
      <c r="BP140" s="12">
        <f>SUM(FT_RF_264[[#This Row],[Hoja (Un.)]:[Larvas Caja]])</f>
        <v>0</v>
      </c>
      <c r="BQ140" s="12">
        <f>SUM(FT_RF_264[[#This Row],[Vidrios]:[Plástico]])</f>
        <v>0</v>
      </c>
      <c r="BR140" s="12" t="str">
        <f>IF(ISBLANK(FT_RF_264[[#This Row],[Descripción del producto]]),"",FT_RF_264[[#This Row],[Descripción del producto]])</f>
        <v/>
      </c>
      <c r="BS140" s="29" t="str">
        <f>IF(ISBLANK(FT_RF_264[[#This Row],[N° de Lote]]),"",FT_RF_264[[#This Row],[N° de Lote]])</f>
        <v/>
      </c>
      <c r="BT140" s="29" t="str">
        <f>IF(ISBLANK(FT_RF_264[[#This Row],[N° de Pallet]]),"",FT_RF_264[[#This Row],[N° de Pallet]])</f>
        <v/>
      </c>
    </row>
    <row r="141" spans="2:72">
      <c r="B141" s="29">
        <f>+_xlfn.ISOWEEKNUM(FT_RF_264[[#This Row],[Fecha]])</f>
        <v>52</v>
      </c>
      <c r="E141" s="31"/>
      <c r="F141" s="12" t="str">
        <f>IFERROR(""&amp;_xlfn.XLOOKUP(FT_RF_264[[#This Row],[Código]],BD_Cod[SKU],BD_Cod[Descripción]),"")</f>
        <v/>
      </c>
      <c r="G141" s="32" t="str">
        <f>IFERROR(""&amp;_xlfn.XLOOKUP(FT_RF_264[[#This Row],[Código]],BD_Cod[SKU],BD_Cod[Familia Calidad]),"")</f>
        <v/>
      </c>
      <c r="J141" s="33">
        <v>1000</v>
      </c>
      <c r="L141" s="30" t="s">
        <v>244</v>
      </c>
      <c r="O141" s="30" t="s">
        <v>894</v>
      </c>
      <c r="P141" s="29" t="s">
        <v>894</v>
      </c>
      <c r="Q141" s="37">
        <f>1-FT_RF_264[[#This Row],[% Defectos]]</f>
        <v>1</v>
      </c>
      <c r="R141" s="38">
        <v>0</v>
      </c>
      <c r="S141" s="39">
        <f>+IFERROR((FT_RF_264[[#This Row],[Inmadura]]/FT_RF_264[[#This Row],[Muestra]]),"0")</f>
        <v>0</v>
      </c>
      <c r="T141" s="38">
        <v>0</v>
      </c>
      <c r="U141" s="39">
        <f>+IFERROR((FT_RF_264[[#This Row],[Partidas]]/FT_RF_264[[#This Row],[Muestra]]),"0")</f>
        <v>0</v>
      </c>
      <c r="V141" s="38">
        <v>0</v>
      </c>
      <c r="W141" s="39">
        <f>+IFERROR((FT_RF_264[[#This Row],[Daño Insecto]]/FT_RF_264[[#This Row],[Muestra]]),"0")</f>
        <v>0</v>
      </c>
      <c r="X141" s="38">
        <v>0</v>
      </c>
      <c r="Y141" s="39">
        <f>+IFERROR((FT_RF_264[[#This Row],[Sobremadura]]/FT_RF_264[[#This Row],[Muestra]]),"0")</f>
        <v>0</v>
      </c>
      <c r="Z141" s="38">
        <v>0</v>
      </c>
      <c r="AA141" s="39">
        <f>+IFERROR((FT_RF_264[[#This Row],[Deforme]]/FT_RF_264[[#This Row],[Muestra]]),"0")</f>
        <v>0</v>
      </c>
      <c r="AB141" s="27"/>
      <c r="AC141" s="38">
        <v>0</v>
      </c>
      <c r="AD141" s="39">
        <f>+IFERROR((FT_RF_264[[#This Row],[Valor Extra 1]]/FT_RF_264[[#This Row],[Muestra]]),"0")</f>
        <v>0</v>
      </c>
      <c r="AF141" s="38">
        <v>0</v>
      </c>
      <c r="AG141" s="39">
        <f>+IFERROR((FT_RF_264[[#This Row],[Valor Extra 2]]/FT_RF_264[[#This Row],[Muestra]]),"0")</f>
        <v>0</v>
      </c>
      <c r="AH141" s="40">
        <v>0</v>
      </c>
      <c r="AI141" s="39">
        <f>+IFERROR((FT_RF_264[[#This Row],[Hongos]]/FT_RF_264[[#This Row],[Muestra]]),"0")</f>
        <v>0</v>
      </c>
      <c r="AJ141" s="38">
        <v>0</v>
      </c>
      <c r="AK141" s="39">
        <f>+IFERROR((FT_RF_264[[#This Row],[Block]]/FT_RF_264[[#This Row],[Muestra]]),"0")</f>
        <v>0</v>
      </c>
      <c r="AL141" s="41">
        <v>0</v>
      </c>
      <c r="AM141" s="42">
        <v>0</v>
      </c>
      <c r="AN141" s="38">
        <v>0</v>
      </c>
      <c r="AO141" s="39">
        <f>+IFERROR((FT_RF_264[[#This Row],[Fuera de calibre &lt;12mm]]/FT_RF_264[[#This Row],[Muestra]]),"0")</f>
        <v>0</v>
      </c>
      <c r="AP141" s="38">
        <v>0</v>
      </c>
      <c r="AQ141" s="39">
        <f>+IFERROR((FT_RF_264[[#This Row],[Calibre &lt;25]]/FT_RF_264[[#This Row],[Muestra]]),"0")</f>
        <v>0</v>
      </c>
      <c r="AR141" s="38">
        <v>0</v>
      </c>
      <c r="AS141" s="39">
        <f>+IFERROR((FT_RF_264[[#This Row],[Calibre &gt;12]]/FT_RF_264[[#This Row],[Muestra]]),"0")</f>
        <v>0</v>
      </c>
      <c r="AT141" s="38">
        <v>0</v>
      </c>
      <c r="AU141" s="39">
        <f>+IFERROR((FT_RF_264[[#This Row],[Calibre &lt;14]]/FT_RF_264[[#This Row],[Muestra]]),"0")</f>
        <v>0</v>
      </c>
      <c r="AV141" s="38">
        <v>0</v>
      </c>
      <c r="AW141" s="39">
        <f>+IFERROR((FT_RF_264[[#This Row],[Calibre &gt;14]]/FT_RF_264[[#This Row],[Muestra]]),"0")</f>
        <v>0</v>
      </c>
      <c r="AX141" s="38">
        <v>0</v>
      </c>
      <c r="AY141" s="39">
        <f>+IFERROR((FT_RF_264[[#This Row],[Calibre &lt;10]]/FT_RF_264[[#This Row],[Muestra]]),"0")</f>
        <v>0</v>
      </c>
      <c r="AZ141" s="38">
        <v>0</v>
      </c>
      <c r="BA141" s="39">
        <f>+IFERROR((FT_RF_264[[#This Row],[Calibre &gt;13]]/FT_RF_264[[#This Row],[Muestra]]),"0")</f>
        <v>0</v>
      </c>
      <c r="BB141" s="41"/>
      <c r="BG141" s="42"/>
      <c r="BH141" s="43">
        <v>0</v>
      </c>
      <c r="BI141" s="29" t="s">
        <v>894</v>
      </c>
      <c r="BJ141" s="29" t="s">
        <v>894</v>
      </c>
      <c r="BK14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4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41" s="45">
        <f>1-FT_RF_264[[#This Row],[% Defectos]]</f>
        <v>1</v>
      </c>
      <c r="BO141" s="60"/>
      <c r="BP141" s="12">
        <f>SUM(FT_RF_264[[#This Row],[Hoja (Un.)]:[Larvas Caja]])</f>
        <v>0</v>
      </c>
      <c r="BQ141" s="12">
        <f>SUM(FT_RF_264[[#This Row],[Vidrios]:[Plástico]])</f>
        <v>0</v>
      </c>
      <c r="BR141" s="12" t="str">
        <f>IF(ISBLANK(FT_RF_264[[#This Row],[Descripción del producto]]),"",FT_RF_264[[#This Row],[Descripción del producto]])</f>
        <v/>
      </c>
      <c r="BS141" s="29" t="str">
        <f>IF(ISBLANK(FT_RF_264[[#This Row],[N° de Lote]]),"",FT_RF_264[[#This Row],[N° de Lote]])</f>
        <v/>
      </c>
      <c r="BT141" s="29" t="str">
        <f>IF(ISBLANK(FT_RF_264[[#This Row],[N° de Pallet]]),"",FT_RF_264[[#This Row],[N° de Pallet]])</f>
        <v/>
      </c>
    </row>
    <row r="142" spans="2:72">
      <c r="B142" s="29">
        <f>+_xlfn.ISOWEEKNUM(FT_RF_264[[#This Row],[Fecha]])</f>
        <v>52</v>
      </c>
      <c r="E142" s="31"/>
      <c r="F142" s="12" t="str">
        <f>IFERROR(""&amp;_xlfn.XLOOKUP(FT_RF_264[[#This Row],[Código]],BD_Cod[SKU],BD_Cod[Descripción]),"")</f>
        <v/>
      </c>
      <c r="G142" s="32" t="str">
        <f>IFERROR(""&amp;_xlfn.XLOOKUP(FT_RF_264[[#This Row],[Código]],BD_Cod[SKU],BD_Cod[Familia Calidad]),"")</f>
        <v/>
      </c>
      <c r="J142" s="33">
        <v>1000</v>
      </c>
      <c r="L142" s="30" t="s">
        <v>244</v>
      </c>
      <c r="O142" s="30" t="s">
        <v>894</v>
      </c>
      <c r="P142" s="29" t="s">
        <v>894</v>
      </c>
      <c r="Q142" s="37">
        <f>1-FT_RF_264[[#This Row],[% Defectos]]</f>
        <v>1</v>
      </c>
      <c r="R142" s="38">
        <v>0</v>
      </c>
      <c r="S142" s="39">
        <f>+IFERROR((FT_RF_264[[#This Row],[Inmadura]]/FT_RF_264[[#This Row],[Muestra]]),"0")</f>
        <v>0</v>
      </c>
      <c r="T142" s="38">
        <v>0</v>
      </c>
      <c r="U142" s="39">
        <f>+IFERROR((FT_RF_264[[#This Row],[Partidas]]/FT_RF_264[[#This Row],[Muestra]]),"0")</f>
        <v>0</v>
      </c>
      <c r="V142" s="38">
        <v>0</v>
      </c>
      <c r="W142" s="39">
        <f>+IFERROR((FT_RF_264[[#This Row],[Daño Insecto]]/FT_RF_264[[#This Row],[Muestra]]),"0")</f>
        <v>0</v>
      </c>
      <c r="X142" s="38">
        <v>0</v>
      </c>
      <c r="Y142" s="39">
        <f>+IFERROR((FT_RF_264[[#This Row],[Sobremadura]]/FT_RF_264[[#This Row],[Muestra]]),"0")</f>
        <v>0</v>
      </c>
      <c r="Z142" s="38">
        <v>0</v>
      </c>
      <c r="AA142" s="39">
        <f>+IFERROR((FT_RF_264[[#This Row],[Deforme]]/FT_RF_264[[#This Row],[Muestra]]),"0")</f>
        <v>0</v>
      </c>
      <c r="AB142" s="27"/>
      <c r="AC142" s="38">
        <v>0</v>
      </c>
      <c r="AD142" s="39">
        <f>+IFERROR((FT_RF_264[[#This Row],[Valor Extra 1]]/FT_RF_264[[#This Row],[Muestra]]),"0")</f>
        <v>0</v>
      </c>
      <c r="AF142" s="38">
        <v>0</v>
      </c>
      <c r="AG142" s="39">
        <f>+IFERROR((FT_RF_264[[#This Row],[Valor Extra 2]]/FT_RF_264[[#This Row],[Muestra]]),"0")</f>
        <v>0</v>
      </c>
      <c r="AH142" s="40">
        <v>0</v>
      </c>
      <c r="AI142" s="39">
        <f>+IFERROR((FT_RF_264[[#This Row],[Hongos]]/FT_RF_264[[#This Row],[Muestra]]),"0")</f>
        <v>0</v>
      </c>
      <c r="AJ142" s="38">
        <v>0</v>
      </c>
      <c r="AK142" s="39">
        <f>+IFERROR((FT_RF_264[[#This Row],[Block]]/FT_RF_264[[#This Row],[Muestra]]),"0")</f>
        <v>0</v>
      </c>
      <c r="AL142" s="41">
        <v>0</v>
      </c>
      <c r="AM142" s="42">
        <v>0</v>
      </c>
      <c r="AN142" s="38">
        <v>0</v>
      </c>
      <c r="AO142" s="39">
        <f>+IFERROR((FT_RF_264[[#This Row],[Fuera de calibre &lt;12mm]]/FT_RF_264[[#This Row],[Muestra]]),"0")</f>
        <v>0</v>
      </c>
      <c r="AP142" s="38">
        <v>0</v>
      </c>
      <c r="AQ142" s="39">
        <f>+IFERROR((FT_RF_264[[#This Row],[Calibre &lt;25]]/FT_RF_264[[#This Row],[Muestra]]),"0")</f>
        <v>0</v>
      </c>
      <c r="AR142" s="38">
        <v>0</v>
      </c>
      <c r="AS142" s="39">
        <f>+IFERROR((FT_RF_264[[#This Row],[Calibre &gt;12]]/FT_RF_264[[#This Row],[Muestra]]),"0")</f>
        <v>0</v>
      </c>
      <c r="AT142" s="38">
        <v>0</v>
      </c>
      <c r="AU142" s="39">
        <f>+IFERROR((FT_RF_264[[#This Row],[Calibre &lt;14]]/FT_RF_264[[#This Row],[Muestra]]),"0")</f>
        <v>0</v>
      </c>
      <c r="AV142" s="38">
        <v>0</v>
      </c>
      <c r="AW142" s="39">
        <f>+IFERROR((FT_RF_264[[#This Row],[Calibre &gt;14]]/FT_RF_264[[#This Row],[Muestra]]),"0")</f>
        <v>0</v>
      </c>
      <c r="AX142" s="38">
        <v>0</v>
      </c>
      <c r="AY142" s="39">
        <f>+IFERROR((FT_RF_264[[#This Row],[Calibre &lt;10]]/FT_RF_264[[#This Row],[Muestra]]),"0")</f>
        <v>0</v>
      </c>
      <c r="AZ142" s="38">
        <v>0</v>
      </c>
      <c r="BA142" s="39">
        <f>+IFERROR((FT_RF_264[[#This Row],[Calibre &gt;13]]/FT_RF_264[[#This Row],[Muestra]]),"0")</f>
        <v>0</v>
      </c>
      <c r="BB142" s="41"/>
      <c r="BG142" s="42"/>
      <c r="BH142" s="43">
        <v>0</v>
      </c>
      <c r="BI142" s="29" t="s">
        <v>894</v>
      </c>
      <c r="BJ142" s="29" t="s">
        <v>894</v>
      </c>
      <c r="BK14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4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42" s="45">
        <f>1-FT_RF_264[[#This Row],[% Defectos]]</f>
        <v>1</v>
      </c>
      <c r="BO142" s="60"/>
      <c r="BP142" s="12">
        <f>SUM(FT_RF_264[[#This Row],[Hoja (Un.)]:[Larvas Caja]])</f>
        <v>0</v>
      </c>
      <c r="BQ142" s="12">
        <f>SUM(FT_RF_264[[#This Row],[Vidrios]:[Plástico]])</f>
        <v>0</v>
      </c>
      <c r="BR142" s="12" t="str">
        <f>IF(ISBLANK(FT_RF_264[[#This Row],[Descripción del producto]]),"",FT_RF_264[[#This Row],[Descripción del producto]])</f>
        <v/>
      </c>
      <c r="BS142" s="29" t="str">
        <f>IF(ISBLANK(FT_RF_264[[#This Row],[N° de Lote]]),"",FT_RF_264[[#This Row],[N° de Lote]])</f>
        <v/>
      </c>
      <c r="BT142" s="29" t="str">
        <f>IF(ISBLANK(FT_RF_264[[#This Row],[N° de Pallet]]),"",FT_RF_264[[#This Row],[N° de Pallet]])</f>
        <v/>
      </c>
    </row>
    <row r="143" spans="2:72">
      <c r="B143" s="29">
        <f>+_xlfn.ISOWEEKNUM(FT_RF_264[[#This Row],[Fecha]])</f>
        <v>52</v>
      </c>
      <c r="E143" s="31"/>
      <c r="F143" s="12" t="str">
        <f>IFERROR(""&amp;_xlfn.XLOOKUP(FT_RF_264[[#This Row],[Código]],BD_Cod[SKU],BD_Cod[Descripción]),"")</f>
        <v/>
      </c>
      <c r="G143" s="32" t="str">
        <f>IFERROR(""&amp;_xlfn.XLOOKUP(FT_RF_264[[#This Row],[Código]],BD_Cod[SKU],BD_Cod[Familia Calidad]),"")</f>
        <v/>
      </c>
      <c r="J143" s="33">
        <v>1000</v>
      </c>
      <c r="L143" s="30" t="s">
        <v>244</v>
      </c>
      <c r="O143" s="30" t="s">
        <v>894</v>
      </c>
      <c r="P143" s="29" t="s">
        <v>894</v>
      </c>
      <c r="Q143" s="37">
        <f>1-FT_RF_264[[#This Row],[% Defectos]]</f>
        <v>1</v>
      </c>
      <c r="R143" s="38">
        <v>0</v>
      </c>
      <c r="S143" s="39">
        <f>+IFERROR((FT_RF_264[[#This Row],[Inmadura]]/FT_RF_264[[#This Row],[Muestra]]),"0")</f>
        <v>0</v>
      </c>
      <c r="T143" s="38">
        <v>0</v>
      </c>
      <c r="U143" s="39">
        <f>+IFERROR((FT_RF_264[[#This Row],[Partidas]]/FT_RF_264[[#This Row],[Muestra]]),"0")</f>
        <v>0</v>
      </c>
      <c r="V143" s="38">
        <v>0</v>
      </c>
      <c r="W143" s="39">
        <f>+IFERROR((FT_RF_264[[#This Row],[Daño Insecto]]/FT_RF_264[[#This Row],[Muestra]]),"0")</f>
        <v>0</v>
      </c>
      <c r="X143" s="38">
        <v>0</v>
      </c>
      <c r="Y143" s="39">
        <f>+IFERROR((FT_RF_264[[#This Row],[Sobremadura]]/FT_RF_264[[#This Row],[Muestra]]),"0")</f>
        <v>0</v>
      </c>
      <c r="Z143" s="38">
        <v>0</v>
      </c>
      <c r="AA143" s="39">
        <f>+IFERROR((FT_RF_264[[#This Row],[Deforme]]/FT_RF_264[[#This Row],[Muestra]]),"0")</f>
        <v>0</v>
      </c>
      <c r="AB143" s="27"/>
      <c r="AC143" s="38">
        <v>0</v>
      </c>
      <c r="AD143" s="39">
        <f>+IFERROR((FT_RF_264[[#This Row],[Valor Extra 1]]/FT_RF_264[[#This Row],[Muestra]]),"0")</f>
        <v>0</v>
      </c>
      <c r="AF143" s="38">
        <v>0</v>
      </c>
      <c r="AG143" s="39">
        <f>+IFERROR((FT_RF_264[[#This Row],[Valor Extra 2]]/FT_RF_264[[#This Row],[Muestra]]),"0")</f>
        <v>0</v>
      </c>
      <c r="AH143" s="40">
        <v>0</v>
      </c>
      <c r="AI143" s="39">
        <f>+IFERROR((FT_RF_264[[#This Row],[Hongos]]/FT_RF_264[[#This Row],[Muestra]]),"0")</f>
        <v>0</v>
      </c>
      <c r="AJ143" s="38">
        <v>0</v>
      </c>
      <c r="AK143" s="39">
        <f>+IFERROR((FT_RF_264[[#This Row],[Block]]/FT_RF_264[[#This Row],[Muestra]]),"0")</f>
        <v>0</v>
      </c>
      <c r="AL143" s="41">
        <v>0</v>
      </c>
      <c r="AM143" s="42">
        <v>0</v>
      </c>
      <c r="AN143" s="38">
        <v>0</v>
      </c>
      <c r="AO143" s="39">
        <f>+IFERROR((FT_RF_264[[#This Row],[Fuera de calibre &lt;12mm]]/FT_RF_264[[#This Row],[Muestra]]),"0")</f>
        <v>0</v>
      </c>
      <c r="AP143" s="38">
        <v>0</v>
      </c>
      <c r="AQ143" s="39">
        <f>+IFERROR((FT_RF_264[[#This Row],[Calibre &lt;25]]/FT_RF_264[[#This Row],[Muestra]]),"0")</f>
        <v>0</v>
      </c>
      <c r="AR143" s="38">
        <v>0</v>
      </c>
      <c r="AS143" s="39">
        <f>+IFERROR((FT_RF_264[[#This Row],[Calibre &gt;12]]/FT_RF_264[[#This Row],[Muestra]]),"0")</f>
        <v>0</v>
      </c>
      <c r="AT143" s="38">
        <v>0</v>
      </c>
      <c r="AU143" s="39">
        <f>+IFERROR((FT_RF_264[[#This Row],[Calibre &lt;14]]/FT_RF_264[[#This Row],[Muestra]]),"0")</f>
        <v>0</v>
      </c>
      <c r="AV143" s="38">
        <v>0</v>
      </c>
      <c r="AW143" s="39">
        <f>+IFERROR((FT_RF_264[[#This Row],[Calibre &gt;14]]/FT_RF_264[[#This Row],[Muestra]]),"0")</f>
        <v>0</v>
      </c>
      <c r="AX143" s="38">
        <v>0</v>
      </c>
      <c r="AY143" s="39">
        <f>+IFERROR((FT_RF_264[[#This Row],[Calibre &lt;10]]/FT_RF_264[[#This Row],[Muestra]]),"0")</f>
        <v>0</v>
      </c>
      <c r="AZ143" s="38">
        <v>0</v>
      </c>
      <c r="BA143" s="39">
        <f>+IFERROR((FT_RF_264[[#This Row],[Calibre &gt;13]]/FT_RF_264[[#This Row],[Muestra]]),"0")</f>
        <v>0</v>
      </c>
      <c r="BB143" s="41"/>
      <c r="BG143" s="42"/>
      <c r="BH143" s="43">
        <v>0</v>
      </c>
      <c r="BI143" s="29" t="s">
        <v>894</v>
      </c>
      <c r="BJ143" s="29" t="s">
        <v>894</v>
      </c>
      <c r="BK14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4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43" s="45">
        <f>1-FT_RF_264[[#This Row],[% Defectos]]</f>
        <v>1</v>
      </c>
      <c r="BO143" s="60"/>
      <c r="BP143" s="12">
        <f>SUM(FT_RF_264[[#This Row],[Hoja (Un.)]:[Larvas Caja]])</f>
        <v>0</v>
      </c>
      <c r="BQ143" s="12">
        <f>SUM(FT_RF_264[[#This Row],[Vidrios]:[Plástico]])</f>
        <v>0</v>
      </c>
      <c r="BR143" s="12" t="str">
        <f>IF(ISBLANK(FT_RF_264[[#This Row],[Descripción del producto]]),"",FT_RF_264[[#This Row],[Descripción del producto]])</f>
        <v/>
      </c>
      <c r="BS143" s="29" t="str">
        <f>IF(ISBLANK(FT_RF_264[[#This Row],[N° de Lote]]),"",FT_RF_264[[#This Row],[N° de Lote]])</f>
        <v/>
      </c>
      <c r="BT143" s="29" t="str">
        <f>IF(ISBLANK(FT_RF_264[[#This Row],[N° de Pallet]]),"",FT_RF_264[[#This Row],[N° de Pallet]])</f>
        <v/>
      </c>
    </row>
    <row r="144" spans="2:72">
      <c r="B144" s="29">
        <f>+_xlfn.ISOWEEKNUM(FT_RF_264[[#This Row],[Fecha]])</f>
        <v>52</v>
      </c>
      <c r="E144" s="31"/>
      <c r="F144" s="12" t="str">
        <f>IFERROR(""&amp;_xlfn.XLOOKUP(FT_RF_264[[#This Row],[Código]],BD_Cod[SKU],BD_Cod[Descripción]),"")</f>
        <v/>
      </c>
      <c r="G144" s="32" t="str">
        <f>IFERROR(""&amp;_xlfn.XLOOKUP(FT_RF_264[[#This Row],[Código]],BD_Cod[SKU],BD_Cod[Familia Calidad]),"")</f>
        <v/>
      </c>
      <c r="J144" s="33">
        <v>1000</v>
      </c>
      <c r="L144" s="30" t="s">
        <v>244</v>
      </c>
      <c r="O144" s="30" t="s">
        <v>894</v>
      </c>
      <c r="P144" s="29" t="s">
        <v>894</v>
      </c>
      <c r="Q144" s="37">
        <f>1-FT_RF_264[[#This Row],[% Defectos]]</f>
        <v>1</v>
      </c>
      <c r="R144" s="38">
        <v>0</v>
      </c>
      <c r="S144" s="39">
        <f>+IFERROR((FT_RF_264[[#This Row],[Inmadura]]/FT_RF_264[[#This Row],[Muestra]]),"0")</f>
        <v>0</v>
      </c>
      <c r="T144" s="38">
        <v>0</v>
      </c>
      <c r="U144" s="39">
        <f>+IFERROR((FT_RF_264[[#This Row],[Partidas]]/FT_RF_264[[#This Row],[Muestra]]),"0")</f>
        <v>0</v>
      </c>
      <c r="V144" s="38">
        <v>0</v>
      </c>
      <c r="W144" s="39">
        <f>+IFERROR((FT_RF_264[[#This Row],[Daño Insecto]]/FT_RF_264[[#This Row],[Muestra]]),"0")</f>
        <v>0</v>
      </c>
      <c r="X144" s="38">
        <v>0</v>
      </c>
      <c r="Y144" s="39">
        <f>+IFERROR((FT_RF_264[[#This Row],[Sobremadura]]/FT_RF_264[[#This Row],[Muestra]]),"0")</f>
        <v>0</v>
      </c>
      <c r="Z144" s="38">
        <v>0</v>
      </c>
      <c r="AA144" s="39">
        <f>+IFERROR((FT_RF_264[[#This Row],[Deforme]]/FT_RF_264[[#This Row],[Muestra]]),"0")</f>
        <v>0</v>
      </c>
      <c r="AB144" s="27"/>
      <c r="AC144" s="38">
        <v>0</v>
      </c>
      <c r="AD144" s="39">
        <f>+IFERROR((FT_RF_264[[#This Row],[Valor Extra 1]]/FT_RF_264[[#This Row],[Muestra]]),"0")</f>
        <v>0</v>
      </c>
      <c r="AF144" s="38">
        <v>0</v>
      </c>
      <c r="AG144" s="39">
        <f>+IFERROR((FT_RF_264[[#This Row],[Valor Extra 2]]/FT_RF_264[[#This Row],[Muestra]]),"0")</f>
        <v>0</v>
      </c>
      <c r="AH144" s="40">
        <v>0</v>
      </c>
      <c r="AI144" s="39">
        <f>+IFERROR((FT_RF_264[[#This Row],[Hongos]]/FT_RF_264[[#This Row],[Muestra]]),"0")</f>
        <v>0</v>
      </c>
      <c r="AJ144" s="38">
        <v>0</v>
      </c>
      <c r="AK144" s="39">
        <f>+IFERROR((FT_RF_264[[#This Row],[Block]]/FT_RF_264[[#This Row],[Muestra]]),"0")</f>
        <v>0</v>
      </c>
      <c r="AL144" s="41">
        <v>0</v>
      </c>
      <c r="AM144" s="42">
        <v>0</v>
      </c>
      <c r="AN144" s="38">
        <v>0</v>
      </c>
      <c r="AO144" s="39">
        <f>+IFERROR((FT_RF_264[[#This Row],[Fuera de calibre &lt;12mm]]/FT_RF_264[[#This Row],[Muestra]]),"0")</f>
        <v>0</v>
      </c>
      <c r="AP144" s="38">
        <v>0</v>
      </c>
      <c r="AQ144" s="39">
        <f>+IFERROR((FT_RF_264[[#This Row],[Calibre &lt;25]]/FT_RF_264[[#This Row],[Muestra]]),"0")</f>
        <v>0</v>
      </c>
      <c r="AR144" s="38">
        <v>0</v>
      </c>
      <c r="AS144" s="39">
        <f>+IFERROR((FT_RF_264[[#This Row],[Calibre &gt;12]]/FT_RF_264[[#This Row],[Muestra]]),"0")</f>
        <v>0</v>
      </c>
      <c r="AT144" s="38">
        <v>0</v>
      </c>
      <c r="AU144" s="39">
        <f>+IFERROR((FT_RF_264[[#This Row],[Calibre &lt;14]]/FT_RF_264[[#This Row],[Muestra]]),"0")</f>
        <v>0</v>
      </c>
      <c r="AV144" s="38">
        <v>0</v>
      </c>
      <c r="AW144" s="39">
        <f>+IFERROR((FT_RF_264[[#This Row],[Calibre &gt;14]]/FT_RF_264[[#This Row],[Muestra]]),"0")</f>
        <v>0</v>
      </c>
      <c r="AX144" s="38">
        <v>0</v>
      </c>
      <c r="AY144" s="39">
        <f>+IFERROR((FT_RF_264[[#This Row],[Calibre &lt;10]]/FT_RF_264[[#This Row],[Muestra]]),"0")</f>
        <v>0</v>
      </c>
      <c r="AZ144" s="38">
        <v>0</v>
      </c>
      <c r="BA144" s="39">
        <f>+IFERROR((FT_RF_264[[#This Row],[Calibre &gt;13]]/FT_RF_264[[#This Row],[Muestra]]),"0")</f>
        <v>0</v>
      </c>
      <c r="BB144" s="41"/>
      <c r="BG144" s="42"/>
      <c r="BH144" s="43">
        <v>0</v>
      </c>
      <c r="BI144" s="29" t="s">
        <v>894</v>
      </c>
      <c r="BJ144" s="29" t="s">
        <v>894</v>
      </c>
      <c r="BK14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4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44" s="45">
        <f>1-FT_RF_264[[#This Row],[% Defectos]]</f>
        <v>1</v>
      </c>
      <c r="BO144" s="60"/>
      <c r="BP144" s="12">
        <f>SUM(FT_RF_264[[#This Row],[Hoja (Un.)]:[Larvas Caja]])</f>
        <v>0</v>
      </c>
      <c r="BQ144" s="12">
        <f>SUM(FT_RF_264[[#This Row],[Vidrios]:[Plástico]])</f>
        <v>0</v>
      </c>
      <c r="BR144" s="12" t="str">
        <f>IF(ISBLANK(FT_RF_264[[#This Row],[Descripción del producto]]),"",FT_RF_264[[#This Row],[Descripción del producto]])</f>
        <v/>
      </c>
      <c r="BS144" s="29" t="str">
        <f>IF(ISBLANK(FT_RF_264[[#This Row],[N° de Lote]]),"",FT_RF_264[[#This Row],[N° de Lote]])</f>
        <v/>
      </c>
      <c r="BT144" s="29" t="str">
        <f>IF(ISBLANK(FT_RF_264[[#This Row],[N° de Pallet]]),"",FT_RF_264[[#This Row],[N° de Pallet]])</f>
        <v/>
      </c>
    </row>
    <row r="145" spans="2:72">
      <c r="B145" s="29">
        <f>+_xlfn.ISOWEEKNUM(FT_RF_264[[#This Row],[Fecha]])</f>
        <v>52</v>
      </c>
      <c r="E145" s="31"/>
      <c r="F145" s="12" t="str">
        <f>IFERROR(""&amp;_xlfn.XLOOKUP(FT_RF_264[[#This Row],[Código]],BD_Cod[SKU],BD_Cod[Descripción]),"")</f>
        <v/>
      </c>
      <c r="G145" s="32" t="str">
        <f>IFERROR(""&amp;_xlfn.XLOOKUP(FT_RF_264[[#This Row],[Código]],BD_Cod[SKU],BD_Cod[Familia Calidad]),"")</f>
        <v/>
      </c>
      <c r="J145" s="33">
        <v>1000</v>
      </c>
      <c r="L145" s="30" t="s">
        <v>244</v>
      </c>
      <c r="O145" s="30" t="s">
        <v>894</v>
      </c>
      <c r="P145" s="29" t="s">
        <v>894</v>
      </c>
      <c r="Q145" s="37">
        <f>1-FT_RF_264[[#This Row],[% Defectos]]</f>
        <v>1</v>
      </c>
      <c r="R145" s="38">
        <v>0</v>
      </c>
      <c r="S145" s="39">
        <f>+IFERROR((FT_RF_264[[#This Row],[Inmadura]]/FT_RF_264[[#This Row],[Muestra]]),"0")</f>
        <v>0</v>
      </c>
      <c r="T145" s="38">
        <v>0</v>
      </c>
      <c r="U145" s="39">
        <f>+IFERROR((FT_RF_264[[#This Row],[Partidas]]/FT_RF_264[[#This Row],[Muestra]]),"0")</f>
        <v>0</v>
      </c>
      <c r="V145" s="38">
        <v>0</v>
      </c>
      <c r="W145" s="39">
        <f>+IFERROR((FT_RF_264[[#This Row],[Daño Insecto]]/FT_RF_264[[#This Row],[Muestra]]),"0")</f>
        <v>0</v>
      </c>
      <c r="X145" s="38">
        <v>0</v>
      </c>
      <c r="Y145" s="39">
        <f>+IFERROR((FT_RF_264[[#This Row],[Sobremadura]]/FT_RF_264[[#This Row],[Muestra]]),"0")</f>
        <v>0</v>
      </c>
      <c r="Z145" s="38">
        <v>0</v>
      </c>
      <c r="AA145" s="39">
        <f>+IFERROR((FT_RF_264[[#This Row],[Deforme]]/FT_RF_264[[#This Row],[Muestra]]),"0")</f>
        <v>0</v>
      </c>
      <c r="AB145" s="27"/>
      <c r="AC145" s="38">
        <v>0</v>
      </c>
      <c r="AD145" s="39">
        <f>+IFERROR((FT_RF_264[[#This Row],[Valor Extra 1]]/FT_RF_264[[#This Row],[Muestra]]),"0")</f>
        <v>0</v>
      </c>
      <c r="AF145" s="38">
        <v>0</v>
      </c>
      <c r="AG145" s="39">
        <f>+IFERROR((FT_RF_264[[#This Row],[Valor Extra 2]]/FT_RF_264[[#This Row],[Muestra]]),"0")</f>
        <v>0</v>
      </c>
      <c r="AH145" s="40">
        <v>0</v>
      </c>
      <c r="AI145" s="39">
        <f>+IFERROR((FT_RF_264[[#This Row],[Hongos]]/FT_RF_264[[#This Row],[Muestra]]),"0")</f>
        <v>0</v>
      </c>
      <c r="AJ145" s="38">
        <v>0</v>
      </c>
      <c r="AK145" s="39">
        <f>+IFERROR((FT_RF_264[[#This Row],[Block]]/FT_RF_264[[#This Row],[Muestra]]),"0")</f>
        <v>0</v>
      </c>
      <c r="AL145" s="41">
        <v>0</v>
      </c>
      <c r="AM145" s="42">
        <v>0</v>
      </c>
      <c r="AN145" s="38">
        <v>0</v>
      </c>
      <c r="AO145" s="39">
        <f>+IFERROR((FT_RF_264[[#This Row],[Fuera de calibre &lt;12mm]]/FT_RF_264[[#This Row],[Muestra]]),"0")</f>
        <v>0</v>
      </c>
      <c r="AP145" s="38">
        <v>0</v>
      </c>
      <c r="AQ145" s="39">
        <f>+IFERROR((FT_RF_264[[#This Row],[Calibre &lt;25]]/FT_RF_264[[#This Row],[Muestra]]),"0")</f>
        <v>0</v>
      </c>
      <c r="AR145" s="38">
        <v>0</v>
      </c>
      <c r="AS145" s="39">
        <f>+IFERROR((FT_RF_264[[#This Row],[Calibre &gt;12]]/FT_RF_264[[#This Row],[Muestra]]),"0")</f>
        <v>0</v>
      </c>
      <c r="AT145" s="38">
        <v>0</v>
      </c>
      <c r="AU145" s="39">
        <f>+IFERROR((FT_RF_264[[#This Row],[Calibre &lt;14]]/FT_RF_264[[#This Row],[Muestra]]),"0")</f>
        <v>0</v>
      </c>
      <c r="AV145" s="38">
        <v>0</v>
      </c>
      <c r="AW145" s="39">
        <f>+IFERROR((FT_RF_264[[#This Row],[Calibre &gt;14]]/FT_RF_264[[#This Row],[Muestra]]),"0")</f>
        <v>0</v>
      </c>
      <c r="AX145" s="38">
        <v>0</v>
      </c>
      <c r="AY145" s="39">
        <f>+IFERROR((FT_RF_264[[#This Row],[Calibre &lt;10]]/FT_RF_264[[#This Row],[Muestra]]),"0")</f>
        <v>0</v>
      </c>
      <c r="AZ145" s="38">
        <v>0</v>
      </c>
      <c r="BA145" s="39">
        <f>+IFERROR((FT_RF_264[[#This Row],[Calibre &gt;13]]/FT_RF_264[[#This Row],[Muestra]]),"0")</f>
        <v>0</v>
      </c>
      <c r="BB145" s="41"/>
      <c r="BG145" s="42"/>
      <c r="BH145" s="43">
        <v>0</v>
      </c>
      <c r="BI145" s="29" t="s">
        <v>894</v>
      </c>
      <c r="BJ145" s="29" t="s">
        <v>894</v>
      </c>
      <c r="BK14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4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45" s="45">
        <f>1-FT_RF_264[[#This Row],[% Defectos]]</f>
        <v>1</v>
      </c>
      <c r="BO145" s="60"/>
      <c r="BP145" s="12">
        <f>SUM(FT_RF_264[[#This Row],[Hoja (Un.)]:[Larvas Caja]])</f>
        <v>0</v>
      </c>
      <c r="BQ145" s="12">
        <f>SUM(FT_RF_264[[#This Row],[Vidrios]:[Plástico]])</f>
        <v>0</v>
      </c>
      <c r="BR145" s="12" t="str">
        <f>IF(ISBLANK(FT_RF_264[[#This Row],[Descripción del producto]]),"",FT_RF_264[[#This Row],[Descripción del producto]])</f>
        <v/>
      </c>
      <c r="BS145" s="29" t="str">
        <f>IF(ISBLANK(FT_RF_264[[#This Row],[N° de Lote]]),"",FT_RF_264[[#This Row],[N° de Lote]])</f>
        <v/>
      </c>
      <c r="BT145" s="29" t="str">
        <f>IF(ISBLANK(FT_RF_264[[#This Row],[N° de Pallet]]),"",FT_RF_264[[#This Row],[N° de Pallet]])</f>
        <v/>
      </c>
    </row>
    <row r="146" spans="2:72">
      <c r="B146" s="29">
        <f>+_xlfn.ISOWEEKNUM(FT_RF_264[[#This Row],[Fecha]])</f>
        <v>52</v>
      </c>
      <c r="E146" s="31"/>
      <c r="F146" s="12" t="str">
        <f>IFERROR(""&amp;_xlfn.XLOOKUP(FT_RF_264[[#This Row],[Código]],BD_Cod[SKU],BD_Cod[Descripción]),"")</f>
        <v/>
      </c>
      <c r="G146" s="32" t="str">
        <f>IFERROR(""&amp;_xlfn.XLOOKUP(FT_RF_264[[#This Row],[Código]],BD_Cod[SKU],BD_Cod[Familia Calidad]),"")</f>
        <v/>
      </c>
      <c r="J146" s="33">
        <v>1000</v>
      </c>
      <c r="L146" s="30" t="s">
        <v>244</v>
      </c>
      <c r="O146" s="30" t="s">
        <v>894</v>
      </c>
      <c r="P146" s="29" t="s">
        <v>894</v>
      </c>
      <c r="Q146" s="37">
        <f>1-FT_RF_264[[#This Row],[% Defectos]]</f>
        <v>1</v>
      </c>
      <c r="R146" s="38">
        <v>0</v>
      </c>
      <c r="S146" s="39">
        <f>+IFERROR((FT_RF_264[[#This Row],[Inmadura]]/FT_RF_264[[#This Row],[Muestra]]),"0")</f>
        <v>0</v>
      </c>
      <c r="T146" s="38">
        <v>0</v>
      </c>
      <c r="U146" s="39">
        <f>+IFERROR((FT_RF_264[[#This Row],[Partidas]]/FT_RF_264[[#This Row],[Muestra]]),"0")</f>
        <v>0</v>
      </c>
      <c r="V146" s="38">
        <v>0</v>
      </c>
      <c r="W146" s="39">
        <f>+IFERROR((FT_RF_264[[#This Row],[Daño Insecto]]/FT_RF_264[[#This Row],[Muestra]]),"0")</f>
        <v>0</v>
      </c>
      <c r="X146" s="38">
        <v>0</v>
      </c>
      <c r="Y146" s="39">
        <f>+IFERROR((FT_RF_264[[#This Row],[Sobremadura]]/FT_RF_264[[#This Row],[Muestra]]),"0")</f>
        <v>0</v>
      </c>
      <c r="Z146" s="38">
        <v>0</v>
      </c>
      <c r="AA146" s="39">
        <f>+IFERROR((FT_RF_264[[#This Row],[Deforme]]/FT_RF_264[[#This Row],[Muestra]]),"0")</f>
        <v>0</v>
      </c>
      <c r="AB146" s="27"/>
      <c r="AC146" s="38">
        <v>0</v>
      </c>
      <c r="AD146" s="39">
        <f>+IFERROR((FT_RF_264[[#This Row],[Valor Extra 1]]/FT_RF_264[[#This Row],[Muestra]]),"0")</f>
        <v>0</v>
      </c>
      <c r="AF146" s="38">
        <v>0</v>
      </c>
      <c r="AG146" s="39">
        <f>+IFERROR((FT_RF_264[[#This Row],[Valor Extra 2]]/FT_RF_264[[#This Row],[Muestra]]),"0")</f>
        <v>0</v>
      </c>
      <c r="AH146" s="40">
        <v>0</v>
      </c>
      <c r="AI146" s="39">
        <f>+IFERROR((FT_RF_264[[#This Row],[Hongos]]/FT_RF_264[[#This Row],[Muestra]]),"0")</f>
        <v>0</v>
      </c>
      <c r="AJ146" s="38">
        <v>0</v>
      </c>
      <c r="AK146" s="39">
        <f>+IFERROR((FT_RF_264[[#This Row],[Block]]/FT_RF_264[[#This Row],[Muestra]]),"0")</f>
        <v>0</v>
      </c>
      <c r="AL146" s="41">
        <v>0</v>
      </c>
      <c r="AM146" s="42">
        <v>0</v>
      </c>
      <c r="AN146" s="38">
        <v>0</v>
      </c>
      <c r="AO146" s="39">
        <f>+IFERROR((FT_RF_264[[#This Row],[Fuera de calibre &lt;12mm]]/FT_RF_264[[#This Row],[Muestra]]),"0")</f>
        <v>0</v>
      </c>
      <c r="AP146" s="38">
        <v>0</v>
      </c>
      <c r="AQ146" s="39">
        <f>+IFERROR((FT_RF_264[[#This Row],[Calibre &lt;25]]/FT_RF_264[[#This Row],[Muestra]]),"0")</f>
        <v>0</v>
      </c>
      <c r="AR146" s="38">
        <v>0</v>
      </c>
      <c r="AS146" s="39">
        <f>+IFERROR((FT_RF_264[[#This Row],[Calibre &gt;12]]/FT_RF_264[[#This Row],[Muestra]]),"0")</f>
        <v>0</v>
      </c>
      <c r="AT146" s="38">
        <v>0</v>
      </c>
      <c r="AU146" s="39">
        <f>+IFERROR((FT_RF_264[[#This Row],[Calibre &lt;14]]/FT_RF_264[[#This Row],[Muestra]]),"0")</f>
        <v>0</v>
      </c>
      <c r="AV146" s="38">
        <v>0</v>
      </c>
      <c r="AW146" s="39">
        <f>+IFERROR((FT_RF_264[[#This Row],[Calibre &gt;14]]/FT_RF_264[[#This Row],[Muestra]]),"0")</f>
        <v>0</v>
      </c>
      <c r="AX146" s="38">
        <v>0</v>
      </c>
      <c r="AY146" s="39">
        <f>+IFERROR((FT_RF_264[[#This Row],[Calibre &lt;10]]/FT_RF_264[[#This Row],[Muestra]]),"0")</f>
        <v>0</v>
      </c>
      <c r="AZ146" s="38">
        <v>0</v>
      </c>
      <c r="BA146" s="39">
        <f>+IFERROR((FT_RF_264[[#This Row],[Calibre &gt;13]]/FT_RF_264[[#This Row],[Muestra]]),"0")</f>
        <v>0</v>
      </c>
      <c r="BB146" s="41"/>
      <c r="BG146" s="42"/>
      <c r="BH146" s="43">
        <v>0</v>
      </c>
      <c r="BI146" s="29" t="s">
        <v>894</v>
      </c>
      <c r="BJ146" s="29" t="s">
        <v>894</v>
      </c>
      <c r="BK14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4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46" s="45">
        <f>1-FT_RF_264[[#This Row],[% Defectos]]</f>
        <v>1</v>
      </c>
      <c r="BO146" s="60"/>
      <c r="BP146" s="12">
        <f>SUM(FT_RF_264[[#This Row],[Hoja (Un.)]:[Larvas Caja]])</f>
        <v>0</v>
      </c>
      <c r="BQ146" s="12">
        <f>SUM(FT_RF_264[[#This Row],[Vidrios]:[Plástico]])</f>
        <v>0</v>
      </c>
      <c r="BR146" s="12" t="str">
        <f>IF(ISBLANK(FT_RF_264[[#This Row],[Descripción del producto]]),"",FT_RF_264[[#This Row],[Descripción del producto]])</f>
        <v/>
      </c>
      <c r="BS146" s="29" t="str">
        <f>IF(ISBLANK(FT_RF_264[[#This Row],[N° de Lote]]),"",FT_RF_264[[#This Row],[N° de Lote]])</f>
        <v/>
      </c>
      <c r="BT146" s="29" t="str">
        <f>IF(ISBLANK(FT_RF_264[[#This Row],[N° de Pallet]]),"",FT_RF_264[[#This Row],[N° de Pallet]])</f>
        <v/>
      </c>
    </row>
    <row r="147" spans="2:72">
      <c r="B147" s="29">
        <f>+_xlfn.ISOWEEKNUM(FT_RF_264[[#This Row],[Fecha]])</f>
        <v>52</v>
      </c>
      <c r="E147" s="31"/>
      <c r="F147" s="12" t="str">
        <f>IFERROR(""&amp;_xlfn.XLOOKUP(FT_RF_264[[#This Row],[Código]],BD_Cod[SKU],BD_Cod[Descripción]),"")</f>
        <v/>
      </c>
      <c r="G147" s="32" t="str">
        <f>IFERROR(""&amp;_xlfn.XLOOKUP(FT_RF_264[[#This Row],[Código]],BD_Cod[SKU],BD_Cod[Familia Calidad]),"")</f>
        <v/>
      </c>
      <c r="J147" s="33">
        <v>1000</v>
      </c>
      <c r="L147" s="30" t="s">
        <v>244</v>
      </c>
      <c r="O147" s="30" t="s">
        <v>894</v>
      </c>
      <c r="P147" s="29" t="s">
        <v>894</v>
      </c>
      <c r="Q147" s="37">
        <f>1-FT_RF_264[[#This Row],[% Defectos]]</f>
        <v>1</v>
      </c>
      <c r="R147" s="38">
        <v>0</v>
      </c>
      <c r="S147" s="39">
        <f>+IFERROR((FT_RF_264[[#This Row],[Inmadura]]/FT_RF_264[[#This Row],[Muestra]]),"0")</f>
        <v>0</v>
      </c>
      <c r="T147" s="38">
        <v>0</v>
      </c>
      <c r="U147" s="39">
        <f>+IFERROR((FT_RF_264[[#This Row],[Partidas]]/FT_RF_264[[#This Row],[Muestra]]),"0")</f>
        <v>0</v>
      </c>
      <c r="V147" s="38">
        <v>0</v>
      </c>
      <c r="W147" s="39">
        <f>+IFERROR((FT_RF_264[[#This Row],[Daño Insecto]]/FT_RF_264[[#This Row],[Muestra]]),"0")</f>
        <v>0</v>
      </c>
      <c r="X147" s="38">
        <v>0</v>
      </c>
      <c r="Y147" s="39">
        <f>+IFERROR((FT_RF_264[[#This Row],[Sobremadura]]/FT_RF_264[[#This Row],[Muestra]]),"0")</f>
        <v>0</v>
      </c>
      <c r="Z147" s="38">
        <v>0</v>
      </c>
      <c r="AA147" s="39">
        <f>+IFERROR((FT_RF_264[[#This Row],[Deforme]]/FT_RF_264[[#This Row],[Muestra]]),"0")</f>
        <v>0</v>
      </c>
      <c r="AB147" s="27"/>
      <c r="AC147" s="38">
        <v>0</v>
      </c>
      <c r="AD147" s="39">
        <f>+IFERROR((FT_RF_264[[#This Row],[Valor Extra 1]]/FT_RF_264[[#This Row],[Muestra]]),"0")</f>
        <v>0</v>
      </c>
      <c r="AF147" s="38">
        <v>0</v>
      </c>
      <c r="AG147" s="39">
        <f>+IFERROR((FT_RF_264[[#This Row],[Valor Extra 2]]/FT_RF_264[[#This Row],[Muestra]]),"0")</f>
        <v>0</v>
      </c>
      <c r="AH147" s="40">
        <v>0</v>
      </c>
      <c r="AI147" s="39">
        <f>+IFERROR((FT_RF_264[[#This Row],[Hongos]]/FT_RF_264[[#This Row],[Muestra]]),"0")</f>
        <v>0</v>
      </c>
      <c r="AJ147" s="38">
        <v>0</v>
      </c>
      <c r="AK147" s="39">
        <f>+IFERROR((FT_RF_264[[#This Row],[Block]]/FT_RF_264[[#This Row],[Muestra]]),"0")</f>
        <v>0</v>
      </c>
      <c r="AL147" s="41">
        <v>0</v>
      </c>
      <c r="AM147" s="42">
        <v>0</v>
      </c>
      <c r="AN147" s="38">
        <v>0</v>
      </c>
      <c r="AO147" s="39">
        <f>+IFERROR((FT_RF_264[[#This Row],[Fuera de calibre &lt;12mm]]/FT_RF_264[[#This Row],[Muestra]]),"0")</f>
        <v>0</v>
      </c>
      <c r="AP147" s="38">
        <v>0</v>
      </c>
      <c r="AQ147" s="39">
        <f>+IFERROR((FT_RF_264[[#This Row],[Calibre &lt;25]]/FT_RF_264[[#This Row],[Muestra]]),"0")</f>
        <v>0</v>
      </c>
      <c r="AR147" s="38">
        <v>0</v>
      </c>
      <c r="AS147" s="39">
        <f>+IFERROR((FT_RF_264[[#This Row],[Calibre &gt;12]]/FT_RF_264[[#This Row],[Muestra]]),"0")</f>
        <v>0</v>
      </c>
      <c r="AT147" s="38">
        <v>0</v>
      </c>
      <c r="AU147" s="39">
        <f>+IFERROR((FT_RF_264[[#This Row],[Calibre &lt;14]]/FT_RF_264[[#This Row],[Muestra]]),"0")</f>
        <v>0</v>
      </c>
      <c r="AV147" s="38">
        <v>0</v>
      </c>
      <c r="AW147" s="39">
        <f>+IFERROR((FT_RF_264[[#This Row],[Calibre &gt;14]]/FT_RF_264[[#This Row],[Muestra]]),"0")</f>
        <v>0</v>
      </c>
      <c r="AX147" s="38">
        <v>0</v>
      </c>
      <c r="AY147" s="39">
        <f>+IFERROR((FT_RF_264[[#This Row],[Calibre &lt;10]]/FT_RF_264[[#This Row],[Muestra]]),"0")</f>
        <v>0</v>
      </c>
      <c r="AZ147" s="38">
        <v>0</v>
      </c>
      <c r="BA147" s="39">
        <f>+IFERROR((FT_RF_264[[#This Row],[Calibre &gt;13]]/FT_RF_264[[#This Row],[Muestra]]),"0")</f>
        <v>0</v>
      </c>
      <c r="BB147" s="41"/>
      <c r="BG147" s="42"/>
      <c r="BH147" s="43">
        <v>0</v>
      </c>
      <c r="BI147" s="29" t="s">
        <v>894</v>
      </c>
      <c r="BJ147" s="29" t="s">
        <v>894</v>
      </c>
      <c r="BK14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4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47" s="45">
        <f>1-FT_RF_264[[#This Row],[% Defectos]]</f>
        <v>1</v>
      </c>
      <c r="BO147" s="60"/>
      <c r="BP147" s="12">
        <f>SUM(FT_RF_264[[#This Row],[Hoja (Un.)]:[Larvas Caja]])</f>
        <v>0</v>
      </c>
      <c r="BQ147" s="12">
        <f>SUM(FT_RF_264[[#This Row],[Vidrios]:[Plástico]])</f>
        <v>0</v>
      </c>
      <c r="BR147" s="12" t="str">
        <f>IF(ISBLANK(FT_RF_264[[#This Row],[Descripción del producto]]),"",FT_RF_264[[#This Row],[Descripción del producto]])</f>
        <v/>
      </c>
      <c r="BS147" s="29" t="str">
        <f>IF(ISBLANK(FT_RF_264[[#This Row],[N° de Lote]]),"",FT_RF_264[[#This Row],[N° de Lote]])</f>
        <v/>
      </c>
      <c r="BT147" s="29" t="str">
        <f>IF(ISBLANK(FT_RF_264[[#This Row],[N° de Pallet]]),"",FT_RF_264[[#This Row],[N° de Pallet]])</f>
        <v/>
      </c>
    </row>
    <row r="148" spans="2:72">
      <c r="B148" s="29">
        <f>+_xlfn.ISOWEEKNUM(FT_RF_264[[#This Row],[Fecha]])</f>
        <v>52</v>
      </c>
      <c r="E148" s="31"/>
      <c r="F148" s="12" t="str">
        <f>IFERROR(""&amp;_xlfn.XLOOKUP(FT_RF_264[[#This Row],[Código]],BD_Cod[SKU],BD_Cod[Descripción]),"")</f>
        <v/>
      </c>
      <c r="G148" s="32" t="str">
        <f>IFERROR(""&amp;_xlfn.XLOOKUP(FT_RF_264[[#This Row],[Código]],BD_Cod[SKU],BD_Cod[Familia Calidad]),"")</f>
        <v/>
      </c>
      <c r="J148" s="33">
        <v>1000</v>
      </c>
      <c r="L148" s="30" t="s">
        <v>244</v>
      </c>
      <c r="O148" s="30" t="s">
        <v>894</v>
      </c>
      <c r="P148" s="29" t="s">
        <v>894</v>
      </c>
      <c r="Q148" s="37">
        <f>1-FT_RF_264[[#This Row],[% Defectos]]</f>
        <v>1</v>
      </c>
      <c r="R148" s="38">
        <v>0</v>
      </c>
      <c r="S148" s="39">
        <f>+IFERROR((FT_RF_264[[#This Row],[Inmadura]]/FT_RF_264[[#This Row],[Muestra]]),"0")</f>
        <v>0</v>
      </c>
      <c r="T148" s="38">
        <v>0</v>
      </c>
      <c r="U148" s="39">
        <f>+IFERROR((FT_RF_264[[#This Row],[Partidas]]/FT_RF_264[[#This Row],[Muestra]]),"0")</f>
        <v>0</v>
      </c>
      <c r="V148" s="38">
        <v>0</v>
      </c>
      <c r="W148" s="39">
        <f>+IFERROR((FT_RF_264[[#This Row],[Daño Insecto]]/FT_RF_264[[#This Row],[Muestra]]),"0")</f>
        <v>0</v>
      </c>
      <c r="X148" s="38">
        <v>0</v>
      </c>
      <c r="Y148" s="39">
        <f>+IFERROR((FT_RF_264[[#This Row],[Sobremadura]]/FT_RF_264[[#This Row],[Muestra]]),"0")</f>
        <v>0</v>
      </c>
      <c r="Z148" s="38">
        <v>0</v>
      </c>
      <c r="AA148" s="39">
        <f>+IFERROR((FT_RF_264[[#This Row],[Deforme]]/FT_RF_264[[#This Row],[Muestra]]),"0")</f>
        <v>0</v>
      </c>
      <c r="AB148" s="27"/>
      <c r="AC148" s="38">
        <v>0</v>
      </c>
      <c r="AD148" s="39">
        <f>+IFERROR((FT_RF_264[[#This Row],[Valor Extra 1]]/FT_RF_264[[#This Row],[Muestra]]),"0")</f>
        <v>0</v>
      </c>
      <c r="AF148" s="38">
        <v>0</v>
      </c>
      <c r="AG148" s="39">
        <f>+IFERROR((FT_RF_264[[#This Row],[Valor Extra 2]]/FT_RF_264[[#This Row],[Muestra]]),"0")</f>
        <v>0</v>
      </c>
      <c r="AH148" s="40">
        <v>0</v>
      </c>
      <c r="AI148" s="39">
        <f>+IFERROR((FT_RF_264[[#This Row],[Hongos]]/FT_RF_264[[#This Row],[Muestra]]),"0")</f>
        <v>0</v>
      </c>
      <c r="AJ148" s="38">
        <v>0</v>
      </c>
      <c r="AK148" s="39">
        <f>+IFERROR((FT_RF_264[[#This Row],[Block]]/FT_RF_264[[#This Row],[Muestra]]),"0")</f>
        <v>0</v>
      </c>
      <c r="AL148" s="41">
        <v>0</v>
      </c>
      <c r="AM148" s="42">
        <v>0</v>
      </c>
      <c r="AN148" s="38">
        <v>0</v>
      </c>
      <c r="AO148" s="39">
        <f>+IFERROR((FT_RF_264[[#This Row],[Fuera de calibre &lt;12mm]]/FT_RF_264[[#This Row],[Muestra]]),"0")</f>
        <v>0</v>
      </c>
      <c r="AP148" s="38">
        <v>0</v>
      </c>
      <c r="AQ148" s="39">
        <f>+IFERROR((FT_RF_264[[#This Row],[Calibre &lt;25]]/FT_RF_264[[#This Row],[Muestra]]),"0")</f>
        <v>0</v>
      </c>
      <c r="AR148" s="38">
        <v>0</v>
      </c>
      <c r="AS148" s="39">
        <f>+IFERROR((FT_RF_264[[#This Row],[Calibre &gt;12]]/FT_RF_264[[#This Row],[Muestra]]),"0")</f>
        <v>0</v>
      </c>
      <c r="AT148" s="38">
        <v>0</v>
      </c>
      <c r="AU148" s="39">
        <f>+IFERROR((FT_RF_264[[#This Row],[Calibre &lt;14]]/FT_RF_264[[#This Row],[Muestra]]),"0")</f>
        <v>0</v>
      </c>
      <c r="AV148" s="38">
        <v>0</v>
      </c>
      <c r="AW148" s="39">
        <f>+IFERROR((FT_RF_264[[#This Row],[Calibre &gt;14]]/FT_RF_264[[#This Row],[Muestra]]),"0")</f>
        <v>0</v>
      </c>
      <c r="AX148" s="38">
        <v>0</v>
      </c>
      <c r="AY148" s="39">
        <f>+IFERROR((FT_RF_264[[#This Row],[Calibre &lt;10]]/FT_RF_264[[#This Row],[Muestra]]),"0")</f>
        <v>0</v>
      </c>
      <c r="AZ148" s="38">
        <v>0</v>
      </c>
      <c r="BA148" s="39">
        <f>+IFERROR((FT_RF_264[[#This Row],[Calibre &gt;13]]/FT_RF_264[[#This Row],[Muestra]]),"0")</f>
        <v>0</v>
      </c>
      <c r="BB148" s="41"/>
      <c r="BG148" s="42"/>
      <c r="BH148" s="43">
        <v>0</v>
      </c>
      <c r="BI148" s="29" t="s">
        <v>894</v>
      </c>
      <c r="BJ148" s="29" t="s">
        <v>894</v>
      </c>
      <c r="BK14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4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48" s="45">
        <f>1-FT_RF_264[[#This Row],[% Defectos]]</f>
        <v>1</v>
      </c>
      <c r="BO148" s="60"/>
      <c r="BP148" s="12">
        <f>SUM(FT_RF_264[[#This Row],[Hoja (Un.)]:[Larvas Caja]])</f>
        <v>0</v>
      </c>
      <c r="BQ148" s="12">
        <f>SUM(FT_RF_264[[#This Row],[Vidrios]:[Plástico]])</f>
        <v>0</v>
      </c>
      <c r="BR148" s="12" t="str">
        <f>IF(ISBLANK(FT_RF_264[[#This Row],[Descripción del producto]]),"",FT_RF_264[[#This Row],[Descripción del producto]])</f>
        <v/>
      </c>
      <c r="BS148" s="29" t="str">
        <f>IF(ISBLANK(FT_RF_264[[#This Row],[N° de Lote]]),"",FT_RF_264[[#This Row],[N° de Lote]])</f>
        <v/>
      </c>
      <c r="BT148" s="29" t="str">
        <f>IF(ISBLANK(FT_RF_264[[#This Row],[N° de Pallet]]),"",FT_RF_264[[#This Row],[N° de Pallet]])</f>
        <v/>
      </c>
    </row>
    <row r="149" spans="2:72">
      <c r="B149" s="29">
        <f>+_xlfn.ISOWEEKNUM(FT_RF_264[[#This Row],[Fecha]])</f>
        <v>52</v>
      </c>
      <c r="E149" s="31"/>
      <c r="F149" s="12" t="str">
        <f>IFERROR(""&amp;_xlfn.XLOOKUP(FT_RF_264[[#This Row],[Código]],BD_Cod[SKU],BD_Cod[Descripción]),"")</f>
        <v/>
      </c>
      <c r="G149" s="32" t="str">
        <f>IFERROR(""&amp;_xlfn.XLOOKUP(FT_RF_264[[#This Row],[Código]],BD_Cod[SKU],BD_Cod[Familia Calidad]),"")</f>
        <v/>
      </c>
      <c r="J149" s="33">
        <v>1000</v>
      </c>
      <c r="L149" s="30" t="s">
        <v>244</v>
      </c>
      <c r="O149" s="30" t="s">
        <v>894</v>
      </c>
      <c r="P149" s="29" t="s">
        <v>894</v>
      </c>
      <c r="Q149" s="37">
        <f>1-FT_RF_264[[#This Row],[% Defectos]]</f>
        <v>1</v>
      </c>
      <c r="R149" s="38">
        <v>0</v>
      </c>
      <c r="S149" s="39">
        <f>+IFERROR((FT_RF_264[[#This Row],[Inmadura]]/FT_RF_264[[#This Row],[Muestra]]),"0")</f>
        <v>0</v>
      </c>
      <c r="T149" s="38">
        <v>0</v>
      </c>
      <c r="U149" s="39">
        <f>+IFERROR((FT_RF_264[[#This Row],[Partidas]]/FT_RF_264[[#This Row],[Muestra]]),"0")</f>
        <v>0</v>
      </c>
      <c r="V149" s="38">
        <v>0</v>
      </c>
      <c r="W149" s="39">
        <f>+IFERROR((FT_RF_264[[#This Row],[Daño Insecto]]/FT_RF_264[[#This Row],[Muestra]]),"0")</f>
        <v>0</v>
      </c>
      <c r="X149" s="38">
        <v>0</v>
      </c>
      <c r="Y149" s="39">
        <f>+IFERROR((FT_RF_264[[#This Row],[Sobremadura]]/FT_RF_264[[#This Row],[Muestra]]),"0")</f>
        <v>0</v>
      </c>
      <c r="Z149" s="38">
        <v>0</v>
      </c>
      <c r="AA149" s="39">
        <f>+IFERROR((FT_RF_264[[#This Row],[Deforme]]/FT_RF_264[[#This Row],[Muestra]]),"0")</f>
        <v>0</v>
      </c>
      <c r="AB149" s="27"/>
      <c r="AC149" s="38">
        <v>0</v>
      </c>
      <c r="AD149" s="39">
        <f>+IFERROR((FT_RF_264[[#This Row],[Valor Extra 1]]/FT_RF_264[[#This Row],[Muestra]]),"0")</f>
        <v>0</v>
      </c>
      <c r="AF149" s="38">
        <v>0</v>
      </c>
      <c r="AG149" s="39">
        <f>+IFERROR((FT_RF_264[[#This Row],[Valor Extra 2]]/FT_RF_264[[#This Row],[Muestra]]),"0")</f>
        <v>0</v>
      </c>
      <c r="AH149" s="40">
        <v>0</v>
      </c>
      <c r="AI149" s="39">
        <f>+IFERROR((FT_RF_264[[#This Row],[Hongos]]/FT_RF_264[[#This Row],[Muestra]]),"0")</f>
        <v>0</v>
      </c>
      <c r="AJ149" s="38">
        <v>0</v>
      </c>
      <c r="AK149" s="39">
        <f>+IFERROR((FT_RF_264[[#This Row],[Block]]/FT_RF_264[[#This Row],[Muestra]]),"0")</f>
        <v>0</v>
      </c>
      <c r="AL149" s="41">
        <v>0</v>
      </c>
      <c r="AM149" s="42">
        <v>0</v>
      </c>
      <c r="AN149" s="38">
        <v>0</v>
      </c>
      <c r="AO149" s="39">
        <f>+IFERROR((FT_RF_264[[#This Row],[Fuera de calibre &lt;12mm]]/FT_RF_264[[#This Row],[Muestra]]),"0")</f>
        <v>0</v>
      </c>
      <c r="AP149" s="38">
        <v>0</v>
      </c>
      <c r="AQ149" s="39">
        <f>+IFERROR((FT_RF_264[[#This Row],[Calibre &lt;25]]/FT_RF_264[[#This Row],[Muestra]]),"0")</f>
        <v>0</v>
      </c>
      <c r="AR149" s="38">
        <v>0</v>
      </c>
      <c r="AS149" s="39">
        <f>+IFERROR((FT_RF_264[[#This Row],[Calibre &gt;12]]/FT_RF_264[[#This Row],[Muestra]]),"0")</f>
        <v>0</v>
      </c>
      <c r="AT149" s="38">
        <v>0</v>
      </c>
      <c r="AU149" s="39">
        <f>+IFERROR((FT_RF_264[[#This Row],[Calibre &lt;14]]/FT_RF_264[[#This Row],[Muestra]]),"0")</f>
        <v>0</v>
      </c>
      <c r="AV149" s="38">
        <v>0</v>
      </c>
      <c r="AW149" s="39">
        <f>+IFERROR((FT_RF_264[[#This Row],[Calibre &gt;14]]/FT_RF_264[[#This Row],[Muestra]]),"0")</f>
        <v>0</v>
      </c>
      <c r="AX149" s="38">
        <v>0</v>
      </c>
      <c r="AY149" s="39">
        <f>+IFERROR((FT_RF_264[[#This Row],[Calibre &lt;10]]/FT_RF_264[[#This Row],[Muestra]]),"0")</f>
        <v>0</v>
      </c>
      <c r="AZ149" s="38">
        <v>0</v>
      </c>
      <c r="BA149" s="39">
        <f>+IFERROR((FT_RF_264[[#This Row],[Calibre &gt;13]]/FT_RF_264[[#This Row],[Muestra]]),"0")</f>
        <v>0</v>
      </c>
      <c r="BB149" s="41"/>
      <c r="BG149" s="42"/>
      <c r="BH149" s="43">
        <v>0</v>
      </c>
      <c r="BI149" s="29" t="s">
        <v>894</v>
      </c>
      <c r="BJ149" s="29" t="s">
        <v>894</v>
      </c>
      <c r="BK14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4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49" s="45">
        <f>1-FT_RF_264[[#This Row],[% Defectos]]</f>
        <v>1</v>
      </c>
      <c r="BO149" s="60"/>
      <c r="BP149" s="12">
        <f>SUM(FT_RF_264[[#This Row],[Hoja (Un.)]:[Larvas Caja]])</f>
        <v>0</v>
      </c>
      <c r="BQ149" s="12">
        <f>SUM(FT_RF_264[[#This Row],[Vidrios]:[Plástico]])</f>
        <v>0</v>
      </c>
      <c r="BR149" s="12" t="str">
        <f>IF(ISBLANK(FT_RF_264[[#This Row],[Descripción del producto]]),"",FT_RF_264[[#This Row],[Descripción del producto]])</f>
        <v/>
      </c>
      <c r="BS149" s="29" t="str">
        <f>IF(ISBLANK(FT_RF_264[[#This Row],[N° de Lote]]),"",FT_RF_264[[#This Row],[N° de Lote]])</f>
        <v/>
      </c>
      <c r="BT149" s="29" t="str">
        <f>IF(ISBLANK(FT_RF_264[[#This Row],[N° de Pallet]]),"",FT_RF_264[[#This Row],[N° de Pallet]])</f>
        <v/>
      </c>
    </row>
    <row r="150" spans="2:72">
      <c r="B150" s="29">
        <f>+_xlfn.ISOWEEKNUM(FT_RF_264[[#This Row],[Fecha]])</f>
        <v>52</v>
      </c>
      <c r="E150" s="31"/>
      <c r="F150" s="12" t="str">
        <f>IFERROR(""&amp;_xlfn.XLOOKUP(FT_RF_264[[#This Row],[Código]],BD_Cod[SKU],BD_Cod[Descripción]),"")</f>
        <v/>
      </c>
      <c r="G150" s="32" t="str">
        <f>IFERROR(""&amp;_xlfn.XLOOKUP(FT_RF_264[[#This Row],[Código]],BD_Cod[SKU],BD_Cod[Familia Calidad]),"")</f>
        <v/>
      </c>
      <c r="J150" s="33">
        <v>1000</v>
      </c>
      <c r="L150" s="30" t="s">
        <v>244</v>
      </c>
      <c r="O150" s="30" t="s">
        <v>894</v>
      </c>
      <c r="P150" s="29" t="s">
        <v>894</v>
      </c>
      <c r="Q150" s="37">
        <f>1-FT_RF_264[[#This Row],[% Defectos]]</f>
        <v>1</v>
      </c>
      <c r="R150" s="38">
        <v>0</v>
      </c>
      <c r="S150" s="39">
        <f>+IFERROR((FT_RF_264[[#This Row],[Inmadura]]/FT_RF_264[[#This Row],[Muestra]]),"0")</f>
        <v>0</v>
      </c>
      <c r="T150" s="38">
        <v>0</v>
      </c>
      <c r="U150" s="39">
        <f>+IFERROR((FT_RF_264[[#This Row],[Partidas]]/FT_RF_264[[#This Row],[Muestra]]),"0")</f>
        <v>0</v>
      </c>
      <c r="V150" s="38">
        <v>0</v>
      </c>
      <c r="W150" s="39">
        <f>+IFERROR((FT_RF_264[[#This Row],[Daño Insecto]]/FT_RF_264[[#This Row],[Muestra]]),"0")</f>
        <v>0</v>
      </c>
      <c r="X150" s="38">
        <v>0</v>
      </c>
      <c r="Y150" s="39">
        <f>+IFERROR((FT_RF_264[[#This Row],[Sobremadura]]/FT_RF_264[[#This Row],[Muestra]]),"0")</f>
        <v>0</v>
      </c>
      <c r="Z150" s="38">
        <v>0</v>
      </c>
      <c r="AA150" s="39">
        <f>+IFERROR((FT_RF_264[[#This Row],[Deforme]]/FT_RF_264[[#This Row],[Muestra]]),"0")</f>
        <v>0</v>
      </c>
      <c r="AB150" s="27"/>
      <c r="AC150" s="38">
        <v>0</v>
      </c>
      <c r="AD150" s="39">
        <f>+IFERROR((FT_RF_264[[#This Row],[Valor Extra 1]]/FT_RF_264[[#This Row],[Muestra]]),"0")</f>
        <v>0</v>
      </c>
      <c r="AF150" s="38">
        <v>0</v>
      </c>
      <c r="AG150" s="39">
        <f>+IFERROR((FT_RF_264[[#This Row],[Valor Extra 2]]/FT_RF_264[[#This Row],[Muestra]]),"0")</f>
        <v>0</v>
      </c>
      <c r="AH150" s="40">
        <v>0</v>
      </c>
      <c r="AI150" s="39">
        <f>+IFERROR((FT_RF_264[[#This Row],[Hongos]]/FT_RF_264[[#This Row],[Muestra]]),"0")</f>
        <v>0</v>
      </c>
      <c r="AJ150" s="38">
        <v>0</v>
      </c>
      <c r="AK150" s="39">
        <f>+IFERROR((FT_RF_264[[#This Row],[Block]]/FT_RF_264[[#This Row],[Muestra]]),"0")</f>
        <v>0</v>
      </c>
      <c r="AL150" s="41">
        <v>0</v>
      </c>
      <c r="AM150" s="42">
        <v>0</v>
      </c>
      <c r="AN150" s="38">
        <v>0</v>
      </c>
      <c r="AO150" s="39">
        <f>+IFERROR((FT_RF_264[[#This Row],[Fuera de calibre &lt;12mm]]/FT_RF_264[[#This Row],[Muestra]]),"0")</f>
        <v>0</v>
      </c>
      <c r="AP150" s="38">
        <v>0</v>
      </c>
      <c r="AQ150" s="39">
        <f>+IFERROR((FT_RF_264[[#This Row],[Calibre &lt;25]]/FT_RF_264[[#This Row],[Muestra]]),"0")</f>
        <v>0</v>
      </c>
      <c r="AR150" s="38">
        <v>0</v>
      </c>
      <c r="AS150" s="39">
        <f>+IFERROR((FT_RF_264[[#This Row],[Calibre &gt;12]]/FT_RF_264[[#This Row],[Muestra]]),"0")</f>
        <v>0</v>
      </c>
      <c r="AT150" s="38">
        <v>0</v>
      </c>
      <c r="AU150" s="39">
        <f>+IFERROR((FT_RF_264[[#This Row],[Calibre &lt;14]]/FT_RF_264[[#This Row],[Muestra]]),"0")</f>
        <v>0</v>
      </c>
      <c r="AV150" s="38">
        <v>0</v>
      </c>
      <c r="AW150" s="39">
        <f>+IFERROR((FT_RF_264[[#This Row],[Calibre &gt;14]]/FT_RF_264[[#This Row],[Muestra]]),"0")</f>
        <v>0</v>
      </c>
      <c r="AX150" s="38">
        <v>0</v>
      </c>
      <c r="AY150" s="39">
        <f>+IFERROR((FT_RF_264[[#This Row],[Calibre &lt;10]]/FT_RF_264[[#This Row],[Muestra]]),"0")</f>
        <v>0</v>
      </c>
      <c r="AZ150" s="38">
        <v>0</v>
      </c>
      <c r="BA150" s="39">
        <f>+IFERROR((FT_RF_264[[#This Row],[Calibre &gt;13]]/FT_RF_264[[#This Row],[Muestra]]),"0")</f>
        <v>0</v>
      </c>
      <c r="BB150" s="41"/>
      <c r="BG150" s="42"/>
      <c r="BH150" s="43">
        <v>0</v>
      </c>
      <c r="BI150" s="29" t="s">
        <v>894</v>
      </c>
      <c r="BJ150" s="29" t="s">
        <v>894</v>
      </c>
      <c r="BK15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5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50" s="45">
        <f>1-FT_RF_264[[#This Row],[% Defectos]]</f>
        <v>1</v>
      </c>
      <c r="BO150" s="60"/>
      <c r="BP150" s="12">
        <f>SUM(FT_RF_264[[#This Row],[Hoja (Un.)]:[Larvas Caja]])</f>
        <v>0</v>
      </c>
      <c r="BQ150" s="12">
        <f>SUM(FT_RF_264[[#This Row],[Vidrios]:[Plástico]])</f>
        <v>0</v>
      </c>
      <c r="BR150" s="12" t="str">
        <f>IF(ISBLANK(FT_RF_264[[#This Row],[Descripción del producto]]),"",FT_RF_264[[#This Row],[Descripción del producto]])</f>
        <v/>
      </c>
      <c r="BS150" s="29" t="str">
        <f>IF(ISBLANK(FT_RF_264[[#This Row],[N° de Lote]]),"",FT_RF_264[[#This Row],[N° de Lote]])</f>
        <v/>
      </c>
      <c r="BT150" s="29" t="str">
        <f>IF(ISBLANK(FT_RF_264[[#This Row],[N° de Pallet]]),"",FT_RF_264[[#This Row],[N° de Pallet]])</f>
        <v/>
      </c>
    </row>
    <row r="151" spans="2:72">
      <c r="B151" s="29">
        <f>+_xlfn.ISOWEEKNUM(FT_RF_264[[#This Row],[Fecha]])</f>
        <v>52</v>
      </c>
      <c r="E151" s="31"/>
      <c r="F151" s="12" t="str">
        <f>IFERROR(""&amp;_xlfn.XLOOKUP(FT_RF_264[[#This Row],[Código]],BD_Cod[SKU],BD_Cod[Descripción]),"")</f>
        <v/>
      </c>
      <c r="G151" s="32" t="str">
        <f>IFERROR(""&amp;_xlfn.XLOOKUP(FT_RF_264[[#This Row],[Código]],BD_Cod[SKU],BD_Cod[Familia Calidad]),"")</f>
        <v/>
      </c>
      <c r="J151" s="33">
        <v>1000</v>
      </c>
      <c r="L151" s="30" t="s">
        <v>244</v>
      </c>
      <c r="O151" s="30" t="s">
        <v>894</v>
      </c>
      <c r="P151" s="29" t="s">
        <v>894</v>
      </c>
      <c r="Q151" s="37">
        <f>1-FT_RF_264[[#This Row],[% Defectos]]</f>
        <v>1</v>
      </c>
      <c r="R151" s="38">
        <v>0</v>
      </c>
      <c r="S151" s="39">
        <f>+IFERROR((FT_RF_264[[#This Row],[Inmadura]]/FT_RF_264[[#This Row],[Muestra]]),"0")</f>
        <v>0</v>
      </c>
      <c r="T151" s="38">
        <v>0</v>
      </c>
      <c r="U151" s="39">
        <f>+IFERROR((FT_RF_264[[#This Row],[Partidas]]/FT_RF_264[[#This Row],[Muestra]]),"0")</f>
        <v>0</v>
      </c>
      <c r="V151" s="38">
        <v>0</v>
      </c>
      <c r="W151" s="39">
        <f>+IFERROR((FT_RF_264[[#This Row],[Daño Insecto]]/FT_RF_264[[#This Row],[Muestra]]),"0")</f>
        <v>0</v>
      </c>
      <c r="X151" s="38">
        <v>0</v>
      </c>
      <c r="Y151" s="39">
        <f>+IFERROR((FT_RF_264[[#This Row],[Sobremadura]]/FT_RF_264[[#This Row],[Muestra]]),"0")</f>
        <v>0</v>
      </c>
      <c r="Z151" s="38">
        <v>0</v>
      </c>
      <c r="AA151" s="39">
        <f>+IFERROR((FT_RF_264[[#This Row],[Deforme]]/FT_RF_264[[#This Row],[Muestra]]),"0")</f>
        <v>0</v>
      </c>
      <c r="AB151" s="27"/>
      <c r="AC151" s="38">
        <v>0</v>
      </c>
      <c r="AD151" s="39">
        <f>+IFERROR((FT_RF_264[[#This Row],[Valor Extra 1]]/FT_RF_264[[#This Row],[Muestra]]),"0")</f>
        <v>0</v>
      </c>
      <c r="AF151" s="38">
        <v>0</v>
      </c>
      <c r="AG151" s="39">
        <f>+IFERROR((FT_RF_264[[#This Row],[Valor Extra 2]]/FT_RF_264[[#This Row],[Muestra]]),"0")</f>
        <v>0</v>
      </c>
      <c r="AH151" s="40">
        <v>0</v>
      </c>
      <c r="AI151" s="39">
        <f>+IFERROR((FT_RF_264[[#This Row],[Hongos]]/FT_RF_264[[#This Row],[Muestra]]),"0")</f>
        <v>0</v>
      </c>
      <c r="AJ151" s="38">
        <v>0</v>
      </c>
      <c r="AK151" s="39">
        <f>+IFERROR((FT_RF_264[[#This Row],[Block]]/FT_RF_264[[#This Row],[Muestra]]),"0")</f>
        <v>0</v>
      </c>
      <c r="AL151" s="41">
        <v>0</v>
      </c>
      <c r="AM151" s="42">
        <v>0</v>
      </c>
      <c r="AN151" s="38">
        <v>0</v>
      </c>
      <c r="AO151" s="39">
        <f>+IFERROR((FT_RF_264[[#This Row],[Fuera de calibre &lt;12mm]]/FT_RF_264[[#This Row],[Muestra]]),"0")</f>
        <v>0</v>
      </c>
      <c r="AP151" s="38">
        <v>0</v>
      </c>
      <c r="AQ151" s="39">
        <f>+IFERROR((FT_RF_264[[#This Row],[Calibre &lt;25]]/FT_RF_264[[#This Row],[Muestra]]),"0")</f>
        <v>0</v>
      </c>
      <c r="AR151" s="38">
        <v>0</v>
      </c>
      <c r="AS151" s="39">
        <f>+IFERROR((FT_RF_264[[#This Row],[Calibre &gt;12]]/FT_RF_264[[#This Row],[Muestra]]),"0")</f>
        <v>0</v>
      </c>
      <c r="AT151" s="38">
        <v>0</v>
      </c>
      <c r="AU151" s="39">
        <f>+IFERROR((FT_RF_264[[#This Row],[Calibre &lt;14]]/FT_RF_264[[#This Row],[Muestra]]),"0")</f>
        <v>0</v>
      </c>
      <c r="AV151" s="38">
        <v>0</v>
      </c>
      <c r="AW151" s="39">
        <f>+IFERROR((FT_RF_264[[#This Row],[Calibre &gt;14]]/FT_RF_264[[#This Row],[Muestra]]),"0")</f>
        <v>0</v>
      </c>
      <c r="AX151" s="38">
        <v>0</v>
      </c>
      <c r="AY151" s="39">
        <f>+IFERROR((FT_RF_264[[#This Row],[Calibre &lt;10]]/FT_RF_264[[#This Row],[Muestra]]),"0")</f>
        <v>0</v>
      </c>
      <c r="AZ151" s="38">
        <v>0</v>
      </c>
      <c r="BA151" s="39">
        <f>+IFERROR((FT_RF_264[[#This Row],[Calibre &gt;13]]/FT_RF_264[[#This Row],[Muestra]]),"0")</f>
        <v>0</v>
      </c>
      <c r="BB151" s="41"/>
      <c r="BG151" s="42"/>
      <c r="BH151" s="43">
        <v>0</v>
      </c>
      <c r="BI151" s="29" t="s">
        <v>894</v>
      </c>
      <c r="BJ151" s="29" t="s">
        <v>894</v>
      </c>
      <c r="BK15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5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51" s="45">
        <f>1-FT_RF_264[[#This Row],[% Defectos]]</f>
        <v>1</v>
      </c>
      <c r="BO151" s="60"/>
      <c r="BP151" s="12">
        <f>SUM(FT_RF_264[[#This Row],[Hoja (Un.)]:[Larvas Caja]])</f>
        <v>0</v>
      </c>
      <c r="BQ151" s="12">
        <f>SUM(FT_RF_264[[#This Row],[Vidrios]:[Plástico]])</f>
        <v>0</v>
      </c>
      <c r="BR151" s="12" t="str">
        <f>IF(ISBLANK(FT_RF_264[[#This Row],[Descripción del producto]]),"",FT_RF_264[[#This Row],[Descripción del producto]])</f>
        <v/>
      </c>
      <c r="BS151" s="29" t="str">
        <f>IF(ISBLANK(FT_RF_264[[#This Row],[N° de Lote]]),"",FT_RF_264[[#This Row],[N° de Lote]])</f>
        <v/>
      </c>
      <c r="BT151" s="29" t="str">
        <f>IF(ISBLANK(FT_RF_264[[#This Row],[N° de Pallet]]),"",FT_RF_264[[#This Row],[N° de Pallet]])</f>
        <v/>
      </c>
    </row>
    <row r="152" spans="2:72">
      <c r="B152" s="29">
        <f>+_xlfn.ISOWEEKNUM(FT_RF_264[[#This Row],[Fecha]])</f>
        <v>52</v>
      </c>
      <c r="E152" s="31"/>
      <c r="F152" s="12" t="str">
        <f>IFERROR(""&amp;_xlfn.XLOOKUP(FT_RF_264[[#This Row],[Código]],BD_Cod[SKU],BD_Cod[Descripción]),"")</f>
        <v/>
      </c>
      <c r="G152" s="32" t="str">
        <f>IFERROR(""&amp;_xlfn.XLOOKUP(FT_RF_264[[#This Row],[Código]],BD_Cod[SKU],BD_Cod[Familia Calidad]),"")</f>
        <v/>
      </c>
      <c r="J152" s="33">
        <v>1000</v>
      </c>
      <c r="L152" s="30" t="s">
        <v>244</v>
      </c>
      <c r="O152" s="30" t="s">
        <v>894</v>
      </c>
      <c r="P152" s="29" t="s">
        <v>894</v>
      </c>
      <c r="Q152" s="37">
        <f>1-FT_RF_264[[#This Row],[% Defectos]]</f>
        <v>1</v>
      </c>
      <c r="R152" s="38">
        <v>0</v>
      </c>
      <c r="S152" s="39">
        <f>+IFERROR((FT_RF_264[[#This Row],[Inmadura]]/FT_RF_264[[#This Row],[Muestra]]),"0")</f>
        <v>0</v>
      </c>
      <c r="T152" s="38">
        <v>0</v>
      </c>
      <c r="U152" s="39">
        <f>+IFERROR((FT_RF_264[[#This Row],[Partidas]]/FT_RF_264[[#This Row],[Muestra]]),"0")</f>
        <v>0</v>
      </c>
      <c r="V152" s="38">
        <v>0</v>
      </c>
      <c r="W152" s="39">
        <f>+IFERROR((FT_RF_264[[#This Row],[Daño Insecto]]/FT_RF_264[[#This Row],[Muestra]]),"0")</f>
        <v>0</v>
      </c>
      <c r="X152" s="38">
        <v>0</v>
      </c>
      <c r="Y152" s="39">
        <f>+IFERROR((FT_RF_264[[#This Row],[Sobremadura]]/FT_RF_264[[#This Row],[Muestra]]),"0")</f>
        <v>0</v>
      </c>
      <c r="Z152" s="38">
        <v>0</v>
      </c>
      <c r="AA152" s="39">
        <f>+IFERROR((FT_RF_264[[#This Row],[Deforme]]/FT_RF_264[[#This Row],[Muestra]]),"0")</f>
        <v>0</v>
      </c>
      <c r="AB152" s="27"/>
      <c r="AC152" s="38">
        <v>0</v>
      </c>
      <c r="AD152" s="39">
        <f>+IFERROR((FT_RF_264[[#This Row],[Valor Extra 1]]/FT_RF_264[[#This Row],[Muestra]]),"0")</f>
        <v>0</v>
      </c>
      <c r="AF152" s="38">
        <v>0</v>
      </c>
      <c r="AG152" s="39">
        <f>+IFERROR((FT_RF_264[[#This Row],[Valor Extra 2]]/FT_RF_264[[#This Row],[Muestra]]),"0")</f>
        <v>0</v>
      </c>
      <c r="AH152" s="40">
        <v>0</v>
      </c>
      <c r="AI152" s="39">
        <f>+IFERROR((FT_RF_264[[#This Row],[Hongos]]/FT_RF_264[[#This Row],[Muestra]]),"0")</f>
        <v>0</v>
      </c>
      <c r="AJ152" s="38">
        <v>0</v>
      </c>
      <c r="AK152" s="39">
        <f>+IFERROR((FT_RF_264[[#This Row],[Block]]/FT_RF_264[[#This Row],[Muestra]]),"0")</f>
        <v>0</v>
      </c>
      <c r="AL152" s="41">
        <v>0</v>
      </c>
      <c r="AM152" s="42">
        <v>0</v>
      </c>
      <c r="AN152" s="38">
        <v>0</v>
      </c>
      <c r="AO152" s="39">
        <f>+IFERROR((FT_RF_264[[#This Row],[Fuera de calibre &lt;12mm]]/FT_RF_264[[#This Row],[Muestra]]),"0")</f>
        <v>0</v>
      </c>
      <c r="AP152" s="38">
        <v>0</v>
      </c>
      <c r="AQ152" s="39">
        <f>+IFERROR((FT_RF_264[[#This Row],[Calibre &lt;25]]/FT_RF_264[[#This Row],[Muestra]]),"0")</f>
        <v>0</v>
      </c>
      <c r="AR152" s="38">
        <v>0</v>
      </c>
      <c r="AS152" s="39">
        <f>+IFERROR((FT_RF_264[[#This Row],[Calibre &gt;12]]/FT_RF_264[[#This Row],[Muestra]]),"0")</f>
        <v>0</v>
      </c>
      <c r="AT152" s="38">
        <v>0</v>
      </c>
      <c r="AU152" s="39">
        <f>+IFERROR((FT_RF_264[[#This Row],[Calibre &lt;14]]/FT_RF_264[[#This Row],[Muestra]]),"0")</f>
        <v>0</v>
      </c>
      <c r="AV152" s="38">
        <v>0</v>
      </c>
      <c r="AW152" s="39">
        <f>+IFERROR((FT_RF_264[[#This Row],[Calibre &gt;14]]/FT_RF_264[[#This Row],[Muestra]]),"0")</f>
        <v>0</v>
      </c>
      <c r="AX152" s="38">
        <v>0</v>
      </c>
      <c r="AY152" s="39">
        <f>+IFERROR((FT_RF_264[[#This Row],[Calibre &lt;10]]/FT_RF_264[[#This Row],[Muestra]]),"0")</f>
        <v>0</v>
      </c>
      <c r="AZ152" s="38">
        <v>0</v>
      </c>
      <c r="BA152" s="39">
        <f>+IFERROR((FT_RF_264[[#This Row],[Calibre &gt;13]]/FT_RF_264[[#This Row],[Muestra]]),"0")</f>
        <v>0</v>
      </c>
      <c r="BB152" s="41"/>
      <c r="BG152" s="42"/>
      <c r="BH152" s="43">
        <v>0</v>
      </c>
      <c r="BI152" s="29" t="s">
        <v>894</v>
      </c>
      <c r="BJ152" s="29" t="s">
        <v>894</v>
      </c>
      <c r="BK15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5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52" s="45">
        <f>1-FT_RF_264[[#This Row],[% Defectos]]</f>
        <v>1</v>
      </c>
      <c r="BO152" s="60"/>
      <c r="BP152" s="12">
        <f>SUM(FT_RF_264[[#This Row],[Hoja (Un.)]:[Larvas Caja]])</f>
        <v>0</v>
      </c>
      <c r="BQ152" s="12">
        <f>SUM(FT_RF_264[[#This Row],[Vidrios]:[Plástico]])</f>
        <v>0</v>
      </c>
      <c r="BR152" s="12" t="str">
        <f>IF(ISBLANK(FT_RF_264[[#This Row],[Descripción del producto]]),"",FT_RF_264[[#This Row],[Descripción del producto]])</f>
        <v/>
      </c>
      <c r="BS152" s="29" t="str">
        <f>IF(ISBLANK(FT_RF_264[[#This Row],[N° de Lote]]),"",FT_RF_264[[#This Row],[N° de Lote]])</f>
        <v/>
      </c>
      <c r="BT152" s="29" t="str">
        <f>IF(ISBLANK(FT_RF_264[[#This Row],[N° de Pallet]]),"",FT_RF_264[[#This Row],[N° de Pallet]])</f>
        <v/>
      </c>
    </row>
    <row r="153" spans="2:72">
      <c r="B153" s="29">
        <f>+_xlfn.ISOWEEKNUM(FT_RF_264[[#This Row],[Fecha]])</f>
        <v>52</v>
      </c>
      <c r="E153" s="31"/>
      <c r="F153" s="12" t="str">
        <f>IFERROR(""&amp;_xlfn.XLOOKUP(FT_RF_264[[#This Row],[Código]],BD_Cod[SKU],BD_Cod[Descripción]),"")</f>
        <v/>
      </c>
      <c r="G153" s="32" t="str">
        <f>IFERROR(""&amp;_xlfn.XLOOKUP(FT_RF_264[[#This Row],[Código]],BD_Cod[SKU],BD_Cod[Familia Calidad]),"")</f>
        <v/>
      </c>
      <c r="J153" s="33">
        <v>1000</v>
      </c>
      <c r="L153" s="30" t="s">
        <v>244</v>
      </c>
      <c r="O153" s="30" t="s">
        <v>894</v>
      </c>
      <c r="P153" s="29" t="s">
        <v>894</v>
      </c>
      <c r="Q153" s="37">
        <f>1-FT_RF_264[[#This Row],[% Defectos]]</f>
        <v>1</v>
      </c>
      <c r="R153" s="38">
        <v>0</v>
      </c>
      <c r="S153" s="39">
        <f>+IFERROR((FT_RF_264[[#This Row],[Inmadura]]/FT_RF_264[[#This Row],[Muestra]]),"0")</f>
        <v>0</v>
      </c>
      <c r="T153" s="38">
        <v>0</v>
      </c>
      <c r="U153" s="39">
        <f>+IFERROR((FT_RF_264[[#This Row],[Partidas]]/FT_RF_264[[#This Row],[Muestra]]),"0")</f>
        <v>0</v>
      </c>
      <c r="V153" s="38">
        <v>0</v>
      </c>
      <c r="W153" s="39">
        <f>+IFERROR((FT_RF_264[[#This Row],[Daño Insecto]]/FT_RF_264[[#This Row],[Muestra]]),"0")</f>
        <v>0</v>
      </c>
      <c r="X153" s="38">
        <v>0</v>
      </c>
      <c r="Y153" s="39">
        <f>+IFERROR((FT_RF_264[[#This Row],[Sobremadura]]/FT_RF_264[[#This Row],[Muestra]]),"0")</f>
        <v>0</v>
      </c>
      <c r="Z153" s="38">
        <v>0</v>
      </c>
      <c r="AA153" s="39">
        <f>+IFERROR((FT_RF_264[[#This Row],[Deforme]]/FT_RF_264[[#This Row],[Muestra]]),"0")</f>
        <v>0</v>
      </c>
      <c r="AB153" s="27"/>
      <c r="AC153" s="38">
        <v>0</v>
      </c>
      <c r="AD153" s="39">
        <f>+IFERROR((FT_RF_264[[#This Row],[Valor Extra 1]]/FT_RF_264[[#This Row],[Muestra]]),"0")</f>
        <v>0</v>
      </c>
      <c r="AF153" s="38">
        <v>0</v>
      </c>
      <c r="AG153" s="39">
        <f>+IFERROR((FT_RF_264[[#This Row],[Valor Extra 2]]/FT_RF_264[[#This Row],[Muestra]]),"0")</f>
        <v>0</v>
      </c>
      <c r="AH153" s="40">
        <v>0</v>
      </c>
      <c r="AI153" s="39">
        <f>+IFERROR((FT_RF_264[[#This Row],[Hongos]]/FT_RF_264[[#This Row],[Muestra]]),"0")</f>
        <v>0</v>
      </c>
      <c r="AJ153" s="38">
        <v>0</v>
      </c>
      <c r="AK153" s="39">
        <f>+IFERROR((FT_RF_264[[#This Row],[Block]]/FT_RF_264[[#This Row],[Muestra]]),"0")</f>
        <v>0</v>
      </c>
      <c r="AL153" s="41">
        <v>0</v>
      </c>
      <c r="AM153" s="42">
        <v>0</v>
      </c>
      <c r="AN153" s="38">
        <v>0</v>
      </c>
      <c r="AO153" s="39">
        <f>+IFERROR((FT_RF_264[[#This Row],[Fuera de calibre &lt;12mm]]/FT_RF_264[[#This Row],[Muestra]]),"0")</f>
        <v>0</v>
      </c>
      <c r="AP153" s="38">
        <v>0</v>
      </c>
      <c r="AQ153" s="39">
        <f>+IFERROR((FT_RF_264[[#This Row],[Calibre &lt;25]]/FT_RF_264[[#This Row],[Muestra]]),"0")</f>
        <v>0</v>
      </c>
      <c r="AR153" s="38">
        <v>0</v>
      </c>
      <c r="AS153" s="39">
        <f>+IFERROR((FT_RF_264[[#This Row],[Calibre &gt;12]]/FT_RF_264[[#This Row],[Muestra]]),"0")</f>
        <v>0</v>
      </c>
      <c r="AT153" s="38">
        <v>0</v>
      </c>
      <c r="AU153" s="39">
        <f>+IFERROR((FT_RF_264[[#This Row],[Calibre &lt;14]]/FT_RF_264[[#This Row],[Muestra]]),"0")</f>
        <v>0</v>
      </c>
      <c r="AV153" s="38">
        <v>0</v>
      </c>
      <c r="AW153" s="39">
        <f>+IFERROR((FT_RF_264[[#This Row],[Calibre &gt;14]]/FT_RF_264[[#This Row],[Muestra]]),"0")</f>
        <v>0</v>
      </c>
      <c r="AX153" s="38">
        <v>0</v>
      </c>
      <c r="AY153" s="39">
        <f>+IFERROR((FT_RF_264[[#This Row],[Calibre &lt;10]]/FT_RF_264[[#This Row],[Muestra]]),"0")</f>
        <v>0</v>
      </c>
      <c r="AZ153" s="38">
        <v>0</v>
      </c>
      <c r="BA153" s="39">
        <f>+IFERROR((FT_RF_264[[#This Row],[Calibre &gt;13]]/FT_RF_264[[#This Row],[Muestra]]),"0")</f>
        <v>0</v>
      </c>
      <c r="BB153" s="41"/>
      <c r="BG153" s="42"/>
      <c r="BH153" s="43">
        <v>0</v>
      </c>
      <c r="BI153" s="29" t="s">
        <v>894</v>
      </c>
      <c r="BJ153" s="29" t="s">
        <v>894</v>
      </c>
      <c r="BK15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5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53" s="45">
        <f>1-FT_RF_264[[#This Row],[% Defectos]]</f>
        <v>1</v>
      </c>
      <c r="BO153" s="60"/>
      <c r="BP153" s="12">
        <f>SUM(FT_RF_264[[#This Row],[Hoja (Un.)]:[Larvas Caja]])</f>
        <v>0</v>
      </c>
      <c r="BQ153" s="12">
        <f>SUM(FT_RF_264[[#This Row],[Vidrios]:[Plástico]])</f>
        <v>0</v>
      </c>
      <c r="BR153" s="12" t="str">
        <f>IF(ISBLANK(FT_RF_264[[#This Row],[Descripción del producto]]),"",FT_RF_264[[#This Row],[Descripción del producto]])</f>
        <v/>
      </c>
      <c r="BS153" s="29" t="str">
        <f>IF(ISBLANK(FT_RF_264[[#This Row],[N° de Lote]]),"",FT_RF_264[[#This Row],[N° de Lote]])</f>
        <v/>
      </c>
      <c r="BT153" s="29" t="str">
        <f>IF(ISBLANK(FT_RF_264[[#This Row],[N° de Pallet]]),"",FT_RF_264[[#This Row],[N° de Pallet]])</f>
        <v/>
      </c>
    </row>
    <row r="154" spans="2:72">
      <c r="B154" s="29">
        <f>+_xlfn.ISOWEEKNUM(FT_RF_264[[#This Row],[Fecha]])</f>
        <v>52</v>
      </c>
      <c r="E154" s="31"/>
      <c r="F154" s="12" t="str">
        <f>IFERROR(""&amp;_xlfn.XLOOKUP(FT_RF_264[[#This Row],[Código]],BD_Cod[SKU],BD_Cod[Descripción]),"")</f>
        <v/>
      </c>
      <c r="G154" s="32" t="str">
        <f>IFERROR(""&amp;_xlfn.XLOOKUP(FT_RF_264[[#This Row],[Código]],BD_Cod[SKU],BD_Cod[Familia Calidad]),"")</f>
        <v/>
      </c>
      <c r="J154" s="33">
        <v>1000</v>
      </c>
      <c r="L154" s="30" t="s">
        <v>244</v>
      </c>
      <c r="O154" s="30" t="s">
        <v>894</v>
      </c>
      <c r="P154" s="29" t="s">
        <v>894</v>
      </c>
      <c r="Q154" s="37">
        <f>1-FT_RF_264[[#This Row],[% Defectos]]</f>
        <v>1</v>
      </c>
      <c r="R154" s="38">
        <v>0</v>
      </c>
      <c r="S154" s="39">
        <f>+IFERROR((FT_RF_264[[#This Row],[Inmadura]]/FT_RF_264[[#This Row],[Muestra]]),"0")</f>
        <v>0</v>
      </c>
      <c r="T154" s="38">
        <v>0</v>
      </c>
      <c r="U154" s="39">
        <f>+IFERROR((FT_RF_264[[#This Row],[Partidas]]/FT_RF_264[[#This Row],[Muestra]]),"0")</f>
        <v>0</v>
      </c>
      <c r="V154" s="38">
        <v>0</v>
      </c>
      <c r="W154" s="39">
        <f>+IFERROR((FT_RF_264[[#This Row],[Daño Insecto]]/FT_RF_264[[#This Row],[Muestra]]),"0")</f>
        <v>0</v>
      </c>
      <c r="X154" s="38">
        <v>0</v>
      </c>
      <c r="Y154" s="39">
        <f>+IFERROR((FT_RF_264[[#This Row],[Sobremadura]]/FT_RF_264[[#This Row],[Muestra]]),"0")</f>
        <v>0</v>
      </c>
      <c r="Z154" s="38">
        <v>0</v>
      </c>
      <c r="AA154" s="39">
        <f>+IFERROR((FT_RF_264[[#This Row],[Deforme]]/FT_RF_264[[#This Row],[Muestra]]),"0")</f>
        <v>0</v>
      </c>
      <c r="AB154" s="27"/>
      <c r="AC154" s="38">
        <v>0</v>
      </c>
      <c r="AD154" s="39">
        <f>+IFERROR((FT_RF_264[[#This Row],[Valor Extra 1]]/FT_RF_264[[#This Row],[Muestra]]),"0")</f>
        <v>0</v>
      </c>
      <c r="AF154" s="38">
        <v>0</v>
      </c>
      <c r="AG154" s="39">
        <f>+IFERROR((FT_RF_264[[#This Row],[Valor Extra 2]]/FT_RF_264[[#This Row],[Muestra]]),"0")</f>
        <v>0</v>
      </c>
      <c r="AH154" s="40">
        <v>0</v>
      </c>
      <c r="AI154" s="39">
        <f>+IFERROR((FT_RF_264[[#This Row],[Hongos]]/FT_RF_264[[#This Row],[Muestra]]),"0")</f>
        <v>0</v>
      </c>
      <c r="AJ154" s="38">
        <v>0</v>
      </c>
      <c r="AK154" s="39">
        <f>+IFERROR((FT_RF_264[[#This Row],[Block]]/FT_RF_264[[#This Row],[Muestra]]),"0")</f>
        <v>0</v>
      </c>
      <c r="AL154" s="41">
        <v>0</v>
      </c>
      <c r="AM154" s="42">
        <v>0</v>
      </c>
      <c r="AN154" s="38">
        <v>0</v>
      </c>
      <c r="AO154" s="39">
        <f>+IFERROR((FT_RF_264[[#This Row],[Fuera de calibre &lt;12mm]]/FT_RF_264[[#This Row],[Muestra]]),"0")</f>
        <v>0</v>
      </c>
      <c r="AP154" s="38">
        <v>0</v>
      </c>
      <c r="AQ154" s="39">
        <f>+IFERROR((FT_RF_264[[#This Row],[Calibre &lt;25]]/FT_RF_264[[#This Row],[Muestra]]),"0")</f>
        <v>0</v>
      </c>
      <c r="AR154" s="38">
        <v>0</v>
      </c>
      <c r="AS154" s="39">
        <f>+IFERROR((FT_RF_264[[#This Row],[Calibre &gt;12]]/FT_RF_264[[#This Row],[Muestra]]),"0")</f>
        <v>0</v>
      </c>
      <c r="AT154" s="38">
        <v>0</v>
      </c>
      <c r="AU154" s="39">
        <f>+IFERROR((FT_RF_264[[#This Row],[Calibre &lt;14]]/FT_RF_264[[#This Row],[Muestra]]),"0")</f>
        <v>0</v>
      </c>
      <c r="AV154" s="38">
        <v>0</v>
      </c>
      <c r="AW154" s="39">
        <f>+IFERROR((FT_RF_264[[#This Row],[Calibre &gt;14]]/FT_RF_264[[#This Row],[Muestra]]),"0")</f>
        <v>0</v>
      </c>
      <c r="AX154" s="38">
        <v>0</v>
      </c>
      <c r="AY154" s="39">
        <f>+IFERROR((FT_RF_264[[#This Row],[Calibre &lt;10]]/FT_RF_264[[#This Row],[Muestra]]),"0")</f>
        <v>0</v>
      </c>
      <c r="AZ154" s="38">
        <v>0</v>
      </c>
      <c r="BA154" s="39">
        <f>+IFERROR((FT_RF_264[[#This Row],[Calibre &gt;13]]/FT_RF_264[[#This Row],[Muestra]]),"0")</f>
        <v>0</v>
      </c>
      <c r="BB154" s="41"/>
      <c r="BG154" s="42"/>
      <c r="BH154" s="43">
        <v>0</v>
      </c>
      <c r="BI154" s="29" t="s">
        <v>894</v>
      </c>
      <c r="BJ154" s="29" t="s">
        <v>894</v>
      </c>
      <c r="BK15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5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54" s="45">
        <f>1-FT_RF_264[[#This Row],[% Defectos]]</f>
        <v>1</v>
      </c>
      <c r="BO154" s="60"/>
      <c r="BP154" s="12">
        <f>SUM(FT_RF_264[[#This Row],[Hoja (Un.)]:[Larvas Caja]])</f>
        <v>0</v>
      </c>
      <c r="BQ154" s="12">
        <f>SUM(FT_RF_264[[#This Row],[Vidrios]:[Plástico]])</f>
        <v>0</v>
      </c>
      <c r="BR154" s="12" t="str">
        <f>IF(ISBLANK(FT_RF_264[[#This Row],[Descripción del producto]]),"",FT_RF_264[[#This Row],[Descripción del producto]])</f>
        <v/>
      </c>
      <c r="BS154" s="29" t="str">
        <f>IF(ISBLANK(FT_RF_264[[#This Row],[N° de Lote]]),"",FT_RF_264[[#This Row],[N° de Lote]])</f>
        <v/>
      </c>
      <c r="BT154" s="29" t="str">
        <f>IF(ISBLANK(FT_RF_264[[#This Row],[N° de Pallet]]),"",FT_RF_264[[#This Row],[N° de Pallet]])</f>
        <v/>
      </c>
    </row>
    <row r="155" spans="2:72">
      <c r="B155" s="29">
        <f>+_xlfn.ISOWEEKNUM(FT_RF_264[[#This Row],[Fecha]])</f>
        <v>52</v>
      </c>
      <c r="E155" s="31"/>
      <c r="F155" s="12" t="str">
        <f>IFERROR(""&amp;_xlfn.XLOOKUP(FT_RF_264[[#This Row],[Código]],BD_Cod[SKU],BD_Cod[Descripción]),"")</f>
        <v/>
      </c>
      <c r="G155" s="32" t="str">
        <f>IFERROR(""&amp;_xlfn.XLOOKUP(FT_RF_264[[#This Row],[Código]],BD_Cod[SKU],BD_Cod[Familia Calidad]),"")</f>
        <v/>
      </c>
      <c r="J155" s="33">
        <v>1000</v>
      </c>
      <c r="L155" s="30" t="s">
        <v>244</v>
      </c>
      <c r="O155" s="30" t="s">
        <v>894</v>
      </c>
      <c r="P155" s="29" t="s">
        <v>894</v>
      </c>
      <c r="Q155" s="37">
        <f>1-FT_RF_264[[#This Row],[% Defectos]]</f>
        <v>1</v>
      </c>
      <c r="R155" s="38">
        <v>0</v>
      </c>
      <c r="S155" s="39">
        <f>+IFERROR((FT_RF_264[[#This Row],[Inmadura]]/FT_RF_264[[#This Row],[Muestra]]),"0")</f>
        <v>0</v>
      </c>
      <c r="T155" s="38">
        <v>0</v>
      </c>
      <c r="U155" s="39">
        <f>+IFERROR((FT_RF_264[[#This Row],[Partidas]]/FT_RF_264[[#This Row],[Muestra]]),"0")</f>
        <v>0</v>
      </c>
      <c r="V155" s="38">
        <v>0</v>
      </c>
      <c r="W155" s="39">
        <f>+IFERROR((FT_RF_264[[#This Row],[Daño Insecto]]/FT_RF_264[[#This Row],[Muestra]]),"0")</f>
        <v>0</v>
      </c>
      <c r="X155" s="38">
        <v>0</v>
      </c>
      <c r="Y155" s="39">
        <f>+IFERROR((FT_RF_264[[#This Row],[Sobremadura]]/FT_RF_264[[#This Row],[Muestra]]),"0")</f>
        <v>0</v>
      </c>
      <c r="Z155" s="38">
        <v>0</v>
      </c>
      <c r="AA155" s="39">
        <f>+IFERROR((FT_RF_264[[#This Row],[Deforme]]/FT_RF_264[[#This Row],[Muestra]]),"0")</f>
        <v>0</v>
      </c>
      <c r="AB155" s="27"/>
      <c r="AC155" s="38">
        <v>0</v>
      </c>
      <c r="AD155" s="39">
        <f>+IFERROR((FT_RF_264[[#This Row],[Valor Extra 1]]/FT_RF_264[[#This Row],[Muestra]]),"0")</f>
        <v>0</v>
      </c>
      <c r="AF155" s="38">
        <v>0</v>
      </c>
      <c r="AG155" s="39">
        <f>+IFERROR((FT_RF_264[[#This Row],[Valor Extra 2]]/FT_RF_264[[#This Row],[Muestra]]),"0")</f>
        <v>0</v>
      </c>
      <c r="AH155" s="40">
        <v>0</v>
      </c>
      <c r="AI155" s="39">
        <f>+IFERROR((FT_RF_264[[#This Row],[Hongos]]/FT_RF_264[[#This Row],[Muestra]]),"0")</f>
        <v>0</v>
      </c>
      <c r="AJ155" s="38">
        <v>0</v>
      </c>
      <c r="AK155" s="39">
        <f>+IFERROR((FT_RF_264[[#This Row],[Block]]/FT_RF_264[[#This Row],[Muestra]]),"0")</f>
        <v>0</v>
      </c>
      <c r="AL155" s="41">
        <v>0</v>
      </c>
      <c r="AM155" s="42">
        <v>0</v>
      </c>
      <c r="AN155" s="38">
        <v>0</v>
      </c>
      <c r="AO155" s="39">
        <f>+IFERROR((FT_RF_264[[#This Row],[Fuera de calibre &lt;12mm]]/FT_RF_264[[#This Row],[Muestra]]),"0")</f>
        <v>0</v>
      </c>
      <c r="AP155" s="38">
        <v>0</v>
      </c>
      <c r="AQ155" s="39">
        <f>+IFERROR((FT_RF_264[[#This Row],[Calibre &lt;25]]/FT_RF_264[[#This Row],[Muestra]]),"0")</f>
        <v>0</v>
      </c>
      <c r="AR155" s="38">
        <v>0</v>
      </c>
      <c r="AS155" s="39">
        <f>+IFERROR((FT_RF_264[[#This Row],[Calibre &gt;12]]/FT_RF_264[[#This Row],[Muestra]]),"0")</f>
        <v>0</v>
      </c>
      <c r="AT155" s="38">
        <v>0</v>
      </c>
      <c r="AU155" s="39">
        <f>+IFERROR((FT_RF_264[[#This Row],[Calibre &lt;14]]/FT_RF_264[[#This Row],[Muestra]]),"0")</f>
        <v>0</v>
      </c>
      <c r="AV155" s="38">
        <v>0</v>
      </c>
      <c r="AW155" s="39">
        <f>+IFERROR((FT_RF_264[[#This Row],[Calibre &gt;14]]/FT_RF_264[[#This Row],[Muestra]]),"0")</f>
        <v>0</v>
      </c>
      <c r="AX155" s="38">
        <v>0</v>
      </c>
      <c r="AY155" s="39">
        <f>+IFERROR((FT_RF_264[[#This Row],[Calibre &lt;10]]/FT_RF_264[[#This Row],[Muestra]]),"0")</f>
        <v>0</v>
      </c>
      <c r="AZ155" s="38">
        <v>0</v>
      </c>
      <c r="BA155" s="39">
        <f>+IFERROR((FT_RF_264[[#This Row],[Calibre &gt;13]]/FT_RF_264[[#This Row],[Muestra]]),"0")</f>
        <v>0</v>
      </c>
      <c r="BB155" s="41"/>
      <c r="BG155" s="42"/>
      <c r="BH155" s="43">
        <v>0</v>
      </c>
      <c r="BI155" s="29" t="s">
        <v>894</v>
      </c>
      <c r="BJ155" s="29" t="s">
        <v>894</v>
      </c>
      <c r="BK15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5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55" s="45">
        <f>1-FT_RF_264[[#This Row],[% Defectos]]</f>
        <v>1</v>
      </c>
      <c r="BO155" s="60"/>
      <c r="BP155" s="12">
        <f>SUM(FT_RF_264[[#This Row],[Hoja (Un.)]:[Larvas Caja]])</f>
        <v>0</v>
      </c>
      <c r="BQ155" s="12">
        <f>SUM(FT_RF_264[[#This Row],[Vidrios]:[Plástico]])</f>
        <v>0</v>
      </c>
      <c r="BR155" s="12" t="str">
        <f>IF(ISBLANK(FT_RF_264[[#This Row],[Descripción del producto]]),"",FT_RF_264[[#This Row],[Descripción del producto]])</f>
        <v/>
      </c>
      <c r="BS155" s="29" t="str">
        <f>IF(ISBLANK(FT_RF_264[[#This Row],[N° de Lote]]),"",FT_RF_264[[#This Row],[N° de Lote]])</f>
        <v/>
      </c>
      <c r="BT155" s="29" t="str">
        <f>IF(ISBLANK(FT_RF_264[[#This Row],[N° de Pallet]]),"",FT_RF_264[[#This Row],[N° de Pallet]])</f>
        <v/>
      </c>
    </row>
    <row r="156" spans="2:72">
      <c r="B156" s="29">
        <f>+_xlfn.ISOWEEKNUM(FT_RF_264[[#This Row],[Fecha]])</f>
        <v>52</v>
      </c>
      <c r="E156" s="31"/>
      <c r="F156" s="12" t="str">
        <f>IFERROR(""&amp;_xlfn.XLOOKUP(FT_RF_264[[#This Row],[Código]],BD_Cod[SKU],BD_Cod[Descripción]),"")</f>
        <v/>
      </c>
      <c r="G156" s="32" t="str">
        <f>IFERROR(""&amp;_xlfn.XLOOKUP(FT_RF_264[[#This Row],[Código]],BD_Cod[SKU],BD_Cod[Familia Calidad]),"")</f>
        <v/>
      </c>
      <c r="J156" s="33">
        <v>1000</v>
      </c>
      <c r="L156" s="30" t="s">
        <v>244</v>
      </c>
      <c r="O156" s="30" t="s">
        <v>894</v>
      </c>
      <c r="P156" s="29" t="s">
        <v>894</v>
      </c>
      <c r="Q156" s="37">
        <f>1-FT_RF_264[[#This Row],[% Defectos]]</f>
        <v>1</v>
      </c>
      <c r="R156" s="38">
        <v>0</v>
      </c>
      <c r="S156" s="39">
        <f>+IFERROR((FT_RF_264[[#This Row],[Inmadura]]/FT_RF_264[[#This Row],[Muestra]]),"0")</f>
        <v>0</v>
      </c>
      <c r="T156" s="38">
        <v>0</v>
      </c>
      <c r="U156" s="39">
        <f>+IFERROR((FT_RF_264[[#This Row],[Partidas]]/FT_RF_264[[#This Row],[Muestra]]),"0")</f>
        <v>0</v>
      </c>
      <c r="V156" s="38">
        <v>0</v>
      </c>
      <c r="W156" s="39">
        <f>+IFERROR((FT_RF_264[[#This Row],[Daño Insecto]]/FT_RF_264[[#This Row],[Muestra]]),"0")</f>
        <v>0</v>
      </c>
      <c r="X156" s="38">
        <v>0</v>
      </c>
      <c r="Y156" s="39">
        <f>+IFERROR((FT_RF_264[[#This Row],[Sobremadura]]/FT_RF_264[[#This Row],[Muestra]]),"0")</f>
        <v>0</v>
      </c>
      <c r="Z156" s="38">
        <v>0</v>
      </c>
      <c r="AA156" s="39">
        <f>+IFERROR((FT_RF_264[[#This Row],[Deforme]]/FT_RF_264[[#This Row],[Muestra]]),"0")</f>
        <v>0</v>
      </c>
      <c r="AB156" s="27"/>
      <c r="AC156" s="38">
        <v>0</v>
      </c>
      <c r="AD156" s="39">
        <f>+IFERROR((FT_RF_264[[#This Row],[Valor Extra 1]]/FT_RF_264[[#This Row],[Muestra]]),"0")</f>
        <v>0</v>
      </c>
      <c r="AF156" s="38">
        <v>0</v>
      </c>
      <c r="AG156" s="39">
        <f>+IFERROR((FT_RF_264[[#This Row],[Valor Extra 2]]/FT_RF_264[[#This Row],[Muestra]]),"0")</f>
        <v>0</v>
      </c>
      <c r="AH156" s="40">
        <v>0</v>
      </c>
      <c r="AI156" s="39">
        <f>+IFERROR((FT_RF_264[[#This Row],[Hongos]]/FT_RF_264[[#This Row],[Muestra]]),"0")</f>
        <v>0</v>
      </c>
      <c r="AJ156" s="38">
        <v>0</v>
      </c>
      <c r="AK156" s="39">
        <f>+IFERROR((FT_RF_264[[#This Row],[Block]]/FT_RF_264[[#This Row],[Muestra]]),"0")</f>
        <v>0</v>
      </c>
      <c r="AL156" s="41">
        <v>0</v>
      </c>
      <c r="AM156" s="42">
        <v>0</v>
      </c>
      <c r="AN156" s="38">
        <v>0</v>
      </c>
      <c r="AO156" s="39">
        <f>+IFERROR((FT_RF_264[[#This Row],[Fuera de calibre &lt;12mm]]/FT_RF_264[[#This Row],[Muestra]]),"0")</f>
        <v>0</v>
      </c>
      <c r="AP156" s="38">
        <v>0</v>
      </c>
      <c r="AQ156" s="39">
        <f>+IFERROR((FT_RF_264[[#This Row],[Calibre &lt;25]]/FT_RF_264[[#This Row],[Muestra]]),"0")</f>
        <v>0</v>
      </c>
      <c r="AR156" s="38">
        <v>0</v>
      </c>
      <c r="AS156" s="39">
        <f>+IFERROR((FT_RF_264[[#This Row],[Calibre &gt;12]]/FT_RF_264[[#This Row],[Muestra]]),"0")</f>
        <v>0</v>
      </c>
      <c r="AT156" s="38">
        <v>0</v>
      </c>
      <c r="AU156" s="39">
        <f>+IFERROR((FT_RF_264[[#This Row],[Calibre &lt;14]]/FT_RF_264[[#This Row],[Muestra]]),"0")</f>
        <v>0</v>
      </c>
      <c r="AV156" s="38">
        <v>0</v>
      </c>
      <c r="AW156" s="39">
        <f>+IFERROR((FT_RF_264[[#This Row],[Calibre &gt;14]]/FT_RF_264[[#This Row],[Muestra]]),"0")</f>
        <v>0</v>
      </c>
      <c r="AX156" s="38">
        <v>0</v>
      </c>
      <c r="AY156" s="39">
        <f>+IFERROR((FT_RF_264[[#This Row],[Calibre &lt;10]]/FT_RF_264[[#This Row],[Muestra]]),"0")</f>
        <v>0</v>
      </c>
      <c r="AZ156" s="38">
        <v>0</v>
      </c>
      <c r="BA156" s="39">
        <f>+IFERROR((FT_RF_264[[#This Row],[Calibre &gt;13]]/FT_RF_264[[#This Row],[Muestra]]),"0")</f>
        <v>0</v>
      </c>
      <c r="BB156" s="41"/>
      <c r="BG156" s="42"/>
      <c r="BH156" s="43">
        <v>0</v>
      </c>
      <c r="BI156" s="29" t="s">
        <v>894</v>
      </c>
      <c r="BJ156" s="29" t="s">
        <v>894</v>
      </c>
      <c r="BK15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5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56" s="45">
        <f>1-FT_RF_264[[#This Row],[% Defectos]]</f>
        <v>1</v>
      </c>
      <c r="BO156" s="60"/>
      <c r="BP156" s="12">
        <f>SUM(FT_RF_264[[#This Row],[Hoja (Un.)]:[Larvas Caja]])</f>
        <v>0</v>
      </c>
      <c r="BQ156" s="12">
        <f>SUM(FT_RF_264[[#This Row],[Vidrios]:[Plástico]])</f>
        <v>0</v>
      </c>
      <c r="BR156" s="12" t="str">
        <f>IF(ISBLANK(FT_RF_264[[#This Row],[Descripción del producto]]),"",FT_RF_264[[#This Row],[Descripción del producto]])</f>
        <v/>
      </c>
      <c r="BS156" s="29" t="str">
        <f>IF(ISBLANK(FT_RF_264[[#This Row],[N° de Lote]]),"",FT_RF_264[[#This Row],[N° de Lote]])</f>
        <v/>
      </c>
      <c r="BT156" s="29" t="str">
        <f>IF(ISBLANK(FT_RF_264[[#This Row],[N° de Pallet]]),"",FT_RF_264[[#This Row],[N° de Pallet]])</f>
        <v/>
      </c>
    </row>
    <row r="157" spans="2:72">
      <c r="B157" s="29">
        <f>+_xlfn.ISOWEEKNUM(FT_RF_264[[#This Row],[Fecha]])</f>
        <v>52</v>
      </c>
      <c r="E157" s="31"/>
      <c r="F157" s="12" t="str">
        <f>IFERROR(""&amp;_xlfn.XLOOKUP(FT_RF_264[[#This Row],[Código]],BD_Cod[SKU],BD_Cod[Descripción]),"")</f>
        <v/>
      </c>
      <c r="G157" s="32" t="str">
        <f>IFERROR(""&amp;_xlfn.XLOOKUP(FT_RF_264[[#This Row],[Código]],BD_Cod[SKU],BD_Cod[Familia Calidad]),"")</f>
        <v/>
      </c>
      <c r="J157" s="33">
        <v>1000</v>
      </c>
      <c r="L157" s="30" t="s">
        <v>244</v>
      </c>
      <c r="O157" s="30" t="s">
        <v>894</v>
      </c>
      <c r="P157" s="29" t="s">
        <v>894</v>
      </c>
      <c r="Q157" s="37">
        <f>1-FT_RF_264[[#This Row],[% Defectos]]</f>
        <v>1</v>
      </c>
      <c r="R157" s="38">
        <v>0</v>
      </c>
      <c r="S157" s="39">
        <f>+IFERROR((FT_RF_264[[#This Row],[Inmadura]]/FT_RF_264[[#This Row],[Muestra]]),"0")</f>
        <v>0</v>
      </c>
      <c r="T157" s="38">
        <v>0</v>
      </c>
      <c r="U157" s="39">
        <f>+IFERROR((FT_RF_264[[#This Row],[Partidas]]/FT_RF_264[[#This Row],[Muestra]]),"0")</f>
        <v>0</v>
      </c>
      <c r="V157" s="38">
        <v>0</v>
      </c>
      <c r="W157" s="39">
        <f>+IFERROR((FT_RF_264[[#This Row],[Daño Insecto]]/FT_RF_264[[#This Row],[Muestra]]),"0")</f>
        <v>0</v>
      </c>
      <c r="X157" s="38">
        <v>0</v>
      </c>
      <c r="Y157" s="39">
        <f>+IFERROR((FT_RF_264[[#This Row],[Sobremadura]]/FT_RF_264[[#This Row],[Muestra]]),"0")</f>
        <v>0</v>
      </c>
      <c r="Z157" s="38">
        <v>0</v>
      </c>
      <c r="AA157" s="39">
        <f>+IFERROR((FT_RF_264[[#This Row],[Deforme]]/FT_RF_264[[#This Row],[Muestra]]),"0")</f>
        <v>0</v>
      </c>
      <c r="AB157" s="27"/>
      <c r="AC157" s="38">
        <v>0</v>
      </c>
      <c r="AD157" s="39">
        <f>+IFERROR((FT_RF_264[[#This Row],[Valor Extra 1]]/FT_RF_264[[#This Row],[Muestra]]),"0")</f>
        <v>0</v>
      </c>
      <c r="AF157" s="38">
        <v>0</v>
      </c>
      <c r="AG157" s="39">
        <f>+IFERROR((FT_RF_264[[#This Row],[Valor Extra 2]]/FT_RF_264[[#This Row],[Muestra]]),"0")</f>
        <v>0</v>
      </c>
      <c r="AH157" s="40">
        <v>0</v>
      </c>
      <c r="AI157" s="39">
        <f>+IFERROR((FT_RF_264[[#This Row],[Hongos]]/FT_RF_264[[#This Row],[Muestra]]),"0")</f>
        <v>0</v>
      </c>
      <c r="AJ157" s="38">
        <v>0</v>
      </c>
      <c r="AK157" s="39">
        <f>+IFERROR((FT_RF_264[[#This Row],[Block]]/FT_RF_264[[#This Row],[Muestra]]),"0")</f>
        <v>0</v>
      </c>
      <c r="AL157" s="41">
        <v>0</v>
      </c>
      <c r="AM157" s="42">
        <v>0</v>
      </c>
      <c r="AN157" s="38">
        <v>0</v>
      </c>
      <c r="AO157" s="39">
        <f>+IFERROR((FT_RF_264[[#This Row],[Fuera de calibre &lt;12mm]]/FT_RF_264[[#This Row],[Muestra]]),"0")</f>
        <v>0</v>
      </c>
      <c r="AP157" s="38">
        <v>0</v>
      </c>
      <c r="AQ157" s="39">
        <f>+IFERROR((FT_RF_264[[#This Row],[Calibre &lt;25]]/FT_RF_264[[#This Row],[Muestra]]),"0")</f>
        <v>0</v>
      </c>
      <c r="AR157" s="38">
        <v>0</v>
      </c>
      <c r="AS157" s="39">
        <f>+IFERROR((FT_RF_264[[#This Row],[Calibre &gt;12]]/FT_RF_264[[#This Row],[Muestra]]),"0")</f>
        <v>0</v>
      </c>
      <c r="AT157" s="38">
        <v>0</v>
      </c>
      <c r="AU157" s="39">
        <f>+IFERROR((FT_RF_264[[#This Row],[Calibre &lt;14]]/FT_RF_264[[#This Row],[Muestra]]),"0")</f>
        <v>0</v>
      </c>
      <c r="AV157" s="38">
        <v>0</v>
      </c>
      <c r="AW157" s="39">
        <f>+IFERROR((FT_RF_264[[#This Row],[Calibre &gt;14]]/FT_RF_264[[#This Row],[Muestra]]),"0")</f>
        <v>0</v>
      </c>
      <c r="AX157" s="38">
        <v>0</v>
      </c>
      <c r="AY157" s="39">
        <f>+IFERROR((FT_RF_264[[#This Row],[Calibre &lt;10]]/FT_RF_264[[#This Row],[Muestra]]),"0")</f>
        <v>0</v>
      </c>
      <c r="AZ157" s="38">
        <v>0</v>
      </c>
      <c r="BA157" s="39">
        <f>+IFERROR((FT_RF_264[[#This Row],[Calibre &gt;13]]/FT_RF_264[[#This Row],[Muestra]]),"0")</f>
        <v>0</v>
      </c>
      <c r="BB157" s="41"/>
      <c r="BG157" s="42"/>
      <c r="BH157" s="43">
        <v>0</v>
      </c>
      <c r="BI157" s="29" t="s">
        <v>894</v>
      </c>
      <c r="BJ157" s="29" t="s">
        <v>894</v>
      </c>
      <c r="BK15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5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57" s="45">
        <f>1-FT_RF_264[[#This Row],[% Defectos]]</f>
        <v>1</v>
      </c>
      <c r="BO157" s="60"/>
      <c r="BP157" s="12">
        <f>SUM(FT_RF_264[[#This Row],[Hoja (Un.)]:[Larvas Caja]])</f>
        <v>0</v>
      </c>
      <c r="BQ157" s="12">
        <f>SUM(FT_RF_264[[#This Row],[Vidrios]:[Plástico]])</f>
        <v>0</v>
      </c>
      <c r="BR157" s="12" t="str">
        <f>IF(ISBLANK(FT_RF_264[[#This Row],[Descripción del producto]]),"",FT_RF_264[[#This Row],[Descripción del producto]])</f>
        <v/>
      </c>
      <c r="BS157" s="29" t="str">
        <f>IF(ISBLANK(FT_RF_264[[#This Row],[N° de Lote]]),"",FT_RF_264[[#This Row],[N° de Lote]])</f>
        <v/>
      </c>
      <c r="BT157" s="29" t="str">
        <f>IF(ISBLANK(FT_RF_264[[#This Row],[N° de Pallet]]),"",FT_RF_264[[#This Row],[N° de Pallet]])</f>
        <v/>
      </c>
    </row>
    <row r="158" spans="2:72">
      <c r="B158" s="29">
        <f>+_xlfn.ISOWEEKNUM(FT_RF_264[[#This Row],[Fecha]])</f>
        <v>52</v>
      </c>
      <c r="E158" s="31"/>
      <c r="F158" s="12" t="str">
        <f>IFERROR(""&amp;_xlfn.XLOOKUP(FT_RF_264[[#This Row],[Código]],BD_Cod[SKU],BD_Cod[Descripción]),"")</f>
        <v/>
      </c>
      <c r="G158" s="32" t="str">
        <f>IFERROR(""&amp;_xlfn.XLOOKUP(FT_RF_264[[#This Row],[Código]],BD_Cod[SKU],BD_Cod[Familia Calidad]),"")</f>
        <v/>
      </c>
      <c r="J158" s="33">
        <v>1000</v>
      </c>
      <c r="L158" s="30" t="s">
        <v>244</v>
      </c>
      <c r="O158" s="30" t="s">
        <v>894</v>
      </c>
      <c r="P158" s="29" t="s">
        <v>894</v>
      </c>
      <c r="Q158" s="37">
        <f>1-FT_RF_264[[#This Row],[% Defectos]]</f>
        <v>1</v>
      </c>
      <c r="R158" s="38">
        <v>0</v>
      </c>
      <c r="S158" s="39">
        <f>+IFERROR((FT_RF_264[[#This Row],[Inmadura]]/FT_RF_264[[#This Row],[Muestra]]),"0")</f>
        <v>0</v>
      </c>
      <c r="T158" s="38">
        <v>0</v>
      </c>
      <c r="U158" s="39">
        <f>+IFERROR((FT_RF_264[[#This Row],[Partidas]]/FT_RF_264[[#This Row],[Muestra]]),"0")</f>
        <v>0</v>
      </c>
      <c r="V158" s="38">
        <v>0</v>
      </c>
      <c r="W158" s="39">
        <f>+IFERROR((FT_RF_264[[#This Row],[Daño Insecto]]/FT_RF_264[[#This Row],[Muestra]]),"0")</f>
        <v>0</v>
      </c>
      <c r="X158" s="38">
        <v>0</v>
      </c>
      <c r="Y158" s="39">
        <f>+IFERROR((FT_RF_264[[#This Row],[Sobremadura]]/FT_RF_264[[#This Row],[Muestra]]),"0")</f>
        <v>0</v>
      </c>
      <c r="Z158" s="38">
        <v>0</v>
      </c>
      <c r="AA158" s="39">
        <f>+IFERROR((FT_RF_264[[#This Row],[Deforme]]/FT_RF_264[[#This Row],[Muestra]]),"0")</f>
        <v>0</v>
      </c>
      <c r="AB158" s="27"/>
      <c r="AC158" s="38">
        <v>0</v>
      </c>
      <c r="AD158" s="39">
        <f>+IFERROR((FT_RF_264[[#This Row],[Valor Extra 1]]/FT_RF_264[[#This Row],[Muestra]]),"0")</f>
        <v>0</v>
      </c>
      <c r="AF158" s="38">
        <v>0</v>
      </c>
      <c r="AG158" s="39">
        <f>+IFERROR((FT_RF_264[[#This Row],[Valor Extra 2]]/FT_RF_264[[#This Row],[Muestra]]),"0")</f>
        <v>0</v>
      </c>
      <c r="AH158" s="40">
        <v>0</v>
      </c>
      <c r="AI158" s="39">
        <f>+IFERROR((FT_RF_264[[#This Row],[Hongos]]/FT_RF_264[[#This Row],[Muestra]]),"0")</f>
        <v>0</v>
      </c>
      <c r="AJ158" s="38">
        <v>0</v>
      </c>
      <c r="AK158" s="39">
        <f>+IFERROR((FT_RF_264[[#This Row],[Block]]/FT_RF_264[[#This Row],[Muestra]]),"0")</f>
        <v>0</v>
      </c>
      <c r="AL158" s="41">
        <v>0</v>
      </c>
      <c r="AM158" s="42">
        <v>0</v>
      </c>
      <c r="AN158" s="38">
        <v>0</v>
      </c>
      <c r="AO158" s="39">
        <f>+IFERROR((FT_RF_264[[#This Row],[Fuera de calibre &lt;12mm]]/FT_RF_264[[#This Row],[Muestra]]),"0")</f>
        <v>0</v>
      </c>
      <c r="AP158" s="38">
        <v>0</v>
      </c>
      <c r="AQ158" s="39">
        <f>+IFERROR((FT_RF_264[[#This Row],[Calibre &lt;25]]/FT_RF_264[[#This Row],[Muestra]]),"0")</f>
        <v>0</v>
      </c>
      <c r="AR158" s="38">
        <v>0</v>
      </c>
      <c r="AS158" s="39">
        <f>+IFERROR((FT_RF_264[[#This Row],[Calibre &gt;12]]/FT_RF_264[[#This Row],[Muestra]]),"0")</f>
        <v>0</v>
      </c>
      <c r="AT158" s="38">
        <v>0</v>
      </c>
      <c r="AU158" s="39">
        <f>+IFERROR((FT_RF_264[[#This Row],[Calibre &lt;14]]/FT_RF_264[[#This Row],[Muestra]]),"0")</f>
        <v>0</v>
      </c>
      <c r="AV158" s="38">
        <v>0</v>
      </c>
      <c r="AW158" s="39">
        <f>+IFERROR((FT_RF_264[[#This Row],[Calibre &gt;14]]/FT_RF_264[[#This Row],[Muestra]]),"0")</f>
        <v>0</v>
      </c>
      <c r="AX158" s="38">
        <v>0</v>
      </c>
      <c r="AY158" s="39">
        <f>+IFERROR((FT_RF_264[[#This Row],[Calibre &lt;10]]/FT_RF_264[[#This Row],[Muestra]]),"0")</f>
        <v>0</v>
      </c>
      <c r="AZ158" s="38">
        <v>0</v>
      </c>
      <c r="BA158" s="39">
        <f>+IFERROR((FT_RF_264[[#This Row],[Calibre &gt;13]]/FT_RF_264[[#This Row],[Muestra]]),"0")</f>
        <v>0</v>
      </c>
      <c r="BB158" s="41"/>
      <c r="BG158" s="42"/>
      <c r="BH158" s="43">
        <v>0</v>
      </c>
      <c r="BI158" s="29" t="s">
        <v>894</v>
      </c>
      <c r="BJ158" s="29" t="s">
        <v>894</v>
      </c>
      <c r="BK15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5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58" s="45">
        <f>1-FT_RF_264[[#This Row],[% Defectos]]</f>
        <v>1</v>
      </c>
      <c r="BO158" s="60"/>
      <c r="BP158" s="12">
        <f>SUM(FT_RF_264[[#This Row],[Hoja (Un.)]:[Larvas Caja]])</f>
        <v>0</v>
      </c>
      <c r="BQ158" s="12">
        <f>SUM(FT_RF_264[[#This Row],[Vidrios]:[Plástico]])</f>
        <v>0</v>
      </c>
      <c r="BR158" s="12" t="str">
        <f>IF(ISBLANK(FT_RF_264[[#This Row],[Descripción del producto]]),"",FT_RF_264[[#This Row],[Descripción del producto]])</f>
        <v/>
      </c>
      <c r="BS158" s="29" t="str">
        <f>IF(ISBLANK(FT_RF_264[[#This Row],[N° de Lote]]),"",FT_RF_264[[#This Row],[N° de Lote]])</f>
        <v/>
      </c>
      <c r="BT158" s="29" t="str">
        <f>IF(ISBLANK(FT_RF_264[[#This Row],[N° de Pallet]]),"",FT_RF_264[[#This Row],[N° de Pallet]])</f>
        <v/>
      </c>
    </row>
    <row r="159" spans="2:72">
      <c r="B159" s="29">
        <f>+_xlfn.ISOWEEKNUM(FT_RF_264[[#This Row],[Fecha]])</f>
        <v>52</v>
      </c>
      <c r="E159" s="31"/>
      <c r="F159" s="12" t="str">
        <f>IFERROR(""&amp;_xlfn.XLOOKUP(FT_RF_264[[#This Row],[Código]],BD_Cod[SKU],BD_Cod[Descripción]),"")</f>
        <v/>
      </c>
      <c r="G159" s="32" t="str">
        <f>IFERROR(""&amp;_xlfn.XLOOKUP(FT_RF_264[[#This Row],[Código]],BD_Cod[SKU],BD_Cod[Familia Calidad]),"")</f>
        <v/>
      </c>
      <c r="J159" s="33">
        <v>1000</v>
      </c>
      <c r="L159" s="30" t="s">
        <v>244</v>
      </c>
      <c r="O159" s="30" t="s">
        <v>894</v>
      </c>
      <c r="P159" s="29" t="s">
        <v>894</v>
      </c>
      <c r="Q159" s="37">
        <f>1-FT_RF_264[[#This Row],[% Defectos]]</f>
        <v>1</v>
      </c>
      <c r="R159" s="38">
        <v>0</v>
      </c>
      <c r="S159" s="39">
        <f>+IFERROR((FT_RF_264[[#This Row],[Inmadura]]/FT_RF_264[[#This Row],[Muestra]]),"0")</f>
        <v>0</v>
      </c>
      <c r="T159" s="38">
        <v>0</v>
      </c>
      <c r="U159" s="39">
        <f>+IFERROR((FT_RF_264[[#This Row],[Partidas]]/FT_RF_264[[#This Row],[Muestra]]),"0")</f>
        <v>0</v>
      </c>
      <c r="V159" s="38">
        <v>0</v>
      </c>
      <c r="W159" s="39">
        <f>+IFERROR((FT_RF_264[[#This Row],[Daño Insecto]]/FT_RF_264[[#This Row],[Muestra]]),"0")</f>
        <v>0</v>
      </c>
      <c r="X159" s="38">
        <v>0</v>
      </c>
      <c r="Y159" s="39">
        <f>+IFERROR((FT_RF_264[[#This Row],[Sobremadura]]/FT_RF_264[[#This Row],[Muestra]]),"0")</f>
        <v>0</v>
      </c>
      <c r="Z159" s="38">
        <v>0</v>
      </c>
      <c r="AA159" s="39">
        <f>+IFERROR((FT_RF_264[[#This Row],[Deforme]]/FT_RF_264[[#This Row],[Muestra]]),"0")</f>
        <v>0</v>
      </c>
      <c r="AB159" s="27"/>
      <c r="AC159" s="38">
        <v>0</v>
      </c>
      <c r="AD159" s="39">
        <f>+IFERROR((FT_RF_264[[#This Row],[Valor Extra 1]]/FT_RF_264[[#This Row],[Muestra]]),"0")</f>
        <v>0</v>
      </c>
      <c r="AF159" s="38">
        <v>0</v>
      </c>
      <c r="AG159" s="39">
        <f>+IFERROR((FT_RF_264[[#This Row],[Valor Extra 2]]/FT_RF_264[[#This Row],[Muestra]]),"0")</f>
        <v>0</v>
      </c>
      <c r="AH159" s="40">
        <v>0</v>
      </c>
      <c r="AI159" s="39">
        <f>+IFERROR((FT_RF_264[[#This Row],[Hongos]]/FT_RF_264[[#This Row],[Muestra]]),"0")</f>
        <v>0</v>
      </c>
      <c r="AJ159" s="38">
        <v>0</v>
      </c>
      <c r="AK159" s="39">
        <f>+IFERROR((FT_RF_264[[#This Row],[Block]]/FT_RF_264[[#This Row],[Muestra]]),"0")</f>
        <v>0</v>
      </c>
      <c r="AL159" s="41">
        <v>0</v>
      </c>
      <c r="AM159" s="42">
        <v>0</v>
      </c>
      <c r="AN159" s="38">
        <v>0</v>
      </c>
      <c r="AO159" s="39">
        <f>+IFERROR((FT_RF_264[[#This Row],[Fuera de calibre &lt;12mm]]/FT_RF_264[[#This Row],[Muestra]]),"0")</f>
        <v>0</v>
      </c>
      <c r="AP159" s="38">
        <v>0</v>
      </c>
      <c r="AQ159" s="39">
        <f>+IFERROR((FT_RF_264[[#This Row],[Calibre &lt;25]]/FT_RF_264[[#This Row],[Muestra]]),"0")</f>
        <v>0</v>
      </c>
      <c r="AR159" s="38">
        <v>0</v>
      </c>
      <c r="AS159" s="39">
        <f>+IFERROR((FT_RF_264[[#This Row],[Calibre &gt;12]]/FT_RF_264[[#This Row],[Muestra]]),"0")</f>
        <v>0</v>
      </c>
      <c r="AT159" s="38">
        <v>0</v>
      </c>
      <c r="AU159" s="39">
        <f>+IFERROR((FT_RF_264[[#This Row],[Calibre &lt;14]]/FT_RF_264[[#This Row],[Muestra]]),"0")</f>
        <v>0</v>
      </c>
      <c r="AV159" s="38">
        <v>0</v>
      </c>
      <c r="AW159" s="39">
        <f>+IFERROR((FT_RF_264[[#This Row],[Calibre &gt;14]]/FT_RF_264[[#This Row],[Muestra]]),"0")</f>
        <v>0</v>
      </c>
      <c r="AX159" s="38">
        <v>0</v>
      </c>
      <c r="AY159" s="39">
        <f>+IFERROR((FT_RF_264[[#This Row],[Calibre &lt;10]]/FT_RF_264[[#This Row],[Muestra]]),"0")</f>
        <v>0</v>
      </c>
      <c r="AZ159" s="38">
        <v>0</v>
      </c>
      <c r="BA159" s="39">
        <f>+IFERROR((FT_RF_264[[#This Row],[Calibre &gt;13]]/FT_RF_264[[#This Row],[Muestra]]),"0")</f>
        <v>0</v>
      </c>
      <c r="BB159" s="41"/>
      <c r="BG159" s="42"/>
      <c r="BH159" s="43">
        <v>0</v>
      </c>
      <c r="BI159" s="29" t="s">
        <v>894</v>
      </c>
      <c r="BJ159" s="29" t="s">
        <v>894</v>
      </c>
      <c r="BK15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5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59" s="45">
        <f>1-FT_RF_264[[#This Row],[% Defectos]]</f>
        <v>1</v>
      </c>
      <c r="BO159" s="60"/>
      <c r="BP159" s="12">
        <f>SUM(FT_RF_264[[#This Row],[Hoja (Un.)]:[Larvas Caja]])</f>
        <v>0</v>
      </c>
      <c r="BQ159" s="12">
        <f>SUM(FT_RF_264[[#This Row],[Vidrios]:[Plástico]])</f>
        <v>0</v>
      </c>
      <c r="BR159" s="12" t="str">
        <f>IF(ISBLANK(FT_RF_264[[#This Row],[Descripción del producto]]),"",FT_RF_264[[#This Row],[Descripción del producto]])</f>
        <v/>
      </c>
      <c r="BS159" s="29" t="str">
        <f>IF(ISBLANK(FT_RF_264[[#This Row],[N° de Lote]]),"",FT_RF_264[[#This Row],[N° de Lote]])</f>
        <v/>
      </c>
      <c r="BT159" s="29" t="str">
        <f>IF(ISBLANK(FT_RF_264[[#This Row],[N° de Pallet]]),"",FT_RF_264[[#This Row],[N° de Pallet]])</f>
        <v/>
      </c>
    </row>
    <row r="160" spans="2:72">
      <c r="B160" s="29">
        <f>+_xlfn.ISOWEEKNUM(FT_RF_264[[#This Row],[Fecha]])</f>
        <v>52</v>
      </c>
      <c r="E160" s="31"/>
      <c r="F160" s="12" t="str">
        <f>IFERROR(""&amp;_xlfn.XLOOKUP(FT_RF_264[[#This Row],[Código]],BD_Cod[SKU],BD_Cod[Descripción]),"")</f>
        <v/>
      </c>
      <c r="G160" s="32" t="str">
        <f>IFERROR(""&amp;_xlfn.XLOOKUP(FT_RF_264[[#This Row],[Código]],BD_Cod[SKU],BD_Cod[Familia Calidad]),"")</f>
        <v/>
      </c>
      <c r="J160" s="33">
        <v>1000</v>
      </c>
      <c r="L160" s="30" t="s">
        <v>244</v>
      </c>
      <c r="O160" s="30" t="s">
        <v>894</v>
      </c>
      <c r="P160" s="29" t="s">
        <v>894</v>
      </c>
      <c r="Q160" s="37">
        <f>1-FT_RF_264[[#This Row],[% Defectos]]</f>
        <v>1</v>
      </c>
      <c r="R160" s="38">
        <v>0</v>
      </c>
      <c r="S160" s="39">
        <f>+IFERROR((FT_RF_264[[#This Row],[Inmadura]]/FT_RF_264[[#This Row],[Muestra]]),"0")</f>
        <v>0</v>
      </c>
      <c r="T160" s="38">
        <v>0</v>
      </c>
      <c r="U160" s="39">
        <f>+IFERROR((FT_RF_264[[#This Row],[Partidas]]/FT_RF_264[[#This Row],[Muestra]]),"0")</f>
        <v>0</v>
      </c>
      <c r="V160" s="38">
        <v>0</v>
      </c>
      <c r="W160" s="39">
        <f>+IFERROR((FT_RF_264[[#This Row],[Daño Insecto]]/FT_RF_264[[#This Row],[Muestra]]),"0")</f>
        <v>0</v>
      </c>
      <c r="X160" s="38">
        <v>0</v>
      </c>
      <c r="Y160" s="39">
        <f>+IFERROR((FT_RF_264[[#This Row],[Sobremadura]]/FT_RF_264[[#This Row],[Muestra]]),"0")</f>
        <v>0</v>
      </c>
      <c r="Z160" s="38">
        <v>0</v>
      </c>
      <c r="AA160" s="39">
        <f>+IFERROR((FT_RF_264[[#This Row],[Deforme]]/FT_RF_264[[#This Row],[Muestra]]),"0")</f>
        <v>0</v>
      </c>
      <c r="AB160" s="27"/>
      <c r="AC160" s="38">
        <v>0</v>
      </c>
      <c r="AD160" s="39">
        <f>+IFERROR((FT_RF_264[[#This Row],[Valor Extra 1]]/FT_RF_264[[#This Row],[Muestra]]),"0")</f>
        <v>0</v>
      </c>
      <c r="AF160" s="38">
        <v>0</v>
      </c>
      <c r="AG160" s="39">
        <f>+IFERROR((FT_RF_264[[#This Row],[Valor Extra 2]]/FT_RF_264[[#This Row],[Muestra]]),"0")</f>
        <v>0</v>
      </c>
      <c r="AH160" s="40">
        <v>0</v>
      </c>
      <c r="AI160" s="39">
        <f>+IFERROR((FT_RF_264[[#This Row],[Hongos]]/FT_RF_264[[#This Row],[Muestra]]),"0")</f>
        <v>0</v>
      </c>
      <c r="AJ160" s="38">
        <v>0</v>
      </c>
      <c r="AK160" s="39">
        <f>+IFERROR((FT_RF_264[[#This Row],[Block]]/FT_RF_264[[#This Row],[Muestra]]),"0")</f>
        <v>0</v>
      </c>
      <c r="AL160" s="41">
        <v>0</v>
      </c>
      <c r="AM160" s="42">
        <v>0</v>
      </c>
      <c r="AN160" s="38">
        <v>0</v>
      </c>
      <c r="AO160" s="39">
        <f>+IFERROR((FT_RF_264[[#This Row],[Fuera de calibre &lt;12mm]]/FT_RF_264[[#This Row],[Muestra]]),"0")</f>
        <v>0</v>
      </c>
      <c r="AP160" s="38">
        <v>0</v>
      </c>
      <c r="AQ160" s="39">
        <f>+IFERROR((FT_RF_264[[#This Row],[Calibre &lt;25]]/FT_RF_264[[#This Row],[Muestra]]),"0")</f>
        <v>0</v>
      </c>
      <c r="AR160" s="38">
        <v>0</v>
      </c>
      <c r="AS160" s="39">
        <f>+IFERROR((FT_RF_264[[#This Row],[Calibre &gt;12]]/FT_RF_264[[#This Row],[Muestra]]),"0")</f>
        <v>0</v>
      </c>
      <c r="AT160" s="38">
        <v>0</v>
      </c>
      <c r="AU160" s="39">
        <f>+IFERROR((FT_RF_264[[#This Row],[Calibre &lt;14]]/FT_RF_264[[#This Row],[Muestra]]),"0")</f>
        <v>0</v>
      </c>
      <c r="AV160" s="38">
        <v>0</v>
      </c>
      <c r="AW160" s="39">
        <f>+IFERROR((FT_RF_264[[#This Row],[Calibre &gt;14]]/FT_RF_264[[#This Row],[Muestra]]),"0")</f>
        <v>0</v>
      </c>
      <c r="AX160" s="38">
        <v>0</v>
      </c>
      <c r="AY160" s="39">
        <f>+IFERROR((FT_RF_264[[#This Row],[Calibre &lt;10]]/FT_RF_264[[#This Row],[Muestra]]),"0")</f>
        <v>0</v>
      </c>
      <c r="AZ160" s="38">
        <v>0</v>
      </c>
      <c r="BA160" s="39">
        <f>+IFERROR((FT_RF_264[[#This Row],[Calibre &gt;13]]/FT_RF_264[[#This Row],[Muestra]]),"0")</f>
        <v>0</v>
      </c>
      <c r="BB160" s="41"/>
      <c r="BG160" s="42"/>
      <c r="BH160" s="43">
        <v>0</v>
      </c>
      <c r="BI160" s="29" t="s">
        <v>894</v>
      </c>
      <c r="BJ160" s="29" t="s">
        <v>894</v>
      </c>
      <c r="BK16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6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60" s="45">
        <f>1-FT_RF_264[[#This Row],[% Defectos]]</f>
        <v>1</v>
      </c>
      <c r="BO160" s="60"/>
      <c r="BP160" s="12">
        <f>SUM(FT_RF_264[[#This Row],[Hoja (Un.)]:[Larvas Caja]])</f>
        <v>0</v>
      </c>
      <c r="BQ160" s="12">
        <f>SUM(FT_RF_264[[#This Row],[Vidrios]:[Plástico]])</f>
        <v>0</v>
      </c>
      <c r="BR160" s="12" t="str">
        <f>IF(ISBLANK(FT_RF_264[[#This Row],[Descripción del producto]]),"",FT_RF_264[[#This Row],[Descripción del producto]])</f>
        <v/>
      </c>
      <c r="BS160" s="29" t="str">
        <f>IF(ISBLANK(FT_RF_264[[#This Row],[N° de Lote]]),"",FT_RF_264[[#This Row],[N° de Lote]])</f>
        <v/>
      </c>
      <c r="BT160" s="29" t="str">
        <f>IF(ISBLANK(FT_RF_264[[#This Row],[N° de Pallet]]),"",FT_RF_264[[#This Row],[N° de Pallet]])</f>
        <v/>
      </c>
    </row>
    <row r="161" spans="2:72">
      <c r="B161" s="29">
        <f>+_xlfn.ISOWEEKNUM(FT_RF_264[[#This Row],[Fecha]])</f>
        <v>52</v>
      </c>
      <c r="E161" s="31"/>
      <c r="F161" s="12" t="str">
        <f>IFERROR(""&amp;_xlfn.XLOOKUP(FT_RF_264[[#This Row],[Código]],BD_Cod[SKU],BD_Cod[Descripción]),"")</f>
        <v/>
      </c>
      <c r="G161" s="32" t="str">
        <f>IFERROR(""&amp;_xlfn.XLOOKUP(FT_RF_264[[#This Row],[Código]],BD_Cod[SKU],BD_Cod[Familia Calidad]),"")</f>
        <v/>
      </c>
      <c r="J161" s="33">
        <v>1000</v>
      </c>
      <c r="L161" s="30" t="s">
        <v>244</v>
      </c>
      <c r="O161" s="30" t="s">
        <v>894</v>
      </c>
      <c r="P161" s="29" t="s">
        <v>894</v>
      </c>
      <c r="Q161" s="37">
        <f>1-FT_RF_264[[#This Row],[% Defectos]]</f>
        <v>1</v>
      </c>
      <c r="R161" s="38">
        <v>0</v>
      </c>
      <c r="S161" s="39">
        <f>+IFERROR((FT_RF_264[[#This Row],[Inmadura]]/FT_RF_264[[#This Row],[Muestra]]),"0")</f>
        <v>0</v>
      </c>
      <c r="T161" s="38">
        <v>0</v>
      </c>
      <c r="U161" s="39">
        <f>+IFERROR((FT_RF_264[[#This Row],[Partidas]]/FT_RF_264[[#This Row],[Muestra]]),"0")</f>
        <v>0</v>
      </c>
      <c r="V161" s="38">
        <v>0</v>
      </c>
      <c r="W161" s="39">
        <f>+IFERROR((FT_RF_264[[#This Row],[Daño Insecto]]/FT_RF_264[[#This Row],[Muestra]]),"0")</f>
        <v>0</v>
      </c>
      <c r="X161" s="38">
        <v>0</v>
      </c>
      <c r="Y161" s="39">
        <f>+IFERROR((FT_RF_264[[#This Row],[Sobremadura]]/FT_RF_264[[#This Row],[Muestra]]),"0")</f>
        <v>0</v>
      </c>
      <c r="Z161" s="38">
        <v>0</v>
      </c>
      <c r="AA161" s="39">
        <f>+IFERROR((FT_RF_264[[#This Row],[Deforme]]/FT_RF_264[[#This Row],[Muestra]]),"0")</f>
        <v>0</v>
      </c>
      <c r="AB161" s="27"/>
      <c r="AC161" s="38">
        <v>0</v>
      </c>
      <c r="AD161" s="39">
        <f>+IFERROR((FT_RF_264[[#This Row],[Valor Extra 1]]/FT_RF_264[[#This Row],[Muestra]]),"0")</f>
        <v>0</v>
      </c>
      <c r="AF161" s="38">
        <v>0</v>
      </c>
      <c r="AG161" s="39">
        <f>+IFERROR((FT_RF_264[[#This Row],[Valor Extra 2]]/FT_RF_264[[#This Row],[Muestra]]),"0")</f>
        <v>0</v>
      </c>
      <c r="AH161" s="40">
        <v>0</v>
      </c>
      <c r="AI161" s="39">
        <f>+IFERROR((FT_RF_264[[#This Row],[Hongos]]/FT_RF_264[[#This Row],[Muestra]]),"0")</f>
        <v>0</v>
      </c>
      <c r="AJ161" s="38">
        <v>0</v>
      </c>
      <c r="AK161" s="39">
        <f>+IFERROR((FT_RF_264[[#This Row],[Block]]/FT_RF_264[[#This Row],[Muestra]]),"0")</f>
        <v>0</v>
      </c>
      <c r="AL161" s="41">
        <v>0</v>
      </c>
      <c r="AM161" s="42">
        <v>0</v>
      </c>
      <c r="AN161" s="38">
        <v>0</v>
      </c>
      <c r="AO161" s="39">
        <f>+IFERROR((FT_RF_264[[#This Row],[Fuera de calibre &lt;12mm]]/FT_RF_264[[#This Row],[Muestra]]),"0")</f>
        <v>0</v>
      </c>
      <c r="AP161" s="38">
        <v>0</v>
      </c>
      <c r="AQ161" s="39">
        <f>+IFERROR((FT_RF_264[[#This Row],[Calibre &lt;25]]/FT_RF_264[[#This Row],[Muestra]]),"0")</f>
        <v>0</v>
      </c>
      <c r="AR161" s="38">
        <v>0</v>
      </c>
      <c r="AS161" s="39">
        <f>+IFERROR((FT_RF_264[[#This Row],[Calibre &gt;12]]/FT_RF_264[[#This Row],[Muestra]]),"0")</f>
        <v>0</v>
      </c>
      <c r="AT161" s="38">
        <v>0</v>
      </c>
      <c r="AU161" s="39">
        <f>+IFERROR((FT_RF_264[[#This Row],[Calibre &lt;14]]/FT_RF_264[[#This Row],[Muestra]]),"0")</f>
        <v>0</v>
      </c>
      <c r="AV161" s="38">
        <v>0</v>
      </c>
      <c r="AW161" s="39">
        <f>+IFERROR((FT_RF_264[[#This Row],[Calibre &gt;14]]/FT_RF_264[[#This Row],[Muestra]]),"0")</f>
        <v>0</v>
      </c>
      <c r="AX161" s="38">
        <v>0</v>
      </c>
      <c r="AY161" s="39">
        <f>+IFERROR((FT_RF_264[[#This Row],[Calibre &lt;10]]/FT_RF_264[[#This Row],[Muestra]]),"0")</f>
        <v>0</v>
      </c>
      <c r="AZ161" s="38">
        <v>0</v>
      </c>
      <c r="BA161" s="39">
        <f>+IFERROR((FT_RF_264[[#This Row],[Calibre &gt;13]]/FT_RF_264[[#This Row],[Muestra]]),"0")</f>
        <v>0</v>
      </c>
      <c r="BB161" s="41"/>
      <c r="BG161" s="42"/>
      <c r="BH161" s="43">
        <v>0</v>
      </c>
      <c r="BI161" s="29" t="s">
        <v>894</v>
      </c>
      <c r="BJ161" s="29" t="s">
        <v>894</v>
      </c>
      <c r="BK16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6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61" s="45">
        <f>1-FT_RF_264[[#This Row],[% Defectos]]</f>
        <v>1</v>
      </c>
      <c r="BO161" s="60"/>
      <c r="BP161" s="12">
        <f>SUM(FT_RF_264[[#This Row],[Hoja (Un.)]:[Larvas Caja]])</f>
        <v>0</v>
      </c>
      <c r="BQ161" s="12">
        <f>SUM(FT_RF_264[[#This Row],[Vidrios]:[Plástico]])</f>
        <v>0</v>
      </c>
      <c r="BR161" s="12" t="str">
        <f>IF(ISBLANK(FT_RF_264[[#This Row],[Descripción del producto]]),"",FT_RF_264[[#This Row],[Descripción del producto]])</f>
        <v/>
      </c>
      <c r="BS161" s="29" t="str">
        <f>IF(ISBLANK(FT_RF_264[[#This Row],[N° de Lote]]),"",FT_RF_264[[#This Row],[N° de Lote]])</f>
        <v/>
      </c>
      <c r="BT161" s="29" t="str">
        <f>IF(ISBLANK(FT_RF_264[[#This Row],[N° de Pallet]]),"",FT_RF_264[[#This Row],[N° de Pallet]])</f>
        <v/>
      </c>
    </row>
    <row r="162" spans="2:72">
      <c r="B162" s="29">
        <f>+_xlfn.ISOWEEKNUM(FT_RF_264[[#This Row],[Fecha]])</f>
        <v>52</v>
      </c>
      <c r="E162" s="31"/>
      <c r="F162" s="12" t="str">
        <f>IFERROR(""&amp;_xlfn.XLOOKUP(FT_RF_264[[#This Row],[Código]],BD_Cod[SKU],BD_Cod[Descripción]),"")</f>
        <v/>
      </c>
      <c r="G162" s="32" t="str">
        <f>IFERROR(""&amp;_xlfn.XLOOKUP(FT_RF_264[[#This Row],[Código]],BD_Cod[SKU],BD_Cod[Familia Calidad]),"")</f>
        <v/>
      </c>
      <c r="J162" s="33">
        <v>1000</v>
      </c>
      <c r="L162" s="30" t="s">
        <v>244</v>
      </c>
      <c r="O162" s="30" t="s">
        <v>894</v>
      </c>
      <c r="P162" s="29" t="s">
        <v>894</v>
      </c>
      <c r="Q162" s="37">
        <f>1-FT_RF_264[[#This Row],[% Defectos]]</f>
        <v>1</v>
      </c>
      <c r="R162" s="38">
        <v>0</v>
      </c>
      <c r="S162" s="39">
        <f>+IFERROR((FT_RF_264[[#This Row],[Inmadura]]/FT_RF_264[[#This Row],[Muestra]]),"0")</f>
        <v>0</v>
      </c>
      <c r="T162" s="38">
        <v>0</v>
      </c>
      <c r="U162" s="39">
        <f>+IFERROR((FT_RF_264[[#This Row],[Partidas]]/FT_RF_264[[#This Row],[Muestra]]),"0")</f>
        <v>0</v>
      </c>
      <c r="V162" s="38">
        <v>0</v>
      </c>
      <c r="W162" s="39">
        <f>+IFERROR((FT_RF_264[[#This Row],[Daño Insecto]]/FT_RF_264[[#This Row],[Muestra]]),"0")</f>
        <v>0</v>
      </c>
      <c r="X162" s="38">
        <v>0</v>
      </c>
      <c r="Y162" s="39">
        <f>+IFERROR((FT_RF_264[[#This Row],[Sobremadura]]/FT_RF_264[[#This Row],[Muestra]]),"0")</f>
        <v>0</v>
      </c>
      <c r="Z162" s="38">
        <v>0</v>
      </c>
      <c r="AA162" s="39">
        <f>+IFERROR((FT_RF_264[[#This Row],[Deforme]]/FT_RF_264[[#This Row],[Muestra]]),"0")</f>
        <v>0</v>
      </c>
      <c r="AB162" s="27"/>
      <c r="AC162" s="38">
        <v>0</v>
      </c>
      <c r="AD162" s="39">
        <f>+IFERROR((FT_RF_264[[#This Row],[Valor Extra 1]]/FT_RF_264[[#This Row],[Muestra]]),"0")</f>
        <v>0</v>
      </c>
      <c r="AF162" s="38">
        <v>0</v>
      </c>
      <c r="AG162" s="39">
        <f>+IFERROR((FT_RF_264[[#This Row],[Valor Extra 2]]/FT_RF_264[[#This Row],[Muestra]]),"0")</f>
        <v>0</v>
      </c>
      <c r="AH162" s="40">
        <v>0</v>
      </c>
      <c r="AI162" s="39">
        <f>+IFERROR((FT_RF_264[[#This Row],[Hongos]]/FT_RF_264[[#This Row],[Muestra]]),"0")</f>
        <v>0</v>
      </c>
      <c r="AJ162" s="38">
        <v>0</v>
      </c>
      <c r="AK162" s="39">
        <f>+IFERROR((FT_RF_264[[#This Row],[Block]]/FT_RF_264[[#This Row],[Muestra]]),"0")</f>
        <v>0</v>
      </c>
      <c r="AL162" s="41">
        <v>0</v>
      </c>
      <c r="AM162" s="42">
        <v>0</v>
      </c>
      <c r="AN162" s="38">
        <v>0</v>
      </c>
      <c r="AO162" s="39">
        <f>+IFERROR((FT_RF_264[[#This Row],[Fuera de calibre &lt;12mm]]/FT_RF_264[[#This Row],[Muestra]]),"0")</f>
        <v>0</v>
      </c>
      <c r="AP162" s="38">
        <v>0</v>
      </c>
      <c r="AQ162" s="39">
        <f>+IFERROR((FT_RF_264[[#This Row],[Calibre &lt;25]]/FT_RF_264[[#This Row],[Muestra]]),"0")</f>
        <v>0</v>
      </c>
      <c r="AR162" s="38">
        <v>0</v>
      </c>
      <c r="AS162" s="39">
        <f>+IFERROR((FT_RF_264[[#This Row],[Calibre &gt;12]]/FT_RF_264[[#This Row],[Muestra]]),"0")</f>
        <v>0</v>
      </c>
      <c r="AT162" s="38">
        <v>0</v>
      </c>
      <c r="AU162" s="39">
        <f>+IFERROR((FT_RF_264[[#This Row],[Calibre &lt;14]]/FT_RF_264[[#This Row],[Muestra]]),"0")</f>
        <v>0</v>
      </c>
      <c r="AV162" s="38">
        <v>0</v>
      </c>
      <c r="AW162" s="39">
        <f>+IFERROR((FT_RF_264[[#This Row],[Calibre &gt;14]]/FT_RF_264[[#This Row],[Muestra]]),"0")</f>
        <v>0</v>
      </c>
      <c r="AX162" s="38">
        <v>0</v>
      </c>
      <c r="AY162" s="39">
        <f>+IFERROR((FT_RF_264[[#This Row],[Calibre &lt;10]]/FT_RF_264[[#This Row],[Muestra]]),"0")</f>
        <v>0</v>
      </c>
      <c r="AZ162" s="38">
        <v>0</v>
      </c>
      <c r="BA162" s="39">
        <f>+IFERROR((FT_RF_264[[#This Row],[Calibre &gt;13]]/FT_RF_264[[#This Row],[Muestra]]),"0")</f>
        <v>0</v>
      </c>
      <c r="BB162" s="41"/>
      <c r="BG162" s="42"/>
      <c r="BH162" s="43">
        <v>0</v>
      </c>
      <c r="BI162" s="29" t="s">
        <v>894</v>
      </c>
      <c r="BJ162" s="29" t="s">
        <v>894</v>
      </c>
      <c r="BK16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6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62" s="45">
        <f>1-FT_RF_264[[#This Row],[% Defectos]]</f>
        <v>1</v>
      </c>
      <c r="BO162" s="60"/>
      <c r="BP162" s="12">
        <f>SUM(FT_RF_264[[#This Row],[Hoja (Un.)]:[Larvas Caja]])</f>
        <v>0</v>
      </c>
      <c r="BQ162" s="12">
        <f>SUM(FT_RF_264[[#This Row],[Vidrios]:[Plástico]])</f>
        <v>0</v>
      </c>
      <c r="BR162" s="12" t="str">
        <f>IF(ISBLANK(FT_RF_264[[#This Row],[Descripción del producto]]),"",FT_RF_264[[#This Row],[Descripción del producto]])</f>
        <v/>
      </c>
      <c r="BS162" s="29" t="str">
        <f>IF(ISBLANK(FT_RF_264[[#This Row],[N° de Lote]]),"",FT_RF_264[[#This Row],[N° de Lote]])</f>
        <v/>
      </c>
      <c r="BT162" s="29" t="str">
        <f>IF(ISBLANK(FT_RF_264[[#This Row],[N° de Pallet]]),"",FT_RF_264[[#This Row],[N° de Pallet]])</f>
        <v/>
      </c>
    </row>
    <row r="163" spans="2:72">
      <c r="B163" s="29">
        <f>+_xlfn.ISOWEEKNUM(FT_RF_264[[#This Row],[Fecha]])</f>
        <v>52</v>
      </c>
      <c r="E163" s="31"/>
      <c r="F163" s="12" t="str">
        <f>IFERROR(""&amp;_xlfn.XLOOKUP(FT_RF_264[[#This Row],[Código]],BD_Cod[SKU],BD_Cod[Descripción]),"")</f>
        <v/>
      </c>
      <c r="G163" s="32" t="str">
        <f>IFERROR(""&amp;_xlfn.XLOOKUP(FT_RF_264[[#This Row],[Código]],BD_Cod[SKU],BD_Cod[Familia Calidad]),"")</f>
        <v/>
      </c>
      <c r="J163" s="33">
        <v>1000</v>
      </c>
      <c r="L163" s="30" t="s">
        <v>244</v>
      </c>
      <c r="O163" s="30" t="s">
        <v>894</v>
      </c>
      <c r="P163" s="29" t="s">
        <v>894</v>
      </c>
      <c r="Q163" s="37">
        <f>1-FT_RF_264[[#This Row],[% Defectos]]</f>
        <v>1</v>
      </c>
      <c r="R163" s="38">
        <v>0</v>
      </c>
      <c r="S163" s="39">
        <f>+IFERROR((FT_RF_264[[#This Row],[Inmadura]]/FT_RF_264[[#This Row],[Muestra]]),"0")</f>
        <v>0</v>
      </c>
      <c r="T163" s="38">
        <v>0</v>
      </c>
      <c r="U163" s="39">
        <f>+IFERROR((FT_RF_264[[#This Row],[Partidas]]/FT_RF_264[[#This Row],[Muestra]]),"0")</f>
        <v>0</v>
      </c>
      <c r="V163" s="38">
        <v>0</v>
      </c>
      <c r="W163" s="39">
        <f>+IFERROR((FT_RF_264[[#This Row],[Daño Insecto]]/FT_RF_264[[#This Row],[Muestra]]),"0")</f>
        <v>0</v>
      </c>
      <c r="X163" s="38">
        <v>0</v>
      </c>
      <c r="Y163" s="39">
        <f>+IFERROR((FT_RF_264[[#This Row],[Sobremadura]]/FT_RF_264[[#This Row],[Muestra]]),"0")</f>
        <v>0</v>
      </c>
      <c r="Z163" s="38">
        <v>0</v>
      </c>
      <c r="AA163" s="39">
        <f>+IFERROR((FT_RF_264[[#This Row],[Deforme]]/FT_RF_264[[#This Row],[Muestra]]),"0")</f>
        <v>0</v>
      </c>
      <c r="AB163" s="27"/>
      <c r="AC163" s="38">
        <v>0</v>
      </c>
      <c r="AD163" s="39">
        <f>+IFERROR((FT_RF_264[[#This Row],[Valor Extra 1]]/FT_RF_264[[#This Row],[Muestra]]),"0")</f>
        <v>0</v>
      </c>
      <c r="AF163" s="38">
        <v>0</v>
      </c>
      <c r="AG163" s="39">
        <f>+IFERROR((FT_RF_264[[#This Row],[Valor Extra 2]]/FT_RF_264[[#This Row],[Muestra]]),"0")</f>
        <v>0</v>
      </c>
      <c r="AH163" s="40">
        <v>0</v>
      </c>
      <c r="AI163" s="39">
        <f>+IFERROR((FT_RF_264[[#This Row],[Hongos]]/FT_RF_264[[#This Row],[Muestra]]),"0")</f>
        <v>0</v>
      </c>
      <c r="AJ163" s="38">
        <v>0</v>
      </c>
      <c r="AK163" s="39">
        <f>+IFERROR((FT_RF_264[[#This Row],[Block]]/FT_RF_264[[#This Row],[Muestra]]),"0")</f>
        <v>0</v>
      </c>
      <c r="AL163" s="41">
        <v>0</v>
      </c>
      <c r="AM163" s="42">
        <v>0</v>
      </c>
      <c r="AN163" s="38">
        <v>0</v>
      </c>
      <c r="AO163" s="39">
        <f>+IFERROR((FT_RF_264[[#This Row],[Fuera de calibre &lt;12mm]]/FT_RF_264[[#This Row],[Muestra]]),"0")</f>
        <v>0</v>
      </c>
      <c r="AP163" s="38">
        <v>0</v>
      </c>
      <c r="AQ163" s="39">
        <f>+IFERROR((FT_RF_264[[#This Row],[Calibre &lt;25]]/FT_RF_264[[#This Row],[Muestra]]),"0")</f>
        <v>0</v>
      </c>
      <c r="AR163" s="38">
        <v>0</v>
      </c>
      <c r="AS163" s="39">
        <f>+IFERROR((FT_RF_264[[#This Row],[Calibre &gt;12]]/FT_RF_264[[#This Row],[Muestra]]),"0")</f>
        <v>0</v>
      </c>
      <c r="AT163" s="38">
        <v>0</v>
      </c>
      <c r="AU163" s="39">
        <f>+IFERROR((FT_RF_264[[#This Row],[Calibre &lt;14]]/FT_RF_264[[#This Row],[Muestra]]),"0")</f>
        <v>0</v>
      </c>
      <c r="AV163" s="38">
        <v>0</v>
      </c>
      <c r="AW163" s="39">
        <f>+IFERROR((FT_RF_264[[#This Row],[Calibre &gt;14]]/FT_RF_264[[#This Row],[Muestra]]),"0")</f>
        <v>0</v>
      </c>
      <c r="AX163" s="38">
        <v>0</v>
      </c>
      <c r="AY163" s="39">
        <f>+IFERROR((FT_RF_264[[#This Row],[Calibre &lt;10]]/FT_RF_264[[#This Row],[Muestra]]),"0")</f>
        <v>0</v>
      </c>
      <c r="AZ163" s="38">
        <v>0</v>
      </c>
      <c r="BA163" s="39">
        <f>+IFERROR((FT_RF_264[[#This Row],[Calibre &gt;13]]/FT_RF_264[[#This Row],[Muestra]]),"0")</f>
        <v>0</v>
      </c>
      <c r="BB163" s="41"/>
      <c r="BG163" s="42"/>
      <c r="BH163" s="43">
        <v>0</v>
      </c>
      <c r="BI163" s="29" t="s">
        <v>894</v>
      </c>
      <c r="BJ163" s="29" t="s">
        <v>894</v>
      </c>
      <c r="BK16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6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63" s="45">
        <f>1-FT_RF_264[[#This Row],[% Defectos]]</f>
        <v>1</v>
      </c>
      <c r="BO163" s="60"/>
      <c r="BP163" s="12">
        <f>SUM(FT_RF_264[[#This Row],[Hoja (Un.)]:[Larvas Caja]])</f>
        <v>0</v>
      </c>
      <c r="BQ163" s="12">
        <f>SUM(FT_RF_264[[#This Row],[Vidrios]:[Plástico]])</f>
        <v>0</v>
      </c>
      <c r="BR163" s="12" t="str">
        <f>IF(ISBLANK(FT_RF_264[[#This Row],[Descripción del producto]]),"",FT_RF_264[[#This Row],[Descripción del producto]])</f>
        <v/>
      </c>
      <c r="BS163" s="29" t="str">
        <f>IF(ISBLANK(FT_RF_264[[#This Row],[N° de Lote]]),"",FT_RF_264[[#This Row],[N° de Lote]])</f>
        <v/>
      </c>
      <c r="BT163" s="29" t="str">
        <f>IF(ISBLANK(FT_RF_264[[#This Row],[N° de Pallet]]),"",FT_RF_264[[#This Row],[N° de Pallet]])</f>
        <v/>
      </c>
    </row>
    <row r="164" spans="2:72">
      <c r="B164" s="29">
        <f>+_xlfn.ISOWEEKNUM(FT_RF_264[[#This Row],[Fecha]])</f>
        <v>52</v>
      </c>
      <c r="E164" s="31"/>
      <c r="F164" s="12" t="str">
        <f>IFERROR(""&amp;_xlfn.XLOOKUP(FT_RF_264[[#This Row],[Código]],BD_Cod[SKU],BD_Cod[Descripción]),"")</f>
        <v/>
      </c>
      <c r="G164" s="32" t="str">
        <f>IFERROR(""&amp;_xlfn.XLOOKUP(FT_RF_264[[#This Row],[Código]],BD_Cod[SKU],BD_Cod[Familia Calidad]),"")</f>
        <v/>
      </c>
      <c r="J164" s="33">
        <v>1000</v>
      </c>
      <c r="L164" s="30" t="s">
        <v>244</v>
      </c>
      <c r="O164" s="30" t="s">
        <v>894</v>
      </c>
      <c r="P164" s="29" t="s">
        <v>894</v>
      </c>
      <c r="Q164" s="37">
        <f>1-FT_RF_264[[#This Row],[% Defectos]]</f>
        <v>1</v>
      </c>
      <c r="R164" s="38">
        <v>0</v>
      </c>
      <c r="S164" s="39">
        <f>+IFERROR((FT_RF_264[[#This Row],[Inmadura]]/FT_RF_264[[#This Row],[Muestra]]),"0")</f>
        <v>0</v>
      </c>
      <c r="T164" s="38">
        <v>0</v>
      </c>
      <c r="U164" s="39">
        <f>+IFERROR((FT_RF_264[[#This Row],[Partidas]]/FT_RF_264[[#This Row],[Muestra]]),"0")</f>
        <v>0</v>
      </c>
      <c r="V164" s="38">
        <v>0</v>
      </c>
      <c r="W164" s="39">
        <f>+IFERROR((FT_RF_264[[#This Row],[Daño Insecto]]/FT_RF_264[[#This Row],[Muestra]]),"0")</f>
        <v>0</v>
      </c>
      <c r="X164" s="38">
        <v>0</v>
      </c>
      <c r="Y164" s="39">
        <f>+IFERROR((FT_RF_264[[#This Row],[Sobremadura]]/FT_RF_264[[#This Row],[Muestra]]),"0")</f>
        <v>0</v>
      </c>
      <c r="Z164" s="38">
        <v>0</v>
      </c>
      <c r="AA164" s="39">
        <f>+IFERROR((FT_RF_264[[#This Row],[Deforme]]/FT_RF_264[[#This Row],[Muestra]]),"0")</f>
        <v>0</v>
      </c>
      <c r="AB164" s="27"/>
      <c r="AC164" s="38">
        <v>0</v>
      </c>
      <c r="AD164" s="39">
        <f>+IFERROR((FT_RF_264[[#This Row],[Valor Extra 1]]/FT_RF_264[[#This Row],[Muestra]]),"0")</f>
        <v>0</v>
      </c>
      <c r="AF164" s="38">
        <v>0</v>
      </c>
      <c r="AG164" s="39">
        <f>+IFERROR((FT_RF_264[[#This Row],[Valor Extra 2]]/FT_RF_264[[#This Row],[Muestra]]),"0")</f>
        <v>0</v>
      </c>
      <c r="AH164" s="40">
        <v>0</v>
      </c>
      <c r="AI164" s="39">
        <f>+IFERROR((FT_RF_264[[#This Row],[Hongos]]/FT_RF_264[[#This Row],[Muestra]]),"0")</f>
        <v>0</v>
      </c>
      <c r="AJ164" s="38">
        <v>0</v>
      </c>
      <c r="AK164" s="39">
        <f>+IFERROR((FT_RF_264[[#This Row],[Block]]/FT_RF_264[[#This Row],[Muestra]]),"0")</f>
        <v>0</v>
      </c>
      <c r="AL164" s="41">
        <v>0</v>
      </c>
      <c r="AM164" s="42">
        <v>0</v>
      </c>
      <c r="AN164" s="38">
        <v>0</v>
      </c>
      <c r="AO164" s="39">
        <f>+IFERROR((FT_RF_264[[#This Row],[Fuera de calibre &lt;12mm]]/FT_RF_264[[#This Row],[Muestra]]),"0")</f>
        <v>0</v>
      </c>
      <c r="AP164" s="38">
        <v>0</v>
      </c>
      <c r="AQ164" s="39">
        <f>+IFERROR((FT_RF_264[[#This Row],[Calibre &lt;25]]/FT_RF_264[[#This Row],[Muestra]]),"0")</f>
        <v>0</v>
      </c>
      <c r="AR164" s="38">
        <v>0</v>
      </c>
      <c r="AS164" s="39">
        <f>+IFERROR((FT_RF_264[[#This Row],[Calibre &gt;12]]/FT_RF_264[[#This Row],[Muestra]]),"0")</f>
        <v>0</v>
      </c>
      <c r="AT164" s="38">
        <v>0</v>
      </c>
      <c r="AU164" s="39">
        <f>+IFERROR((FT_RF_264[[#This Row],[Calibre &lt;14]]/FT_RF_264[[#This Row],[Muestra]]),"0")</f>
        <v>0</v>
      </c>
      <c r="AV164" s="38">
        <v>0</v>
      </c>
      <c r="AW164" s="39">
        <f>+IFERROR((FT_RF_264[[#This Row],[Calibre &gt;14]]/FT_RF_264[[#This Row],[Muestra]]),"0")</f>
        <v>0</v>
      </c>
      <c r="AX164" s="38">
        <v>0</v>
      </c>
      <c r="AY164" s="39">
        <f>+IFERROR((FT_RF_264[[#This Row],[Calibre &lt;10]]/FT_RF_264[[#This Row],[Muestra]]),"0")</f>
        <v>0</v>
      </c>
      <c r="AZ164" s="38">
        <v>0</v>
      </c>
      <c r="BA164" s="39">
        <f>+IFERROR((FT_RF_264[[#This Row],[Calibre &gt;13]]/FT_RF_264[[#This Row],[Muestra]]),"0")</f>
        <v>0</v>
      </c>
      <c r="BB164" s="41"/>
      <c r="BG164" s="42"/>
      <c r="BH164" s="43">
        <v>0</v>
      </c>
      <c r="BI164" s="29" t="s">
        <v>894</v>
      </c>
      <c r="BJ164" s="29" t="s">
        <v>894</v>
      </c>
      <c r="BK16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6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64" s="45">
        <f>1-FT_RF_264[[#This Row],[% Defectos]]</f>
        <v>1</v>
      </c>
      <c r="BO164" s="60"/>
      <c r="BP164" s="12">
        <f>SUM(FT_RF_264[[#This Row],[Hoja (Un.)]:[Larvas Caja]])</f>
        <v>0</v>
      </c>
      <c r="BQ164" s="12">
        <f>SUM(FT_RF_264[[#This Row],[Vidrios]:[Plástico]])</f>
        <v>0</v>
      </c>
      <c r="BR164" s="12" t="str">
        <f>IF(ISBLANK(FT_RF_264[[#This Row],[Descripción del producto]]),"",FT_RF_264[[#This Row],[Descripción del producto]])</f>
        <v/>
      </c>
      <c r="BS164" s="29" t="str">
        <f>IF(ISBLANK(FT_RF_264[[#This Row],[N° de Lote]]),"",FT_RF_264[[#This Row],[N° de Lote]])</f>
        <v/>
      </c>
      <c r="BT164" s="29" t="str">
        <f>IF(ISBLANK(FT_RF_264[[#This Row],[N° de Pallet]]),"",FT_RF_264[[#This Row],[N° de Pallet]])</f>
        <v/>
      </c>
    </row>
    <row r="165" spans="2:72">
      <c r="B165" s="29">
        <f>+_xlfn.ISOWEEKNUM(FT_RF_264[[#This Row],[Fecha]])</f>
        <v>52</v>
      </c>
      <c r="E165" s="31"/>
      <c r="F165" s="12" t="str">
        <f>IFERROR(""&amp;_xlfn.XLOOKUP(FT_RF_264[[#This Row],[Código]],BD_Cod[SKU],BD_Cod[Descripción]),"")</f>
        <v/>
      </c>
      <c r="G165" s="32" t="str">
        <f>IFERROR(""&amp;_xlfn.XLOOKUP(FT_RF_264[[#This Row],[Código]],BD_Cod[SKU],BD_Cod[Familia Calidad]),"")</f>
        <v/>
      </c>
      <c r="J165" s="33">
        <v>1000</v>
      </c>
      <c r="L165" s="30" t="s">
        <v>244</v>
      </c>
      <c r="O165" s="30" t="s">
        <v>894</v>
      </c>
      <c r="P165" s="29" t="s">
        <v>894</v>
      </c>
      <c r="Q165" s="37">
        <f>1-FT_RF_264[[#This Row],[% Defectos]]</f>
        <v>1</v>
      </c>
      <c r="R165" s="38">
        <v>0</v>
      </c>
      <c r="S165" s="39">
        <f>+IFERROR((FT_RF_264[[#This Row],[Inmadura]]/FT_RF_264[[#This Row],[Muestra]]),"0")</f>
        <v>0</v>
      </c>
      <c r="T165" s="38">
        <v>0</v>
      </c>
      <c r="U165" s="39">
        <f>+IFERROR((FT_RF_264[[#This Row],[Partidas]]/FT_RF_264[[#This Row],[Muestra]]),"0")</f>
        <v>0</v>
      </c>
      <c r="V165" s="38">
        <v>0</v>
      </c>
      <c r="W165" s="39">
        <f>+IFERROR((FT_RF_264[[#This Row],[Daño Insecto]]/FT_RF_264[[#This Row],[Muestra]]),"0")</f>
        <v>0</v>
      </c>
      <c r="X165" s="38">
        <v>0</v>
      </c>
      <c r="Y165" s="39">
        <f>+IFERROR((FT_RF_264[[#This Row],[Sobremadura]]/FT_RF_264[[#This Row],[Muestra]]),"0")</f>
        <v>0</v>
      </c>
      <c r="Z165" s="38">
        <v>0</v>
      </c>
      <c r="AA165" s="39">
        <f>+IFERROR((FT_RF_264[[#This Row],[Deforme]]/FT_RF_264[[#This Row],[Muestra]]),"0")</f>
        <v>0</v>
      </c>
      <c r="AB165" s="27"/>
      <c r="AC165" s="38">
        <v>0</v>
      </c>
      <c r="AD165" s="39">
        <f>+IFERROR((FT_RF_264[[#This Row],[Valor Extra 1]]/FT_RF_264[[#This Row],[Muestra]]),"0")</f>
        <v>0</v>
      </c>
      <c r="AF165" s="38">
        <v>0</v>
      </c>
      <c r="AG165" s="39">
        <f>+IFERROR((FT_RF_264[[#This Row],[Valor Extra 2]]/FT_RF_264[[#This Row],[Muestra]]),"0")</f>
        <v>0</v>
      </c>
      <c r="AH165" s="40">
        <v>0</v>
      </c>
      <c r="AI165" s="39">
        <f>+IFERROR((FT_RF_264[[#This Row],[Hongos]]/FT_RF_264[[#This Row],[Muestra]]),"0")</f>
        <v>0</v>
      </c>
      <c r="AJ165" s="38">
        <v>0</v>
      </c>
      <c r="AK165" s="39">
        <f>+IFERROR((FT_RF_264[[#This Row],[Block]]/FT_RF_264[[#This Row],[Muestra]]),"0")</f>
        <v>0</v>
      </c>
      <c r="AL165" s="41">
        <v>0</v>
      </c>
      <c r="AM165" s="42">
        <v>0</v>
      </c>
      <c r="AN165" s="38">
        <v>0</v>
      </c>
      <c r="AO165" s="39">
        <f>+IFERROR((FT_RF_264[[#This Row],[Fuera de calibre &lt;12mm]]/FT_RF_264[[#This Row],[Muestra]]),"0")</f>
        <v>0</v>
      </c>
      <c r="AP165" s="38">
        <v>0</v>
      </c>
      <c r="AQ165" s="39">
        <f>+IFERROR((FT_RF_264[[#This Row],[Calibre &lt;25]]/FT_RF_264[[#This Row],[Muestra]]),"0")</f>
        <v>0</v>
      </c>
      <c r="AR165" s="38">
        <v>0</v>
      </c>
      <c r="AS165" s="39">
        <f>+IFERROR((FT_RF_264[[#This Row],[Calibre &gt;12]]/FT_RF_264[[#This Row],[Muestra]]),"0")</f>
        <v>0</v>
      </c>
      <c r="AT165" s="38">
        <v>0</v>
      </c>
      <c r="AU165" s="39">
        <f>+IFERROR((FT_RF_264[[#This Row],[Calibre &lt;14]]/FT_RF_264[[#This Row],[Muestra]]),"0")</f>
        <v>0</v>
      </c>
      <c r="AV165" s="38">
        <v>0</v>
      </c>
      <c r="AW165" s="39">
        <f>+IFERROR((FT_RF_264[[#This Row],[Calibre &gt;14]]/FT_RF_264[[#This Row],[Muestra]]),"0")</f>
        <v>0</v>
      </c>
      <c r="AX165" s="38">
        <v>0</v>
      </c>
      <c r="AY165" s="39">
        <f>+IFERROR((FT_RF_264[[#This Row],[Calibre &lt;10]]/FT_RF_264[[#This Row],[Muestra]]),"0")</f>
        <v>0</v>
      </c>
      <c r="AZ165" s="38">
        <v>0</v>
      </c>
      <c r="BA165" s="39">
        <f>+IFERROR((FT_RF_264[[#This Row],[Calibre &gt;13]]/FT_RF_264[[#This Row],[Muestra]]),"0")</f>
        <v>0</v>
      </c>
      <c r="BB165" s="41"/>
      <c r="BG165" s="42"/>
      <c r="BH165" s="43">
        <v>0</v>
      </c>
      <c r="BI165" s="29" t="s">
        <v>894</v>
      </c>
      <c r="BJ165" s="29" t="s">
        <v>894</v>
      </c>
      <c r="BK16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6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65" s="45">
        <f>1-FT_RF_264[[#This Row],[% Defectos]]</f>
        <v>1</v>
      </c>
      <c r="BO165" s="60"/>
      <c r="BP165" s="12">
        <f>SUM(FT_RF_264[[#This Row],[Hoja (Un.)]:[Larvas Caja]])</f>
        <v>0</v>
      </c>
      <c r="BQ165" s="12">
        <f>SUM(FT_RF_264[[#This Row],[Vidrios]:[Plástico]])</f>
        <v>0</v>
      </c>
      <c r="BR165" s="12" t="str">
        <f>IF(ISBLANK(FT_RF_264[[#This Row],[Descripción del producto]]),"",FT_RF_264[[#This Row],[Descripción del producto]])</f>
        <v/>
      </c>
      <c r="BS165" s="29" t="str">
        <f>IF(ISBLANK(FT_RF_264[[#This Row],[N° de Lote]]),"",FT_RF_264[[#This Row],[N° de Lote]])</f>
        <v/>
      </c>
      <c r="BT165" s="29" t="str">
        <f>IF(ISBLANK(FT_RF_264[[#This Row],[N° de Pallet]]),"",FT_RF_264[[#This Row],[N° de Pallet]])</f>
        <v/>
      </c>
    </row>
    <row r="166" spans="2:72">
      <c r="B166" s="29">
        <f>+_xlfn.ISOWEEKNUM(FT_RF_264[[#This Row],[Fecha]])</f>
        <v>52</v>
      </c>
      <c r="E166" s="31"/>
      <c r="F166" s="12" t="str">
        <f>IFERROR(""&amp;_xlfn.XLOOKUP(FT_RF_264[[#This Row],[Código]],BD_Cod[SKU],BD_Cod[Descripción]),"")</f>
        <v/>
      </c>
      <c r="G166" s="32" t="str">
        <f>IFERROR(""&amp;_xlfn.XLOOKUP(FT_RF_264[[#This Row],[Código]],BD_Cod[SKU],BD_Cod[Familia Calidad]),"")</f>
        <v/>
      </c>
      <c r="J166" s="33">
        <v>1000</v>
      </c>
      <c r="L166" s="30" t="s">
        <v>244</v>
      </c>
      <c r="O166" s="30" t="s">
        <v>894</v>
      </c>
      <c r="P166" s="29" t="s">
        <v>894</v>
      </c>
      <c r="Q166" s="37">
        <f>1-FT_RF_264[[#This Row],[% Defectos]]</f>
        <v>1</v>
      </c>
      <c r="R166" s="38">
        <v>0</v>
      </c>
      <c r="S166" s="39">
        <f>+IFERROR((FT_RF_264[[#This Row],[Inmadura]]/FT_RF_264[[#This Row],[Muestra]]),"0")</f>
        <v>0</v>
      </c>
      <c r="T166" s="38">
        <v>0</v>
      </c>
      <c r="U166" s="39">
        <f>+IFERROR((FT_RF_264[[#This Row],[Partidas]]/FT_RF_264[[#This Row],[Muestra]]),"0")</f>
        <v>0</v>
      </c>
      <c r="V166" s="38">
        <v>0</v>
      </c>
      <c r="W166" s="39">
        <f>+IFERROR((FT_RF_264[[#This Row],[Daño Insecto]]/FT_RF_264[[#This Row],[Muestra]]),"0")</f>
        <v>0</v>
      </c>
      <c r="X166" s="38">
        <v>0</v>
      </c>
      <c r="Y166" s="39">
        <f>+IFERROR((FT_RF_264[[#This Row],[Sobremadura]]/FT_RF_264[[#This Row],[Muestra]]),"0")</f>
        <v>0</v>
      </c>
      <c r="Z166" s="38">
        <v>0</v>
      </c>
      <c r="AA166" s="39">
        <f>+IFERROR((FT_RF_264[[#This Row],[Deforme]]/FT_RF_264[[#This Row],[Muestra]]),"0")</f>
        <v>0</v>
      </c>
      <c r="AB166" s="27"/>
      <c r="AC166" s="38">
        <v>0</v>
      </c>
      <c r="AD166" s="39">
        <f>+IFERROR((FT_RF_264[[#This Row],[Valor Extra 1]]/FT_RF_264[[#This Row],[Muestra]]),"0")</f>
        <v>0</v>
      </c>
      <c r="AF166" s="38">
        <v>0</v>
      </c>
      <c r="AG166" s="39">
        <f>+IFERROR((FT_RF_264[[#This Row],[Valor Extra 2]]/FT_RF_264[[#This Row],[Muestra]]),"0")</f>
        <v>0</v>
      </c>
      <c r="AH166" s="40">
        <v>0</v>
      </c>
      <c r="AI166" s="39">
        <f>+IFERROR((FT_RF_264[[#This Row],[Hongos]]/FT_RF_264[[#This Row],[Muestra]]),"0")</f>
        <v>0</v>
      </c>
      <c r="AJ166" s="38">
        <v>0</v>
      </c>
      <c r="AK166" s="39">
        <f>+IFERROR((FT_RF_264[[#This Row],[Block]]/FT_RF_264[[#This Row],[Muestra]]),"0")</f>
        <v>0</v>
      </c>
      <c r="AL166" s="41">
        <v>0</v>
      </c>
      <c r="AM166" s="42">
        <v>0</v>
      </c>
      <c r="AN166" s="38">
        <v>0</v>
      </c>
      <c r="AO166" s="39">
        <f>+IFERROR((FT_RF_264[[#This Row],[Fuera de calibre &lt;12mm]]/FT_RF_264[[#This Row],[Muestra]]),"0")</f>
        <v>0</v>
      </c>
      <c r="AP166" s="38">
        <v>0</v>
      </c>
      <c r="AQ166" s="39">
        <f>+IFERROR((FT_RF_264[[#This Row],[Calibre &lt;25]]/FT_RF_264[[#This Row],[Muestra]]),"0")</f>
        <v>0</v>
      </c>
      <c r="AR166" s="38">
        <v>0</v>
      </c>
      <c r="AS166" s="39">
        <f>+IFERROR((FT_RF_264[[#This Row],[Calibre &gt;12]]/FT_RF_264[[#This Row],[Muestra]]),"0")</f>
        <v>0</v>
      </c>
      <c r="AT166" s="38">
        <v>0</v>
      </c>
      <c r="AU166" s="39">
        <f>+IFERROR((FT_RF_264[[#This Row],[Calibre &lt;14]]/FT_RF_264[[#This Row],[Muestra]]),"0")</f>
        <v>0</v>
      </c>
      <c r="AV166" s="38">
        <v>0</v>
      </c>
      <c r="AW166" s="39">
        <f>+IFERROR((FT_RF_264[[#This Row],[Calibre &gt;14]]/FT_RF_264[[#This Row],[Muestra]]),"0")</f>
        <v>0</v>
      </c>
      <c r="AX166" s="38">
        <v>0</v>
      </c>
      <c r="AY166" s="39">
        <f>+IFERROR((FT_RF_264[[#This Row],[Calibre &lt;10]]/FT_RF_264[[#This Row],[Muestra]]),"0")</f>
        <v>0</v>
      </c>
      <c r="AZ166" s="38">
        <v>0</v>
      </c>
      <c r="BA166" s="39">
        <f>+IFERROR((FT_RF_264[[#This Row],[Calibre &gt;13]]/FT_RF_264[[#This Row],[Muestra]]),"0")</f>
        <v>0</v>
      </c>
      <c r="BB166" s="41"/>
      <c r="BG166" s="42"/>
      <c r="BH166" s="43">
        <v>0</v>
      </c>
      <c r="BI166" s="29" t="s">
        <v>894</v>
      </c>
      <c r="BJ166" s="29" t="s">
        <v>894</v>
      </c>
      <c r="BK16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6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66" s="45">
        <f>1-FT_RF_264[[#This Row],[% Defectos]]</f>
        <v>1</v>
      </c>
      <c r="BO166" s="60"/>
      <c r="BP166" s="12">
        <f>SUM(FT_RF_264[[#This Row],[Hoja (Un.)]:[Larvas Caja]])</f>
        <v>0</v>
      </c>
      <c r="BQ166" s="12">
        <f>SUM(FT_RF_264[[#This Row],[Vidrios]:[Plástico]])</f>
        <v>0</v>
      </c>
      <c r="BR166" s="12" t="str">
        <f>IF(ISBLANK(FT_RF_264[[#This Row],[Descripción del producto]]),"",FT_RF_264[[#This Row],[Descripción del producto]])</f>
        <v/>
      </c>
      <c r="BS166" s="29" t="str">
        <f>IF(ISBLANK(FT_RF_264[[#This Row],[N° de Lote]]),"",FT_RF_264[[#This Row],[N° de Lote]])</f>
        <v/>
      </c>
      <c r="BT166" s="29" t="str">
        <f>IF(ISBLANK(FT_RF_264[[#This Row],[N° de Pallet]]),"",FT_RF_264[[#This Row],[N° de Pallet]])</f>
        <v/>
      </c>
    </row>
    <row r="167" spans="2:72">
      <c r="B167" s="29">
        <f>+_xlfn.ISOWEEKNUM(FT_RF_264[[#This Row],[Fecha]])</f>
        <v>52</v>
      </c>
      <c r="E167" s="31"/>
      <c r="F167" s="12" t="str">
        <f>IFERROR(""&amp;_xlfn.XLOOKUP(FT_RF_264[[#This Row],[Código]],BD_Cod[SKU],BD_Cod[Descripción]),"")</f>
        <v/>
      </c>
      <c r="G167" s="32" t="str">
        <f>IFERROR(""&amp;_xlfn.XLOOKUP(FT_RF_264[[#This Row],[Código]],BD_Cod[SKU],BD_Cod[Familia Calidad]),"")</f>
        <v/>
      </c>
      <c r="J167" s="33">
        <v>1000</v>
      </c>
      <c r="L167" s="30" t="s">
        <v>244</v>
      </c>
      <c r="O167" s="30" t="s">
        <v>894</v>
      </c>
      <c r="P167" s="29" t="s">
        <v>894</v>
      </c>
      <c r="Q167" s="37">
        <f>1-FT_RF_264[[#This Row],[% Defectos]]</f>
        <v>1</v>
      </c>
      <c r="R167" s="38">
        <v>0</v>
      </c>
      <c r="S167" s="39">
        <f>+IFERROR((FT_RF_264[[#This Row],[Inmadura]]/FT_RF_264[[#This Row],[Muestra]]),"0")</f>
        <v>0</v>
      </c>
      <c r="T167" s="38">
        <v>0</v>
      </c>
      <c r="U167" s="39">
        <f>+IFERROR((FT_RF_264[[#This Row],[Partidas]]/FT_RF_264[[#This Row],[Muestra]]),"0")</f>
        <v>0</v>
      </c>
      <c r="V167" s="38">
        <v>0</v>
      </c>
      <c r="W167" s="39">
        <f>+IFERROR((FT_RF_264[[#This Row],[Daño Insecto]]/FT_RF_264[[#This Row],[Muestra]]),"0")</f>
        <v>0</v>
      </c>
      <c r="X167" s="38">
        <v>0</v>
      </c>
      <c r="Y167" s="39">
        <f>+IFERROR((FT_RF_264[[#This Row],[Sobremadura]]/FT_RF_264[[#This Row],[Muestra]]),"0")</f>
        <v>0</v>
      </c>
      <c r="Z167" s="38">
        <v>0</v>
      </c>
      <c r="AA167" s="39">
        <f>+IFERROR((FT_RF_264[[#This Row],[Deforme]]/FT_RF_264[[#This Row],[Muestra]]),"0")</f>
        <v>0</v>
      </c>
      <c r="AB167" s="27"/>
      <c r="AC167" s="38">
        <v>0</v>
      </c>
      <c r="AD167" s="39">
        <f>+IFERROR((FT_RF_264[[#This Row],[Valor Extra 1]]/FT_RF_264[[#This Row],[Muestra]]),"0")</f>
        <v>0</v>
      </c>
      <c r="AF167" s="38">
        <v>0</v>
      </c>
      <c r="AG167" s="39">
        <f>+IFERROR((FT_RF_264[[#This Row],[Valor Extra 2]]/FT_RF_264[[#This Row],[Muestra]]),"0")</f>
        <v>0</v>
      </c>
      <c r="AH167" s="40">
        <v>0</v>
      </c>
      <c r="AI167" s="39">
        <f>+IFERROR((FT_RF_264[[#This Row],[Hongos]]/FT_RF_264[[#This Row],[Muestra]]),"0")</f>
        <v>0</v>
      </c>
      <c r="AJ167" s="38">
        <v>0</v>
      </c>
      <c r="AK167" s="39">
        <f>+IFERROR((FT_RF_264[[#This Row],[Block]]/FT_RF_264[[#This Row],[Muestra]]),"0")</f>
        <v>0</v>
      </c>
      <c r="AL167" s="41">
        <v>0</v>
      </c>
      <c r="AM167" s="42">
        <v>0</v>
      </c>
      <c r="AN167" s="38">
        <v>0</v>
      </c>
      <c r="AO167" s="39">
        <f>+IFERROR((FT_RF_264[[#This Row],[Fuera de calibre &lt;12mm]]/FT_RF_264[[#This Row],[Muestra]]),"0")</f>
        <v>0</v>
      </c>
      <c r="AP167" s="38">
        <v>0</v>
      </c>
      <c r="AQ167" s="39">
        <f>+IFERROR((FT_RF_264[[#This Row],[Calibre &lt;25]]/FT_RF_264[[#This Row],[Muestra]]),"0")</f>
        <v>0</v>
      </c>
      <c r="AR167" s="38">
        <v>0</v>
      </c>
      <c r="AS167" s="39">
        <f>+IFERROR((FT_RF_264[[#This Row],[Calibre &gt;12]]/FT_RF_264[[#This Row],[Muestra]]),"0")</f>
        <v>0</v>
      </c>
      <c r="AT167" s="38">
        <v>0</v>
      </c>
      <c r="AU167" s="39">
        <f>+IFERROR((FT_RF_264[[#This Row],[Calibre &lt;14]]/FT_RF_264[[#This Row],[Muestra]]),"0")</f>
        <v>0</v>
      </c>
      <c r="AV167" s="38">
        <v>0</v>
      </c>
      <c r="AW167" s="39">
        <f>+IFERROR((FT_RF_264[[#This Row],[Calibre &gt;14]]/FT_RF_264[[#This Row],[Muestra]]),"0")</f>
        <v>0</v>
      </c>
      <c r="AX167" s="38">
        <v>0</v>
      </c>
      <c r="AY167" s="39">
        <f>+IFERROR((FT_RF_264[[#This Row],[Calibre &lt;10]]/FT_RF_264[[#This Row],[Muestra]]),"0")</f>
        <v>0</v>
      </c>
      <c r="AZ167" s="38">
        <v>0</v>
      </c>
      <c r="BA167" s="39">
        <f>+IFERROR((FT_RF_264[[#This Row],[Calibre &gt;13]]/FT_RF_264[[#This Row],[Muestra]]),"0")</f>
        <v>0</v>
      </c>
      <c r="BB167" s="41"/>
      <c r="BG167" s="42"/>
      <c r="BH167" s="43">
        <v>0</v>
      </c>
      <c r="BI167" s="29" t="s">
        <v>894</v>
      </c>
      <c r="BJ167" s="29" t="s">
        <v>894</v>
      </c>
      <c r="BK16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6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67" s="45">
        <f>1-FT_RF_264[[#This Row],[% Defectos]]</f>
        <v>1</v>
      </c>
      <c r="BO167" s="60"/>
      <c r="BP167" s="12">
        <f>SUM(FT_RF_264[[#This Row],[Hoja (Un.)]:[Larvas Caja]])</f>
        <v>0</v>
      </c>
      <c r="BQ167" s="12">
        <f>SUM(FT_RF_264[[#This Row],[Vidrios]:[Plástico]])</f>
        <v>0</v>
      </c>
      <c r="BR167" s="12" t="str">
        <f>IF(ISBLANK(FT_RF_264[[#This Row],[Descripción del producto]]),"",FT_RF_264[[#This Row],[Descripción del producto]])</f>
        <v/>
      </c>
      <c r="BS167" s="29" t="str">
        <f>IF(ISBLANK(FT_RF_264[[#This Row],[N° de Lote]]),"",FT_RF_264[[#This Row],[N° de Lote]])</f>
        <v/>
      </c>
      <c r="BT167" s="29" t="str">
        <f>IF(ISBLANK(FT_RF_264[[#This Row],[N° de Pallet]]),"",FT_RF_264[[#This Row],[N° de Pallet]])</f>
        <v/>
      </c>
    </row>
    <row r="168" spans="2:72">
      <c r="B168" s="29">
        <f>+_xlfn.ISOWEEKNUM(FT_RF_264[[#This Row],[Fecha]])</f>
        <v>52</v>
      </c>
      <c r="E168" s="31"/>
      <c r="F168" s="12" t="str">
        <f>IFERROR(""&amp;_xlfn.XLOOKUP(FT_RF_264[[#This Row],[Código]],BD_Cod[SKU],BD_Cod[Descripción]),"")</f>
        <v/>
      </c>
      <c r="G168" s="32" t="str">
        <f>IFERROR(""&amp;_xlfn.XLOOKUP(FT_RF_264[[#This Row],[Código]],BD_Cod[SKU],BD_Cod[Familia Calidad]),"")</f>
        <v/>
      </c>
      <c r="J168" s="33">
        <v>1000</v>
      </c>
      <c r="L168" s="30" t="s">
        <v>244</v>
      </c>
      <c r="O168" s="30" t="s">
        <v>894</v>
      </c>
      <c r="P168" s="29" t="s">
        <v>894</v>
      </c>
      <c r="Q168" s="37">
        <f>1-FT_RF_264[[#This Row],[% Defectos]]</f>
        <v>1</v>
      </c>
      <c r="R168" s="38">
        <v>0</v>
      </c>
      <c r="S168" s="39">
        <f>+IFERROR((FT_RF_264[[#This Row],[Inmadura]]/FT_RF_264[[#This Row],[Muestra]]),"0")</f>
        <v>0</v>
      </c>
      <c r="T168" s="38">
        <v>0</v>
      </c>
      <c r="U168" s="39">
        <f>+IFERROR((FT_RF_264[[#This Row],[Partidas]]/FT_RF_264[[#This Row],[Muestra]]),"0")</f>
        <v>0</v>
      </c>
      <c r="V168" s="38">
        <v>0</v>
      </c>
      <c r="W168" s="39">
        <f>+IFERROR((FT_RF_264[[#This Row],[Daño Insecto]]/FT_RF_264[[#This Row],[Muestra]]),"0")</f>
        <v>0</v>
      </c>
      <c r="X168" s="38">
        <v>0</v>
      </c>
      <c r="Y168" s="39">
        <f>+IFERROR((FT_RF_264[[#This Row],[Sobremadura]]/FT_RF_264[[#This Row],[Muestra]]),"0")</f>
        <v>0</v>
      </c>
      <c r="Z168" s="38">
        <v>0</v>
      </c>
      <c r="AA168" s="39">
        <f>+IFERROR((FT_RF_264[[#This Row],[Deforme]]/FT_RF_264[[#This Row],[Muestra]]),"0")</f>
        <v>0</v>
      </c>
      <c r="AB168" s="27"/>
      <c r="AC168" s="38">
        <v>0</v>
      </c>
      <c r="AD168" s="39">
        <f>+IFERROR((FT_RF_264[[#This Row],[Valor Extra 1]]/FT_RF_264[[#This Row],[Muestra]]),"0")</f>
        <v>0</v>
      </c>
      <c r="AF168" s="38">
        <v>0</v>
      </c>
      <c r="AG168" s="39">
        <f>+IFERROR((FT_RF_264[[#This Row],[Valor Extra 2]]/FT_RF_264[[#This Row],[Muestra]]),"0")</f>
        <v>0</v>
      </c>
      <c r="AH168" s="40">
        <v>0</v>
      </c>
      <c r="AI168" s="39">
        <f>+IFERROR((FT_RF_264[[#This Row],[Hongos]]/FT_RF_264[[#This Row],[Muestra]]),"0")</f>
        <v>0</v>
      </c>
      <c r="AJ168" s="38">
        <v>0</v>
      </c>
      <c r="AK168" s="39">
        <f>+IFERROR((FT_RF_264[[#This Row],[Block]]/FT_RF_264[[#This Row],[Muestra]]),"0")</f>
        <v>0</v>
      </c>
      <c r="AL168" s="41">
        <v>0</v>
      </c>
      <c r="AM168" s="42">
        <v>0</v>
      </c>
      <c r="AN168" s="38">
        <v>0</v>
      </c>
      <c r="AO168" s="39">
        <f>+IFERROR((FT_RF_264[[#This Row],[Fuera de calibre &lt;12mm]]/FT_RF_264[[#This Row],[Muestra]]),"0")</f>
        <v>0</v>
      </c>
      <c r="AP168" s="38">
        <v>0</v>
      </c>
      <c r="AQ168" s="39">
        <f>+IFERROR((FT_RF_264[[#This Row],[Calibre &lt;25]]/FT_RF_264[[#This Row],[Muestra]]),"0")</f>
        <v>0</v>
      </c>
      <c r="AR168" s="38">
        <v>0</v>
      </c>
      <c r="AS168" s="39">
        <f>+IFERROR((FT_RF_264[[#This Row],[Calibre &gt;12]]/FT_RF_264[[#This Row],[Muestra]]),"0")</f>
        <v>0</v>
      </c>
      <c r="AT168" s="38">
        <v>0</v>
      </c>
      <c r="AU168" s="39">
        <f>+IFERROR((FT_RF_264[[#This Row],[Calibre &lt;14]]/FT_RF_264[[#This Row],[Muestra]]),"0")</f>
        <v>0</v>
      </c>
      <c r="AV168" s="38">
        <v>0</v>
      </c>
      <c r="AW168" s="39">
        <f>+IFERROR((FT_RF_264[[#This Row],[Calibre &gt;14]]/FT_RF_264[[#This Row],[Muestra]]),"0")</f>
        <v>0</v>
      </c>
      <c r="AX168" s="38">
        <v>0</v>
      </c>
      <c r="AY168" s="39">
        <f>+IFERROR((FT_RF_264[[#This Row],[Calibre &lt;10]]/FT_RF_264[[#This Row],[Muestra]]),"0")</f>
        <v>0</v>
      </c>
      <c r="AZ168" s="38">
        <v>0</v>
      </c>
      <c r="BA168" s="39">
        <f>+IFERROR((FT_RF_264[[#This Row],[Calibre &gt;13]]/FT_RF_264[[#This Row],[Muestra]]),"0")</f>
        <v>0</v>
      </c>
      <c r="BB168" s="41"/>
      <c r="BG168" s="42"/>
      <c r="BH168" s="43">
        <v>0</v>
      </c>
      <c r="BI168" s="29" t="s">
        <v>894</v>
      </c>
      <c r="BJ168" s="29" t="s">
        <v>894</v>
      </c>
      <c r="BK16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6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68" s="45">
        <f>1-FT_RF_264[[#This Row],[% Defectos]]</f>
        <v>1</v>
      </c>
      <c r="BO168" s="60"/>
      <c r="BP168" s="12">
        <f>SUM(FT_RF_264[[#This Row],[Hoja (Un.)]:[Larvas Caja]])</f>
        <v>0</v>
      </c>
      <c r="BQ168" s="12">
        <f>SUM(FT_RF_264[[#This Row],[Vidrios]:[Plástico]])</f>
        <v>0</v>
      </c>
      <c r="BR168" s="12" t="str">
        <f>IF(ISBLANK(FT_RF_264[[#This Row],[Descripción del producto]]),"",FT_RF_264[[#This Row],[Descripción del producto]])</f>
        <v/>
      </c>
      <c r="BS168" s="29" t="str">
        <f>IF(ISBLANK(FT_RF_264[[#This Row],[N° de Lote]]),"",FT_RF_264[[#This Row],[N° de Lote]])</f>
        <v/>
      </c>
      <c r="BT168" s="29" t="str">
        <f>IF(ISBLANK(FT_RF_264[[#This Row],[N° de Pallet]]),"",FT_RF_264[[#This Row],[N° de Pallet]])</f>
        <v/>
      </c>
    </row>
    <row r="169" spans="2:72">
      <c r="B169" s="29">
        <f>+_xlfn.ISOWEEKNUM(FT_RF_264[[#This Row],[Fecha]])</f>
        <v>52</v>
      </c>
      <c r="E169" s="31"/>
      <c r="F169" s="12" t="str">
        <f>IFERROR(""&amp;_xlfn.XLOOKUP(FT_RF_264[[#This Row],[Código]],BD_Cod[SKU],BD_Cod[Descripción]),"")</f>
        <v/>
      </c>
      <c r="G169" s="32" t="str">
        <f>IFERROR(""&amp;_xlfn.XLOOKUP(FT_RF_264[[#This Row],[Código]],BD_Cod[SKU],BD_Cod[Familia Calidad]),"")</f>
        <v/>
      </c>
      <c r="J169" s="33">
        <v>1000</v>
      </c>
      <c r="L169" s="30" t="s">
        <v>244</v>
      </c>
      <c r="O169" s="30" t="s">
        <v>894</v>
      </c>
      <c r="P169" s="29" t="s">
        <v>894</v>
      </c>
      <c r="Q169" s="37">
        <f>1-FT_RF_264[[#This Row],[% Defectos]]</f>
        <v>1</v>
      </c>
      <c r="R169" s="38">
        <v>0</v>
      </c>
      <c r="S169" s="39">
        <f>+IFERROR((FT_RF_264[[#This Row],[Inmadura]]/FT_RF_264[[#This Row],[Muestra]]),"0")</f>
        <v>0</v>
      </c>
      <c r="T169" s="38">
        <v>0</v>
      </c>
      <c r="U169" s="39">
        <f>+IFERROR((FT_RF_264[[#This Row],[Partidas]]/FT_RF_264[[#This Row],[Muestra]]),"0")</f>
        <v>0</v>
      </c>
      <c r="V169" s="38">
        <v>0</v>
      </c>
      <c r="W169" s="39">
        <f>+IFERROR((FT_RF_264[[#This Row],[Daño Insecto]]/FT_RF_264[[#This Row],[Muestra]]),"0")</f>
        <v>0</v>
      </c>
      <c r="X169" s="38">
        <v>0</v>
      </c>
      <c r="Y169" s="39">
        <f>+IFERROR((FT_RF_264[[#This Row],[Sobremadura]]/FT_RF_264[[#This Row],[Muestra]]),"0")</f>
        <v>0</v>
      </c>
      <c r="Z169" s="38">
        <v>0</v>
      </c>
      <c r="AA169" s="39">
        <f>+IFERROR((FT_RF_264[[#This Row],[Deforme]]/FT_RF_264[[#This Row],[Muestra]]),"0")</f>
        <v>0</v>
      </c>
      <c r="AB169" s="27"/>
      <c r="AC169" s="38">
        <v>0</v>
      </c>
      <c r="AD169" s="39">
        <f>+IFERROR((FT_RF_264[[#This Row],[Valor Extra 1]]/FT_RF_264[[#This Row],[Muestra]]),"0")</f>
        <v>0</v>
      </c>
      <c r="AF169" s="38">
        <v>0</v>
      </c>
      <c r="AG169" s="39">
        <f>+IFERROR((FT_RF_264[[#This Row],[Valor Extra 2]]/FT_RF_264[[#This Row],[Muestra]]),"0")</f>
        <v>0</v>
      </c>
      <c r="AH169" s="40">
        <v>0</v>
      </c>
      <c r="AI169" s="39">
        <f>+IFERROR((FT_RF_264[[#This Row],[Hongos]]/FT_RF_264[[#This Row],[Muestra]]),"0")</f>
        <v>0</v>
      </c>
      <c r="AJ169" s="38">
        <v>0</v>
      </c>
      <c r="AK169" s="39">
        <f>+IFERROR((FT_RF_264[[#This Row],[Block]]/FT_RF_264[[#This Row],[Muestra]]),"0")</f>
        <v>0</v>
      </c>
      <c r="AL169" s="41">
        <v>0</v>
      </c>
      <c r="AM169" s="42">
        <v>0</v>
      </c>
      <c r="AN169" s="38">
        <v>0</v>
      </c>
      <c r="AO169" s="39">
        <f>+IFERROR((FT_RF_264[[#This Row],[Fuera de calibre &lt;12mm]]/FT_RF_264[[#This Row],[Muestra]]),"0")</f>
        <v>0</v>
      </c>
      <c r="AP169" s="38">
        <v>0</v>
      </c>
      <c r="AQ169" s="39">
        <f>+IFERROR((FT_RF_264[[#This Row],[Calibre &lt;25]]/FT_RF_264[[#This Row],[Muestra]]),"0")</f>
        <v>0</v>
      </c>
      <c r="AR169" s="38">
        <v>0</v>
      </c>
      <c r="AS169" s="39">
        <f>+IFERROR((FT_RF_264[[#This Row],[Calibre &gt;12]]/FT_RF_264[[#This Row],[Muestra]]),"0")</f>
        <v>0</v>
      </c>
      <c r="AT169" s="38">
        <v>0</v>
      </c>
      <c r="AU169" s="39">
        <f>+IFERROR((FT_RF_264[[#This Row],[Calibre &lt;14]]/FT_RF_264[[#This Row],[Muestra]]),"0")</f>
        <v>0</v>
      </c>
      <c r="AV169" s="38">
        <v>0</v>
      </c>
      <c r="AW169" s="39">
        <f>+IFERROR((FT_RF_264[[#This Row],[Calibre &gt;14]]/FT_RF_264[[#This Row],[Muestra]]),"0")</f>
        <v>0</v>
      </c>
      <c r="AX169" s="38">
        <v>0</v>
      </c>
      <c r="AY169" s="39">
        <f>+IFERROR((FT_RF_264[[#This Row],[Calibre &lt;10]]/FT_RF_264[[#This Row],[Muestra]]),"0")</f>
        <v>0</v>
      </c>
      <c r="AZ169" s="38">
        <v>0</v>
      </c>
      <c r="BA169" s="39">
        <f>+IFERROR((FT_RF_264[[#This Row],[Calibre &gt;13]]/FT_RF_264[[#This Row],[Muestra]]),"0")</f>
        <v>0</v>
      </c>
      <c r="BB169" s="41"/>
      <c r="BG169" s="42"/>
      <c r="BH169" s="43">
        <v>0</v>
      </c>
      <c r="BI169" s="29" t="s">
        <v>894</v>
      </c>
      <c r="BJ169" s="29" t="s">
        <v>894</v>
      </c>
      <c r="BK16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6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69" s="45">
        <f>1-FT_RF_264[[#This Row],[% Defectos]]</f>
        <v>1</v>
      </c>
      <c r="BO169" s="60"/>
      <c r="BP169" s="12">
        <f>SUM(FT_RF_264[[#This Row],[Hoja (Un.)]:[Larvas Caja]])</f>
        <v>0</v>
      </c>
      <c r="BQ169" s="12">
        <f>SUM(FT_RF_264[[#This Row],[Vidrios]:[Plástico]])</f>
        <v>0</v>
      </c>
      <c r="BR169" s="12" t="str">
        <f>IF(ISBLANK(FT_RF_264[[#This Row],[Descripción del producto]]),"",FT_RF_264[[#This Row],[Descripción del producto]])</f>
        <v/>
      </c>
      <c r="BS169" s="29" t="str">
        <f>IF(ISBLANK(FT_RF_264[[#This Row],[N° de Lote]]),"",FT_RF_264[[#This Row],[N° de Lote]])</f>
        <v/>
      </c>
      <c r="BT169" s="29" t="str">
        <f>IF(ISBLANK(FT_RF_264[[#This Row],[N° de Pallet]]),"",FT_RF_264[[#This Row],[N° de Pallet]])</f>
        <v/>
      </c>
    </row>
    <row r="170" spans="2:72">
      <c r="B170" s="29">
        <f>+_xlfn.ISOWEEKNUM(FT_RF_264[[#This Row],[Fecha]])</f>
        <v>52</v>
      </c>
      <c r="E170" s="31"/>
      <c r="F170" s="12" t="str">
        <f>IFERROR(""&amp;_xlfn.XLOOKUP(FT_RF_264[[#This Row],[Código]],BD_Cod[SKU],BD_Cod[Descripción]),"")</f>
        <v/>
      </c>
      <c r="G170" s="32" t="str">
        <f>IFERROR(""&amp;_xlfn.XLOOKUP(FT_RF_264[[#This Row],[Código]],BD_Cod[SKU],BD_Cod[Familia Calidad]),"")</f>
        <v/>
      </c>
      <c r="J170" s="33">
        <v>1000</v>
      </c>
      <c r="L170" s="30" t="s">
        <v>244</v>
      </c>
      <c r="O170" s="30" t="s">
        <v>894</v>
      </c>
      <c r="P170" s="29" t="s">
        <v>894</v>
      </c>
      <c r="Q170" s="37">
        <f>1-FT_RF_264[[#This Row],[% Defectos]]</f>
        <v>1</v>
      </c>
      <c r="R170" s="38">
        <v>0</v>
      </c>
      <c r="S170" s="39">
        <f>+IFERROR((FT_RF_264[[#This Row],[Inmadura]]/FT_RF_264[[#This Row],[Muestra]]),"0")</f>
        <v>0</v>
      </c>
      <c r="T170" s="38">
        <v>0</v>
      </c>
      <c r="U170" s="39">
        <f>+IFERROR((FT_RF_264[[#This Row],[Partidas]]/FT_RF_264[[#This Row],[Muestra]]),"0")</f>
        <v>0</v>
      </c>
      <c r="V170" s="38">
        <v>0</v>
      </c>
      <c r="W170" s="39">
        <f>+IFERROR((FT_RF_264[[#This Row],[Daño Insecto]]/FT_RF_264[[#This Row],[Muestra]]),"0")</f>
        <v>0</v>
      </c>
      <c r="X170" s="38">
        <v>0</v>
      </c>
      <c r="Y170" s="39">
        <f>+IFERROR((FT_RF_264[[#This Row],[Sobremadura]]/FT_RF_264[[#This Row],[Muestra]]),"0")</f>
        <v>0</v>
      </c>
      <c r="Z170" s="38">
        <v>0</v>
      </c>
      <c r="AA170" s="39">
        <f>+IFERROR((FT_RF_264[[#This Row],[Deforme]]/FT_RF_264[[#This Row],[Muestra]]),"0")</f>
        <v>0</v>
      </c>
      <c r="AB170" s="27"/>
      <c r="AC170" s="38">
        <v>0</v>
      </c>
      <c r="AD170" s="39">
        <f>+IFERROR((FT_RF_264[[#This Row],[Valor Extra 1]]/FT_RF_264[[#This Row],[Muestra]]),"0")</f>
        <v>0</v>
      </c>
      <c r="AF170" s="38">
        <v>0</v>
      </c>
      <c r="AG170" s="39">
        <f>+IFERROR((FT_RF_264[[#This Row],[Valor Extra 2]]/FT_RF_264[[#This Row],[Muestra]]),"0")</f>
        <v>0</v>
      </c>
      <c r="AH170" s="40">
        <v>0</v>
      </c>
      <c r="AI170" s="39">
        <f>+IFERROR((FT_RF_264[[#This Row],[Hongos]]/FT_RF_264[[#This Row],[Muestra]]),"0")</f>
        <v>0</v>
      </c>
      <c r="AJ170" s="38">
        <v>0</v>
      </c>
      <c r="AK170" s="39">
        <f>+IFERROR((FT_RF_264[[#This Row],[Block]]/FT_RF_264[[#This Row],[Muestra]]),"0")</f>
        <v>0</v>
      </c>
      <c r="AL170" s="41">
        <v>0</v>
      </c>
      <c r="AM170" s="42">
        <v>0</v>
      </c>
      <c r="AN170" s="38">
        <v>0</v>
      </c>
      <c r="AO170" s="39">
        <f>+IFERROR((FT_RF_264[[#This Row],[Fuera de calibre &lt;12mm]]/FT_RF_264[[#This Row],[Muestra]]),"0")</f>
        <v>0</v>
      </c>
      <c r="AP170" s="38">
        <v>0</v>
      </c>
      <c r="AQ170" s="39">
        <f>+IFERROR((FT_RF_264[[#This Row],[Calibre &lt;25]]/FT_RF_264[[#This Row],[Muestra]]),"0")</f>
        <v>0</v>
      </c>
      <c r="AR170" s="38">
        <v>0</v>
      </c>
      <c r="AS170" s="39">
        <f>+IFERROR((FT_RF_264[[#This Row],[Calibre &gt;12]]/FT_RF_264[[#This Row],[Muestra]]),"0")</f>
        <v>0</v>
      </c>
      <c r="AT170" s="38">
        <v>0</v>
      </c>
      <c r="AU170" s="39">
        <f>+IFERROR((FT_RF_264[[#This Row],[Calibre &lt;14]]/FT_RF_264[[#This Row],[Muestra]]),"0")</f>
        <v>0</v>
      </c>
      <c r="AV170" s="38">
        <v>0</v>
      </c>
      <c r="AW170" s="39">
        <f>+IFERROR((FT_RF_264[[#This Row],[Calibre &gt;14]]/FT_RF_264[[#This Row],[Muestra]]),"0")</f>
        <v>0</v>
      </c>
      <c r="AX170" s="38">
        <v>0</v>
      </c>
      <c r="AY170" s="39">
        <f>+IFERROR((FT_RF_264[[#This Row],[Calibre &lt;10]]/FT_RF_264[[#This Row],[Muestra]]),"0")</f>
        <v>0</v>
      </c>
      <c r="AZ170" s="38">
        <v>0</v>
      </c>
      <c r="BA170" s="39">
        <f>+IFERROR((FT_RF_264[[#This Row],[Calibre &gt;13]]/FT_RF_264[[#This Row],[Muestra]]),"0")</f>
        <v>0</v>
      </c>
      <c r="BB170" s="41"/>
      <c r="BG170" s="42"/>
      <c r="BH170" s="43">
        <v>0</v>
      </c>
      <c r="BI170" s="29" t="s">
        <v>894</v>
      </c>
      <c r="BJ170" s="29" t="s">
        <v>894</v>
      </c>
      <c r="BK17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7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70" s="45">
        <f>1-FT_RF_264[[#This Row],[% Defectos]]</f>
        <v>1</v>
      </c>
      <c r="BO170" s="60"/>
      <c r="BP170" s="12">
        <f>SUM(FT_RF_264[[#This Row],[Hoja (Un.)]:[Larvas Caja]])</f>
        <v>0</v>
      </c>
      <c r="BQ170" s="12">
        <f>SUM(FT_RF_264[[#This Row],[Vidrios]:[Plástico]])</f>
        <v>0</v>
      </c>
      <c r="BR170" s="12" t="str">
        <f>IF(ISBLANK(FT_RF_264[[#This Row],[Descripción del producto]]),"",FT_RF_264[[#This Row],[Descripción del producto]])</f>
        <v/>
      </c>
      <c r="BS170" s="29" t="str">
        <f>IF(ISBLANK(FT_RF_264[[#This Row],[N° de Lote]]),"",FT_RF_264[[#This Row],[N° de Lote]])</f>
        <v/>
      </c>
      <c r="BT170" s="29" t="str">
        <f>IF(ISBLANK(FT_RF_264[[#This Row],[N° de Pallet]]),"",FT_RF_264[[#This Row],[N° de Pallet]])</f>
        <v/>
      </c>
    </row>
    <row r="171" spans="2:72">
      <c r="B171" s="29">
        <f>+_xlfn.ISOWEEKNUM(FT_RF_264[[#This Row],[Fecha]])</f>
        <v>52</v>
      </c>
      <c r="E171" s="31"/>
      <c r="F171" s="12" t="str">
        <f>IFERROR(""&amp;_xlfn.XLOOKUP(FT_RF_264[[#This Row],[Código]],BD_Cod[SKU],BD_Cod[Descripción]),"")</f>
        <v/>
      </c>
      <c r="G171" s="32" t="str">
        <f>IFERROR(""&amp;_xlfn.XLOOKUP(FT_RF_264[[#This Row],[Código]],BD_Cod[SKU],BD_Cod[Familia Calidad]),"")</f>
        <v/>
      </c>
      <c r="J171" s="33">
        <v>1000</v>
      </c>
      <c r="L171" s="30" t="s">
        <v>244</v>
      </c>
      <c r="O171" s="30" t="s">
        <v>894</v>
      </c>
      <c r="P171" s="29" t="s">
        <v>894</v>
      </c>
      <c r="Q171" s="37">
        <f>1-FT_RF_264[[#This Row],[% Defectos]]</f>
        <v>1</v>
      </c>
      <c r="R171" s="38">
        <v>0</v>
      </c>
      <c r="S171" s="39">
        <f>+IFERROR((FT_RF_264[[#This Row],[Inmadura]]/FT_RF_264[[#This Row],[Muestra]]),"0")</f>
        <v>0</v>
      </c>
      <c r="T171" s="38">
        <v>0</v>
      </c>
      <c r="U171" s="39">
        <f>+IFERROR((FT_RF_264[[#This Row],[Partidas]]/FT_RF_264[[#This Row],[Muestra]]),"0")</f>
        <v>0</v>
      </c>
      <c r="V171" s="38">
        <v>0</v>
      </c>
      <c r="W171" s="39">
        <f>+IFERROR((FT_RF_264[[#This Row],[Daño Insecto]]/FT_RF_264[[#This Row],[Muestra]]),"0")</f>
        <v>0</v>
      </c>
      <c r="X171" s="38">
        <v>0</v>
      </c>
      <c r="Y171" s="39">
        <f>+IFERROR((FT_RF_264[[#This Row],[Sobremadura]]/FT_RF_264[[#This Row],[Muestra]]),"0")</f>
        <v>0</v>
      </c>
      <c r="Z171" s="38">
        <v>0</v>
      </c>
      <c r="AA171" s="39">
        <f>+IFERROR((FT_RF_264[[#This Row],[Deforme]]/FT_RF_264[[#This Row],[Muestra]]),"0")</f>
        <v>0</v>
      </c>
      <c r="AB171" s="27"/>
      <c r="AC171" s="38">
        <v>0</v>
      </c>
      <c r="AD171" s="39">
        <f>+IFERROR((FT_RF_264[[#This Row],[Valor Extra 1]]/FT_RF_264[[#This Row],[Muestra]]),"0")</f>
        <v>0</v>
      </c>
      <c r="AF171" s="38">
        <v>0</v>
      </c>
      <c r="AG171" s="39">
        <f>+IFERROR((FT_RF_264[[#This Row],[Valor Extra 2]]/FT_RF_264[[#This Row],[Muestra]]),"0")</f>
        <v>0</v>
      </c>
      <c r="AH171" s="40">
        <v>0</v>
      </c>
      <c r="AI171" s="39">
        <f>+IFERROR((FT_RF_264[[#This Row],[Hongos]]/FT_RF_264[[#This Row],[Muestra]]),"0")</f>
        <v>0</v>
      </c>
      <c r="AJ171" s="38">
        <v>0</v>
      </c>
      <c r="AK171" s="39">
        <f>+IFERROR((FT_RF_264[[#This Row],[Block]]/FT_RF_264[[#This Row],[Muestra]]),"0")</f>
        <v>0</v>
      </c>
      <c r="AL171" s="41">
        <v>0</v>
      </c>
      <c r="AM171" s="42">
        <v>0</v>
      </c>
      <c r="AN171" s="38">
        <v>0</v>
      </c>
      <c r="AO171" s="39">
        <f>+IFERROR((FT_RF_264[[#This Row],[Fuera de calibre &lt;12mm]]/FT_RF_264[[#This Row],[Muestra]]),"0")</f>
        <v>0</v>
      </c>
      <c r="AP171" s="38">
        <v>0</v>
      </c>
      <c r="AQ171" s="39">
        <f>+IFERROR((FT_RF_264[[#This Row],[Calibre &lt;25]]/FT_RF_264[[#This Row],[Muestra]]),"0")</f>
        <v>0</v>
      </c>
      <c r="AR171" s="38">
        <v>0</v>
      </c>
      <c r="AS171" s="39">
        <f>+IFERROR((FT_RF_264[[#This Row],[Calibre &gt;12]]/FT_RF_264[[#This Row],[Muestra]]),"0")</f>
        <v>0</v>
      </c>
      <c r="AT171" s="38">
        <v>0</v>
      </c>
      <c r="AU171" s="39">
        <f>+IFERROR((FT_RF_264[[#This Row],[Calibre &lt;14]]/FT_RF_264[[#This Row],[Muestra]]),"0")</f>
        <v>0</v>
      </c>
      <c r="AV171" s="38">
        <v>0</v>
      </c>
      <c r="AW171" s="39">
        <f>+IFERROR((FT_RF_264[[#This Row],[Calibre &gt;14]]/FT_RF_264[[#This Row],[Muestra]]),"0")</f>
        <v>0</v>
      </c>
      <c r="AX171" s="38">
        <v>0</v>
      </c>
      <c r="AY171" s="39">
        <f>+IFERROR((FT_RF_264[[#This Row],[Calibre &lt;10]]/FT_RF_264[[#This Row],[Muestra]]),"0")</f>
        <v>0</v>
      </c>
      <c r="AZ171" s="38">
        <v>0</v>
      </c>
      <c r="BA171" s="39">
        <f>+IFERROR((FT_RF_264[[#This Row],[Calibre &gt;13]]/FT_RF_264[[#This Row],[Muestra]]),"0")</f>
        <v>0</v>
      </c>
      <c r="BB171" s="41"/>
      <c r="BG171" s="42"/>
      <c r="BH171" s="43">
        <v>0</v>
      </c>
      <c r="BI171" s="29" t="s">
        <v>894</v>
      </c>
      <c r="BJ171" s="29" t="s">
        <v>894</v>
      </c>
      <c r="BK17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7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71" s="45">
        <f>1-FT_RF_264[[#This Row],[% Defectos]]</f>
        <v>1</v>
      </c>
      <c r="BO171" s="60"/>
      <c r="BP171" s="12">
        <f>SUM(FT_RF_264[[#This Row],[Hoja (Un.)]:[Larvas Caja]])</f>
        <v>0</v>
      </c>
      <c r="BQ171" s="12">
        <f>SUM(FT_RF_264[[#This Row],[Vidrios]:[Plástico]])</f>
        <v>0</v>
      </c>
      <c r="BR171" s="12" t="str">
        <f>IF(ISBLANK(FT_RF_264[[#This Row],[Descripción del producto]]),"",FT_RF_264[[#This Row],[Descripción del producto]])</f>
        <v/>
      </c>
      <c r="BS171" s="29" t="str">
        <f>IF(ISBLANK(FT_RF_264[[#This Row],[N° de Lote]]),"",FT_RF_264[[#This Row],[N° de Lote]])</f>
        <v/>
      </c>
      <c r="BT171" s="29" t="str">
        <f>IF(ISBLANK(FT_RF_264[[#This Row],[N° de Pallet]]),"",FT_RF_264[[#This Row],[N° de Pallet]])</f>
        <v/>
      </c>
    </row>
    <row r="172" spans="2:72">
      <c r="B172" s="29">
        <f>+_xlfn.ISOWEEKNUM(FT_RF_264[[#This Row],[Fecha]])</f>
        <v>52</v>
      </c>
      <c r="E172" s="31"/>
      <c r="F172" s="12" t="str">
        <f>IFERROR(""&amp;_xlfn.XLOOKUP(FT_RF_264[[#This Row],[Código]],BD_Cod[SKU],BD_Cod[Descripción]),"")</f>
        <v/>
      </c>
      <c r="G172" s="32" t="str">
        <f>IFERROR(""&amp;_xlfn.XLOOKUP(FT_RF_264[[#This Row],[Código]],BD_Cod[SKU],BD_Cod[Familia Calidad]),"")</f>
        <v/>
      </c>
      <c r="J172" s="33">
        <v>1000</v>
      </c>
      <c r="L172" s="30" t="s">
        <v>244</v>
      </c>
      <c r="O172" s="30" t="s">
        <v>894</v>
      </c>
      <c r="P172" s="29" t="s">
        <v>894</v>
      </c>
      <c r="Q172" s="37">
        <f>1-FT_RF_264[[#This Row],[% Defectos]]</f>
        <v>1</v>
      </c>
      <c r="R172" s="38">
        <v>0</v>
      </c>
      <c r="S172" s="39">
        <f>+IFERROR((FT_RF_264[[#This Row],[Inmadura]]/FT_RF_264[[#This Row],[Muestra]]),"0")</f>
        <v>0</v>
      </c>
      <c r="T172" s="38">
        <v>0</v>
      </c>
      <c r="U172" s="39">
        <f>+IFERROR((FT_RF_264[[#This Row],[Partidas]]/FT_RF_264[[#This Row],[Muestra]]),"0")</f>
        <v>0</v>
      </c>
      <c r="V172" s="38">
        <v>0</v>
      </c>
      <c r="W172" s="39">
        <f>+IFERROR((FT_RF_264[[#This Row],[Daño Insecto]]/FT_RF_264[[#This Row],[Muestra]]),"0")</f>
        <v>0</v>
      </c>
      <c r="X172" s="38">
        <v>0</v>
      </c>
      <c r="Y172" s="39">
        <f>+IFERROR((FT_RF_264[[#This Row],[Sobremadura]]/FT_RF_264[[#This Row],[Muestra]]),"0")</f>
        <v>0</v>
      </c>
      <c r="Z172" s="38">
        <v>0</v>
      </c>
      <c r="AA172" s="39">
        <f>+IFERROR((FT_RF_264[[#This Row],[Deforme]]/FT_RF_264[[#This Row],[Muestra]]),"0")</f>
        <v>0</v>
      </c>
      <c r="AB172" s="27"/>
      <c r="AC172" s="38">
        <v>0</v>
      </c>
      <c r="AD172" s="39">
        <f>+IFERROR((FT_RF_264[[#This Row],[Valor Extra 1]]/FT_RF_264[[#This Row],[Muestra]]),"0")</f>
        <v>0</v>
      </c>
      <c r="AF172" s="38">
        <v>0</v>
      </c>
      <c r="AG172" s="39">
        <f>+IFERROR((FT_RF_264[[#This Row],[Valor Extra 2]]/FT_RF_264[[#This Row],[Muestra]]),"0")</f>
        <v>0</v>
      </c>
      <c r="AH172" s="40">
        <v>0</v>
      </c>
      <c r="AI172" s="39">
        <f>+IFERROR((FT_RF_264[[#This Row],[Hongos]]/FT_RF_264[[#This Row],[Muestra]]),"0")</f>
        <v>0</v>
      </c>
      <c r="AJ172" s="38">
        <v>0</v>
      </c>
      <c r="AK172" s="39">
        <f>+IFERROR((FT_RF_264[[#This Row],[Block]]/FT_RF_264[[#This Row],[Muestra]]),"0")</f>
        <v>0</v>
      </c>
      <c r="AL172" s="41">
        <v>0</v>
      </c>
      <c r="AM172" s="42">
        <v>0</v>
      </c>
      <c r="AN172" s="38">
        <v>0</v>
      </c>
      <c r="AO172" s="39">
        <f>+IFERROR((FT_RF_264[[#This Row],[Fuera de calibre &lt;12mm]]/FT_RF_264[[#This Row],[Muestra]]),"0")</f>
        <v>0</v>
      </c>
      <c r="AP172" s="38">
        <v>0</v>
      </c>
      <c r="AQ172" s="39">
        <f>+IFERROR((FT_RF_264[[#This Row],[Calibre &lt;25]]/FT_RF_264[[#This Row],[Muestra]]),"0")</f>
        <v>0</v>
      </c>
      <c r="AR172" s="38">
        <v>0</v>
      </c>
      <c r="AS172" s="39">
        <f>+IFERROR((FT_RF_264[[#This Row],[Calibre &gt;12]]/FT_RF_264[[#This Row],[Muestra]]),"0")</f>
        <v>0</v>
      </c>
      <c r="AT172" s="38">
        <v>0</v>
      </c>
      <c r="AU172" s="39">
        <f>+IFERROR((FT_RF_264[[#This Row],[Calibre &lt;14]]/FT_RF_264[[#This Row],[Muestra]]),"0")</f>
        <v>0</v>
      </c>
      <c r="AV172" s="38">
        <v>0</v>
      </c>
      <c r="AW172" s="39">
        <f>+IFERROR((FT_RF_264[[#This Row],[Calibre &gt;14]]/FT_RF_264[[#This Row],[Muestra]]),"0")</f>
        <v>0</v>
      </c>
      <c r="AX172" s="38">
        <v>0</v>
      </c>
      <c r="AY172" s="39">
        <f>+IFERROR((FT_RF_264[[#This Row],[Calibre &lt;10]]/FT_RF_264[[#This Row],[Muestra]]),"0")</f>
        <v>0</v>
      </c>
      <c r="AZ172" s="38">
        <v>0</v>
      </c>
      <c r="BA172" s="39">
        <f>+IFERROR((FT_RF_264[[#This Row],[Calibre &gt;13]]/FT_RF_264[[#This Row],[Muestra]]),"0")</f>
        <v>0</v>
      </c>
      <c r="BB172" s="41"/>
      <c r="BG172" s="42"/>
      <c r="BH172" s="43">
        <v>0</v>
      </c>
      <c r="BI172" s="29" t="s">
        <v>894</v>
      </c>
      <c r="BJ172" s="29" t="s">
        <v>894</v>
      </c>
      <c r="BK17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7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72" s="45">
        <f>1-FT_RF_264[[#This Row],[% Defectos]]</f>
        <v>1</v>
      </c>
      <c r="BO172" s="60"/>
      <c r="BP172" s="12">
        <f>SUM(FT_RF_264[[#This Row],[Hoja (Un.)]:[Larvas Caja]])</f>
        <v>0</v>
      </c>
      <c r="BQ172" s="12">
        <f>SUM(FT_RF_264[[#This Row],[Vidrios]:[Plástico]])</f>
        <v>0</v>
      </c>
      <c r="BR172" s="12" t="str">
        <f>IF(ISBLANK(FT_RF_264[[#This Row],[Descripción del producto]]),"",FT_RF_264[[#This Row],[Descripción del producto]])</f>
        <v/>
      </c>
      <c r="BS172" s="29" t="str">
        <f>IF(ISBLANK(FT_RF_264[[#This Row],[N° de Lote]]),"",FT_RF_264[[#This Row],[N° de Lote]])</f>
        <v/>
      </c>
      <c r="BT172" s="29" t="str">
        <f>IF(ISBLANK(FT_RF_264[[#This Row],[N° de Pallet]]),"",FT_RF_264[[#This Row],[N° de Pallet]])</f>
        <v/>
      </c>
    </row>
    <row r="173" spans="2:72">
      <c r="B173" s="29">
        <f>+_xlfn.ISOWEEKNUM(FT_RF_264[[#This Row],[Fecha]])</f>
        <v>52</v>
      </c>
      <c r="E173" s="31"/>
      <c r="F173" s="12" t="str">
        <f>IFERROR(""&amp;_xlfn.XLOOKUP(FT_RF_264[[#This Row],[Código]],BD_Cod[SKU],BD_Cod[Descripción]),"")</f>
        <v/>
      </c>
      <c r="G173" s="32" t="str">
        <f>IFERROR(""&amp;_xlfn.XLOOKUP(FT_RF_264[[#This Row],[Código]],BD_Cod[SKU],BD_Cod[Familia Calidad]),"")</f>
        <v/>
      </c>
      <c r="J173" s="33">
        <v>1000</v>
      </c>
      <c r="L173" s="30" t="s">
        <v>244</v>
      </c>
      <c r="O173" s="30" t="s">
        <v>894</v>
      </c>
      <c r="P173" s="29" t="s">
        <v>894</v>
      </c>
      <c r="Q173" s="37">
        <f>1-FT_RF_264[[#This Row],[% Defectos]]</f>
        <v>1</v>
      </c>
      <c r="R173" s="38">
        <v>0</v>
      </c>
      <c r="S173" s="39">
        <f>+IFERROR((FT_RF_264[[#This Row],[Inmadura]]/FT_RF_264[[#This Row],[Muestra]]),"0")</f>
        <v>0</v>
      </c>
      <c r="T173" s="38">
        <v>0</v>
      </c>
      <c r="U173" s="39">
        <f>+IFERROR((FT_RF_264[[#This Row],[Partidas]]/FT_RF_264[[#This Row],[Muestra]]),"0")</f>
        <v>0</v>
      </c>
      <c r="V173" s="38">
        <v>0</v>
      </c>
      <c r="W173" s="39">
        <f>+IFERROR((FT_RF_264[[#This Row],[Daño Insecto]]/FT_RF_264[[#This Row],[Muestra]]),"0")</f>
        <v>0</v>
      </c>
      <c r="X173" s="38">
        <v>0</v>
      </c>
      <c r="Y173" s="39">
        <f>+IFERROR((FT_RF_264[[#This Row],[Sobremadura]]/FT_RF_264[[#This Row],[Muestra]]),"0")</f>
        <v>0</v>
      </c>
      <c r="Z173" s="38">
        <v>0</v>
      </c>
      <c r="AA173" s="39">
        <f>+IFERROR((FT_RF_264[[#This Row],[Deforme]]/FT_RF_264[[#This Row],[Muestra]]),"0")</f>
        <v>0</v>
      </c>
      <c r="AB173" s="27"/>
      <c r="AC173" s="38">
        <v>0</v>
      </c>
      <c r="AD173" s="39">
        <f>+IFERROR((FT_RF_264[[#This Row],[Valor Extra 1]]/FT_RF_264[[#This Row],[Muestra]]),"0")</f>
        <v>0</v>
      </c>
      <c r="AF173" s="38">
        <v>0</v>
      </c>
      <c r="AG173" s="39">
        <f>+IFERROR((FT_RF_264[[#This Row],[Valor Extra 2]]/FT_RF_264[[#This Row],[Muestra]]),"0")</f>
        <v>0</v>
      </c>
      <c r="AH173" s="40">
        <v>0</v>
      </c>
      <c r="AI173" s="39">
        <f>+IFERROR((FT_RF_264[[#This Row],[Hongos]]/FT_RF_264[[#This Row],[Muestra]]),"0")</f>
        <v>0</v>
      </c>
      <c r="AJ173" s="38">
        <v>0</v>
      </c>
      <c r="AK173" s="39">
        <f>+IFERROR((FT_RF_264[[#This Row],[Block]]/FT_RF_264[[#This Row],[Muestra]]),"0")</f>
        <v>0</v>
      </c>
      <c r="AL173" s="41">
        <v>0</v>
      </c>
      <c r="AM173" s="42">
        <v>0</v>
      </c>
      <c r="AN173" s="38">
        <v>0</v>
      </c>
      <c r="AO173" s="39">
        <f>+IFERROR((FT_RF_264[[#This Row],[Fuera de calibre &lt;12mm]]/FT_RF_264[[#This Row],[Muestra]]),"0")</f>
        <v>0</v>
      </c>
      <c r="AP173" s="38">
        <v>0</v>
      </c>
      <c r="AQ173" s="39">
        <f>+IFERROR((FT_RF_264[[#This Row],[Calibre &lt;25]]/FT_RF_264[[#This Row],[Muestra]]),"0")</f>
        <v>0</v>
      </c>
      <c r="AR173" s="38">
        <v>0</v>
      </c>
      <c r="AS173" s="39">
        <f>+IFERROR((FT_RF_264[[#This Row],[Calibre &gt;12]]/FT_RF_264[[#This Row],[Muestra]]),"0")</f>
        <v>0</v>
      </c>
      <c r="AT173" s="38">
        <v>0</v>
      </c>
      <c r="AU173" s="39">
        <f>+IFERROR((FT_RF_264[[#This Row],[Calibre &lt;14]]/FT_RF_264[[#This Row],[Muestra]]),"0")</f>
        <v>0</v>
      </c>
      <c r="AV173" s="38">
        <v>0</v>
      </c>
      <c r="AW173" s="39">
        <f>+IFERROR((FT_RF_264[[#This Row],[Calibre &gt;14]]/FT_RF_264[[#This Row],[Muestra]]),"0")</f>
        <v>0</v>
      </c>
      <c r="AX173" s="38">
        <v>0</v>
      </c>
      <c r="AY173" s="39">
        <f>+IFERROR((FT_RF_264[[#This Row],[Calibre &lt;10]]/FT_RF_264[[#This Row],[Muestra]]),"0")</f>
        <v>0</v>
      </c>
      <c r="AZ173" s="38">
        <v>0</v>
      </c>
      <c r="BA173" s="39">
        <f>+IFERROR((FT_RF_264[[#This Row],[Calibre &gt;13]]/FT_RF_264[[#This Row],[Muestra]]),"0")</f>
        <v>0</v>
      </c>
      <c r="BB173" s="41"/>
      <c r="BG173" s="42"/>
      <c r="BH173" s="43">
        <v>0</v>
      </c>
      <c r="BI173" s="29" t="s">
        <v>894</v>
      </c>
      <c r="BJ173" s="29" t="s">
        <v>894</v>
      </c>
      <c r="BK17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7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73" s="45">
        <f>1-FT_RF_264[[#This Row],[% Defectos]]</f>
        <v>1</v>
      </c>
      <c r="BO173" s="60"/>
      <c r="BP173" s="12">
        <f>SUM(FT_RF_264[[#This Row],[Hoja (Un.)]:[Larvas Caja]])</f>
        <v>0</v>
      </c>
      <c r="BQ173" s="12">
        <f>SUM(FT_RF_264[[#This Row],[Vidrios]:[Plástico]])</f>
        <v>0</v>
      </c>
      <c r="BR173" s="12" t="str">
        <f>IF(ISBLANK(FT_RF_264[[#This Row],[Descripción del producto]]),"",FT_RF_264[[#This Row],[Descripción del producto]])</f>
        <v/>
      </c>
      <c r="BS173" s="29" t="str">
        <f>IF(ISBLANK(FT_RF_264[[#This Row],[N° de Lote]]),"",FT_RF_264[[#This Row],[N° de Lote]])</f>
        <v/>
      </c>
      <c r="BT173" s="29" t="str">
        <f>IF(ISBLANK(FT_RF_264[[#This Row],[N° de Pallet]]),"",FT_RF_264[[#This Row],[N° de Pallet]])</f>
        <v/>
      </c>
    </row>
    <row r="174" spans="2:72">
      <c r="B174" s="29">
        <f>+_xlfn.ISOWEEKNUM(FT_RF_264[[#This Row],[Fecha]])</f>
        <v>52</v>
      </c>
      <c r="E174" s="31"/>
      <c r="F174" s="12" t="str">
        <f>IFERROR(""&amp;_xlfn.XLOOKUP(FT_RF_264[[#This Row],[Código]],BD_Cod[SKU],BD_Cod[Descripción]),"")</f>
        <v/>
      </c>
      <c r="G174" s="32" t="str">
        <f>IFERROR(""&amp;_xlfn.XLOOKUP(FT_RF_264[[#This Row],[Código]],BD_Cod[SKU],BD_Cod[Familia Calidad]),"")</f>
        <v/>
      </c>
      <c r="J174" s="33">
        <v>1000</v>
      </c>
      <c r="L174" s="30" t="s">
        <v>244</v>
      </c>
      <c r="O174" s="30" t="s">
        <v>894</v>
      </c>
      <c r="P174" s="29" t="s">
        <v>894</v>
      </c>
      <c r="Q174" s="37">
        <f>1-FT_RF_264[[#This Row],[% Defectos]]</f>
        <v>1</v>
      </c>
      <c r="R174" s="38">
        <v>0</v>
      </c>
      <c r="S174" s="39">
        <f>+IFERROR((FT_RF_264[[#This Row],[Inmadura]]/FT_RF_264[[#This Row],[Muestra]]),"0")</f>
        <v>0</v>
      </c>
      <c r="T174" s="38">
        <v>0</v>
      </c>
      <c r="U174" s="39">
        <f>+IFERROR((FT_RF_264[[#This Row],[Partidas]]/FT_RF_264[[#This Row],[Muestra]]),"0")</f>
        <v>0</v>
      </c>
      <c r="V174" s="38">
        <v>0</v>
      </c>
      <c r="W174" s="39">
        <f>+IFERROR((FT_RF_264[[#This Row],[Daño Insecto]]/FT_RF_264[[#This Row],[Muestra]]),"0")</f>
        <v>0</v>
      </c>
      <c r="X174" s="38">
        <v>0</v>
      </c>
      <c r="Y174" s="39">
        <f>+IFERROR((FT_RF_264[[#This Row],[Sobremadura]]/FT_RF_264[[#This Row],[Muestra]]),"0")</f>
        <v>0</v>
      </c>
      <c r="Z174" s="38">
        <v>0</v>
      </c>
      <c r="AA174" s="39">
        <f>+IFERROR((FT_RF_264[[#This Row],[Deforme]]/FT_RF_264[[#This Row],[Muestra]]),"0")</f>
        <v>0</v>
      </c>
      <c r="AB174" s="27"/>
      <c r="AC174" s="38">
        <v>0</v>
      </c>
      <c r="AD174" s="39">
        <f>+IFERROR((FT_RF_264[[#This Row],[Valor Extra 1]]/FT_RF_264[[#This Row],[Muestra]]),"0")</f>
        <v>0</v>
      </c>
      <c r="AF174" s="38">
        <v>0</v>
      </c>
      <c r="AG174" s="39">
        <f>+IFERROR((FT_RF_264[[#This Row],[Valor Extra 2]]/FT_RF_264[[#This Row],[Muestra]]),"0")</f>
        <v>0</v>
      </c>
      <c r="AH174" s="40">
        <v>0</v>
      </c>
      <c r="AI174" s="39">
        <f>+IFERROR((FT_RF_264[[#This Row],[Hongos]]/FT_RF_264[[#This Row],[Muestra]]),"0")</f>
        <v>0</v>
      </c>
      <c r="AJ174" s="38">
        <v>0</v>
      </c>
      <c r="AK174" s="39">
        <f>+IFERROR((FT_RF_264[[#This Row],[Block]]/FT_RF_264[[#This Row],[Muestra]]),"0")</f>
        <v>0</v>
      </c>
      <c r="AL174" s="41">
        <v>0</v>
      </c>
      <c r="AM174" s="42">
        <v>0</v>
      </c>
      <c r="AN174" s="38">
        <v>0</v>
      </c>
      <c r="AO174" s="39">
        <f>+IFERROR((FT_RF_264[[#This Row],[Fuera de calibre &lt;12mm]]/FT_RF_264[[#This Row],[Muestra]]),"0")</f>
        <v>0</v>
      </c>
      <c r="AP174" s="38">
        <v>0</v>
      </c>
      <c r="AQ174" s="39">
        <f>+IFERROR((FT_RF_264[[#This Row],[Calibre &lt;25]]/FT_RF_264[[#This Row],[Muestra]]),"0")</f>
        <v>0</v>
      </c>
      <c r="AR174" s="38">
        <v>0</v>
      </c>
      <c r="AS174" s="39">
        <f>+IFERROR((FT_RF_264[[#This Row],[Calibre &gt;12]]/FT_RF_264[[#This Row],[Muestra]]),"0")</f>
        <v>0</v>
      </c>
      <c r="AT174" s="38">
        <v>0</v>
      </c>
      <c r="AU174" s="39">
        <f>+IFERROR((FT_RF_264[[#This Row],[Calibre &lt;14]]/FT_RF_264[[#This Row],[Muestra]]),"0")</f>
        <v>0</v>
      </c>
      <c r="AV174" s="38">
        <v>0</v>
      </c>
      <c r="AW174" s="39">
        <f>+IFERROR((FT_RF_264[[#This Row],[Calibre &gt;14]]/FT_RF_264[[#This Row],[Muestra]]),"0")</f>
        <v>0</v>
      </c>
      <c r="AX174" s="38">
        <v>0</v>
      </c>
      <c r="AY174" s="39">
        <f>+IFERROR((FT_RF_264[[#This Row],[Calibre &lt;10]]/FT_RF_264[[#This Row],[Muestra]]),"0")</f>
        <v>0</v>
      </c>
      <c r="AZ174" s="38">
        <v>0</v>
      </c>
      <c r="BA174" s="39">
        <f>+IFERROR((FT_RF_264[[#This Row],[Calibre &gt;13]]/FT_RF_264[[#This Row],[Muestra]]),"0")</f>
        <v>0</v>
      </c>
      <c r="BB174" s="41"/>
      <c r="BG174" s="42"/>
      <c r="BH174" s="43">
        <v>0</v>
      </c>
      <c r="BI174" s="29" t="s">
        <v>894</v>
      </c>
      <c r="BJ174" s="29" t="s">
        <v>894</v>
      </c>
      <c r="BK17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7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74" s="45">
        <f>1-FT_RF_264[[#This Row],[% Defectos]]</f>
        <v>1</v>
      </c>
      <c r="BO174" s="60"/>
      <c r="BP174" s="12">
        <f>SUM(FT_RF_264[[#This Row],[Hoja (Un.)]:[Larvas Caja]])</f>
        <v>0</v>
      </c>
      <c r="BQ174" s="12">
        <f>SUM(FT_RF_264[[#This Row],[Vidrios]:[Plástico]])</f>
        <v>0</v>
      </c>
      <c r="BR174" s="12" t="str">
        <f>IF(ISBLANK(FT_RF_264[[#This Row],[Descripción del producto]]),"",FT_RF_264[[#This Row],[Descripción del producto]])</f>
        <v/>
      </c>
      <c r="BS174" s="29" t="str">
        <f>IF(ISBLANK(FT_RF_264[[#This Row],[N° de Lote]]),"",FT_RF_264[[#This Row],[N° de Lote]])</f>
        <v/>
      </c>
      <c r="BT174" s="29" t="str">
        <f>IF(ISBLANK(FT_RF_264[[#This Row],[N° de Pallet]]),"",FT_RF_264[[#This Row],[N° de Pallet]])</f>
        <v/>
      </c>
    </row>
    <row r="175" spans="2:72">
      <c r="B175" s="29">
        <f>+_xlfn.ISOWEEKNUM(FT_RF_264[[#This Row],[Fecha]])</f>
        <v>52</v>
      </c>
      <c r="E175" s="31"/>
      <c r="F175" s="12" t="str">
        <f>IFERROR(""&amp;_xlfn.XLOOKUP(FT_RF_264[[#This Row],[Código]],BD_Cod[SKU],BD_Cod[Descripción]),"")</f>
        <v/>
      </c>
      <c r="G175" s="32" t="str">
        <f>IFERROR(""&amp;_xlfn.XLOOKUP(FT_RF_264[[#This Row],[Código]],BD_Cod[SKU],BD_Cod[Familia Calidad]),"")</f>
        <v/>
      </c>
      <c r="J175" s="33">
        <v>1000</v>
      </c>
      <c r="L175" s="30" t="s">
        <v>244</v>
      </c>
      <c r="O175" s="30" t="s">
        <v>894</v>
      </c>
      <c r="P175" s="29" t="s">
        <v>894</v>
      </c>
      <c r="Q175" s="37">
        <f>1-FT_RF_264[[#This Row],[% Defectos]]</f>
        <v>1</v>
      </c>
      <c r="R175" s="38">
        <v>0</v>
      </c>
      <c r="S175" s="39">
        <f>+IFERROR((FT_RF_264[[#This Row],[Inmadura]]/FT_RF_264[[#This Row],[Muestra]]),"0")</f>
        <v>0</v>
      </c>
      <c r="T175" s="38">
        <v>0</v>
      </c>
      <c r="U175" s="39">
        <f>+IFERROR((FT_RF_264[[#This Row],[Partidas]]/FT_RF_264[[#This Row],[Muestra]]),"0")</f>
        <v>0</v>
      </c>
      <c r="V175" s="38">
        <v>0</v>
      </c>
      <c r="W175" s="39">
        <f>+IFERROR((FT_RF_264[[#This Row],[Daño Insecto]]/FT_RF_264[[#This Row],[Muestra]]),"0")</f>
        <v>0</v>
      </c>
      <c r="X175" s="38">
        <v>0</v>
      </c>
      <c r="Y175" s="39">
        <f>+IFERROR((FT_RF_264[[#This Row],[Sobremadura]]/FT_RF_264[[#This Row],[Muestra]]),"0")</f>
        <v>0</v>
      </c>
      <c r="Z175" s="38">
        <v>0</v>
      </c>
      <c r="AA175" s="39">
        <f>+IFERROR((FT_RF_264[[#This Row],[Deforme]]/FT_RF_264[[#This Row],[Muestra]]),"0")</f>
        <v>0</v>
      </c>
      <c r="AB175" s="27"/>
      <c r="AC175" s="38">
        <v>0</v>
      </c>
      <c r="AD175" s="39">
        <f>+IFERROR((FT_RF_264[[#This Row],[Valor Extra 1]]/FT_RF_264[[#This Row],[Muestra]]),"0")</f>
        <v>0</v>
      </c>
      <c r="AF175" s="38">
        <v>0</v>
      </c>
      <c r="AG175" s="39">
        <f>+IFERROR((FT_RF_264[[#This Row],[Valor Extra 2]]/FT_RF_264[[#This Row],[Muestra]]),"0")</f>
        <v>0</v>
      </c>
      <c r="AH175" s="40">
        <v>0</v>
      </c>
      <c r="AI175" s="39">
        <f>+IFERROR((FT_RF_264[[#This Row],[Hongos]]/FT_RF_264[[#This Row],[Muestra]]),"0")</f>
        <v>0</v>
      </c>
      <c r="AJ175" s="38">
        <v>0</v>
      </c>
      <c r="AK175" s="39">
        <f>+IFERROR((FT_RF_264[[#This Row],[Block]]/FT_RF_264[[#This Row],[Muestra]]),"0")</f>
        <v>0</v>
      </c>
      <c r="AL175" s="41">
        <v>0</v>
      </c>
      <c r="AM175" s="42">
        <v>0</v>
      </c>
      <c r="AN175" s="38">
        <v>0</v>
      </c>
      <c r="AO175" s="39">
        <f>+IFERROR((FT_RF_264[[#This Row],[Fuera de calibre &lt;12mm]]/FT_RF_264[[#This Row],[Muestra]]),"0")</f>
        <v>0</v>
      </c>
      <c r="AP175" s="38">
        <v>0</v>
      </c>
      <c r="AQ175" s="39">
        <f>+IFERROR((FT_RF_264[[#This Row],[Calibre &lt;25]]/FT_RF_264[[#This Row],[Muestra]]),"0")</f>
        <v>0</v>
      </c>
      <c r="AR175" s="38">
        <v>0</v>
      </c>
      <c r="AS175" s="39">
        <f>+IFERROR((FT_RF_264[[#This Row],[Calibre &gt;12]]/FT_RF_264[[#This Row],[Muestra]]),"0")</f>
        <v>0</v>
      </c>
      <c r="AT175" s="38">
        <v>0</v>
      </c>
      <c r="AU175" s="39">
        <f>+IFERROR((FT_RF_264[[#This Row],[Calibre &lt;14]]/FT_RF_264[[#This Row],[Muestra]]),"0")</f>
        <v>0</v>
      </c>
      <c r="AV175" s="38">
        <v>0</v>
      </c>
      <c r="AW175" s="39">
        <f>+IFERROR((FT_RF_264[[#This Row],[Calibre &gt;14]]/FT_RF_264[[#This Row],[Muestra]]),"0")</f>
        <v>0</v>
      </c>
      <c r="AX175" s="38">
        <v>0</v>
      </c>
      <c r="AY175" s="39">
        <f>+IFERROR((FT_RF_264[[#This Row],[Calibre &lt;10]]/FT_RF_264[[#This Row],[Muestra]]),"0")</f>
        <v>0</v>
      </c>
      <c r="AZ175" s="38">
        <v>0</v>
      </c>
      <c r="BA175" s="39">
        <f>+IFERROR((FT_RF_264[[#This Row],[Calibre &gt;13]]/FT_RF_264[[#This Row],[Muestra]]),"0")</f>
        <v>0</v>
      </c>
      <c r="BB175" s="41"/>
      <c r="BG175" s="42"/>
      <c r="BH175" s="43">
        <v>0</v>
      </c>
      <c r="BI175" s="29" t="s">
        <v>894</v>
      </c>
      <c r="BJ175" s="29" t="s">
        <v>894</v>
      </c>
      <c r="BK17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7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75" s="45">
        <f>1-FT_RF_264[[#This Row],[% Defectos]]</f>
        <v>1</v>
      </c>
      <c r="BO175" s="60"/>
      <c r="BP175" s="12">
        <f>SUM(FT_RF_264[[#This Row],[Hoja (Un.)]:[Larvas Caja]])</f>
        <v>0</v>
      </c>
      <c r="BQ175" s="12">
        <f>SUM(FT_RF_264[[#This Row],[Vidrios]:[Plástico]])</f>
        <v>0</v>
      </c>
      <c r="BR175" s="12" t="str">
        <f>IF(ISBLANK(FT_RF_264[[#This Row],[Descripción del producto]]),"",FT_RF_264[[#This Row],[Descripción del producto]])</f>
        <v/>
      </c>
      <c r="BS175" s="29" t="str">
        <f>IF(ISBLANK(FT_RF_264[[#This Row],[N° de Lote]]),"",FT_RF_264[[#This Row],[N° de Lote]])</f>
        <v/>
      </c>
      <c r="BT175" s="29" t="str">
        <f>IF(ISBLANK(FT_RF_264[[#This Row],[N° de Pallet]]),"",FT_RF_264[[#This Row],[N° de Pallet]])</f>
        <v/>
      </c>
    </row>
    <row r="176" spans="2:72">
      <c r="B176" s="29">
        <f>+_xlfn.ISOWEEKNUM(FT_RF_264[[#This Row],[Fecha]])</f>
        <v>52</v>
      </c>
      <c r="E176" s="31"/>
      <c r="F176" s="12" t="str">
        <f>IFERROR(""&amp;_xlfn.XLOOKUP(FT_RF_264[[#This Row],[Código]],BD_Cod[SKU],BD_Cod[Descripción]),"")</f>
        <v/>
      </c>
      <c r="G176" s="32" t="str">
        <f>IFERROR(""&amp;_xlfn.XLOOKUP(FT_RF_264[[#This Row],[Código]],BD_Cod[SKU],BD_Cod[Familia Calidad]),"")</f>
        <v/>
      </c>
      <c r="J176" s="33">
        <v>1000</v>
      </c>
      <c r="L176" s="30" t="s">
        <v>244</v>
      </c>
      <c r="O176" s="30" t="s">
        <v>894</v>
      </c>
      <c r="P176" s="29" t="s">
        <v>894</v>
      </c>
      <c r="Q176" s="37">
        <f>1-FT_RF_264[[#This Row],[% Defectos]]</f>
        <v>1</v>
      </c>
      <c r="R176" s="38">
        <v>0</v>
      </c>
      <c r="S176" s="39">
        <f>+IFERROR((FT_RF_264[[#This Row],[Inmadura]]/FT_RF_264[[#This Row],[Muestra]]),"0")</f>
        <v>0</v>
      </c>
      <c r="T176" s="38">
        <v>0</v>
      </c>
      <c r="U176" s="39">
        <f>+IFERROR((FT_RF_264[[#This Row],[Partidas]]/FT_RF_264[[#This Row],[Muestra]]),"0")</f>
        <v>0</v>
      </c>
      <c r="V176" s="38">
        <v>0</v>
      </c>
      <c r="W176" s="39">
        <f>+IFERROR((FT_RF_264[[#This Row],[Daño Insecto]]/FT_RF_264[[#This Row],[Muestra]]),"0")</f>
        <v>0</v>
      </c>
      <c r="X176" s="38">
        <v>0</v>
      </c>
      <c r="Y176" s="39">
        <f>+IFERROR((FT_RF_264[[#This Row],[Sobremadura]]/FT_RF_264[[#This Row],[Muestra]]),"0")</f>
        <v>0</v>
      </c>
      <c r="Z176" s="38">
        <v>0</v>
      </c>
      <c r="AA176" s="39">
        <f>+IFERROR((FT_RF_264[[#This Row],[Deforme]]/FT_RF_264[[#This Row],[Muestra]]),"0")</f>
        <v>0</v>
      </c>
      <c r="AB176" s="27"/>
      <c r="AC176" s="38">
        <v>0</v>
      </c>
      <c r="AD176" s="39">
        <f>+IFERROR((FT_RF_264[[#This Row],[Valor Extra 1]]/FT_RF_264[[#This Row],[Muestra]]),"0")</f>
        <v>0</v>
      </c>
      <c r="AF176" s="38">
        <v>0</v>
      </c>
      <c r="AG176" s="39">
        <f>+IFERROR((FT_RF_264[[#This Row],[Valor Extra 2]]/FT_RF_264[[#This Row],[Muestra]]),"0")</f>
        <v>0</v>
      </c>
      <c r="AH176" s="40">
        <v>0</v>
      </c>
      <c r="AI176" s="39">
        <f>+IFERROR((FT_RF_264[[#This Row],[Hongos]]/FT_RF_264[[#This Row],[Muestra]]),"0")</f>
        <v>0</v>
      </c>
      <c r="AJ176" s="38">
        <v>0</v>
      </c>
      <c r="AK176" s="39">
        <f>+IFERROR((FT_RF_264[[#This Row],[Block]]/FT_RF_264[[#This Row],[Muestra]]),"0")</f>
        <v>0</v>
      </c>
      <c r="AL176" s="41">
        <v>0</v>
      </c>
      <c r="AM176" s="42">
        <v>0</v>
      </c>
      <c r="AN176" s="38">
        <v>0</v>
      </c>
      <c r="AO176" s="39">
        <f>+IFERROR((FT_RF_264[[#This Row],[Fuera de calibre &lt;12mm]]/FT_RF_264[[#This Row],[Muestra]]),"0")</f>
        <v>0</v>
      </c>
      <c r="AP176" s="38">
        <v>0</v>
      </c>
      <c r="AQ176" s="39">
        <f>+IFERROR((FT_RF_264[[#This Row],[Calibre &lt;25]]/FT_RF_264[[#This Row],[Muestra]]),"0")</f>
        <v>0</v>
      </c>
      <c r="AR176" s="38">
        <v>0</v>
      </c>
      <c r="AS176" s="39">
        <f>+IFERROR((FT_RF_264[[#This Row],[Calibre &gt;12]]/FT_RF_264[[#This Row],[Muestra]]),"0")</f>
        <v>0</v>
      </c>
      <c r="AT176" s="38">
        <v>0</v>
      </c>
      <c r="AU176" s="39">
        <f>+IFERROR((FT_RF_264[[#This Row],[Calibre &lt;14]]/FT_RF_264[[#This Row],[Muestra]]),"0")</f>
        <v>0</v>
      </c>
      <c r="AV176" s="38">
        <v>0</v>
      </c>
      <c r="AW176" s="39">
        <f>+IFERROR((FT_RF_264[[#This Row],[Calibre &gt;14]]/FT_RF_264[[#This Row],[Muestra]]),"0")</f>
        <v>0</v>
      </c>
      <c r="AX176" s="38">
        <v>0</v>
      </c>
      <c r="AY176" s="39">
        <f>+IFERROR((FT_RF_264[[#This Row],[Calibre &lt;10]]/FT_RF_264[[#This Row],[Muestra]]),"0")</f>
        <v>0</v>
      </c>
      <c r="AZ176" s="38">
        <v>0</v>
      </c>
      <c r="BA176" s="39">
        <f>+IFERROR((FT_RF_264[[#This Row],[Calibre &gt;13]]/FT_RF_264[[#This Row],[Muestra]]),"0")</f>
        <v>0</v>
      </c>
      <c r="BB176" s="41"/>
      <c r="BG176" s="42"/>
      <c r="BH176" s="43">
        <v>0</v>
      </c>
      <c r="BI176" s="29" t="s">
        <v>894</v>
      </c>
      <c r="BJ176" s="29" t="s">
        <v>894</v>
      </c>
      <c r="BK17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7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76" s="45">
        <f>1-FT_RF_264[[#This Row],[% Defectos]]</f>
        <v>1</v>
      </c>
      <c r="BO176" s="60"/>
      <c r="BP176" s="12">
        <f>SUM(FT_RF_264[[#This Row],[Hoja (Un.)]:[Larvas Caja]])</f>
        <v>0</v>
      </c>
      <c r="BQ176" s="12">
        <f>SUM(FT_RF_264[[#This Row],[Vidrios]:[Plástico]])</f>
        <v>0</v>
      </c>
      <c r="BR176" s="12" t="str">
        <f>IF(ISBLANK(FT_RF_264[[#This Row],[Descripción del producto]]),"",FT_RF_264[[#This Row],[Descripción del producto]])</f>
        <v/>
      </c>
      <c r="BS176" s="29" t="str">
        <f>IF(ISBLANK(FT_RF_264[[#This Row],[N° de Lote]]),"",FT_RF_264[[#This Row],[N° de Lote]])</f>
        <v/>
      </c>
      <c r="BT176" s="29" t="str">
        <f>IF(ISBLANK(FT_RF_264[[#This Row],[N° de Pallet]]),"",FT_RF_264[[#This Row],[N° de Pallet]])</f>
        <v/>
      </c>
    </row>
    <row r="177" spans="2:72">
      <c r="B177" s="29">
        <f>+_xlfn.ISOWEEKNUM(FT_RF_264[[#This Row],[Fecha]])</f>
        <v>52</v>
      </c>
      <c r="E177" s="31"/>
      <c r="F177" s="12" t="str">
        <f>IFERROR(""&amp;_xlfn.XLOOKUP(FT_RF_264[[#This Row],[Código]],BD_Cod[SKU],BD_Cod[Descripción]),"")</f>
        <v/>
      </c>
      <c r="G177" s="32" t="str">
        <f>IFERROR(""&amp;_xlfn.XLOOKUP(FT_RF_264[[#This Row],[Código]],BD_Cod[SKU],BD_Cod[Familia Calidad]),"")</f>
        <v/>
      </c>
      <c r="J177" s="33">
        <v>1000</v>
      </c>
      <c r="L177" s="30" t="s">
        <v>244</v>
      </c>
      <c r="O177" s="30" t="s">
        <v>894</v>
      </c>
      <c r="P177" s="29" t="s">
        <v>894</v>
      </c>
      <c r="Q177" s="37">
        <f>1-FT_RF_264[[#This Row],[% Defectos]]</f>
        <v>1</v>
      </c>
      <c r="R177" s="38">
        <v>0</v>
      </c>
      <c r="S177" s="39">
        <f>+IFERROR((FT_RF_264[[#This Row],[Inmadura]]/FT_RF_264[[#This Row],[Muestra]]),"0")</f>
        <v>0</v>
      </c>
      <c r="T177" s="38">
        <v>0</v>
      </c>
      <c r="U177" s="39">
        <f>+IFERROR((FT_RF_264[[#This Row],[Partidas]]/FT_RF_264[[#This Row],[Muestra]]),"0")</f>
        <v>0</v>
      </c>
      <c r="V177" s="38">
        <v>0</v>
      </c>
      <c r="W177" s="39">
        <f>+IFERROR((FT_RF_264[[#This Row],[Daño Insecto]]/FT_RF_264[[#This Row],[Muestra]]),"0")</f>
        <v>0</v>
      </c>
      <c r="X177" s="38">
        <v>0</v>
      </c>
      <c r="Y177" s="39">
        <f>+IFERROR((FT_RF_264[[#This Row],[Sobremadura]]/FT_RF_264[[#This Row],[Muestra]]),"0")</f>
        <v>0</v>
      </c>
      <c r="Z177" s="38">
        <v>0</v>
      </c>
      <c r="AA177" s="39">
        <f>+IFERROR((FT_RF_264[[#This Row],[Deforme]]/FT_RF_264[[#This Row],[Muestra]]),"0")</f>
        <v>0</v>
      </c>
      <c r="AB177" s="27"/>
      <c r="AC177" s="38">
        <v>0</v>
      </c>
      <c r="AD177" s="39">
        <f>+IFERROR((FT_RF_264[[#This Row],[Valor Extra 1]]/FT_RF_264[[#This Row],[Muestra]]),"0")</f>
        <v>0</v>
      </c>
      <c r="AF177" s="38">
        <v>0</v>
      </c>
      <c r="AG177" s="39">
        <f>+IFERROR((FT_RF_264[[#This Row],[Valor Extra 2]]/FT_RF_264[[#This Row],[Muestra]]),"0")</f>
        <v>0</v>
      </c>
      <c r="AH177" s="40">
        <v>0</v>
      </c>
      <c r="AI177" s="39">
        <f>+IFERROR((FT_RF_264[[#This Row],[Hongos]]/FT_RF_264[[#This Row],[Muestra]]),"0")</f>
        <v>0</v>
      </c>
      <c r="AJ177" s="38">
        <v>0</v>
      </c>
      <c r="AK177" s="39">
        <f>+IFERROR((FT_RF_264[[#This Row],[Block]]/FT_RF_264[[#This Row],[Muestra]]),"0")</f>
        <v>0</v>
      </c>
      <c r="AL177" s="41">
        <v>0</v>
      </c>
      <c r="AM177" s="42">
        <v>0</v>
      </c>
      <c r="AN177" s="38">
        <v>0</v>
      </c>
      <c r="AO177" s="39">
        <f>+IFERROR((FT_RF_264[[#This Row],[Fuera de calibre &lt;12mm]]/FT_RF_264[[#This Row],[Muestra]]),"0")</f>
        <v>0</v>
      </c>
      <c r="AP177" s="38">
        <v>0</v>
      </c>
      <c r="AQ177" s="39">
        <f>+IFERROR((FT_RF_264[[#This Row],[Calibre &lt;25]]/FT_RF_264[[#This Row],[Muestra]]),"0")</f>
        <v>0</v>
      </c>
      <c r="AR177" s="38">
        <v>0</v>
      </c>
      <c r="AS177" s="39">
        <f>+IFERROR((FT_RF_264[[#This Row],[Calibre &gt;12]]/FT_RF_264[[#This Row],[Muestra]]),"0")</f>
        <v>0</v>
      </c>
      <c r="AT177" s="38">
        <v>0</v>
      </c>
      <c r="AU177" s="39">
        <f>+IFERROR((FT_RF_264[[#This Row],[Calibre &lt;14]]/FT_RF_264[[#This Row],[Muestra]]),"0")</f>
        <v>0</v>
      </c>
      <c r="AV177" s="38">
        <v>0</v>
      </c>
      <c r="AW177" s="39">
        <f>+IFERROR((FT_RF_264[[#This Row],[Calibre &gt;14]]/FT_RF_264[[#This Row],[Muestra]]),"0")</f>
        <v>0</v>
      </c>
      <c r="AX177" s="38">
        <v>0</v>
      </c>
      <c r="AY177" s="39">
        <f>+IFERROR((FT_RF_264[[#This Row],[Calibre &lt;10]]/FT_RF_264[[#This Row],[Muestra]]),"0")</f>
        <v>0</v>
      </c>
      <c r="AZ177" s="38">
        <v>0</v>
      </c>
      <c r="BA177" s="39">
        <f>+IFERROR((FT_RF_264[[#This Row],[Calibre &gt;13]]/FT_RF_264[[#This Row],[Muestra]]),"0")</f>
        <v>0</v>
      </c>
      <c r="BB177" s="41"/>
      <c r="BG177" s="42"/>
      <c r="BH177" s="43">
        <v>0</v>
      </c>
      <c r="BI177" s="29" t="s">
        <v>894</v>
      </c>
      <c r="BJ177" s="29" t="s">
        <v>894</v>
      </c>
      <c r="BK17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7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77" s="45">
        <f>1-FT_RF_264[[#This Row],[% Defectos]]</f>
        <v>1</v>
      </c>
      <c r="BO177" s="60"/>
      <c r="BP177" s="12">
        <f>SUM(FT_RF_264[[#This Row],[Hoja (Un.)]:[Larvas Caja]])</f>
        <v>0</v>
      </c>
      <c r="BQ177" s="12">
        <f>SUM(FT_RF_264[[#This Row],[Vidrios]:[Plástico]])</f>
        <v>0</v>
      </c>
      <c r="BR177" s="12" t="str">
        <f>IF(ISBLANK(FT_RF_264[[#This Row],[Descripción del producto]]),"",FT_RF_264[[#This Row],[Descripción del producto]])</f>
        <v/>
      </c>
      <c r="BS177" s="29" t="str">
        <f>IF(ISBLANK(FT_RF_264[[#This Row],[N° de Lote]]),"",FT_RF_264[[#This Row],[N° de Lote]])</f>
        <v/>
      </c>
      <c r="BT177" s="29" t="str">
        <f>IF(ISBLANK(FT_RF_264[[#This Row],[N° de Pallet]]),"",FT_RF_264[[#This Row],[N° de Pallet]])</f>
        <v/>
      </c>
    </row>
    <row r="178" spans="2:72">
      <c r="B178" s="29">
        <f>+_xlfn.ISOWEEKNUM(FT_RF_264[[#This Row],[Fecha]])</f>
        <v>52</v>
      </c>
      <c r="E178" s="31"/>
      <c r="F178" s="12" t="str">
        <f>IFERROR(""&amp;_xlfn.XLOOKUP(FT_RF_264[[#This Row],[Código]],BD_Cod[SKU],BD_Cod[Descripción]),"")</f>
        <v/>
      </c>
      <c r="G178" s="32" t="str">
        <f>IFERROR(""&amp;_xlfn.XLOOKUP(FT_RF_264[[#This Row],[Código]],BD_Cod[SKU],BD_Cod[Familia Calidad]),"")</f>
        <v/>
      </c>
      <c r="J178" s="33">
        <v>1000</v>
      </c>
      <c r="L178" s="30" t="s">
        <v>244</v>
      </c>
      <c r="O178" s="30" t="s">
        <v>894</v>
      </c>
      <c r="P178" s="29" t="s">
        <v>894</v>
      </c>
      <c r="Q178" s="37">
        <f>1-FT_RF_264[[#This Row],[% Defectos]]</f>
        <v>1</v>
      </c>
      <c r="R178" s="38">
        <v>0</v>
      </c>
      <c r="S178" s="39">
        <f>+IFERROR((FT_RF_264[[#This Row],[Inmadura]]/FT_RF_264[[#This Row],[Muestra]]),"0")</f>
        <v>0</v>
      </c>
      <c r="T178" s="38">
        <v>0</v>
      </c>
      <c r="U178" s="39">
        <f>+IFERROR((FT_RF_264[[#This Row],[Partidas]]/FT_RF_264[[#This Row],[Muestra]]),"0")</f>
        <v>0</v>
      </c>
      <c r="V178" s="38">
        <v>0</v>
      </c>
      <c r="W178" s="39">
        <f>+IFERROR((FT_RF_264[[#This Row],[Daño Insecto]]/FT_RF_264[[#This Row],[Muestra]]),"0")</f>
        <v>0</v>
      </c>
      <c r="X178" s="38">
        <v>0</v>
      </c>
      <c r="Y178" s="39">
        <f>+IFERROR((FT_RF_264[[#This Row],[Sobremadura]]/FT_RF_264[[#This Row],[Muestra]]),"0")</f>
        <v>0</v>
      </c>
      <c r="Z178" s="38">
        <v>0</v>
      </c>
      <c r="AA178" s="39">
        <f>+IFERROR((FT_RF_264[[#This Row],[Deforme]]/FT_RF_264[[#This Row],[Muestra]]),"0")</f>
        <v>0</v>
      </c>
      <c r="AB178" s="27"/>
      <c r="AC178" s="38">
        <v>0</v>
      </c>
      <c r="AD178" s="39">
        <f>+IFERROR((FT_RF_264[[#This Row],[Valor Extra 1]]/FT_RF_264[[#This Row],[Muestra]]),"0")</f>
        <v>0</v>
      </c>
      <c r="AF178" s="38">
        <v>0</v>
      </c>
      <c r="AG178" s="39">
        <f>+IFERROR((FT_RF_264[[#This Row],[Valor Extra 2]]/FT_RF_264[[#This Row],[Muestra]]),"0")</f>
        <v>0</v>
      </c>
      <c r="AH178" s="40">
        <v>0</v>
      </c>
      <c r="AI178" s="39">
        <f>+IFERROR((FT_RF_264[[#This Row],[Hongos]]/FT_RF_264[[#This Row],[Muestra]]),"0")</f>
        <v>0</v>
      </c>
      <c r="AJ178" s="38">
        <v>0</v>
      </c>
      <c r="AK178" s="39">
        <f>+IFERROR((FT_RF_264[[#This Row],[Block]]/FT_RF_264[[#This Row],[Muestra]]),"0")</f>
        <v>0</v>
      </c>
      <c r="AL178" s="41">
        <v>0</v>
      </c>
      <c r="AM178" s="42">
        <v>0</v>
      </c>
      <c r="AN178" s="38">
        <v>0</v>
      </c>
      <c r="AO178" s="39">
        <f>+IFERROR((FT_RF_264[[#This Row],[Fuera de calibre &lt;12mm]]/FT_RF_264[[#This Row],[Muestra]]),"0")</f>
        <v>0</v>
      </c>
      <c r="AP178" s="38">
        <v>0</v>
      </c>
      <c r="AQ178" s="39">
        <f>+IFERROR((FT_RF_264[[#This Row],[Calibre &lt;25]]/FT_RF_264[[#This Row],[Muestra]]),"0")</f>
        <v>0</v>
      </c>
      <c r="AR178" s="38">
        <v>0</v>
      </c>
      <c r="AS178" s="39">
        <f>+IFERROR((FT_RF_264[[#This Row],[Calibre &gt;12]]/FT_RF_264[[#This Row],[Muestra]]),"0")</f>
        <v>0</v>
      </c>
      <c r="AT178" s="38">
        <v>0</v>
      </c>
      <c r="AU178" s="39">
        <f>+IFERROR((FT_RF_264[[#This Row],[Calibre &lt;14]]/FT_RF_264[[#This Row],[Muestra]]),"0")</f>
        <v>0</v>
      </c>
      <c r="AV178" s="38">
        <v>0</v>
      </c>
      <c r="AW178" s="39">
        <f>+IFERROR((FT_RF_264[[#This Row],[Calibre &gt;14]]/FT_RF_264[[#This Row],[Muestra]]),"0")</f>
        <v>0</v>
      </c>
      <c r="AX178" s="38">
        <v>0</v>
      </c>
      <c r="AY178" s="39">
        <f>+IFERROR((FT_RF_264[[#This Row],[Calibre &lt;10]]/FT_RF_264[[#This Row],[Muestra]]),"0")</f>
        <v>0</v>
      </c>
      <c r="AZ178" s="38">
        <v>0</v>
      </c>
      <c r="BA178" s="39">
        <f>+IFERROR((FT_RF_264[[#This Row],[Calibre &gt;13]]/FT_RF_264[[#This Row],[Muestra]]),"0")</f>
        <v>0</v>
      </c>
      <c r="BB178" s="41"/>
      <c r="BG178" s="42"/>
      <c r="BH178" s="43">
        <v>0</v>
      </c>
      <c r="BI178" s="29" t="s">
        <v>894</v>
      </c>
      <c r="BJ178" s="29" t="s">
        <v>894</v>
      </c>
      <c r="BK17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7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78" s="45">
        <f>1-FT_RF_264[[#This Row],[% Defectos]]</f>
        <v>1</v>
      </c>
      <c r="BO178" s="60"/>
      <c r="BP178" s="12">
        <f>SUM(FT_RF_264[[#This Row],[Hoja (Un.)]:[Larvas Caja]])</f>
        <v>0</v>
      </c>
      <c r="BQ178" s="12">
        <f>SUM(FT_RF_264[[#This Row],[Vidrios]:[Plástico]])</f>
        <v>0</v>
      </c>
      <c r="BR178" s="12" t="str">
        <f>IF(ISBLANK(FT_RF_264[[#This Row],[Descripción del producto]]),"",FT_RF_264[[#This Row],[Descripción del producto]])</f>
        <v/>
      </c>
      <c r="BS178" s="29" t="str">
        <f>IF(ISBLANK(FT_RF_264[[#This Row],[N° de Lote]]),"",FT_RF_264[[#This Row],[N° de Lote]])</f>
        <v/>
      </c>
      <c r="BT178" s="29" t="str">
        <f>IF(ISBLANK(FT_RF_264[[#This Row],[N° de Pallet]]),"",FT_RF_264[[#This Row],[N° de Pallet]])</f>
        <v/>
      </c>
    </row>
    <row r="179" spans="2:72">
      <c r="B179" s="29">
        <f>+_xlfn.ISOWEEKNUM(FT_RF_264[[#This Row],[Fecha]])</f>
        <v>52</v>
      </c>
      <c r="E179" s="31"/>
      <c r="F179" s="12" t="str">
        <f>IFERROR(""&amp;_xlfn.XLOOKUP(FT_RF_264[[#This Row],[Código]],BD_Cod[SKU],BD_Cod[Descripción]),"")</f>
        <v/>
      </c>
      <c r="G179" s="32" t="str">
        <f>IFERROR(""&amp;_xlfn.XLOOKUP(FT_RF_264[[#This Row],[Código]],BD_Cod[SKU],BD_Cod[Familia Calidad]),"")</f>
        <v/>
      </c>
      <c r="J179" s="33">
        <v>1000</v>
      </c>
      <c r="L179" s="30" t="s">
        <v>244</v>
      </c>
      <c r="O179" s="30" t="s">
        <v>894</v>
      </c>
      <c r="P179" s="29" t="s">
        <v>894</v>
      </c>
      <c r="Q179" s="37">
        <f>1-FT_RF_264[[#This Row],[% Defectos]]</f>
        <v>1</v>
      </c>
      <c r="R179" s="38">
        <v>0</v>
      </c>
      <c r="S179" s="39">
        <f>+IFERROR((FT_RF_264[[#This Row],[Inmadura]]/FT_RF_264[[#This Row],[Muestra]]),"0")</f>
        <v>0</v>
      </c>
      <c r="T179" s="38">
        <v>0</v>
      </c>
      <c r="U179" s="39">
        <f>+IFERROR((FT_RF_264[[#This Row],[Partidas]]/FT_RF_264[[#This Row],[Muestra]]),"0")</f>
        <v>0</v>
      </c>
      <c r="V179" s="38">
        <v>0</v>
      </c>
      <c r="W179" s="39">
        <f>+IFERROR((FT_RF_264[[#This Row],[Daño Insecto]]/FT_RF_264[[#This Row],[Muestra]]),"0")</f>
        <v>0</v>
      </c>
      <c r="X179" s="38">
        <v>0</v>
      </c>
      <c r="Y179" s="39">
        <f>+IFERROR((FT_RF_264[[#This Row],[Sobremadura]]/FT_RF_264[[#This Row],[Muestra]]),"0")</f>
        <v>0</v>
      </c>
      <c r="Z179" s="38">
        <v>0</v>
      </c>
      <c r="AA179" s="39">
        <f>+IFERROR((FT_RF_264[[#This Row],[Deforme]]/FT_RF_264[[#This Row],[Muestra]]),"0")</f>
        <v>0</v>
      </c>
      <c r="AB179" s="27"/>
      <c r="AC179" s="38">
        <v>0</v>
      </c>
      <c r="AD179" s="39">
        <f>+IFERROR((FT_RF_264[[#This Row],[Valor Extra 1]]/FT_RF_264[[#This Row],[Muestra]]),"0")</f>
        <v>0</v>
      </c>
      <c r="AF179" s="38">
        <v>0</v>
      </c>
      <c r="AG179" s="39">
        <f>+IFERROR((FT_RF_264[[#This Row],[Valor Extra 2]]/FT_RF_264[[#This Row],[Muestra]]),"0")</f>
        <v>0</v>
      </c>
      <c r="AH179" s="40">
        <v>0</v>
      </c>
      <c r="AI179" s="39">
        <f>+IFERROR((FT_RF_264[[#This Row],[Hongos]]/FT_RF_264[[#This Row],[Muestra]]),"0")</f>
        <v>0</v>
      </c>
      <c r="AJ179" s="38">
        <v>0</v>
      </c>
      <c r="AK179" s="39">
        <f>+IFERROR((FT_RF_264[[#This Row],[Block]]/FT_RF_264[[#This Row],[Muestra]]),"0")</f>
        <v>0</v>
      </c>
      <c r="AL179" s="41">
        <v>0</v>
      </c>
      <c r="AM179" s="42">
        <v>0</v>
      </c>
      <c r="AN179" s="38">
        <v>0</v>
      </c>
      <c r="AO179" s="39">
        <f>+IFERROR((FT_RF_264[[#This Row],[Fuera de calibre &lt;12mm]]/FT_RF_264[[#This Row],[Muestra]]),"0")</f>
        <v>0</v>
      </c>
      <c r="AP179" s="38">
        <v>0</v>
      </c>
      <c r="AQ179" s="39">
        <f>+IFERROR((FT_RF_264[[#This Row],[Calibre &lt;25]]/FT_RF_264[[#This Row],[Muestra]]),"0")</f>
        <v>0</v>
      </c>
      <c r="AR179" s="38">
        <v>0</v>
      </c>
      <c r="AS179" s="39">
        <f>+IFERROR((FT_RF_264[[#This Row],[Calibre &gt;12]]/FT_RF_264[[#This Row],[Muestra]]),"0")</f>
        <v>0</v>
      </c>
      <c r="AT179" s="38">
        <v>0</v>
      </c>
      <c r="AU179" s="39">
        <f>+IFERROR((FT_RF_264[[#This Row],[Calibre &lt;14]]/FT_RF_264[[#This Row],[Muestra]]),"0")</f>
        <v>0</v>
      </c>
      <c r="AV179" s="38">
        <v>0</v>
      </c>
      <c r="AW179" s="39">
        <f>+IFERROR((FT_RF_264[[#This Row],[Calibre &gt;14]]/FT_RF_264[[#This Row],[Muestra]]),"0")</f>
        <v>0</v>
      </c>
      <c r="AX179" s="38">
        <v>0</v>
      </c>
      <c r="AY179" s="39">
        <f>+IFERROR((FT_RF_264[[#This Row],[Calibre &lt;10]]/FT_RF_264[[#This Row],[Muestra]]),"0")</f>
        <v>0</v>
      </c>
      <c r="AZ179" s="38">
        <v>0</v>
      </c>
      <c r="BA179" s="39">
        <f>+IFERROR((FT_RF_264[[#This Row],[Calibre &gt;13]]/FT_RF_264[[#This Row],[Muestra]]),"0")</f>
        <v>0</v>
      </c>
      <c r="BB179" s="41"/>
      <c r="BG179" s="42"/>
      <c r="BH179" s="43">
        <v>0</v>
      </c>
      <c r="BI179" s="29" t="s">
        <v>894</v>
      </c>
      <c r="BJ179" s="29" t="s">
        <v>894</v>
      </c>
      <c r="BK17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7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79" s="45">
        <f>1-FT_RF_264[[#This Row],[% Defectos]]</f>
        <v>1</v>
      </c>
      <c r="BO179" s="60"/>
      <c r="BP179" s="12">
        <f>SUM(FT_RF_264[[#This Row],[Hoja (Un.)]:[Larvas Caja]])</f>
        <v>0</v>
      </c>
      <c r="BQ179" s="12">
        <f>SUM(FT_RF_264[[#This Row],[Vidrios]:[Plástico]])</f>
        <v>0</v>
      </c>
      <c r="BR179" s="12" t="str">
        <f>IF(ISBLANK(FT_RF_264[[#This Row],[Descripción del producto]]),"",FT_RF_264[[#This Row],[Descripción del producto]])</f>
        <v/>
      </c>
      <c r="BS179" s="29" t="str">
        <f>IF(ISBLANK(FT_RF_264[[#This Row],[N° de Lote]]),"",FT_RF_264[[#This Row],[N° de Lote]])</f>
        <v/>
      </c>
      <c r="BT179" s="29" t="str">
        <f>IF(ISBLANK(FT_RF_264[[#This Row],[N° de Pallet]]),"",FT_RF_264[[#This Row],[N° de Pallet]])</f>
        <v/>
      </c>
    </row>
    <row r="180" spans="2:72">
      <c r="B180" s="29">
        <f>+_xlfn.ISOWEEKNUM(FT_RF_264[[#This Row],[Fecha]])</f>
        <v>52</v>
      </c>
      <c r="E180" s="31"/>
      <c r="F180" s="12" t="str">
        <f>IFERROR(""&amp;_xlfn.XLOOKUP(FT_RF_264[[#This Row],[Código]],BD_Cod[SKU],BD_Cod[Descripción]),"")</f>
        <v/>
      </c>
      <c r="G180" s="32" t="str">
        <f>IFERROR(""&amp;_xlfn.XLOOKUP(FT_RF_264[[#This Row],[Código]],BD_Cod[SKU],BD_Cod[Familia Calidad]),"")</f>
        <v/>
      </c>
      <c r="J180" s="33">
        <v>1000</v>
      </c>
      <c r="L180" s="30" t="s">
        <v>244</v>
      </c>
      <c r="O180" s="30" t="s">
        <v>894</v>
      </c>
      <c r="P180" s="29" t="s">
        <v>894</v>
      </c>
      <c r="Q180" s="37">
        <f>1-FT_RF_264[[#This Row],[% Defectos]]</f>
        <v>1</v>
      </c>
      <c r="R180" s="38">
        <v>0</v>
      </c>
      <c r="S180" s="39">
        <f>+IFERROR((FT_RF_264[[#This Row],[Inmadura]]/FT_RF_264[[#This Row],[Muestra]]),"0")</f>
        <v>0</v>
      </c>
      <c r="T180" s="38">
        <v>0</v>
      </c>
      <c r="U180" s="39">
        <f>+IFERROR((FT_RF_264[[#This Row],[Partidas]]/FT_RF_264[[#This Row],[Muestra]]),"0")</f>
        <v>0</v>
      </c>
      <c r="V180" s="38">
        <v>0</v>
      </c>
      <c r="W180" s="39">
        <f>+IFERROR((FT_RF_264[[#This Row],[Daño Insecto]]/FT_RF_264[[#This Row],[Muestra]]),"0")</f>
        <v>0</v>
      </c>
      <c r="X180" s="38">
        <v>0</v>
      </c>
      <c r="Y180" s="39">
        <f>+IFERROR((FT_RF_264[[#This Row],[Sobremadura]]/FT_RF_264[[#This Row],[Muestra]]),"0")</f>
        <v>0</v>
      </c>
      <c r="Z180" s="38">
        <v>0</v>
      </c>
      <c r="AA180" s="39">
        <f>+IFERROR((FT_RF_264[[#This Row],[Deforme]]/FT_RF_264[[#This Row],[Muestra]]),"0")</f>
        <v>0</v>
      </c>
      <c r="AB180" s="27"/>
      <c r="AC180" s="38">
        <v>0</v>
      </c>
      <c r="AD180" s="39">
        <f>+IFERROR((FT_RF_264[[#This Row],[Valor Extra 1]]/FT_RF_264[[#This Row],[Muestra]]),"0")</f>
        <v>0</v>
      </c>
      <c r="AF180" s="38">
        <v>0</v>
      </c>
      <c r="AG180" s="39">
        <f>+IFERROR((FT_RF_264[[#This Row],[Valor Extra 2]]/FT_RF_264[[#This Row],[Muestra]]),"0")</f>
        <v>0</v>
      </c>
      <c r="AH180" s="40">
        <v>0</v>
      </c>
      <c r="AI180" s="39">
        <f>+IFERROR((FT_RF_264[[#This Row],[Hongos]]/FT_RF_264[[#This Row],[Muestra]]),"0")</f>
        <v>0</v>
      </c>
      <c r="AJ180" s="38">
        <v>0</v>
      </c>
      <c r="AK180" s="39">
        <f>+IFERROR((FT_RF_264[[#This Row],[Block]]/FT_RF_264[[#This Row],[Muestra]]),"0")</f>
        <v>0</v>
      </c>
      <c r="AL180" s="41">
        <v>0</v>
      </c>
      <c r="AM180" s="42">
        <v>0</v>
      </c>
      <c r="AN180" s="38">
        <v>0</v>
      </c>
      <c r="AO180" s="39">
        <f>+IFERROR((FT_RF_264[[#This Row],[Fuera de calibre &lt;12mm]]/FT_RF_264[[#This Row],[Muestra]]),"0")</f>
        <v>0</v>
      </c>
      <c r="AP180" s="38">
        <v>0</v>
      </c>
      <c r="AQ180" s="39">
        <f>+IFERROR((FT_RF_264[[#This Row],[Calibre &lt;25]]/FT_RF_264[[#This Row],[Muestra]]),"0")</f>
        <v>0</v>
      </c>
      <c r="AR180" s="38">
        <v>0</v>
      </c>
      <c r="AS180" s="39">
        <f>+IFERROR((FT_RF_264[[#This Row],[Calibre &gt;12]]/FT_RF_264[[#This Row],[Muestra]]),"0")</f>
        <v>0</v>
      </c>
      <c r="AT180" s="38">
        <v>0</v>
      </c>
      <c r="AU180" s="39">
        <f>+IFERROR((FT_RF_264[[#This Row],[Calibre &lt;14]]/FT_RF_264[[#This Row],[Muestra]]),"0")</f>
        <v>0</v>
      </c>
      <c r="AV180" s="38">
        <v>0</v>
      </c>
      <c r="AW180" s="39">
        <f>+IFERROR((FT_RF_264[[#This Row],[Calibre &gt;14]]/FT_RF_264[[#This Row],[Muestra]]),"0")</f>
        <v>0</v>
      </c>
      <c r="AX180" s="38">
        <v>0</v>
      </c>
      <c r="AY180" s="39">
        <f>+IFERROR((FT_RF_264[[#This Row],[Calibre &lt;10]]/FT_RF_264[[#This Row],[Muestra]]),"0")</f>
        <v>0</v>
      </c>
      <c r="AZ180" s="38">
        <v>0</v>
      </c>
      <c r="BA180" s="39">
        <f>+IFERROR((FT_RF_264[[#This Row],[Calibre &gt;13]]/FT_RF_264[[#This Row],[Muestra]]),"0")</f>
        <v>0</v>
      </c>
      <c r="BB180" s="41"/>
      <c r="BG180" s="42"/>
      <c r="BH180" s="43">
        <v>0</v>
      </c>
      <c r="BI180" s="29" t="s">
        <v>894</v>
      </c>
      <c r="BJ180" s="29" t="s">
        <v>894</v>
      </c>
      <c r="BK18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8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80" s="45">
        <f>1-FT_RF_264[[#This Row],[% Defectos]]</f>
        <v>1</v>
      </c>
      <c r="BO180" s="60"/>
      <c r="BP180" s="12">
        <f>SUM(FT_RF_264[[#This Row],[Hoja (Un.)]:[Larvas Caja]])</f>
        <v>0</v>
      </c>
      <c r="BQ180" s="12">
        <f>SUM(FT_RF_264[[#This Row],[Vidrios]:[Plástico]])</f>
        <v>0</v>
      </c>
      <c r="BR180" s="12" t="str">
        <f>IF(ISBLANK(FT_RF_264[[#This Row],[Descripción del producto]]),"",FT_RF_264[[#This Row],[Descripción del producto]])</f>
        <v/>
      </c>
      <c r="BS180" s="29" t="str">
        <f>IF(ISBLANK(FT_RF_264[[#This Row],[N° de Lote]]),"",FT_RF_264[[#This Row],[N° de Lote]])</f>
        <v/>
      </c>
      <c r="BT180" s="29" t="str">
        <f>IF(ISBLANK(FT_RF_264[[#This Row],[N° de Pallet]]),"",FT_RF_264[[#This Row],[N° de Pallet]])</f>
        <v/>
      </c>
    </row>
    <row r="181" spans="2:72">
      <c r="B181" s="29">
        <f>+_xlfn.ISOWEEKNUM(FT_RF_264[[#This Row],[Fecha]])</f>
        <v>52</v>
      </c>
      <c r="E181" s="31"/>
      <c r="F181" s="12" t="str">
        <f>IFERROR(""&amp;_xlfn.XLOOKUP(FT_RF_264[[#This Row],[Código]],BD_Cod[SKU],BD_Cod[Descripción]),"")</f>
        <v/>
      </c>
      <c r="G181" s="32" t="str">
        <f>IFERROR(""&amp;_xlfn.XLOOKUP(FT_RF_264[[#This Row],[Código]],BD_Cod[SKU],BD_Cod[Familia Calidad]),"")</f>
        <v/>
      </c>
      <c r="J181" s="33">
        <v>1000</v>
      </c>
      <c r="L181" s="30" t="s">
        <v>244</v>
      </c>
      <c r="O181" s="30" t="s">
        <v>894</v>
      </c>
      <c r="P181" s="29" t="s">
        <v>894</v>
      </c>
      <c r="Q181" s="37">
        <f>1-FT_RF_264[[#This Row],[% Defectos]]</f>
        <v>1</v>
      </c>
      <c r="R181" s="38">
        <v>0</v>
      </c>
      <c r="S181" s="39">
        <f>+IFERROR((FT_RF_264[[#This Row],[Inmadura]]/FT_RF_264[[#This Row],[Muestra]]),"0")</f>
        <v>0</v>
      </c>
      <c r="T181" s="38">
        <v>0</v>
      </c>
      <c r="U181" s="39">
        <f>+IFERROR((FT_RF_264[[#This Row],[Partidas]]/FT_RF_264[[#This Row],[Muestra]]),"0")</f>
        <v>0</v>
      </c>
      <c r="V181" s="38">
        <v>0</v>
      </c>
      <c r="W181" s="39">
        <f>+IFERROR((FT_RF_264[[#This Row],[Daño Insecto]]/FT_RF_264[[#This Row],[Muestra]]),"0")</f>
        <v>0</v>
      </c>
      <c r="X181" s="38">
        <v>0</v>
      </c>
      <c r="Y181" s="39">
        <f>+IFERROR((FT_RF_264[[#This Row],[Sobremadura]]/FT_RF_264[[#This Row],[Muestra]]),"0")</f>
        <v>0</v>
      </c>
      <c r="Z181" s="38">
        <v>0</v>
      </c>
      <c r="AA181" s="39">
        <f>+IFERROR((FT_RF_264[[#This Row],[Deforme]]/FT_RF_264[[#This Row],[Muestra]]),"0")</f>
        <v>0</v>
      </c>
      <c r="AB181" s="27"/>
      <c r="AC181" s="38">
        <v>0</v>
      </c>
      <c r="AD181" s="39">
        <f>+IFERROR((FT_RF_264[[#This Row],[Valor Extra 1]]/FT_RF_264[[#This Row],[Muestra]]),"0")</f>
        <v>0</v>
      </c>
      <c r="AF181" s="38">
        <v>0</v>
      </c>
      <c r="AG181" s="39">
        <f>+IFERROR((FT_RF_264[[#This Row],[Valor Extra 2]]/FT_RF_264[[#This Row],[Muestra]]),"0")</f>
        <v>0</v>
      </c>
      <c r="AH181" s="40">
        <v>0</v>
      </c>
      <c r="AI181" s="39">
        <f>+IFERROR((FT_RF_264[[#This Row],[Hongos]]/FT_RF_264[[#This Row],[Muestra]]),"0")</f>
        <v>0</v>
      </c>
      <c r="AJ181" s="38">
        <v>0</v>
      </c>
      <c r="AK181" s="39">
        <f>+IFERROR((FT_RF_264[[#This Row],[Block]]/FT_RF_264[[#This Row],[Muestra]]),"0")</f>
        <v>0</v>
      </c>
      <c r="AL181" s="41">
        <v>0</v>
      </c>
      <c r="AM181" s="42">
        <v>0</v>
      </c>
      <c r="AN181" s="38">
        <v>0</v>
      </c>
      <c r="AO181" s="39">
        <f>+IFERROR((FT_RF_264[[#This Row],[Fuera de calibre &lt;12mm]]/FT_RF_264[[#This Row],[Muestra]]),"0")</f>
        <v>0</v>
      </c>
      <c r="AP181" s="38">
        <v>0</v>
      </c>
      <c r="AQ181" s="39">
        <f>+IFERROR((FT_RF_264[[#This Row],[Calibre &lt;25]]/FT_RF_264[[#This Row],[Muestra]]),"0")</f>
        <v>0</v>
      </c>
      <c r="AR181" s="38">
        <v>0</v>
      </c>
      <c r="AS181" s="39">
        <f>+IFERROR((FT_RF_264[[#This Row],[Calibre &gt;12]]/FT_RF_264[[#This Row],[Muestra]]),"0")</f>
        <v>0</v>
      </c>
      <c r="AT181" s="38">
        <v>0</v>
      </c>
      <c r="AU181" s="39">
        <f>+IFERROR((FT_RF_264[[#This Row],[Calibre &lt;14]]/FT_RF_264[[#This Row],[Muestra]]),"0")</f>
        <v>0</v>
      </c>
      <c r="AV181" s="38">
        <v>0</v>
      </c>
      <c r="AW181" s="39">
        <f>+IFERROR((FT_RF_264[[#This Row],[Calibre &gt;14]]/FT_RF_264[[#This Row],[Muestra]]),"0")</f>
        <v>0</v>
      </c>
      <c r="AX181" s="38">
        <v>0</v>
      </c>
      <c r="AY181" s="39">
        <f>+IFERROR((FT_RF_264[[#This Row],[Calibre &lt;10]]/FT_RF_264[[#This Row],[Muestra]]),"0")</f>
        <v>0</v>
      </c>
      <c r="AZ181" s="38">
        <v>0</v>
      </c>
      <c r="BA181" s="39">
        <f>+IFERROR((FT_RF_264[[#This Row],[Calibre &gt;13]]/FT_RF_264[[#This Row],[Muestra]]),"0")</f>
        <v>0</v>
      </c>
      <c r="BB181" s="41"/>
      <c r="BG181" s="42"/>
      <c r="BH181" s="43">
        <v>0</v>
      </c>
      <c r="BI181" s="29" t="s">
        <v>894</v>
      </c>
      <c r="BJ181" s="29" t="s">
        <v>894</v>
      </c>
      <c r="BK18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8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81" s="45">
        <f>1-FT_RF_264[[#This Row],[% Defectos]]</f>
        <v>1</v>
      </c>
      <c r="BO181" s="60"/>
      <c r="BP181" s="12">
        <f>SUM(FT_RF_264[[#This Row],[Hoja (Un.)]:[Larvas Caja]])</f>
        <v>0</v>
      </c>
      <c r="BQ181" s="12">
        <f>SUM(FT_RF_264[[#This Row],[Vidrios]:[Plástico]])</f>
        <v>0</v>
      </c>
      <c r="BR181" s="12" t="str">
        <f>IF(ISBLANK(FT_RF_264[[#This Row],[Descripción del producto]]),"",FT_RF_264[[#This Row],[Descripción del producto]])</f>
        <v/>
      </c>
      <c r="BS181" s="29" t="str">
        <f>IF(ISBLANK(FT_RF_264[[#This Row],[N° de Lote]]),"",FT_RF_264[[#This Row],[N° de Lote]])</f>
        <v/>
      </c>
      <c r="BT181" s="29" t="str">
        <f>IF(ISBLANK(FT_RF_264[[#This Row],[N° de Pallet]]),"",FT_RF_264[[#This Row],[N° de Pallet]])</f>
        <v/>
      </c>
    </row>
    <row r="182" spans="2:72">
      <c r="B182" s="29">
        <f>+_xlfn.ISOWEEKNUM(FT_RF_264[[#This Row],[Fecha]])</f>
        <v>52</v>
      </c>
      <c r="E182" s="31"/>
      <c r="F182" s="12" t="str">
        <f>IFERROR(""&amp;_xlfn.XLOOKUP(FT_RF_264[[#This Row],[Código]],BD_Cod[SKU],BD_Cod[Descripción]),"")</f>
        <v/>
      </c>
      <c r="G182" s="32" t="str">
        <f>IFERROR(""&amp;_xlfn.XLOOKUP(FT_RF_264[[#This Row],[Código]],BD_Cod[SKU],BD_Cod[Familia Calidad]),"")</f>
        <v/>
      </c>
      <c r="J182" s="33">
        <v>1000</v>
      </c>
      <c r="L182" s="30" t="s">
        <v>244</v>
      </c>
      <c r="O182" s="30" t="s">
        <v>894</v>
      </c>
      <c r="P182" s="29" t="s">
        <v>894</v>
      </c>
      <c r="Q182" s="37">
        <f>1-FT_RF_264[[#This Row],[% Defectos]]</f>
        <v>1</v>
      </c>
      <c r="R182" s="38">
        <v>0</v>
      </c>
      <c r="S182" s="39">
        <f>+IFERROR((FT_RF_264[[#This Row],[Inmadura]]/FT_RF_264[[#This Row],[Muestra]]),"0")</f>
        <v>0</v>
      </c>
      <c r="T182" s="38">
        <v>0</v>
      </c>
      <c r="U182" s="39">
        <f>+IFERROR((FT_RF_264[[#This Row],[Partidas]]/FT_RF_264[[#This Row],[Muestra]]),"0")</f>
        <v>0</v>
      </c>
      <c r="V182" s="38">
        <v>0</v>
      </c>
      <c r="W182" s="39">
        <f>+IFERROR((FT_RF_264[[#This Row],[Daño Insecto]]/FT_RF_264[[#This Row],[Muestra]]),"0")</f>
        <v>0</v>
      </c>
      <c r="X182" s="38">
        <v>0</v>
      </c>
      <c r="Y182" s="39">
        <f>+IFERROR((FT_RF_264[[#This Row],[Sobremadura]]/FT_RF_264[[#This Row],[Muestra]]),"0")</f>
        <v>0</v>
      </c>
      <c r="Z182" s="38">
        <v>0</v>
      </c>
      <c r="AA182" s="39">
        <f>+IFERROR((FT_RF_264[[#This Row],[Deforme]]/FT_RF_264[[#This Row],[Muestra]]),"0")</f>
        <v>0</v>
      </c>
      <c r="AB182" s="27"/>
      <c r="AC182" s="38">
        <v>0</v>
      </c>
      <c r="AD182" s="39">
        <f>+IFERROR((FT_RF_264[[#This Row],[Valor Extra 1]]/FT_RF_264[[#This Row],[Muestra]]),"0")</f>
        <v>0</v>
      </c>
      <c r="AF182" s="38">
        <v>0</v>
      </c>
      <c r="AG182" s="39">
        <f>+IFERROR((FT_RF_264[[#This Row],[Valor Extra 2]]/FT_RF_264[[#This Row],[Muestra]]),"0")</f>
        <v>0</v>
      </c>
      <c r="AH182" s="40">
        <v>0</v>
      </c>
      <c r="AI182" s="39">
        <f>+IFERROR((FT_RF_264[[#This Row],[Hongos]]/FT_RF_264[[#This Row],[Muestra]]),"0")</f>
        <v>0</v>
      </c>
      <c r="AJ182" s="38">
        <v>0</v>
      </c>
      <c r="AK182" s="39">
        <f>+IFERROR((FT_RF_264[[#This Row],[Block]]/FT_RF_264[[#This Row],[Muestra]]),"0")</f>
        <v>0</v>
      </c>
      <c r="AL182" s="41">
        <v>0</v>
      </c>
      <c r="AM182" s="42">
        <v>0</v>
      </c>
      <c r="AN182" s="38">
        <v>0</v>
      </c>
      <c r="AO182" s="39">
        <f>+IFERROR((FT_RF_264[[#This Row],[Fuera de calibre &lt;12mm]]/FT_RF_264[[#This Row],[Muestra]]),"0")</f>
        <v>0</v>
      </c>
      <c r="AP182" s="38">
        <v>0</v>
      </c>
      <c r="AQ182" s="39">
        <f>+IFERROR((FT_RF_264[[#This Row],[Calibre &lt;25]]/FT_RF_264[[#This Row],[Muestra]]),"0")</f>
        <v>0</v>
      </c>
      <c r="AR182" s="38">
        <v>0</v>
      </c>
      <c r="AS182" s="39">
        <f>+IFERROR((FT_RF_264[[#This Row],[Calibre &gt;12]]/FT_RF_264[[#This Row],[Muestra]]),"0")</f>
        <v>0</v>
      </c>
      <c r="AT182" s="38">
        <v>0</v>
      </c>
      <c r="AU182" s="39">
        <f>+IFERROR((FT_RF_264[[#This Row],[Calibre &lt;14]]/FT_RF_264[[#This Row],[Muestra]]),"0")</f>
        <v>0</v>
      </c>
      <c r="AV182" s="38">
        <v>0</v>
      </c>
      <c r="AW182" s="39">
        <f>+IFERROR((FT_RF_264[[#This Row],[Calibre &gt;14]]/FT_RF_264[[#This Row],[Muestra]]),"0")</f>
        <v>0</v>
      </c>
      <c r="AX182" s="38">
        <v>0</v>
      </c>
      <c r="AY182" s="39">
        <f>+IFERROR((FT_RF_264[[#This Row],[Calibre &lt;10]]/FT_RF_264[[#This Row],[Muestra]]),"0")</f>
        <v>0</v>
      </c>
      <c r="AZ182" s="38">
        <v>0</v>
      </c>
      <c r="BA182" s="39">
        <f>+IFERROR((FT_RF_264[[#This Row],[Calibre &gt;13]]/FT_RF_264[[#This Row],[Muestra]]),"0")</f>
        <v>0</v>
      </c>
      <c r="BB182" s="41"/>
      <c r="BG182" s="42"/>
      <c r="BH182" s="43">
        <v>0</v>
      </c>
      <c r="BI182" s="29" t="s">
        <v>894</v>
      </c>
      <c r="BJ182" s="29" t="s">
        <v>894</v>
      </c>
      <c r="BK18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8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82" s="45">
        <f>1-FT_RF_264[[#This Row],[% Defectos]]</f>
        <v>1</v>
      </c>
      <c r="BO182" s="60"/>
      <c r="BP182" s="12">
        <f>SUM(FT_RF_264[[#This Row],[Hoja (Un.)]:[Larvas Caja]])</f>
        <v>0</v>
      </c>
      <c r="BQ182" s="12">
        <f>SUM(FT_RF_264[[#This Row],[Vidrios]:[Plástico]])</f>
        <v>0</v>
      </c>
      <c r="BR182" s="12" t="str">
        <f>IF(ISBLANK(FT_RF_264[[#This Row],[Descripción del producto]]),"",FT_RF_264[[#This Row],[Descripción del producto]])</f>
        <v/>
      </c>
      <c r="BS182" s="29" t="str">
        <f>IF(ISBLANK(FT_RF_264[[#This Row],[N° de Lote]]),"",FT_RF_264[[#This Row],[N° de Lote]])</f>
        <v/>
      </c>
      <c r="BT182" s="29" t="str">
        <f>IF(ISBLANK(FT_RF_264[[#This Row],[N° de Pallet]]),"",FT_RF_264[[#This Row],[N° de Pallet]])</f>
        <v/>
      </c>
    </row>
    <row r="183" spans="2:72">
      <c r="B183" s="29">
        <f>+_xlfn.ISOWEEKNUM(FT_RF_264[[#This Row],[Fecha]])</f>
        <v>52</v>
      </c>
      <c r="E183" s="31"/>
      <c r="F183" s="12" t="str">
        <f>IFERROR(""&amp;_xlfn.XLOOKUP(FT_RF_264[[#This Row],[Código]],BD_Cod[SKU],BD_Cod[Descripción]),"")</f>
        <v/>
      </c>
      <c r="G183" s="32" t="str">
        <f>IFERROR(""&amp;_xlfn.XLOOKUP(FT_RF_264[[#This Row],[Código]],BD_Cod[SKU],BD_Cod[Familia Calidad]),"")</f>
        <v/>
      </c>
      <c r="J183" s="33">
        <v>1000</v>
      </c>
      <c r="L183" s="30" t="s">
        <v>244</v>
      </c>
      <c r="O183" s="30" t="s">
        <v>894</v>
      </c>
      <c r="P183" s="29" t="s">
        <v>894</v>
      </c>
      <c r="Q183" s="37">
        <f>1-FT_RF_264[[#This Row],[% Defectos]]</f>
        <v>1</v>
      </c>
      <c r="R183" s="38">
        <v>0</v>
      </c>
      <c r="S183" s="39">
        <f>+IFERROR((FT_RF_264[[#This Row],[Inmadura]]/FT_RF_264[[#This Row],[Muestra]]),"0")</f>
        <v>0</v>
      </c>
      <c r="T183" s="38">
        <v>0</v>
      </c>
      <c r="U183" s="39">
        <f>+IFERROR((FT_RF_264[[#This Row],[Partidas]]/FT_RF_264[[#This Row],[Muestra]]),"0")</f>
        <v>0</v>
      </c>
      <c r="V183" s="38">
        <v>0</v>
      </c>
      <c r="W183" s="39">
        <f>+IFERROR((FT_RF_264[[#This Row],[Daño Insecto]]/FT_RF_264[[#This Row],[Muestra]]),"0")</f>
        <v>0</v>
      </c>
      <c r="X183" s="38">
        <v>0</v>
      </c>
      <c r="Y183" s="39">
        <f>+IFERROR((FT_RF_264[[#This Row],[Sobremadura]]/FT_RF_264[[#This Row],[Muestra]]),"0")</f>
        <v>0</v>
      </c>
      <c r="Z183" s="38">
        <v>0</v>
      </c>
      <c r="AA183" s="39">
        <f>+IFERROR((FT_RF_264[[#This Row],[Deforme]]/FT_RF_264[[#This Row],[Muestra]]),"0")</f>
        <v>0</v>
      </c>
      <c r="AB183" s="27"/>
      <c r="AC183" s="38">
        <v>0</v>
      </c>
      <c r="AD183" s="39">
        <f>+IFERROR((FT_RF_264[[#This Row],[Valor Extra 1]]/FT_RF_264[[#This Row],[Muestra]]),"0")</f>
        <v>0</v>
      </c>
      <c r="AF183" s="38">
        <v>0</v>
      </c>
      <c r="AG183" s="39">
        <f>+IFERROR((FT_RF_264[[#This Row],[Valor Extra 2]]/FT_RF_264[[#This Row],[Muestra]]),"0")</f>
        <v>0</v>
      </c>
      <c r="AH183" s="40">
        <v>0</v>
      </c>
      <c r="AI183" s="39">
        <f>+IFERROR((FT_RF_264[[#This Row],[Hongos]]/FT_RF_264[[#This Row],[Muestra]]),"0")</f>
        <v>0</v>
      </c>
      <c r="AJ183" s="38">
        <v>0</v>
      </c>
      <c r="AK183" s="39">
        <f>+IFERROR((FT_RF_264[[#This Row],[Block]]/FT_RF_264[[#This Row],[Muestra]]),"0")</f>
        <v>0</v>
      </c>
      <c r="AL183" s="41">
        <v>0</v>
      </c>
      <c r="AM183" s="42">
        <v>0</v>
      </c>
      <c r="AN183" s="38">
        <v>0</v>
      </c>
      <c r="AO183" s="39">
        <f>+IFERROR((FT_RF_264[[#This Row],[Fuera de calibre &lt;12mm]]/FT_RF_264[[#This Row],[Muestra]]),"0")</f>
        <v>0</v>
      </c>
      <c r="AP183" s="38">
        <v>0</v>
      </c>
      <c r="AQ183" s="39">
        <f>+IFERROR((FT_RF_264[[#This Row],[Calibre &lt;25]]/FT_RF_264[[#This Row],[Muestra]]),"0")</f>
        <v>0</v>
      </c>
      <c r="AR183" s="38">
        <v>0</v>
      </c>
      <c r="AS183" s="39">
        <f>+IFERROR((FT_RF_264[[#This Row],[Calibre &gt;12]]/FT_RF_264[[#This Row],[Muestra]]),"0")</f>
        <v>0</v>
      </c>
      <c r="AT183" s="38">
        <v>0</v>
      </c>
      <c r="AU183" s="39">
        <f>+IFERROR((FT_RF_264[[#This Row],[Calibre &lt;14]]/FT_RF_264[[#This Row],[Muestra]]),"0")</f>
        <v>0</v>
      </c>
      <c r="AV183" s="38">
        <v>0</v>
      </c>
      <c r="AW183" s="39">
        <f>+IFERROR((FT_RF_264[[#This Row],[Calibre &gt;14]]/FT_RF_264[[#This Row],[Muestra]]),"0")</f>
        <v>0</v>
      </c>
      <c r="AX183" s="38">
        <v>0</v>
      </c>
      <c r="AY183" s="39">
        <f>+IFERROR((FT_RF_264[[#This Row],[Calibre &lt;10]]/FT_RF_264[[#This Row],[Muestra]]),"0")</f>
        <v>0</v>
      </c>
      <c r="AZ183" s="38">
        <v>0</v>
      </c>
      <c r="BA183" s="39">
        <f>+IFERROR((FT_RF_264[[#This Row],[Calibre &gt;13]]/FT_RF_264[[#This Row],[Muestra]]),"0")</f>
        <v>0</v>
      </c>
      <c r="BB183" s="41"/>
      <c r="BG183" s="42"/>
      <c r="BH183" s="43">
        <v>0</v>
      </c>
      <c r="BI183" s="29" t="s">
        <v>894</v>
      </c>
      <c r="BJ183" s="29" t="s">
        <v>894</v>
      </c>
      <c r="BK18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8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83" s="45">
        <f>1-FT_RF_264[[#This Row],[% Defectos]]</f>
        <v>1</v>
      </c>
      <c r="BO183" s="60"/>
      <c r="BP183" s="12">
        <f>SUM(FT_RF_264[[#This Row],[Hoja (Un.)]:[Larvas Caja]])</f>
        <v>0</v>
      </c>
      <c r="BQ183" s="12">
        <f>SUM(FT_RF_264[[#This Row],[Vidrios]:[Plástico]])</f>
        <v>0</v>
      </c>
      <c r="BR183" s="12" t="str">
        <f>IF(ISBLANK(FT_RF_264[[#This Row],[Descripción del producto]]),"",FT_RF_264[[#This Row],[Descripción del producto]])</f>
        <v/>
      </c>
      <c r="BS183" s="29" t="str">
        <f>IF(ISBLANK(FT_RF_264[[#This Row],[N° de Lote]]),"",FT_RF_264[[#This Row],[N° de Lote]])</f>
        <v/>
      </c>
      <c r="BT183" s="29" t="str">
        <f>IF(ISBLANK(FT_RF_264[[#This Row],[N° de Pallet]]),"",FT_RF_264[[#This Row],[N° de Pallet]])</f>
        <v/>
      </c>
    </row>
    <row r="184" spans="2:72">
      <c r="B184" s="29">
        <f>+_xlfn.ISOWEEKNUM(FT_RF_264[[#This Row],[Fecha]])</f>
        <v>52</v>
      </c>
      <c r="E184" s="31"/>
      <c r="F184" s="12" t="str">
        <f>IFERROR(""&amp;_xlfn.XLOOKUP(FT_RF_264[[#This Row],[Código]],BD_Cod[SKU],BD_Cod[Descripción]),"")</f>
        <v/>
      </c>
      <c r="G184" s="32" t="str">
        <f>IFERROR(""&amp;_xlfn.XLOOKUP(FT_RF_264[[#This Row],[Código]],BD_Cod[SKU],BD_Cod[Familia Calidad]),"")</f>
        <v/>
      </c>
      <c r="J184" s="33">
        <v>1000</v>
      </c>
      <c r="L184" s="30" t="s">
        <v>244</v>
      </c>
      <c r="O184" s="30" t="s">
        <v>894</v>
      </c>
      <c r="P184" s="29" t="s">
        <v>894</v>
      </c>
      <c r="Q184" s="37">
        <f>1-FT_RF_264[[#This Row],[% Defectos]]</f>
        <v>1</v>
      </c>
      <c r="R184" s="38">
        <v>0</v>
      </c>
      <c r="S184" s="39">
        <f>+IFERROR((FT_RF_264[[#This Row],[Inmadura]]/FT_RF_264[[#This Row],[Muestra]]),"0")</f>
        <v>0</v>
      </c>
      <c r="T184" s="38">
        <v>0</v>
      </c>
      <c r="U184" s="39">
        <f>+IFERROR((FT_RF_264[[#This Row],[Partidas]]/FT_RF_264[[#This Row],[Muestra]]),"0")</f>
        <v>0</v>
      </c>
      <c r="V184" s="38">
        <v>0</v>
      </c>
      <c r="W184" s="39">
        <f>+IFERROR((FT_RF_264[[#This Row],[Daño Insecto]]/FT_RF_264[[#This Row],[Muestra]]),"0")</f>
        <v>0</v>
      </c>
      <c r="X184" s="38">
        <v>0</v>
      </c>
      <c r="Y184" s="39">
        <f>+IFERROR((FT_RF_264[[#This Row],[Sobremadura]]/FT_RF_264[[#This Row],[Muestra]]),"0")</f>
        <v>0</v>
      </c>
      <c r="Z184" s="38">
        <v>0</v>
      </c>
      <c r="AA184" s="39">
        <f>+IFERROR((FT_RF_264[[#This Row],[Deforme]]/FT_RF_264[[#This Row],[Muestra]]),"0")</f>
        <v>0</v>
      </c>
      <c r="AB184" s="27"/>
      <c r="AC184" s="38">
        <v>0</v>
      </c>
      <c r="AD184" s="39">
        <f>+IFERROR((FT_RF_264[[#This Row],[Valor Extra 1]]/FT_RF_264[[#This Row],[Muestra]]),"0")</f>
        <v>0</v>
      </c>
      <c r="AF184" s="38">
        <v>0</v>
      </c>
      <c r="AG184" s="39">
        <f>+IFERROR((FT_RF_264[[#This Row],[Valor Extra 2]]/FT_RF_264[[#This Row],[Muestra]]),"0")</f>
        <v>0</v>
      </c>
      <c r="AH184" s="40">
        <v>0</v>
      </c>
      <c r="AI184" s="39">
        <f>+IFERROR((FT_RF_264[[#This Row],[Hongos]]/FT_RF_264[[#This Row],[Muestra]]),"0")</f>
        <v>0</v>
      </c>
      <c r="AJ184" s="38">
        <v>0</v>
      </c>
      <c r="AK184" s="39">
        <f>+IFERROR((FT_RF_264[[#This Row],[Block]]/FT_RF_264[[#This Row],[Muestra]]),"0")</f>
        <v>0</v>
      </c>
      <c r="AL184" s="41">
        <v>0</v>
      </c>
      <c r="AM184" s="42">
        <v>0</v>
      </c>
      <c r="AN184" s="38">
        <v>0</v>
      </c>
      <c r="AO184" s="39">
        <f>+IFERROR((FT_RF_264[[#This Row],[Fuera de calibre &lt;12mm]]/FT_RF_264[[#This Row],[Muestra]]),"0")</f>
        <v>0</v>
      </c>
      <c r="AP184" s="38">
        <v>0</v>
      </c>
      <c r="AQ184" s="39">
        <f>+IFERROR((FT_RF_264[[#This Row],[Calibre &lt;25]]/FT_RF_264[[#This Row],[Muestra]]),"0")</f>
        <v>0</v>
      </c>
      <c r="AR184" s="38">
        <v>0</v>
      </c>
      <c r="AS184" s="39">
        <f>+IFERROR((FT_RF_264[[#This Row],[Calibre &gt;12]]/FT_RF_264[[#This Row],[Muestra]]),"0")</f>
        <v>0</v>
      </c>
      <c r="AT184" s="38">
        <v>0</v>
      </c>
      <c r="AU184" s="39">
        <f>+IFERROR((FT_RF_264[[#This Row],[Calibre &lt;14]]/FT_RF_264[[#This Row],[Muestra]]),"0")</f>
        <v>0</v>
      </c>
      <c r="AV184" s="38">
        <v>0</v>
      </c>
      <c r="AW184" s="39">
        <f>+IFERROR((FT_RF_264[[#This Row],[Calibre &gt;14]]/FT_RF_264[[#This Row],[Muestra]]),"0")</f>
        <v>0</v>
      </c>
      <c r="AX184" s="38">
        <v>0</v>
      </c>
      <c r="AY184" s="39">
        <f>+IFERROR((FT_RF_264[[#This Row],[Calibre &lt;10]]/FT_RF_264[[#This Row],[Muestra]]),"0")</f>
        <v>0</v>
      </c>
      <c r="AZ184" s="38">
        <v>0</v>
      </c>
      <c r="BA184" s="39">
        <f>+IFERROR((FT_RF_264[[#This Row],[Calibre &gt;13]]/FT_RF_264[[#This Row],[Muestra]]),"0")</f>
        <v>0</v>
      </c>
      <c r="BB184" s="41"/>
      <c r="BG184" s="42"/>
      <c r="BH184" s="43">
        <v>0</v>
      </c>
      <c r="BI184" s="29" t="s">
        <v>894</v>
      </c>
      <c r="BJ184" s="29" t="s">
        <v>894</v>
      </c>
      <c r="BK18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8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84" s="45">
        <f>1-FT_RF_264[[#This Row],[% Defectos]]</f>
        <v>1</v>
      </c>
      <c r="BO184" s="60"/>
      <c r="BP184" s="12">
        <f>SUM(FT_RF_264[[#This Row],[Hoja (Un.)]:[Larvas Caja]])</f>
        <v>0</v>
      </c>
      <c r="BQ184" s="12">
        <f>SUM(FT_RF_264[[#This Row],[Vidrios]:[Plástico]])</f>
        <v>0</v>
      </c>
      <c r="BR184" s="12" t="str">
        <f>IF(ISBLANK(FT_RF_264[[#This Row],[Descripción del producto]]),"",FT_RF_264[[#This Row],[Descripción del producto]])</f>
        <v/>
      </c>
      <c r="BS184" s="29" t="str">
        <f>IF(ISBLANK(FT_RF_264[[#This Row],[N° de Lote]]),"",FT_RF_264[[#This Row],[N° de Lote]])</f>
        <v/>
      </c>
      <c r="BT184" s="29" t="str">
        <f>IF(ISBLANK(FT_RF_264[[#This Row],[N° de Pallet]]),"",FT_RF_264[[#This Row],[N° de Pallet]])</f>
        <v/>
      </c>
    </row>
    <row r="185" spans="2:72">
      <c r="B185" s="29">
        <f>+_xlfn.ISOWEEKNUM(FT_RF_264[[#This Row],[Fecha]])</f>
        <v>52</v>
      </c>
      <c r="E185" s="31"/>
      <c r="F185" s="12" t="str">
        <f>IFERROR(""&amp;_xlfn.XLOOKUP(FT_RF_264[[#This Row],[Código]],BD_Cod[SKU],BD_Cod[Descripción]),"")</f>
        <v/>
      </c>
      <c r="G185" s="32" t="str">
        <f>IFERROR(""&amp;_xlfn.XLOOKUP(FT_RF_264[[#This Row],[Código]],BD_Cod[SKU],BD_Cod[Familia Calidad]),"")</f>
        <v/>
      </c>
      <c r="J185" s="33">
        <v>1000</v>
      </c>
      <c r="L185" s="30" t="s">
        <v>244</v>
      </c>
      <c r="O185" s="30" t="s">
        <v>894</v>
      </c>
      <c r="P185" s="29" t="s">
        <v>894</v>
      </c>
      <c r="Q185" s="37">
        <f>1-FT_RF_264[[#This Row],[% Defectos]]</f>
        <v>1</v>
      </c>
      <c r="R185" s="38">
        <v>0</v>
      </c>
      <c r="S185" s="39">
        <f>+IFERROR((FT_RF_264[[#This Row],[Inmadura]]/FT_RF_264[[#This Row],[Muestra]]),"0")</f>
        <v>0</v>
      </c>
      <c r="T185" s="38">
        <v>0</v>
      </c>
      <c r="U185" s="39">
        <f>+IFERROR((FT_RF_264[[#This Row],[Partidas]]/FT_RF_264[[#This Row],[Muestra]]),"0")</f>
        <v>0</v>
      </c>
      <c r="V185" s="38">
        <v>0</v>
      </c>
      <c r="W185" s="39">
        <f>+IFERROR((FT_RF_264[[#This Row],[Daño Insecto]]/FT_RF_264[[#This Row],[Muestra]]),"0")</f>
        <v>0</v>
      </c>
      <c r="X185" s="38">
        <v>0</v>
      </c>
      <c r="Y185" s="39">
        <f>+IFERROR((FT_RF_264[[#This Row],[Sobremadura]]/FT_RF_264[[#This Row],[Muestra]]),"0")</f>
        <v>0</v>
      </c>
      <c r="Z185" s="38">
        <v>0</v>
      </c>
      <c r="AA185" s="39">
        <f>+IFERROR((FT_RF_264[[#This Row],[Deforme]]/FT_RF_264[[#This Row],[Muestra]]),"0")</f>
        <v>0</v>
      </c>
      <c r="AB185" s="27"/>
      <c r="AC185" s="38">
        <v>0</v>
      </c>
      <c r="AD185" s="39">
        <f>+IFERROR((FT_RF_264[[#This Row],[Valor Extra 1]]/FT_RF_264[[#This Row],[Muestra]]),"0")</f>
        <v>0</v>
      </c>
      <c r="AF185" s="38">
        <v>0</v>
      </c>
      <c r="AG185" s="39">
        <f>+IFERROR((FT_RF_264[[#This Row],[Valor Extra 2]]/FT_RF_264[[#This Row],[Muestra]]),"0")</f>
        <v>0</v>
      </c>
      <c r="AH185" s="40">
        <v>0</v>
      </c>
      <c r="AI185" s="39">
        <f>+IFERROR((FT_RF_264[[#This Row],[Hongos]]/FT_RF_264[[#This Row],[Muestra]]),"0")</f>
        <v>0</v>
      </c>
      <c r="AJ185" s="38">
        <v>0</v>
      </c>
      <c r="AK185" s="39">
        <f>+IFERROR((FT_RF_264[[#This Row],[Block]]/FT_RF_264[[#This Row],[Muestra]]),"0")</f>
        <v>0</v>
      </c>
      <c r="AL185" s="41">
        <v>0</v>
      </c>
      <c r="AM185" s="42">
        <v>0</v>
      </c>
      <c r="AN185" s="38">
        <v>0</v>
      </c>
      <c r="AO185" s="39">
        <f>+IFERROR((FT_RF_264[[#This Row],[Fuera de calibre &lt;12mm]]/FT_RF_264[[#This Row],[Muestra]]),"0")</f>
        <v>0</v>
      </c>
      <c r="AP185" s="38">
        <v>0</v>
      </c>
      <c r="AQ185" s="39">
        <f>+IFERROR((FT_RF_264[[#This Row],[Calibre &lt;25]]/FT_RF_264[[#This Row],[Muestra]]),"0")</f>
        <v>0</v>
      </c>
      <c r="AR185" s="38">
        <v>0</v>
      </c>
      <c r="AS185" s="39">
        <f>+IFERROR((FT_RF_264[[#This Row],[Calibre &gt;12]]/FT_RF_264[[#This Row],[Muestra]]),"0")</f>
        <v>0</v>
      </c>
      <c r="AT185" s="38">
        <v>0</v>
      </c>
      <c r="AU185" s="39">
        <f>+IFERROR((FT_RF_264[[#This Row],[Calibre &lt;14]]/FT_RF_264[[#This Row],[Muestra]]),"0")</f>
        <v>0</v>
      </c>
      <c r="AV185" s="38">
        <v>0</v>
      </c>
      <c r="AW185" s="39">
        <f>+IFERROR((FT_RF_264[[#This Row],[Calibre &gt;14]]/FT_RF_264[[#This Row],[Muestra]]),"0")</f>
        <v>0</v>
      </c>
      <c r="AX185" s="38">
        <v>0</v>
      </c>
      <c r="AY185" s="39">
        <f>+IFERROR((FT_RF_264[[#This Row],[Calibre &lt;10]]/FT_RF_264[[#This Row],[Muestra]]),"0")</f>
        <v>0</v>
      </c>
      <c r="AZ185" s="38">
        <v>0</v>
      </c>
      <c r="BA185" s="39">
        <f>+IFERROR((FT_RF_264[[#This Row],[Calibre &gt;13]]/FT_RF_264[[#This Row],[Muestra]]),"0")</f>
        <v>0</v>
      </c>
      <c r="BB185" s="41"/>
      <c r="BG185" s="42"/>
      <c r="BH185" s="43">
        <v>0</v>
      </c>
      <c r="BI185" s="29" t="s">
        <v>894</v>
      </c>
      <c r="BJ185" s="29" t="s">
        <v>894</v>
      </c>
      <c r="BK18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8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85" s="45">
        <f>1-FT_RF_264[[#This Row],[% Defectos]]</f>
        <v>1</v>
      </c>
      <c r="BO185" s="60"/>
      <c r="BP185" s="12">
        <f>SUM(FT_RF_264[[#This Row],[Hoja (Un.)]:[Larvas Caja]])</f>
        <v>0</v>
      </c>
      <c r="BQ185" s="12">
        <f>SUM(FT_RF_264[[#This Row],[Vidrios]:[Plástico]])</f>
        <v>0</v>
      </c>
      <c r="BR185" s="12" t="str">
        <f>IF(ISBLANK(FT_RF_264[[#This Row],[Descripción del producto]]),"",FT_RF_264[[#This Row],[Descripción del producto]])</f>
        <v/>
      </c>
      <c r="BS185" s="29" t="str">
        <f>IF(ISBLANK(FT_RF_264[[#This Row],[N° de Lote]]),"",FT_RF_264[[#This Row],[N° de Lote]])</f>
        <v/>
      </c>
      <c r="BT185" s="29" t="str">
        <f>IF(ISBLANK(FT_RF_264[[#This Row],[N° de Pallet]]),"",FT_RF_264[[#This Row],[N° de Pallet]])</f>
        <v/>
      </c>
    </row>
    <row r="186" spans="2:72">
      <c r="B186" s="29">
        <f>+_xlfn.ISOWEEKNUM(FT_RF_264[[#This Row],[Fecha]])</f>
        <v>52</v>
      </c>
      <c r="E186" s="31"/>
      <c r="F186" s="12" t="str">
        <f>IFERROR(""&amp;_xlfn.XLOOKUP(FT_RF_264[[#This Row],[Código]],BD_Cod[SKU],BD_Cod[Descripción]),"")</f>
        <v/>
      </c>
      <c r="G186" s="32" t="str">
        <f>IFERROR(""&amp;_xlfn.XLOOKUP(FT_RF_264[[#This Row],[Código]],BD_Cod[SKU],BD_Cod[Familia Calidad]),"")</f>
        <v/>
      </c>
      <c r="J186" s="33">
        <v>1000</v>
      </c>
      <c r="L186" s="30" t="s">
        <v>244</v>
      </c>
      <c r="O186" s="30" t="s">
        <v>894</v>
      </c>
      <c r="P186" s="29" t="s">
        <v>894</v>
      </c>
      <c r="Q186" s="37">
        <f>1-FT_RF_264[[#This Row],[% Defectos]]</f>
        <v>1</v>
      </c>
      <c r="R186" s="38">
        <v>0</v>
      </c>
      <c r="S186" s="39">
        <f>+IFERROR((FT_RF_264[[#This Row],[Inmadura]]/FT_RF_264[[#This Row],[Muestra]]),"0")</f>
        <v>0</v>
      </c>
      <c r="T186" s="38">
        <v>0</v>
      </c>
      <c r="U186" s="39">
        <f>+IFERROR((FT_RF_264[[#This Row],[Partidas]]/FT_RF_264[[#This Row],[Muestra]]),"0")</f>
        <v>0</v>
      </c>
      <c r="V186" s="38">
        <v>0</v>
      </c>
      <c r="W186" s="39">
        <f>+IFERROR((FT_RF_264[[#This Row],[Daño Insecto]]/FT_RF_264[[#This Row],[Muestra]]),"0")</f>
        <v>0</v>
      </c>
      <c r="X186" s="38">
        <v>0</v>
      </c>
      <c r="Y186" s="39">
        <f>+IFERROR((FT_RF_264[[#This Row],[Sobremadura]]/FT_RF_264[[#This Row],[Muestra]]),"0")</f>
        <v>0</v>
      </c>
      <c r="Z186" s="38">
        <v>0</v>
      </c>
      <c r="AA186" s="39">
        <f>+IFERROR((FT_RF_264[[#This Row],[Deforme]]/FT_RF_264[[#This Row],[Muestra]]),"0")</f>
        <v>0</v>
      </c>
      <c r="AB186" s="27"/>
      <c r="AC186" s="38">
        <v>0</v>
      </c>
      <c r="AD186" s="39">
        <f>+IFERROR((FT_RF_264[[#This Row],[Valor Extra 1]]/FT_RF_264[[#This Row],[Muestra]]),"0")</f>
        <v>0</v>
      </c>
      <c r="AF186" s="38">
        <v>0</v>
      </c>
      <c r="AG186" s="39">
        <f>+IFERROR((FT_RF_264[[#This Row],[Valor Extra 2]]/FT_RF_264[[#This Row],[Muestra]]),"0")</f>
        <v>0</v>
      </c>
      <c r="AH186" s="40">
        <v>0</v>
      </c>
      <c r="AI186" s="39">
        <f>+IFERROR((FT_RF_264[[#This Row],[Hongos]]/FT_RF_264[[#This Row],[Muestra]]),"0")</f>
        <v>0</v>
      </c>
      <c r="AJ186" s="38">
        <v>0</v>
      </c>
      <c r="AK186" s="39">
        <f>+IFERROR((FT_RF_264[[#This Row],[Block]]/FT_RF_264[[#This Row],[Muestra]]),"0")</f>
        <v>0</v>
      </c>
      <c r="AL186" s="41">
        <v>0</v>
      </c>
      <c r="AM186" s="42">
        <v>0</v>
      </c>
      <c r="AN186" s="38">
        <v>0</v>
      </c>
      <c r="AO186" s="39">
        <f>+IFERROR((FT_RF_264[[#This Row],[Fuera de calibre &lt;12mm]]/FT_RF_264[[#This Row],[Muestra]]),"0")</f>
        <v>0</v>
      </c>
      <c r="AP186" s="38">
        <v>0</v>
      </c>
      <c r="AQ186" s="39">
        <f>+IFERROR((FT_RF_264[[#This Row],[Calibre &lt;25]]/FT_RF_264[[#This Row],[Muestra]]),"0")</f>
        <v>0</v>
      </c>
      <c r="AR186" s="38">
        <v>0</v>
      </c>
      <c r="AS186" s="39">
        <f>+IFERROR((FT_RF_264[[#This Row],[Calibre &gt;12]]/FT_RF_264[[#This Row],[Muestra]]),"0")</f>
        <v>0</v>
      </c>
      <c r="AT186" s="38">
        <v>0</v>
      </c>
      <c r="AU186" s="39">
        <f>+IFERROR((FT_RF_264[[#This Row],[Calibre &lt;14]]/FT_RF_264[[#This Row],[Muestra]]),"0")</f>
        <v>0</v>
      </c>
      <c r="AV186" s="38">
        <v>0</v>
      </c>
      <c r="AW186" s="39">
        <f>+IFERROR((FT_RF_264[[#This Row],[Calibre &gt;14]]/FT_RF_264[[#This Row],[Muestra]]),"0")</f>
        <v>0</v>
      </c>
      <c r="AX186" s="38">
        <v>0</v>
      </c>
      <c r="AY186" s="39">
        <f>+IFERROR((FT_RF_264[[#This Row],[Calibre &lt;10]]/FT_RF_264[[#This Row],[Muestra]]),"0")</f>
        <v>0</v>
      </c>
      <c r="AZ186" s="38">
        <v>0</v>
      </c>
      <c r="BA186" s="39">
        <f>+IFERROR((FT_RF_264[[#This Row],[Calibre &gt;13]]/FT_RF_264[[#This Row],[Muestra]]),"0")</f>
        <v>0</v>
      </c>
      <c r="BB186" s="41"/>
      <c r="BG186" s="42"/>
      <c r="BH186" s="43">
        <v>0</v>
      </c>
      <c r="BI186" s="29" t="s">
        <v>894</v>
      </c>
      <c r="BJ186" s="29" t="s">
        <v>894</v>
      </c>
      <c r="BK18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8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86" s="45">
        <f>1-FT_RF_264[[#This Row],[% Defectos]]</f>
        <v>1</v>
      </c>
      <c r="BO186" s="60"/>
      <c r="BP186" s="12">
        <f>SUM(FT_RF_264[[#This Row],[Hoja (Un.)]:[Larvas Caja]])</f>
        <v>0</v>
      </c>
      <c r="BQ186" s="12">
        <f>SUM(FT_RF_264[[#This Row],[Vidrios]:[Plástico]])</f>
        <v>0</v>
      </c>
      <c r="BR186" s="12" t="str">
        <f>IF(ISBLANK(FT_RF_264[[#This Row],[Descripción del producto]]),"",FT_RF_264[[#This Row],[Descripción del producto]])</f>
        <v/>
      </c>
      <c r="BS186" s="29" t="str">
        <f>IF(ISBLANK(FT_RF_264[[#This Row],[N° de Lote]]),"",FT_RF_264[[#This Row],[N° de Lote]])</f>
        <v/>
      </c>
      <c r="BT186" s="29" t="str">
        <f>IF(ISBLANK(FT_RF_264[[#This Row],[N° de Pallet]]),"",FT_RF_264[[#This Row],[N° de Pallet]])</f>
        <v/>
      </c>
    </row>
    <row r="187" spans="2:72">
      <c r="B187" s="29">
        <f>+_xlfn.ISOWEEKNUM(FT_RF_264[[#This Row],[Fecha]])</f>
        <v>52</v>
      </c>
      <c r="E187" s="31"/>
      <c r="F187" s="12" t="str">
        <f>IFERROR(""&amp;_xlfn.XLOOKUP(FT_RF_264[[#This Row],[Código]],BD_Cod[SKU],BD_Cod[Descripción]),"")</f>
        <v/>
      </c>
      <c r="G187" s="32" t="str">
        <f>IFERROR(""&amp;_xlfn.XLOOKUP(FT_RF_264[[#This Row],[Código]],BD_Cod[SKU],BD_Cod[Familia Calidad]),"")</f>
        <v/>
      </c>
      <c r="J187" s="33">
        <v>1000</v>
      </c>
      <c r="L187" s="30" t="s">
        <v>244</v>
      </c>
      <c r="O187" s="30" t="s">
        <v>894</v>
      </c>
      <c r="P187" s="29" t="s">
        <v>894</v>
      </c>
      <c r="Q187" s="37">
        <f>1-FT_RF_264[[#This Row],[% Defectos]]</f>
        <v>1</v>
      </c>
      <c r="R187" s="38">
        <v>0</v>
      </c>
      <c r="S187" s="39">
        <f>+IFERROR((FT_RF_264[[#This Row],[Inmadura]]/FT_RF_264[[#This Row],[Muestra]]),"0")</f>
        <v>0</v>
      </c>
      <c r="T187" s="38">
        <v>0</v>
      </c>
      <c r="U187" s="39">
        <f>+IFERROR((FT_RF_264[[#This Row],[Partidas]]/FT_RF_264[[#This Row],[Muestra]]),"0")</f>
        <v>0</v>
      </c>
      <c r="V187" s="38">
        <v>0</v>
      </c>
      <c r="W187" s="39">
        <f>+IFERROR((FT_RF_264[[#This Row],[Daño Insecto]]/FT_RF_264[[#This Row],[Muestra]]),"0")</f>
        <v>0</v>
      </c>
      <c r="X187" s="38">
        <v>0</v>
      </c>
      <c r="Y187" s="39">
        <f>+IFERROR((FT_RF_264[[#This Row],[Sobremadura]]/FT_RF_264[[#This Row],[Muestra]]),"0")</f>
        <v>0</v>
      </c>
      <c r="Z187" s="38">
        <v>0</v>
      </c>
      <c r="AA187" s="39">
        <f>+IFERROR((FT_RF_264[[#This Row],[Deforme]]/FT_RF_264[[#This Row],[Muestra]]),"0")</f>
        <v>0</v>
      </c>
      <c r="AB187" s="27"/>
      <c r="AC187" s="38">
        <v>0</v>
      </c>
      <c r="AD187" s="39">
        <f>+IFERROR((FT_RF_264[[#This Row],[Valor Extra 1]]/FT_RF_264[[#This Row],[Muestra]]),"0")</f>
        <v>0</v>
      </c>
      <c r="AF187" s="38">
        <v>0</v>
      </c>
      <c r="AG187" s="39">
        <f>+IFERROR((FT_RF_264[[#This Row],[Valor Extra 2]]/FT_RF_264[[#This Row],[Muestra]]),"0")</f>
        <v>0</v>
      </c>
      <c r="AH187" s="40">
        <v>0</v>
      </c>
      <c r="AI187" s="39">
        <f>+IFERROR((FT_RF_264[[#This Row],[Hongos]]/FT_RF_264[[#This Row],[Muestra]]),"0")</f>
        <v>0</v>
      </c>
      <c r="AJ187" s="38">
        <v>0</v>
      </c>
      <c r="AK187" s="39">
        <f>+IFERROR((FT_RF_264[[#This Row],[Block]]/FT_RF_264[[#This Row],[Muestra]]),"0")</f>
        <v>0</v>
      </c>
      <c r="AL187" s="41">
        <v>0</v>
      </c>
      <c r="AM187" s="42">
        <v>0</v>
      </c>
      <c r="AN187" s="38">
        <v>0</v>
      </c>
      <c r="AO187" s="39">
        <f>+IFERROR((FT_RF_264[[#This Row],[Fuera de calibre &lt;12mm]]/FT_RF_264[[#This Row],[Muestra]]),"0")</f>
        <v>0</v>
      </c>
      <c r="AP187" s="38">
        <v>0</v>
      </c>
      <c r="AQ187" s="39">
        <f>+IFERROR((FT_RF_264[[#This Row],[Calibre &lt;25]]/FT_RF_264[[#This Row],[Muestra]]),"0")</f>
        <v>0</v>
      </c>
      <c r="AR187" s="38">
        <v>0</v>
      </c>
      <c r="AS187" s="39">
        <f>+IFERROR((FT_RF_264[[#This Row],[Calibre &gt;12]]/FT_RF_264[[#This Row],[Muestra]]),"0")</f>
        <v>0</v>
      </c>
      <c r="AT187" s="38">
        <v>0</v>
      </c>
      <c r="AU187" s="39">
        <f>+IFERROR((FT_RF_264[[#This Row],[Calibre &lt;14]]/FT_RF_264[[#This Row],[Muestra]]),"0")</f>
        <v>0</v>
      </c>
      <c r="AV187" s="38">
        <v>0</v>
      </c>
      <c r="AW187" s="39">
        <f>+IFERROR((FT_RF_264[[#This Row],[Calibre &gt;14]]/FT_RF_264[[#This Row],[Muestra]]),"0")</f>
        <v>0</v>
      </c>
      <c r="AX187" s="38">
        <v>0</v>
      </c>
      <c r="AY187" s="39">
        <f>+IFERROR((FT_RF_264[[#This Row],[Calibre &lt;10]]/FT_RF_264[[#This Row],[Muestra]]),"0")</f>
        <v>0</v>
      </c>
      <c r="AZ187" s="38">
        <v>0</v>
      </c>
      <c r="BA187" s="39">
        <f>+IFERROR((FT_RF_264[[#This Row],[Calibre &gt;13]]/FT_RF_264[[#This Row],[Muestra]]),"0")</f>
        <v>0</v>
      </c>
      <c r="BB187" s="41"/>
      <c r="BG187" s="42"/>
      <c r="BH187" s="43">
        <v>0</v>
      </c>
      <c r="BI187" s="29" t="s">
        <v>894</v>
      </c>
      <c r="BJ187" s="29" t="s">
        <v>894</v>
      </c>
      <c r="BK18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8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87" s="45">
        <f>1-FT_RF_264[[#This Row],[% Defectos]]</f>
        <v>1</v>
      </c>
      <c r="BO187" s="60"/>
      <c r="BP187" s="12">
        <f>SUM(FT_RF_264[[#This Row],[Hoja (Un.)]:[Larvas Caja]])</f>
        <v>0</v>
      </c>
      <c r="BQ187" s="12">
        <f>SUM(FT_RF_264[[#This Row],[Vidrios]:[Plástico]])</f>
        <v>0</v>
      </c>
      <c r="BR187" s="12" t="str">
        <f>IF(ISBLANK(FT_RF_264[[#This Row],[Descripción del producto]]),"",FT_RF_264[[#This Row],[Descripción del producto]])</f>
        <v/>
      </c>
      <c r="BS187" s="29" t="str">
        <f>IF(ISBLANK(FT_RF_264[[#This Row],[N° de Lote]]),"",FT_RF_264[[#This Row],[N° de Lote]])</f>
        <v/>
      </c>
      <c r="BT187" s="29" t="str">
        <f>IF(ISBLANK(FT_RF_264[[#This Row],[N° de Pallet]]),"",FT_RF_264[[#This Row],[N° de Pallet]])</f>
        <v/>
      </c>
    </row>
    <row r="188" spans="2:72">
      <c r="B188" s="29">
        <f>+_xlfn.ISOWEEKNUM(FT_RF_264[[#This Row],[Fecha]])</f>
        <v>52</v>
      </c>
      <c r="E188" s="31"/>
      <c r="F188" s="12" t="str">
        <f>IFERROR(""&amp;_xlfn.XLOOKUP(FT_RF_264[[#This Row],[Código]],BD_Cod[SKU],BD_Cod[Descripción]),"")</f>
        <v/>
      </c>
      <c r="G188" s="32" t="str">
        <f>IFERROR(""&amp;_xlfn.XLOOKUP(FT_RF_264[[#This Row],[Código]],BD_Cod[SKU],BD_Cod[Familia Calidad]),"")</f>
        <v/>
      </c>
      <c r="J188" s="33">
        <v>1000</v>
      </c>
      <c r="L188" s="30" t="s">
        <v>244</v>
      </c>
      <c r="O188" s="30" t="s">
        <v>894</v>
      </c>
      <c r="P188" s="29" t="s">
        <v>894</v>
      </c>
      <c r="Q188" s="37">
        <f>1-FT_RF_264[[#This Row],[% Defectos]]</f>
        <v>1</v>
      </c>
      <c r="R188" s="38">
        <v>0</v>
      </c>
      <c r="S188" s="39">
        <f>+IFERROR((FT_RF_264[[#This Row],[Inmadura]]/FT_RF_264[[#This Row],[Muestra]]),"0")</f>
        <v>0</v>
      </c>
      <c r="T188" s="38">
        <v>0</v>
      </c>
      <c r="U188" s="39">
        <f>+IFERROR((FT_RF_264[[#This Row],[Partidas]]/FT_RF_264[[#This Row],[Muestra]]),"0")</f>
        <v>0</v>
      </c>
      <c r="V188" s="38">
        <v>0</v>
      </c>
      <c r="W188" s="39">
        <f>+IFERROR((FT_RF_264[[#This Row],[Daño Insecto]]/FT_RF_264[[#This Row],[Muestra]]),"0")</f>
        <v>0</v>
      </c>
      <c r="X188" s="38">
        <v>0</v>
      </c>
      <c r="Y188" s="39">
        <f>+IFERROR((FT_RF_264[[#This Row],[Sobremadura]]/FT_RF_264[[#This Row],[Muestra]]),"0")</f>
        <v>0</v>
      </c>
      <c r="Z188" s="38">
        <v>0</v>
      </c>
      <c r="AA188" s="39">
        <f>+IFERROR((FT_RF_264[[#This Row],[Deforme]]/FT_RF_264[[#This Row],[Muestra]]),"0")</f>
        <v>0</v>
      </c>
      <c r="AB188" s="27"/>
      <c r="AC188" s="38">
        <v>0</v>
      </c>
      <c r="AD188" s="39">
        <f>+IFERROR((FT_RF_264[[#This Row],[Valor Extra 1]]/FT_RF_264[[#This Row],[Muestra]]),"0")</f>
        <v>0</v>
      </c>
      <c r="AF188" s="38">
        <v>0</v>
      </c>
      <c r="AG188" s="39">
        <f>+IFERROR((FT_RF_264[[#This Row],[Valor Extra 2]]/FT_RF_264[[#This Row],[Muestra]]),"0")</f>
        <v>0</v>
      </c>
      <c r="AH188" s="40">
        <v>0</v>
      </c>
      <c r="AI188" s="39">
        <f>+IFERROR((FT_RF_264[[#This Row],[Hongos]]/FT_RF_264[[#This Row],[Muestra]]),"0")</f>
        <v>0</v>
      </c>
      <c r="AJ188" s="38">
        <v>0</v>
      </c>
      <c r="AK188" s="39">
        <f>+IFERROR((FT_RF_264[[#This Row],[Block]]/FT_RF_264[[#This Row],[Muestra]]),"0")</f>
        <v>0</v>
      </c>
      <c r="AL188" s="41">
        <v>0</v>
      </c>
      <c r="AM188" s="42">
        <v>0</v>
      </c>
      <c r="AN188" s="38">
        <v>0</v>
      </c>
      <c r="AO188" s="39">
        <f>+IFERROR((FT_RF_264[[#This Row],[Fuera de calibre &lt;12mm]]/FT_RF_264[[#This Row],[Muestra]]),"0")</f>
        <v>0</v>
      </c>
      <c r="AP188" s="38">
        <v>0</v>
      </c>
      <c r="AQ188" s="39">
        <f>+IFERROR((FT_RF_264[[#This Row],[Calibre &lt;25]]/FT_RF_264[[#This Row],[Muestra]]),"0")</f>
        <v>0</v>
      </c>
      <c r="AR188" s="38">
        <v>0</v>
      </c>
      <c r="AS188" s="39">
        <f>+IFERROR((FT_RF_264[[#This Row],[Calibre &gt;12]]/FT_RF_264[[#This Row],[Muestra]]),"0")</f>
        <v>0</v>
      </c>
      <c r="AT188" s="38">
        <v>0</v>
      </c>
      <c r="AU188" s="39">
        <f>+IFERROR((FT_RF_264[[#This Row],[Calibre &lt;14]]/FT_RF_264[[#This Row],[Muestra]]),"0")</f>
        <v>0</v>
      </c>
      <c r="AV188" s="38">
        <v>0</v>
      </c>
      <c r="AW188" s="39">
        <f>+IFERROR((FT_RF_264[[#This Row],[Calibre &gt;14]]/FT_RF_264[[#This Row],[Muestra]]),"0")</f>
        <v>0</v>
      </c>
      <c r="AX188" s="38">
        <v>0</v>
      </c>
      <c r="AY188" s="39">
        <f>+IFERROR((FT_RF_264[[#This Row],[Calibre &lt;10]]/FT_RF_264[[#This Row],[Muestra]]),"0")</f>
        <v>0</v>
      </c>
      <c r="AZ188" s="38">
        <v>0</v>
      </c>
      <c r="BA188" s="39">
        <f>+IFERROR((FT_RF_264[[#This Row],[Calibre &gt;13]]/FT_RF_264[[#This Row],[Muestra]]),"0")</f>
        <v>0</v>
      </c>
      <c r="BB188" s="41"/>
      <c r="BG188" s="42"/>
      <c r="BH188" s="43">
        <v>0</v>
      </c>
      <c r="BI188" s="29" t="s">
        <v>894</v>
      </c>
      <c r="BJ188" s="29" t="s">
        <v>894</v>
      </c>
      <c r="BK18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8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88" s="45">
        <f>1-FT_RF_264[[#This Row],[% Defectos]]</f>
        <v>1</v>
      </c>
      <c r="BO188" s="60"/>
      <c r="BP188" s="12">
        <f>SUM(FT_RF_264[[#This Row],[Hoja (Un.)]:[Larvas Caja]])</f>
        <v>0</v>
      </c>
      <c r="BQ188" s="12">
        <f>SUM(FT_RF_264[[#This Row],[Vidrios]:[Plástico]])</f>
        <v>0</v>
      </c>
      <c r="BR188" s="12" t="str">
        <f>IF(ISBLANK(FT_RF_264[[#This Row],[Descripción del producto]]),"",FT_RF_264[[#This Row],[Descripción del producto]])</f>
        <v/>
      </c>
      <c r="BS188" s="29" t="str">
        <f>IF(ISBLANK(FT_RF_264[[#This Row],[N° de Lote]]),"",FT_RF_264[[#This Row],[N° de Lote]])</f>
        <v/>
      </c>
      <c r="BT188" s="29" t="str">
        <f>IF(ISBLANK(FT_RF_264[[#This Row],[N° de Pallet]]),"",FT_RF_264[[#This Row],[N° de Pallet]])</f>
        <v/>
      </c>
    </row>
    <row r="189" spans="2:72">
      <c r="B189" s="29">
        <f>+_xlfn.ISOWEEKNUM(FT_RF_264[[#This Row],[Fecha]])</f>
        <v>52</v>
      </c>
      <c r="E189" s="31"/>
      <c r="F189" s="12" t="str">
        <f>IFERROR(""&amp;_xlfn.XLOOKUP(FT_RF_264[[#This Row],[Código]],BD_Cod[SKU],BD_Cod[Descripción]),"")</f>
        <v/>
      </c>
      <c r="G189" s="32" t="str">
        <f>IFERROR(""&amp;_xlfn.XLOOKUP(FT_RF_264[[#This Row],[Código]],BD_Cod[SKU],BD_Cod[Familia Calidad]),"")</f>
        <v/>
      </c>
      <c r="J189" s="33">
        <v>1000</v>
      </c>
      <c r="L189" s="30" t="s">
        <v>244</v>
      </c>
      <c r="O189" s="30" t="s">
        <v>894</v>
      </c>
      <c r="P189" s="29" t="s">
        <v>894</v>
      </c>
      <c r="Q189" s="37">
        <f>1-FT_RF_264[[#This Row],[% Defectos]]</f>
        <v>1</v>
      </c>
      <c r="R189" s="38">
        <v>0</v>
      </c>
      <c r="S189" s="39">
        <f>+IFERROR((FT_RF_264[[#This Row],[Inmadura]]/FT_RF_264[[#This Row],[Muestra]]),"0")</f>
        <v>0</v>
      </c>
      <c r="T189" s="38">
        <v>0</v>
      </c>
      <c r="U189" s="39">
        <f>+IFERROR((FT_RF_264[[#This Row],[Partidas]]/FT_RF_264[[#This Row],[Muestra]]),"0")</f>
        <v>0</v>
      </c>
      <c r="V189" s="38">
        <v>0</v>
      </c>
      <c r="W189" s="39">
        <f>+IFERROR((FT_RF_264[[#This Row],[Daño Insecto]]/FT_RF_264[[#This Row],[Muestra]]),"0")</f>
        <v>0</v>
      </c>
      <c r="X189" s="38">
        <v>0</v>
      </c>
      <c r="Y189" s="39">
        <f>+IFERROR((FT_RF_264[[#This Row],[Sobremadura]]/FT_RF_264[[#This Row],[Muestra]]),"0")</f>
        <v>0</v>
      </c>
      <c r="Z189" s="38">
        <v>0</v>
      </c>
      <c r="AA189" s="39">
        <f>+IFERROR((FT_RF_264[[#This Row],[Deforme]]/FT_RF_264[[#This Row],[Muestra]]),"0")</f>
        <v>0</v>
      </c>
      <c r="AB189" s="27"/>
      <c r="AC189" s="38">
        <v>0</v>
      </c>
      <c r="AD189" s="39">
        <f>+IFERROR((FT_RF_264[[#This Row],[Valor Extra 1]]/FT_RF_264[[#This Row],[Muestra]]),"0")</f>
        <v>0</v>
      </c>
      <c r="AF189" s="38">
        <v>0</v>
      </c>
      <c r="AG189" s="39">
        <f>+IFERROR((FT_RF_264[[#This Row],[Valor Extra 2]]/FT_RF_264[[#This Row],[Muestra]]),"0")</f>
        <v>0</v>
      </c>
      <c r="AH189" s="40">
        <v>0</v>
      </c>
      <c r="AI189" s="39">
        <f>+IFERROR((FT_RF_264[[#This Row],[Hongos]]/FT_RF_264[[#This Row],[Muestra]]),"0")</f>
        <v>0</v>
      </c>
      <c r="AJ189" s="38">
        <v>0</v>
      </c>
      <c r="AK189" s="39">
        <f>+IFERROR((FT_RF_264[[#This Row],[Block]]/FT_RF_264[[#This Row],[Muestra]]),"0")</f>
        <v>0</v>
      </c>
      <c r="AL189" s="41">
        <v>0</v>
      </c>
      <c r="AM189" s="42">
        <v>0</v>
      </c>
      <c r="AN189" s="38">
        <v>0</v>
      </c>
      <c r="AO189" s="39">
        <f>+IFERROR((FT_RF_264[[#This Row],[Fuera de calibre &lt;12mm]]/FT_RF_264[[#This Row],[Muestra]]),"0")</f>
        <v>0</v>
      </c>
      <c r="AP189" s="38">
        <v>0</v>
      </c>
      <c r="AQ189" s="39">
        <f>+IFERROR((FT_RF_264[[#This Row],[Calibre &lt;25]]/FT_RF_264[[#This Row],[Muestra]]),"0")</f>
        <v>0</v>
      </c>
      <c r="AR189" s="38">
        <v>0</v>
      </c>
      <c r="AS189" s="39">
        <f>+IFERROR((FT_RF_264[[#This Row],[Calibre &gt;12]]/FT_RF_264[[#This Row],[Muestra]]),"0")</f>
        <v>0</v>
      </c>
      <c r="AT189" s="38">
        <v>0</v>
      </c>
      <c r="AU189" s="39">
        <f>+IFERROR((FT_RF_264[[#This Row],[Calibre &lt;14]]/FT_RF_264[[#This Row],[Muestra]]),"0")</f>
        <v>0</v>
      </c>
      <c r="AV189" s="38">
        <v>0</v>
      </c>
      <c r="AW189" s="39">
        <f>+IFERROR((FT_RF_264[[#This Row],[Calibre &gt;14]]/FT_RF_264[[#This Row],[Muestra]]),"0")</f>
        <v>0</v>
      </c>
      <c r="AX189" s="38">
        <v>0</v>
      </c>
      <c r="AY189" s="39">
        <f>+IFERROR((FT_RF_264[[#This Row],[Calibre &lt;10]]/FT_RF_264[[#This Row],[Muestra]]),"0")</f>
        <v>0</v>
      </c>
      <c r="AZ189" s="38">
        <v>0</v>
      </c>
      <c r="BA189" s="39">
        <f>+IFERROR((FT_RF_264[[#This Row],[Calibre &gt;13]]/FT_RF_264[[#This Row],[Muestra]]),"0")</f>
        <v>0</v>
      </c>
      <c r="BB189" s="41"/>
      <c r="BG189" s="42"/>
      <c r="BH189" s="43">
        <v>0</v>
      </c>
      <c r="BI189" s="29" t="s">
        <v>894</v>
      </c>
      <c r="BJ189" s="29" t="s">
        <v>894</v>
      </c>
      <c r="BK18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8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89" s="45">
        <f>1-FT_RF_264[[#This Row],[% Defectos]]</f>
        <v>1</v>
      </c>
      <c r="BO189" s="60"/>
      <c r="BP189" s="12">
        <f>SUM(FT_RF_264[[#This Row],[Hoja (Un.)]:[Larvas Caja]])</f>
        <v>0</v>
      </c>
      <c r="BQ189" s="12">
        <f>SUM(FT_RF_264[[#This Row],[Vidrios]:[Plástico]])</f>
        <v>0</v>
      </c>
      <c r="BR189" s="12" t="str">
        <f>IF(ISBLANK(FT_RF_264[[#This Row],[Descripción del producto]]),"",FT_RF_264[[#This Row],[Descripción del producto]])</f>
        <v/>
      </c>
      <c r="BS189" s="29" t="str">
        <f>IF(ISBLANK(FT_RF_264[[#This Row],[N° de Lote]]),"",FT_RF_264[[#This Row],[N° de Lote]])</f>
        <v/>
      </c>
      <c r="BT189" s="29" t="str">
        <f>IF(ISBLANK(FT_RF_264[[#This Row],[N° de Pallet]]),"",FT_RF_264[[#This Row],[N° de Pallet]])</f>
        <v/>
      </c>
    </row>
    <row r="190" spans="2:72">
      <c r="B190" s="29">
        <f>+_xlfn.ISOWEEKNUM(FT_RF_264[[#This Row],[Fecha]])</f>
        <v>52</v>
      </c>
      <c r="E190" s="31"/>
      <c r="F190" s="12" t="str">
        <f>IFERROR(""&amp;_xlfn.XLOOKUP(FT_RF_264[[#This Row],[Código]],BD_Cod[SKU],BD_Cod[Descripción]),"")</f>
        <v/>
      </c>
      <c r="G190" s="32" t="str">
        <f>IFERROR(""&amp;_xlfn.XLOOKUP(FT_RF_264[[#This Row],[Código]],BD_Cod[SKU],BD_Cod[Familia Calidad]),"")</f>
        <v/>
      </c>
      <c r="J190" s="33">
        <v>1000</v>
      </c>
      <c r="L190" s="30" t="s">
        <v>244</v>
      </c>
      <c r="O190" s="30" t="s">
        <v>894</v>
      </c>
      <c r="P190" s="29" t="s">
        <v>894</v>
      </c>
      <c r="Q190" s="37">
        <f>1-FT_RF_264[[#This Row],[% Defectos]]</f>
        <v>1</v>
      </c>
      <c r="R190" s="38">
        <v>0</v>
      </c>
      <c r="S190" s="39">
        <f>+IFERROR((FT_RF_264[[#This Row],[Inmadura]]/FT_RF_264[[#This Row],[Muestra]]),"0")</f>
        <v>0</v>
      </c>
      <c r="T190" s="38">
        <v>0</v>
      </c>
      <c r="U190" s="39">
        <f>+IFERROR((FT_RF_264[[#This Row],[Partidas]]/FT_RF_264[[#This Row],[Muestra]]),"0")</f>
        <v>0</v>
      </c>
      <c r="V190" s="38">
        <v>0</v>
      </c>
      <c r="W190" s="39">
        <f>+IFERROR((FT_RF_264[[#This Row],[Daño Insecto]]/FT_RF_264[[#This Row],[Muestra]]),"0")</f>
        <v>0</v>
      </c>
      <c r="X190" s="38">
        <v>0</v>
      </c>
      <c r="Y190" s="39">
        <f>+IFERROR((FT_RF_264[[#This Row],[Sobremadura]]/FT_RF_264[[#This Row],[Muestra]]),"0")</f>
        <v>0</v>
      </c>
      <c r="Z190" s="38">
        <v>0</v>
      </c>
      <c r="AA190" s="39">
        <f>+IFERROR((FT_RF_264[[#This Row],[Deforme]]/FT_RF_264[[#This Row],[Muestra]]),"0")</f>
        <v>0</v>
      </c>
      <c r="AB190" s="27"/>
      <c r="AC190" s="38">
        <v>0</v>
      </c>
      <c r="AD190" s="39">
        <f>+IFERROR((FT_RF_264[[#This Row],[Valor Extra 1]]/FT_RF_264[[#This Row],[Muestra]]),"0")</f>
        <v>0</v>
      </c>
      <c r="AF190" s="38">
        <v>0</v>
      </c>
      <c r="AG190" s="39">
        <f>+IFERROR((FT_RF_264[[#This Row],[Valor Extra 2]]/FT_RF_264[[#This Row],[Muestra]]),"0")</f>
        <v>0</v>
      </c>
      <c r="AH190" s="40">
        <v>0</v>
      </c>
      <c r="AI190" s="39">
        <f>+IFERROR((FT_RF_264[[#This Row],[Hongos]]/FT_RF_264[[#This Row],[Muestra]]),"0")</f>
        <v>0</v>
      </c>
      <c r="AJ190" s="38">
        <v>0</v>
      </c>
      <c r="AK190" s="39">
        <f>+IFERROR((FT_RF_264[[#This Row],[Block]]/FT_RF_264[[#This Row],[Muestra]]),"0")</f>
        <v>0</v>
      </c>
      <c r="AL190" s="41">
        <v>0</v>
      </c>
      <c r="AM190" s="42">
        <v>0</v>
      </c>
      <c r="AN190" s="38">
        <v>0</v>
      </c>
      <c r="AO190" s="39">
        <f>+IFERROR((FT_RF_264[[#This Row],[Fuera de calibre &lt;12mm]]/FT_RF_264[[#This Row],[Muestra]]),"0")</f>
        <v>0</v>
      </c>
      <c r="AP190" s="38">
        <v>0</v>
      </c>
      <c r="AQ190" s="39">
        <f>+IFERROR((FT_RF_264[[#This Row],[Calibre &lt;25]]/FT_RF_264[[#This Row],[Muestra]]),"0")</f>
        <v>0</v>
      </c>
      <c r="AR190" s="38">
        <v>0</v>
      </c>
      <c r="AS190" s="39">
        <f>+IFERROR((FT_RF_264[[#This Row],[Calibre &gt;12]]/FT_RF_264[[#This Row],[Muestra]]),"0")</f>
        <v>0</v>
      </c>
      <c r="AT190" s="38">
        <v>0</v>
      </c>
      <c r="AU190" s="39">
        <f>+IFERROR((FT_RF_264[[#This Row],[Calibre &lt;14]]/FT_RF_264[[#This Row],[Muestra]]),"0")</f>
        <v>0</v>
      </c>
      <c r="AV190" s="38">
        <v>0</v>
      </c>
      <c r="AW190" s="39">
        <f>+IFERROR((FT_RF_264[[#This Row],[Calibre &gt;14]]/FT_RF_264[[#This Row],[Muestra]]),"0")</f>
        <v>0</v>
      </c>
      <c r="AX190" s="38">
        <v>0</v>
      </c>
      <c r="AY190" s="39">
        <f>+IFERROR((FT_RF_264[[#This Row],[Calibre &lt;10]]/FT_RF_264[[#This Row],[Muestra]]),"0")</f>
        <v>0</v>
      </c>
      <c r="AZ190" s="38">
        <v>0</v>
      </c>
      <c r="BA190" s="39">
        <f>+IFERROR((FT_RF_264[[#This Row],[Calibre &gt;13]]/FT_RF_264[[#This Row],[Muestra]]),"0")</f>
        <v>0</v>
      </c>
      <c r="BB190" s="41"/>
      <c r="BG190" s="42"/>
      <c r="BH190" s="43">
        <v>0</v>
      </c>
      <c r="BI190" s="29" t="s">
        <v>894</v>
      </c>
      <c r="BJ190" s="29" t="s">
        <v>894</v>
      </c>
      <c r="BK19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9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90" s="45">
        <f>1-FT_RF_264[[#This Row],[% Defectos]]</f>
        <v>1</v>
      </c>
      <c r="BO190" s="60"/>
      <c r="BP190" s="12">
        <f>SUM(FT_RF_264[[#This Row],[Hoja (Un.)]:[Larvas Caja]])</f>
        <v>0</v>
      </c>
      <c r="BQ190" s="12">
        <f>SUM(FT_RF_264[[#This Row],[Vidrios]:[Plástico]])</f>
        <v>0</v>
      </c>
      <c r="BR190" s="12" t="str">
        <f>IF(ISBLANK(FT_RF_264[[#This Row],[Descripción del producto]]),"",FT_RF_264[[#This Row],[Descripción del producto]])</f>
        <v/>
      </c>
      <c r="BS190" s="29" t="str">
        <f>IF(ISBLANK(FT_RF_264[[#This Row],[N° de Lote]]),"",FT_RF_264[[#This Row],[N° de Lote]])</f>
        <v/>
      </c>
      <c r="BT190" s="29" t="str">
        <f>IF(ISBLANK(FT_RF_264[[#This Row],[N° de Pallet]]),"",FT_RF_264[[#This Row],[N° de Pallet]])</f>
        <v/>
      </c>
    </row>
    <row r="191" spans="2:72">
      <c r="B191" s="29">
        <f>+_xlfn.ISOWEEKNUM(FT_RF_264[[#This Row],[Fecha]])</f>
        <v>52</v>
      </c>
      <c r="E191" s="31"/>
      <c r="F191" s="12" t="str">
        <f>IFERROR(""&amp;_xlfn.XLOOKUP(FT_RF_264[[#This Row],[Código]],BD_Cod[SKU],BD_Cod[Descripción]),"")</f>
        <v/>
      </c>
      <c r="G191" s="32" t="str">
        <f>IFERROR(""&amp;_xlfn.XLOOKUP(FT_RF_264[[#This Row],[Código]],BD_Cod[SKU],BD_Cod[Familia Calidad]),"")</f>
        <v/>
      </c>
      <c r="J191" s="33">
        <v>1000</v>
      </c>
      <c r="L191" s="30" t="s">
        <v>244</v>
      </c>
      <c r="O191" s="30" t="s">
        <v>894</v>
      </c>
      <c r="P191" s="29" t="s">
        <v>894</v>
      </c>
      <c r="Q191" s="37">
        <f>1-FT_RF_264[[#This Row],[% Defectos]]</f>
        <v>1</v>
      </c>
      <c r="R191" s="38">
        <v>0</v>
      </c>
      <c r="S191" s="39">
        <f>+IFERROR((FT_RF_264[[#This Row],[Inmadura]]/FT_RF_264[[#This Row],[Muestra]]),"0")</f>
        <v>0</v>
      </c>
      <c r="T191" s="38">
        <v>0</v>
      </c>
      <c r="U191" s="39">
        <f>+IFERROR((FT_RF_264[[#This Row],[Partidas]]/FT_RF_264[[#This Row],[Muestra]]),"0")</f>
        <v>0</v>
      </c>
      <c r="V191" s="38">
        <v>0</v>
      </c>
      <c r="W191" s="39">
        <f>+IFERROR((FT_RF_264[[#This Row],[Daño Insecto]]/FT_RF_264[[#This Row],[Muestra]]),"0")</f>
        <v>0</v>
      </c>
      <c r="X191" s="38">
        <v>0</v>
      </c>
      <c r="Y191" s="39">
        <f>+IFERROR((FT_RF_264[[#This Row],[Sobremadura]]/FT_RF_264[[#This Row],[Muestra]]),"0")</f>
        <v>0</v>
      </c>
      <c r="Z191" s="38">
        <v>0</v>
      </c>
      <c r="AA191" s="39">
        <f>+IFERROR((FT_RF_264[[#This Row],[Deforme]]/FT_RF_264[[#This Row],[Muestra]]),"0")</f>
        <v>0</v>
      </c>
      <c r="AB191" s="27"/>
      <c r="AC191" s="38">
        <v>0</v>
      </c>
      <c r="AD191" s="39">
        <f>+IFERROR((FT_RF_264[[#This Row],[Valor Extra 1]]/FT_RF_264[[#This Row],[Muestra]]),"0")</f>
        <v>0</v>
      </c>
      <c r="AF191" s="38">
        <v>0</v>
      </c>
      <c r="AG191" s="39">
        <f>+IFERROR((FT_RF_264[[#This Row],[Valor Extra 2]]/FT_RF_264[[#This Row],[Muestra]]),"0")</f>
        <v>0</v>
      </c>
      <c r="AH191" s="40">
        <v>0</v>
      </c>
      <c r="AI191" s="39">
        <f>+IFERROR((FT_RF_264[[#This Row],[Hongos]]/FT_RF_264[[#This Row],[Muestra]]),"0")</f>
        <v>0</v>
      </c>
      <c r="AJ191" s="38">
        <v>0</v>
      </c>
      <c r="AK191" s="39">
        <f>+IFERROR((FT_RF_264[[#This Row],[Block]]/FT_RF_264[[#This Row],[Muestra]]),"0")</f>
        <v>0</v>
      </c>
      <c r="AL191" s="41">
        <v>0</v>
      </c>
      <c r="AM191" s="42">
        <v>0</v>
      </c>
      <c r="AN191" s="38">
        <v>0</v>
      </c>
      <c r="AO191" s="39">
        <f>+IFERROR((FT_RF_264[[#This Row],[Fuera de calibre &lt;12mm]]/FT_RF_264[[#This Row],[Muestra]]),"0")</f>
        <v>0</v>
      </c>
      <c r="AP191" s="38">
        <v>0</v>
      </c>
      <c r="AQ191" s="39">
        <f>+IFERROR((FT_RF_264[[#This Row],[Calibre &lt;25]]/FT_RF_264[[#This Row],[Muestra]]),"0")</f>
        <v>0</v>
      </c>
      <c r="AR191" s="38">
        <v>0</v>
      </c>
      <c r="AS191" s="39">
        <f>+IFERROR((FT_RF_264[[#This Row],[Calibre &gt;12]]/FT_RF_264[[#This Row],[Muestra]]),"0")</f>
        <v>0</v>
      </c>
      <c r="AT191" s="38">
        <v>0</v>
      </c>
      <c r="AU191" s="39">
        <f>+IFERROR((FT_RF_264[[#This Row],[Calibre &lt;14]]/FT_RF_264[[#This Row],[Muestra]]),"0")</f>
        <v>0</v>
      </c>
      <c r="AV191" s="38">
        <v>0</v>
      </c>
      <c r="AW191" s="39">
        <f>+IFERROR((FT_RF_264[[#This Row],[Calibre &gt;14]]/FT_RF_264[[#This Row],[Muestra]]),"0")</f>
        <v>0</v>
      </c>
      <c r="AX191" s="38">
        <v>0</v>
      </c>
      <c r="AY191" s="39">
        <f>+IFERROR((FT_RF_264[[#This Row],[Calibre &lt;10]]/FT_RF_264[[#This Row],[Muestra]]),"0")</f>
        <v>0</v>
      </c>
      <c r="AZ191" s="38">
        <v>0</v>
      </c>
      <c r="BA191" s="39">
        <f>+IFERROR((FT_RF_264[[#This Row],[Calibre &gt;13]]/FT_RF_264[[#This Row],[Muestra]]),"0")</f>
        <v>0</v>
      </c>
      <c r="BB191" s="41"/>
      <c r="BG191" s="42"/>
      <c r="BH191" s="43">
        <v>0</v>
      </c>
      <c r="BI191" s="29" t="s">
        <v>894</v>
      </c>
      <c r="BJ191" s="29" t="s">
        <v>894</v>
      </c>
      <c r="BK19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9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91" s="45">
        <f>1-FT_RF_264[[#This Row],[% Defectos]]</f>
        <v>1</v>
      </c>
      <c r="BO191" s="60"/>
      <c r="BP191" s="12">
        <f>SUM(FT_RF_264[[#This Row],[Hoja (Un.)]:[Larvas Caja]])</f>
        <v>0</v>
      </c>
      <c r="BQ191" s="12">
        <f>SUM(FT_RF_264[[#This Row],[Vidrios]:[Plástico]])</f>
        <v>0</v>
      </c>
      <c r="BR191" s="12" t="str">
        <f>IF(ISBLANK(FT_RF_264[[#This Row],[Descripción del producto]]),"",FT_RF_264[[#This Row],[Descripción del producto]])</f>
        <v/>
      </c>
      <c r="BS191" s="29" t="str">
        <f>IF(ISBLANK(FT_RF_264[[#This Row],[N° de Lote]]),"",FT_RF_264[[#This Row],[N° de Lote]])</f>
        <v/>
      </c>
      <c r="BT191" s="29" t="str">
        <f>IF(ISBLANK(FT_RF_264[[#This Row],[N° de Pallet]]),"",FT_RF_264[[#This Row],[N° de Pallet]])</f>
        <v/>
      </c>
    </row>
    <row r="192" spans="2:72">
      <c r="B192" s="29">
        <f>+_xlfn.ISOWEEKNUM(FT_RF_264[[#This Row],[Fecha]])</f>
        <v>52</v>
      </c>
      <c r="E192" s="31"/>
      <c r="F192" s="12" t="str">
        <f>IFERROR(""&amp;_xlfn.XLOOKUP(FT_RF_264[[#This Row],[Código]],BD_Cod[SKU],BD_Cod[Descripción]),"")</f>
        <v/>
      </c>
      <c r="G192" s="32" t="str">
        <f>IFERROR(""&amp;_xlfn.XLOOKUP(FT_RF_264[[#This Row],[Código]],BD_Cod[SKU],BD_Cod[Familia Calidad]),"")</f>
        <v/>
      </c>
      <c r="J192" s="33">
        <v>1000</v>
      </c>
      <c r="L192" s="30" t="s">
        <v>244</v>
      </c>
      <c r="O192" s="30" t="s">
        <v>894</v>
      </c>
      <c r="P192" s="29" t="s">
        <v>894</v>
      </c>
      <c r="Q192" s="37">
        <f>1-FT_RF_264[[#This Row],[% Defectos]]</f>
        <v>1</v>
      </c>
      <c r="R192" s="38">
        <v>0</v>
      </c>
      <c r="S192" s="39">
        <f>+IFERROR((FT_RF_264[[#This Row],[Inmadura]]/FT_RF_264[[#This Row],[Muestra]]),"0")</f>
        <v>0</v>
      </c>
      <c r="T192" s="38">
        <v>0</v>
      </c>
      <c r="U192" s="39">
        <f>+IFERROR((FT_RF_264[[#This Row],[Partidas]]/FT_RF_264[[#This Row],[Muestra]]),"0")</f>
        <v>0</v>
      </c>
      <c r="V192" s="38">
        <v>0</v>
      </c>
      <c r="W192" s="39">
        <f>+IFERROR((FT_RF_264[[#This Row],[Daño Insecto]]/FT_RF_264[[#This Row],[Muestra]]),"0")</f>
        <v>0</v>
      </c>
      <c r="X192" s="38">
        <v>0</v>
      </c>
      <c r="Y192" s="39">
        <f>+IFERROR((FT_RF_264[[#This Row],[Sobremadura]]/FT_RF_264[[#This Row],[Muestra]]),"0")</f>
        <v>0</v>
      </c>
      <c r="Z192" s="38">
        <v>0</v>
      </c>
      <c r="AA192" s="39">
        <f>+IFERROR((FT_RF_264[[#This Row],[Deforme]]/FT_RF_264[[#This Row],[Muestra]]),"0")</f>
        <v>0</v>
      </c>
      <c r="AB192" s="27"/>
      <c r="AC192" s="38">
        <v>0</v>
      </c>
      <c r="AD192" s="39">
        <f>+IFERROR((FT_RF_264[[#This Row],[Valor Extra 1]]/FT_RF_264[[#This Row],[Muestra]]),"0")</f>
        <v>0</v>
      </c>
      <c r="AF192" s="38">
        <v>0</v>
      </c>
      <c r="AG192" s="39">
        <f>+IFERROR((FT_RF_264[[#This Row],[Valor Extra 2]]/FT_RF_264[[#This Row],[Muestra]]),"0")</f>
        <v>0</v>
      </c>
      <c r="AH192" s="40">
        <v>0</v>
      </c>
      <c r="AI192" s="39">
        <f>+IFERROR((FT_RF_264[[#This Row],[Hongos]]/FT_RF_264[[#This Row],[Muestra]]),"0")</f>
        <v>0</v>
      </c>
      <c r="AJ192" s="38">
        <v>0</v>
      </c>
      <c r="AK192" s="39">
        <f>+IFERROR((FT_RF_264[[#This Row],[Block]]/FT_RF_264[[#This Row],[Muestra]]),"0")</f>
        <v>0</v>
      </c>
      <c r="AL192" s="41">
        <v>0</v>
      </c>
      <c r="AM192" s="42">
        <v>0</v>
      </c>
      <c r="AN192" s="38">
        <v>0</v>
      </c>
      <c r="AO192" s="39">
        <f>+IFERROR((FT_RF_264[[#This Row],[Fuera de calibre &lt;12mm]]/FT_RF_264[[#This Row],[Muestra]]),"0")</f>
        <v>0</v>
      </c>
      <c r="AP192" s="38">
        <v>0</v>
      </c>
      <c r="AQ192" s="39">
        <f>+IFERROR((FT_RF_264[[#This Row],[Calibre &lt;25]]/FT_RF_264[[#This Row],[Muestra]]),"0")</f>
        <v>0</v>
      </c>
      <c r="AR192" s="38">
        <v>0</v>
      </c>
      <c r="AS192" s="39">
        <f>+IFERROR((FT_RF_264[[#This Row],[Calibre &gt;12]]/FT_RF_264[[#This Row],[Muestra]]),"0")</f>
        <v>0</v>
      </c>
      <c r="AT192" s="38">
        <v>0</v>
      </c>
      <c r="AU192" s="39">
        <f>+IFERROR((FT_RF_264[[#This Row],[Calibre &lt;14]]/FT_RF_264[[#This Row],[Muestra]]),"0")</f>
        <v>0</v>
      </c>
      <c r="AV192" s="38">
        <v>0</v>
      </c>
      <c r="AW192" s="39">
        <f>+IFERROR((FT_RF_264[[#This Row],[Calibre &gt;14]]/FT_RF_264[[#This Row],[Muestra]]),"0")</f>
        <v>0</v>
      </c>
      <c r="AX192" s="38">
        <v>0</v>
      </c>
      <c r="AY192" s="39">
        <f>+IFERROR((FT_RF_264[[#This Row],[Calibre &lt;10]]/FT_RF_264[[#This Row],[Muestra]]),"0")</f>
        <v>0</v>
      </c>
      <c r="AZ192" s="38">
        <v>0</v>
      </c>
      <c r="BA192" s="39">
        <f>+IFERROR((FT_RF_264[[#This Row],[Calibre &gt;13]]/FT_RF_264[[#This Row],[Muestra]]),"0")</f>
        <v>0</v>
      </c>
      <c r="BB192" s="41"/>
      <c r="BG192" s="42"/>
      <c r="BH192" s="43">
        <v>0</v>
      </c>
      <c r="BI192" s="29" t="s">
        <v>894</v>
      </c>
      <c r="BJ192" s="29" t="s">
        <v>894</v>
      </c>
      <c r="BK19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9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92" s="45">
        <f>1-FT_RF_264[[#This Row],[% Defectos]]</f>
        <v>1</v>
      </c>
      <c r="BO192" s="60"/>
      <c r="BP192" s="12">
        <f>SUM(FT_RF_264[[#This Row],[Hoja (Un.)]:[Larvas Caja]])</f>
        <v>0</v>
      </c>
      <c r="BQ192" s="12">
        <f>SUM(FT_RF_264[[#This Row],[Vidrios]:[Plástico]])</f>
        <v>0</v>
      </c>
      <c r="BR192" s="12" t="str">
        <f>IF(ISBLANK(FT_RF_264[[#This Row],[Descripción del producto]]),"",FT_RF_264[[#This Row],[Descripción del producto]])</f>
        <v/>
      </c>
      <c r="BS192" s="29" t="str">
        <f>IF(ISBLANK(FT_RF_264[[#This Row],[N° de Lote]]),"",FT_RF_264[[#This Row],[N° de Lote]])</f>
        <v/>
      </c>
      <c r="BT192" s="29" t="str">
        <f>IF(ISBLANK(FT_RF_264[[#This Row],[N° de Pallet]]),"",FT_RF_264[[#This Row],[N° de Pallet]])</f>
        <v/>
      </c>
    </row>
    <row r="193" spans="2:72">
      <c r="B193" s="29">
        <f>+_xlfn.ISOWEEKNUM(FT_RF_264[[#This Row],[Fecha]])</f>
        <v>52</v>
      </c>
      <c r="E193" s="31"/>
      <c r="F193" s="12" t="str">
        <f>IFERROR(""&amp;_xlfn.XLOOKUP(FT_RF_264[[#This Row],[Código]],BD_Cod[SKU],BD_Cod[Descripción]),"")</f>
        <v/>
      </c>
      <c r="G193" s="32" t="str">
        <f>IFERROR(""&amp;_xlfn.XLOOKUP(FT_RF_264[[#This Row],[Código]],BD_Cod[SKU],BD_Cod[Familia Calidad]),"")</f>
        <v/>
      </c>
      <c r="J193" s="33">
        <v>1000</v>
      </c>
      <c r="L193" s="30" t="s">
        <v>244</v>
      </c>
      <c r="O193" s="30" t="s">
        <v>894</v>
      </c>
      <c r="P193" s="29" t="s">
        <v>894</v>
      </c>
      <c r="Q193" s="37">
        <f>1-FT_RF_264[[#This Row],[% Defectos]]</f>
        <v>1</v>
      </c>
      <c r="R193" s="38">
        <v>0</v>
      </c>
      <c r="S193" s="39">
        <f>+IFERROR((FT_RF_264[[#This Row],[Inmadura]]/FT_RF_264[[#This Row],[Muestra]]),"0")</f>
        <v>0</v>
      </c>
      <c r="T193" s="38">
        <v>0</v>
      </c>
      <c r="U193" s="39">
        <f>+IFERROR((FT_RF_264[[#This Row],[Partidas]]/FT_RF_264[[#This Row],[Muestra]]),"0")</f>
        <v>0</v>
      </c>
      <c r="V193" s="38">
        <v>0</v>
      </c>
      <c r="W193" s="39">
        <f>+IFERROR((FT_RF_264[[#This Row],[Daño Insecto]]/FT_RF_264[[#This Row],[Muestra]]),"0")</f>
        <v>0</v>
      </c>
      <c r="X193" s="38">
        <v>0</v>
      </c>
      <c r="Y193" s="39">
        <f>+IFERROR((FT_RF_264[[#This Row],[Sobremadura]]/FT_RF_264[[#This Row],[Muestra]]),"0")</f>
        <v>0</v>
      </c>
      <c r="Z193" s="38">
        <v>0</v>
      </c>
      <c r="AA193" s="39">
        <f>+IFERROR((FT_RF_264[[#This Row],[Deforme]]/FT_RF_264[[#This Row],[Muestra]]),"0")</f>
        <v>0</v>
      </c>
      <c r="AB193" s="27"/>
      <c r="AC193" s="38">
        <v>0</v>
      </c>
      <c r="AD193" s="39">
        <f>+IFERROR((FT_RF_264[[#This Row],[Valor Extra 1]]/FT_RF_264[[#This Row],[Muestra]]),"0")</f>
        <v>0</v>
      </c>
      <c r="AF193" s="38">
        <v>0</v>
      </c>
      <c r="AG193" s="39">
        <f>+IFERROR((FT_RF_264[[#This Row],[Valor Extra 2]]/FT_RF_264[[#This Row],[Muestra]]),"0")</f>
        <v>0</v>
      </c>
      <c r="AH193" s="40">
        <v>0</v>
      </c>
      <c r="AI193" s="39">
        <f>+IFERROR((FT_RF_264[[#This Row],[Hongos]]/FT_RF_264[[#This Row],[Muestra]]),"0")</f>
        <v>0</v>
      </c>
      <c r="AJ193" s="38">
        <v>0</v>
      </c>
      <c r="AK193" s="39">
        <f>+IFERROR((FT_RF_264[[#This Row],[Block]]/FT_RF_264[[#This Row],[Muestra]]),"0")</f>
        <v>0</v>
      </c>
      <c r="AL193" s="41">
        <v>0</v>
      </c>
      <c r="AM193" s="42">
        <v>0</v>
      </c>
      <c r="AN193" s="38">
        <v>0</v>
      </c>
      <c r="AO193" s="39">
        <f>+IFERROR((FT_RF_264[[#This Row],[Fuera de calibre &lt;12mm]]/FT_RF_264[[#This Row],[Muestra]]),"0")</f>
        <v>0</v>
      </c>
      <c r="AP193" s="38">
        <v>0</v>
      </c>
      <c r="AQ193" s="39">
        <f>+IFERROR((FT_RF_264[[#This Row],[Calibre &lt;25]]/FT_RF_264[[#This Row],[Muestra]]),"0")</f>
        <v>0</v>
      </c>
      <c r="AR193" s="38">
        <v>0</v>
      </c>
      <c r="AS193" s="39">
        <f>+IFERROR((FT_RF_264[[#This Row],[Calibre &gt;12]]/FT_RF_264[[#This Row],[Muestra]]),"0")</f>
        <v>0</v>
      </c>
      <c r="AT193" s="38">
        <v>0</v>
      </c>
      <c r="AU193" s="39">
        <f>+IFERROR((FT_RF_264[[#This Row],[Calibre &lt;14]]/FT_RF_264[[#This Row],[Muestra]]),"0")</f>
        <v>0</v>
      </c>
      <c r="AV193" s="38">
        <v>0</v>
      </c>
      <c r="AW193" s="39">
        <f>+IFERROR((FT_RF_264[[#This Row],[Calibre &gt;14]]/FT_RF_264[[#This Row],[Muestra]]),"0")</f>
        <v>0</v>
      </c>
      <c r="AX193" s="38">
        <v>0</v>
      </c>
      <c r="AY193" s="39">
        <f>+IFERROR((FT_RF_264[[#This Row],[Calibre &lt;10]]/FT_RF_264[[#This Row],[Muestra]]),"0")</f>
        <v>0</v>
      </c>
      <c r="AZ193" s="38">
        <v>0</v>
      </c>
      <c r="BA193" s="39">
        <f>+IFERROR((FT_RF_264[[#This Row],[Calibre &gt;13]]/FT_RF_264[[#This Row],[Muestra]]),"0")</f>
        <v>0</v>
      </c>
      <c r="BB193" s="41"/>
      <c r="BG193" s="42"/>
      <c r="BH193" s="43">
        <v>0</v>
      </c>
      <c r="BI193" s="29" t="s">
        <v>894</v>
      </c>
      <c r="BJ193" s="29" t="s">
        <v>894</v>
      </c>
      <c r="BK19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9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93" s="45">
        <f>1-FT_RF_264[[#This Row],[% Defectos]]</f>
        <v>1</v>
      </c>
      <c r="BO193" s="60"/>
      <c r="BP193" s="12">
        <f>SUM(FT_RF_264[[#This Row],[Hoja (Un.)]:[Larvas Caja]])</f>
        <v>0</v>
      </c>
      <c r="BQ193" s="12">
        <f>SUM(FT_RF_264[[#This Row],[Vidrios]:[Plástico]])</f>
        <v>0</v>
      </c>
      <c r="BR193" s="12" t="str">
        <f>IF(ISBLANK(FT_RF_264[[#This Row],[Descripción del producto]]),"",FT_RF_264[[#This Row],[Descripción del producto]])</f>
        <v/>
      </c>
      <c r="BS193" s="29" t="str">
        <f>IF(ISBLANK(FT_RF_264[[#This Row],[N° de Lote]]),"",FT_RF_264[[#This Row],[N° de Lote]])</f>
        <v/>
      </c>
      <c r="BT193" s="29" t="str">
        <f>IF(ISBLANK(FT_RF_264[[#This Row],[N° de Pallet]]),"",FT_RF_264[[#This Row],[N° de Pallet]])</f>
        <v/>
      </c>
    </row>
    <row r="194" spans="2:72">
      <c r="B194" s="29">
        <f>+_xlfn.ISOWEEKNUM(FT_RF_264[[#This Row],[Fecha]])</f>
        <v>52</v>
      </c>
      <c r="E194" s="31"/>
      <c r="F194" s="12" t="str">
        <f>IFERROR(""&amp;_xlfn.XLOOKUP(FT_RF_264[[#This Row],[Código]],BD_Cod[SKU],BD_Cod[Descripción]),"")</f>
        <v/>
      </c>
      <c r="G194" s="32" t="str">
        <f>IFERROR(""&amp;_xlfn.XLOOKUP(FT_RF_264[[#This Row],[Código]],BD_Cod[SKU],BD_Cod[Familia Calidad]),"")</f>
        <v/>
      </c>
      <c r="J194" s="33">
        <v>1000</v>
      </c>
      <c r="L194" s="30" t="s">
        <v>244</v>
      </c>
      <c r="O194" s="30" t="s">
        <v>894</v>
      </c>
      <c r="P194" s="29" t="s">
        <v>894</v>
      </c>
      <c r="Q194" s="37">
        <f>1-FT_RF_264[[#This Row],[% Defectos]]</f>
        <v>1</v>
      </c>
      <c r="R194" s="38">
        <v>0</v>
      </c>
      <c r="S194" s="39">
        <f>+IFERROR((FT_RF_264[[#This Row],[Inmadura]]/FT_RF_264[[#This Row],[Muestra]]),"0")</f>
        <v>0</v>
      </c>
      <c r="T194" s="38">
        <v>0</v>
      </c>
      <c r="U194" s="39">
        <f>+IFERROR((FT_RF_264[[#This Row],[Partidas]]/FT_RF_264[[#This Row],[Muestra]]),"0")</f>
        <v>0</v>
      </c>
      <c r="V194" s="38">
        <v>0</v>
      </c>
      <c r="W194" s="39">
        <f>+IFERROR((FT_RF_264[[#This Row],[Daño Insecto]]/FT_RF_264[[#This Row],[Muestra]]),"0")</f>
        <v>0</v>
      </c>
      <c r="X194" s="38">
        <v>0</v>
      </c>
      <c r="Y194" s="39">
        <f>+IFERROR((FT_RF_264[[#This Row],[Sobremadura]]/FT_RF_264[[#This Row],[Muestra]]),"0")</f>
        <v>0</v>
      </c>
      <c r="Z194" s="38">
        <v>0</v>
      </c>
      <c r="AA194" s="39">
        <f>+IFERROR((FT_RF_264[[#This Row],[Deforme]]/FT_RF_264[[#This Row],[Muestra]]),"0")</f>
        <v>0</v>
      </c>
      <c r="AB194" s="27"/>
      <c r="AC194" s="38">
        <v>0</v>
      </c>
      <c r="AD194" s="39">
        <f>+IFERROR((FT_RF_264[[#This Row],[Valor Extra 1]]/FT_RF_264[[#This Row],[Muestra]]),"0")</f>
        <v>0</v>
      </c>
      <c r="AF194" s="38">
        <v>0</v>
      </c>
      <c r="AG194" s="39">
        <f>+IFERROR((FT_RF_264[[#This Row],[Valor Extra 2]]/FT_RF_264[[#This Row],[Muestra]]),"0")</f>
        <v>0</v>
      </c>
      <c r="AH194" s="40">
        <v>0</v>
      </c>
      <c r="AI194" s="39">
        <f>+IFERROR((FT_RF_264[[#This Row],[Hongos]]/FT_RF_264[[#This Row],[Muestra]]),"0")</f>
        <v>0</v>
      </c>
      <c r="AJ194" s="38">
        <v>0</v>
      </c>
      <c r="AK194" s="39">
        <f>+IFERROR((FT_RF_264[[#This Row],[Block]]/FT_RF_264[[#This Row],[Muestra]]),"0")</f>
        <v>0</v>
      </c>
      <c r="AL194" s="41">
        <v>0</v>
      </c>
      <c r="AM194" s="42">
        <v>0</v>
      </c>
      <c r="AN194" s="38">
        <v>0</v>
      </c>
      <c r="AO194" s="39">
        <f>+IFERROR((FT_RF_264[[#This Row],[Fuera de calibre &lt;12mm]]/FT_RF_264[[#This Row],[Muestra]]),"0")</f>
        <v>0</v>
      </c>
      <c r="AP194" s="38">
        <v>0</v>
      </c>
      <c r="AQ194" s="39">
        <f>+IFERROR((FT_RF_264[[#This Row],[Calibre &lt;25]]/FT_RF_264[[#This Row],[Muestra]]),"0")</f>
        <v>0</v>
      </c>
      <c r="AR194" s="38">
        <v>0</v>
      </c>
      <c r="AS194" s="39">
        <f>+IFERROR((FT_RF_264[[#This Row],[Calibre &gt;12]]/FT_RF_264[[#This Row],[Muestra]]),"0")</f>
        <v>0</v>
      </c>
      <c r="AT194" s="38">
        <v>0</v>
      </c>
      <c r="AU194" s="39">
        <f>+IFERROR((FT_RF_264[[#This Row],[Calibre &lt;14]]/FT_RF_264[[#This Row],[Muestra]]),"0")</f>
        <v>0</v>
      </c>
      <c r="AV194" s="38">
        <v>0</v>
      </c>
      <c r="AW194" s="39">
        <f>+IFERROR((FT_RF_264[[#This Row],[Calibre &gt;14]]/FT_RF_264[[#This Row],[Muestra]]),"0")</f>
        <v>0</v>
      </c>
      <c r="AX194" s="38">
        <v>0</v>
      </c>
      <c r="AY194" s="39">
        <f>+IFERROR((FT_RF_264[[#This Row],[Calibre &lt;10]]/FT_RF_264[[#This Row],[Muestra]]),"0")</f>
        <v>0</v>
      </c>
      <c r="AZ194" s="38">
        <v>0</v>
      </c>
      <c r="BA194" s="39">
        <f>+IFERROR((FT_RF_264[[#This Row],[Calibre &gt;13]]/FT_RF_264[[#This Row],[Muestra]]),"0")</f>
        <v>0</v>
      </c>
      <c r="BB194" s="41"/>
      <c r="BG194" s="42"/>
      <c r="BH194" s="43">
        <v>0</v>
      </c>
      <c r="BI194" s="29" t="s">
        <v>894</v>
      </c>
      <c r="BJ194" s="29" t="s">
        <v>894</v>
      </c>
      <c r="BK19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9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94" s="45">
        <f>1-FT_RF_264[[#This Row],[% Defectos]]</f>
        <v>1</v>
      </c>
      <c r="BO194" s="60"/>
      <c r="BP194" s="12">
        <f>SUM(FT_RF_264[[#This Row],[Hoja (Un.)]:[Larvas Caja]])</f>
        <v>0</v>
      </c>
      <c r="BQ194" s="12">
        <f>SUM(FT_RF_264[[#This Row],[Vidrios]:[Plástico]])</f>
        <v>0</v>
      </c>
      <c r="BR194" s="12" t="str">
        <f>IF(ISBLANK(FT_RF_264[[#This Row],[Descripción del producto]]),"",FT_RF_264[[#This Row],[Descripción del producto]])</f>
        <v/>
      </c>
      <c r="BS194" s="29" t="str">
        <f>IF(ISBLANK(FT_RF_264[[#This Row],[N° de Lote]]),"",FT_RF_264[[#This Row],[N° de Lote]])</f>
        <v/>
      </c>
      <c r="BT194" s="29" t="str">
        <f>IF(ISBLANK(FT_RF_264[[#This Row],[N° de Pallet]]),"",FT_RF_264[[#This Row],[N° de Pallet]])</f>
        <v/>
      </c>
    </row>
    <row r="195" spans="2:72">
      <c r="B195" s="29">
        <f>+_xlfn.ISOWEEKNUM(FT_RF_264[[#This Row],[Fecha]])</f>
        <v>52</v>
      </c>
      <c r="E195" s="31"/>
      <c r="F195" s="12" t="str">
        <f>IFERROR(""&amp;_xlfn.XLOOKUP(FT_RF_264[[#This Row],[Código]],BD_Cod[SKU],BD_Cod[Descripción]),"")</f>
        <v/>
      </c>
      <c r="G195" s="32" t="str">
        <f>IFERROR(""&amp;_xlfn.XLOOKUP(FT_RF_264[[#This Row],[Código]],BD_Cod[SKU],BD_Cod[Familia Calidad]),"")</f>
        <v/>
      </c>
      <c r="J195" s="33">
        <v>1000</v>
      </c>
      <c r="L195" s="30" t="s">
        <v>244</v>
      </c>
      <c r="O195" s="30" t="s">
        <v>894</v>
      </c>
      <c r="P195" s="29" t="s">
        <v>894</v>
      </c>
      <c r="Q195" s="37">
        <f>1-FT_RF_264[[#This Row],[% Defectos]]</f>
        <v>1</v>
      </c>
      <c r="R195" s="38">
        <v>0</v>
      </c>
      <c r="S195" s="39">
        <f>+IFERROR((FT_RF_264[[#This Row],[Inmadura]]/FT_RF_264[[#This Row],[Muestra]]),"0")</f>
        <v>0</v>
      </c>
      <c r="T195" s="38">
        <v>0</v>
      </c>
      <c r="U195" s="39">
        <f>+IFERROR((FT_RF_264[[#This Row],[Partidas]]/FT_RF_264[[#This Row],[Muestra]]),"0")</f>
        <v>0</v>
      </c>
      <c r="V195" s="38">
        <v>0</v>
      </c>
      <c r="W195" s="39">
        <f>+IFERROR((FT_RF_264[[#This Row],[Daño Insecto]]/FT_RF_264[[#This Row],[Muestra]]),"0")</f>
        <v>0</v>
      </c>
      <c r="X195" s="38">
        <v>0</v>
      </c>
      <c r="Y195" s="39">
        <f>+IFERROR((FT_RF_264[[#This Row],[Sobremadura]]/FT_RF_264[[#This Row],[Muestra]]),"0")</f>
        <v>0</v>
      </c>
      <c r="Z195" s="38">
        <v>0</v>
      </c>
      <c r="AA195" s="39">
        <f>+IFERROR((FT_RF_264[[#This Row],[Deforme]]/FT_RF_264[[#This Row],[Muestra]]),"0")</f>
        <v>0</v>
      </c>
      <c r="AB195" s="27"/>
      <c r="AC195" s="38">
        <v>0</v>
      </c>
      <c r="AD195" s="39">
        <f>+IFERROR((FT_RF_264[[#This Row],[Valor Extra 1]]/FT_RF_264[[#This Row],[Muestra]]),"0")</f>
        <v>0</v>
      </c>
      <c r="AF195" s="38">
        <v>0</v>
      </c>
      <c r="AG195" s="39">
        <f>+IFERROR((FT_RF_264[[#This Row],[Valor Extra 2]]/FT_RF_264[[#This Row],[Muestra]]),"0")</f>
        <v>0</v>
      </c>
      <c r="AH195" s="40">
        <v>0</v>
      </c>
      <c r="AI195" s="39">
        <f>+IFERROR((FT_RF_264[[#This Row],[Hongos]]/FT_RF_264[[#This Row],[Muestra]]),"0")</f>
        <v>0</v>
      </c>
      <c r="AJ195" s="38">
        <v>0</v>
      </c>
      <c r="AK195" s="39">
        <f>+IFERROR((FT_RF_264[[#This Row],[Block]]/FT_RF_264[[#This Row],[Muestra]]),"0")</f>
        <v>0</v>
      </c>
      <c r="AL195" s="41">
        <v>0</v>
      </c>
      <c r="AM195" s="42">
        <v>0</v>
      </c>
      <c r="AN195" s="38">
        <v>0</v>
      </c>
      <c r="AO195" s="39">
        <f>+IFERROR((FT_RF_264[[#This Row],[Fuera de calibre &lt;12mm]]/FT_RF_264[[#This Row],[Muestra]]),"0")</f>
        <v>0</v>
      </c>
      <c r="AP195" s="38">
        <v>0</v>
      </c>
      <c r="AQ195" s="39">
        <f>+IFERROR((FT_RF_264[[#This Row],[Calibre &lt;25]]/FT_RF_264[[#This Row],[Muestra]]),"0")</f>
        <v>0</v>
      </c>
      <c r="AR195" s="38">
        <v>0</v>
      </c>
      <c r="AS195" s="39">
        <f>+IFERROR((FT_RF_264[[#This Row],[Calibre &gt;12]]/FT_RF_264[[#This Row],[Muestra]]),"0")</f>
        <v>0</v>
      </c>
      <c r="AT195" s="38">
        <v>0</v>
      </c>
      <c r="AU195" s="39">
        <f>+IFERROR((FT_RF_264[[#This Row],[Calibre &lt;14]]/FT_RF_264[[#This Row],[Muestra]]),"0")</f>
        <v>0</v>
      </c>
      <c r="AV195" s="38">
        <v>0</v>
      </c>
      <c r="AW195" s="39">
        <f>+IFERROR((FT_RF_264[[#This Row],[Calibre &gt;14]]/FT_RF_264[[#This Row],[Muestra]]),"0")</f>
        <v>0</v>
      </c>
      <c r="AX195" s="38">
        <v>0</v>
      </c>
      <c r="AY195" s="39">
        <f>+IFERROR((FT_RF_264[[#This Row],[Calibre &lt;10]]/FT_RF_264[[#This Row],[Muestra]]),"0")</f>
        <v>0</v>
      </c>
      <c r="AZ195" s="38">
        <v>0</v>
      </c>
      <c r="BA195" s="39">
        <f>+IFERROR((FT_RF_264[[#This Row],[Calibre &gt;13]]/FT_RF_264[[#This Row],[Muestra]]),"0")</f>
        <v>0</v>
      </c>
      <c r="BB195" s="41"/>
      <c r="BG195" s="42"/>
      <c r="BH195" s="43">
        <v>0</v>
      </c>
      <c r="BI195" s="29" t="s">
        <v>894</v>
      </c>
      <c r="BJ195" s="29" t="s">
        <v>894</v>
      </c>
      <c r="BK19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9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95" s="45">
        <f>1-FT_RF_264[[#This Row],[% Defectos]]</f>
        <v>1</v>
      </c>
      <c r="BO195" s="60"/>
      <c r="BP195" s="12">
        <f>SUM(FT_RF_264[[#This Row],[Hoja (Un.)]:[Larvas Caja]])</f>
        <v>0</v>
      </c>
      <c r="BQ195" s="12">
        <f>SUM(FT_RF_264[[#This Row],[Vidrios]:[Plástico]])</f>
        <v>0</v>
      </c>
      <c r="BR195" s="12" t="str">
        <f>IF(ISBLANK(FT_RF_264[[#This Row],[Descripción del producto]]),"",FT_RF_264[[#This Row],[Descripción del producto]])</f>
        <v/>
      </c>
      <c r="BS195" s="29" t="str">
        <f>IF(ISBLANK(FT_RF_264[[#This Row],[N° de Lote]]),"",FT_RF_264[[#This Row],[N° de Lote]])</f>
        <v/>
      </c>
      <c r="BT195" s="29" t="str">
        <f>IF(ISBLANK(FT_RF_264[[#This Row],[N° de Pallet]]),"",FT_RF_264[[#This Row],[N° de Pallet]])</f>
        <v/>
      </c>
    </row>
    <row r="196" spans="2:72">
      <c r="B196" s="29">
        <f>+_xlfn.ISOWEEKNUM(FT_RF_264[[#This Row],[Fecha]])</f>
        <v>52</v>
      </c>
      <c r="E196" s="31"/>
      <c r="F196" s="12" t="str">
        <f>IFERROR(""&amp;_xlfn.XLOOKUP(FT_RF_264[[#This Row],[Código]],BD_Cod[SKU],BD_Cod[Descripción]),"")</f>
        <v/>
      </c>
      <c r="G196" s="32" t="str">
        <f>IFERROR(""&amp;_xlfn.XLOOKUP(FT_RF_264[[#This Row],[Código]],BD_Cod[SKU],BD_Cod[Familia Calidad]),"")</f>
        <v/>
      </c>
      <c r="J196" s="33">
        <v>1000</v>
      </c>
      <c r="L196" s="30" t="s">
        <v>244</v>
      </c>
      <c r="O196" s="30" t="s">
        <v>894</v>
      </c>
      <c r="P196" s="29" t="s">
        <v>894</v>
      </c>
      <c r="Q196" s="37">
        <f>1-FT_RF_264[[#This Row],[% Defectos]]</f>
        <v>1</v>
      </c>
      <c r="R196" s="38">
        <v>0</v>
      </c>
      <c r="S196" s="39">
        <f>+IFERROR((FT_RF_264[[#This Row],[Inmadura]]/FT_RF_264[[#This Row],[Muestra]]),"0")</f>
        <v>0</v>
      </c>
      <c r="T196" s="38">
        <v>0</v>
      </c>
      <c r="U196" s="39">
        <f>+IFERROR((FT_RF_264[[#This Row],[Partidas]]/FT_RF_264[[#This Row],[Muestra]]),"0")</f>
        <v>0</v>
      </c>
      <c r="V196" s="38">
        <v>0</v>
      </c>
      <c r="W196" s="39">
        <f>+IFERROR((FT_RF_264[[#This Row],[Daño Insecto]]/FT_RF_264[[#This Row],[Muestra]]),"0")</f>
        <v>0</v>
      </c>
      <c r="X196" s="38">
        <v>0</v>
      </c>
      <c r="Y196" s="39">
        <f>+IFERROR((FT_RF_264[[#This Row],[Sobremadura]]/FT_RF_264[[#This Row],[Muestra]]),"0")</f>
        <v>0</v>
      </c>
      <c r="Z196" s="38">
        <v>0</v>
      </c>
      <c r="AA196" s="39">
        <f>+IFERROR((FT_RF_264[[#This Row],[Deforme]]/FT_RF_264[[#This Row],[Muestra]]),"0")</f>
        <v>0</v>
      </c>
      <c r="AB196" s="27"/>
      <c r="AC196" s="38">
        <v>0</v>
      </c>
      <c r="AD196" s="39">
        <f>+IFERROR((FT_RF_264[[#This Row],[Valor Extra 1]]/FT_RF_264[[#This Row],[Muestra]]),"0")</f>
        <v>0</v>
      </c>
      <c r="AF196" s="38">
        <v>0</v>
      </c>
      <c r="AG196" s="39">
        <f>+IFERROR((FT_RF_264[[#This Row],[Valor Extra 2]]/FT_RF_264[[#This Row],[Muestra]]),"0")</f>
        <v>0</v>
      </c>
      <c r="AH196" s="40">
        <v>0</v>
      </c>
      <c r="AI196" s="39">
        <f>+IFERROR((FT_RF_264[[#This Row],[Hongos]]/FT_RF_264[[#This Row],[Muestra]]),"0")</f>
        <v>0</v>
      </c>
      <c r="AJ196" s="38">
        <v>0</v>
      </c>
      <c r="AK196" s="39">
        <f>+IFERROR((FT_RF_264[[#This Row],[Block]]/FT_RF_264[[#This Row],[Muestra]]),"0")</f>
        <v>0</v>
      </c>
      <c r="AL196" s="41">
        <v>0</v>
      </c>
      <c r="AM196" s="42">
        <v>0</v>
      </c>
      <c r="AN196" s="38">
        <v>0</v>
      </c>
      <c r="AO196" s="39">
        <f>+IFERROR((FT_RF_264[[#This Row],[Fuera de calibre &lt;12mm]]/FT_RF_264[[#This Row],[Muestra]]),"0")</f>
        <v>0</v>
      </c>
      <c r="AP196" s="38">
        <v>0</v>
      </c>
      <c r="AQ196" s="39">
        <f>+IFERROR((FT_RF_264[[#This Row],[Calibre &lt;25]]/FT_RF_264[[#This Row],[Muestra]]),"0")</f>
        <v>0</v>
      </c>
      <c r="AR196" s="38">
        <v>0</v>
      </c>
      <c r="AS196" s="39">
        <f>+IFERROR((FT_RF_264[[#This Row],[Calibre &gt;12]]/FT_RF_264[[#This Row],[Muestra]]),"0")</f>
        <v>0</v>
      </c>
      <c r="AT196" s="38">
        <v>0</v>
      </c>
      <c r="AU196" s="39">
        <f>+IFERROR((FT_RF_264[[#This Row],[Calibre &lt;14]]/FT_RF_264[[#This Row],[Muestra]]),"0")</f>
        <v>0</v>
      </c>
      <c r="AV196" s="38">
        <v>0</v>
      </c>
      <c r="AW196" s="39">
        <f>+IFERROR((FT_RF_264[[#This Row],[Calibre &gt;14]]/FT_RF_264[[#This Row],[Muestra]]),"0")</f>
        <v>0</v>
      </c>
      <c r="AX196" s="38">
        <v>0</v>
      </c>
      <c r="AY196" s="39">
        <f>+IFERROR((FT_RF_264[[#This Row],[Calibre &lt;10]]/FT_RF_264[[#This Row],[Muestra]]),"0")</f>
        <v>0</v>
      </c>
      <c r="AZ196" s="38">
        <v>0</v>
      </c>
      <c r="BA196" s="39">
        <f>+IFERROR((FT_RF_264[[#This Row],[Calibre &gt;13]]/FT_RF_264[[#This Row],[Muestra]]),"0")</f>
        <v>0</v>
      </c>
      <c r="BB196" s="41"/>
      <c r="BG196" s="42"/>
      <c r="BH196" s="43">
        <v>0</v>
      </c>
      <c r="BI196" s="29" t="s">
        <v>894</v>
      </c>
      <c r="BJ196" s="29" t="s">
        <v>894</v>
      </c>
      <c r="BK19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9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96" s="45">
        <f>1-FT_RF_264[[#This Row],[% Defectos]]</f>
        <v>1</v>
      </c>
      <c r="BO196" s="60"/>
      <c r="BP196" s="12">
        <f>SUM(FT_RF_264[[#This Row],[Hoja (Un.)]:[Larvas Caja]])</f>
        <v>0</v>
      </c>
      <c r="BQ196" s="12">
        <f>SUM(FT_RF_264[[#This Row],[Vidrios]:[Plástico]])</f>
        <v>0</v>
      </c>
      <c r="BR196" s="12" t="str">
        <f>IF(ISBLANK(FT_RF_264[[#This Row],[Descripción del producto]]),"",FT_RF_264[[#This Row],[Descripción del producto]])</f>
        <v/>
      </c>
      <c r="BS196" s="29" t="str">
        <f>IF(ISBLANK(FT_RF_264[[#This Row],[N° de Lote]]),"",FT_RF_264[[#This Row],[N° de Lote]])</f>
        <v/>
      </c>
      <c r="BT196" s="29" t="str">
        <f>IF(ISBLANK(FT_RF_264[[#This Row],[N° de Pallet]]),"",FT_RF_264[[#This Row],[N° de Pallet]])</f>
        <v/>
      </c>
    </row>
    <row r="197" spans="2:72">
      <c r="B197" s="29">
        <f>+_xlfn.ISOWEEKNUM(FT_RF_264[[#This Row],[Fecha]])</f>
        <v>52</v>
      </c>
      <c r="E197" s="31"/>
      <c r="F197" s="12" t="str">
        <f>IFERROR(""&amp;_xlfn.XLOOKUP(FT_RF_264[[#This Row],[Código]],BD_Cod[SKU],BD_Cod[Descripción]),"")</f>
        <v/>
      </c>
      <c r="G197" s="32" t="str">
        <f>IFERROR(""&amp;_xlfn.XLOOKUP(FT_RF_264[[#This Row],[Código]],BD_Cod[SKU],BD_Cod[Familia Calidad]),"")</f>
        <v/>
      </c>
      <c r="J197" s="33">
        <v>1000</v>
      </c>
      <c r="L197" s="30" t="s">
        <v>244</v>
      </c>
      <c r="O197" s="30" t="s">
        <v>894</v>
      </c>
      <c r="P197" s="29" t="s">
        <v>894</v>
      </c>
      <c r="Q197" s="37">
        <f>1-FT_RF_264[[#This Row],[% Defectos]]</f>
        <v>1</v>
      </c>
      <c r="R197" s="38">
        <v>0</v>
      </c>
      <c r="S197" s="39">
        <f>+IFERROR((FT_RF_264[[#This Row],[Inmadura]]/FT_RF_264[[#This Row],[Muestra]]),"0")</f>
        <v>0</v>
      </c>
      <c r="T197" s="38">
        <v>0</v>
      </c>
      <c r="U197" s="39">
        <f>+IFERROR((FT_RF_264[[#This Row],[Partidas]]/FT_RF_264[[#This Row],[Muestra]]),"0")</f>
        <v>0</v>
      </c>
      <c r="V197" s="38">
        <v>0</v>
      </c>
      <c r="W197" s="39">
        <f>+IFERROR((FT_RF_264[[#This Row],[Daño Insecto]]/FT_RF_264[[#This Row],[Muestra]]),"0")</f>
        <v>0</v>
      </c>
      <c r="X197" s="38">
        <v>0</v>
      </c>
      <c r="Y197" s="39">
        <f>+IFERROR((FT_RF_264[[#This Row],[Sobremadura]]/FT_RF_264[[#This Row],[Muestra]]),"0")</f>
        <v>0</v>
      </c>
      <c r="Z197" s="38">
        <v>0</v>
      </c>
      <c r="AA197" s="39">
        <f>+IFERROR((FT_RF_264[[#This Row],[Deforme]]/FT_RF_264[[#This Row],[Muestra]]),"0")</f>
        <v>0</v>
      </c>
      <c r="AB197" s="27"/>
      <c r="AC197" s="38">
        <v>0</v>
      </c>
      <c r="AD197" s="39">
        <f>+IFERROR((FT_RF_264[[#This Row],[Valor Extra 1]]/FT_RF_264[[#This Row],[Muestra]]),"0")</f>
        <v>0</v>
      </c>
      <c r="AF197" s="38">
        <v>0</v>
      </c>
      <c r="AG197" s="39">
        <f>+IFERROR((FT_RF_264[[#This Row],[Valor Extra 2]]/FT_RF_264[[#This Row],[Muestra]]),"0")</f>
        <v>0</v>
      </c>
      <c r="AH197" s="40">
        <v>0</v>
      </c>
      <c r="AI197" s="39">
        <f>+IFERROR((FT_RF_264[[#This Row],[Hongos]]/FT_RF_264[[#This Row],[Muestra]]),"0")</f>
        <v>0</v>
      </c>
      <c r="AJ197" s="38">
        <v>0</v>
      </c>
      <c r="AK197" s="39">
        <f>+IFERROR((FT_RF_264[[#This Row],[Block]]/FT_RF_264[[#This Row],[Muestra]]),"0")</f>
        <v>0</v>
      </c>
      <c r="AL197" s="41">
        <v>0</v>
      </c>
      <c r="AM197" s="42">
        <v>0</v>
      </c>
      <c r="AN197" s="38">
        <v>0</v>
      </c>
      <c r="AO197" s="39">
        <f>+IFERROR((FT_RF_264[[#This Row],[Fuera de calibre &lt;12mm]]/FT_RF_264[[#This Row],[Muestra]]),"0")</f>
        <v>0</v>
      </c>
      <c r="AP197" s="38">
        <v>0</v>
      </c>
      <c r="AQ197" s="39">
        <f>+IFERROR((FT_RF_264[[#This Row],[Calibre &lt;25]]/FT_RF_264[[#This Row],[Muestra]]),"0")</f>
        <v>0</v>
      </c>
      <c r="AR197" s="38">
        <v>0</v>
      </c>
      <c r="AS197" s="39">
        <f>+IFERROR((FT_RF_264[[#This Row],[Calibre &gt;12]]/FT_RF_264[[#This Row],[Muestra]]),"0")</f>
        <v>0</v>
      </c>
      <c r="AT197" s="38">
        <v>0</v>
      </c>
      <c r="AU197" s="39">
        <f>+IFERROR((FT_RF_264[[#This Row],[Calibre &lt;14]]/FT_RF_264[[#This Row],[Muestra]]),"0")</f>
        <v>0</v>
      </c>
      <c r="AV197" s="38">
        <v>0</v>
      </c>
      <c r="AW197" s="39">
        <f>+IFERROR((FT_RF_264[[#This Row],[Calibre &gt;14]]/FT_RF_264[[#This Row],[Muestra]]),"0")</f>
        <v>0</v>
      </c>
      <c r="AX197" s="38">
        <v>0</v>
      </c>
      <c r="AY197" s="39">
        <f>+IFERROR((FT_RF_264[[#This Row],[Calibre &lt;10]]/FT_RF_264[[#This Row],[Muestra]]),"0")</f>
        <v>0</v>
      </c>
      <c r="AZ197" s="38">
        <v>0</v>
      </c>
      <c r="BA197" s="39">
        <f>+IFERROR((FT_RF_264[[#This Row],[Calibre &gt;13]]/FT_RF_264[[#This Row],[Muestra]]),"0")</f>
        <v>0</v>
      </c>
      <c r="BB197" s="41"/>
      <c r="BG197" s="42"/>
      <c r="BH197" s="43">
        <v>0</v>
      </c>
      <c r="BI197" s="29" t="s">
        <v>894</v>
      </c>
      <c r="BJ197" s="29" t="s">
        <v>894</v>
      </c>
      <c r="BK19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9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97" s="45">
        <f>1-FT_RF_264[[#This Row],[% Defectos]]</f>
        <v>1</v>
      </c>
      <c r="BO197" s="60"/>
      <c r="BP197" s="12">
        <f>SUM(FT_RF_264[[#This Row],[Hoja (Un.)]:[Larvas Caja]])</f>
        <v>0</v>
      </c>
      <c r="BQ197" s="12">
        <f>SUM(FT_RF_264[[#This Row],[Vidrios]:[Plástico]])</f>
        <v>0</v>
      </c>
      <c r="BR197" s="12" t="str">
        <f>IF(ISBLANK(FT_RF_264[[#This Row],[Descripción del producto]]),"",FT_RF_264[[#This Row],[Descripción del producto]])</f>
        <v/>
      </c>
      <c r="BS197" s="29" t="str">
        <f>IF(ISBLANK(FT_RF_264[[#This Row],[N° de Lote]]),"",FT_RF_264[[#This Row],[N° de Lote]])</f>
        <v/>
      </c>
      <c r="BT197" s="29" t="str">
        <f>IF(ISBLANK(FT_RF_264[[#This Row],[N° de Pallet]]),"",FT_RF_264[[#This Row],[N° de Pallet]])</f>
        <v/>
      </c>
    </row>
    <row r="198" spans="2:72">
      <c r="B198" s="29">
        <f>+_xlfn.ISOWEEKNUM(FT_RF_264[[#This Row],[Fecha]])</f>
        <v>52</v>
      </c>
      <c r="E198" s="31"/>
      <c r="F198" s="12" t="str">
        <f>IFERROR(""&amp;_xlfn.XLOOKUP(FT_RF_264[[#This Row],[Código]],BD_Cod[SKU],BD_Cod[Descripción]),"")</f>
        <v/>
      </c>
      <c r="G198" s="32" t="str">
        <f>IFERROR(""&amp;_xlfn.XLOOKUP(FT_RF_264[[#This Row],[Código]],BD_Cod[SKU],BD_Cod[Familia Calidad]),"")</f>
        <v/>
      </c>
      <c r="J198" s="33">
        <v>1000</v>
      </c>
      <c r="L198" s="30" t="s">
        <v>244</v>
      </c>
      <c r="O198" s="30" t="s">
        <v>894</v>
      </c>
      <c r="P198" s="29" t="s">
        <v>894</v>
      </c>
      <c r="Q198" s="37">
        <f>1-FT_RF_264[[#This Row],[% Defectos]]</f>
        <v>1</v>
      </c>
      <c r="R198" s="38">
        <v>0</v>
      </c>
      <c r="S198" s="39">
        <f>+IFERROR((FT_RF_264[[#This Row],[Inmadura]]/FT_RF_264[[#This Row],[Muestra]]),"0")</f>
        <v>0</v>
      </c>
      <c r="T198" s="38">
        <v>0</v>
      </c>
      <c r="U198" s="39">
        <f>+IFERROR((FT_RF_264[[#This Row],[Partidas]]/FT_RF_264[[#This Row],[Muestra]]),"0")</f>
        <v>0</v>
      </c>
      <c r="V198" s="38">
        <v>0</v>
      </c>
      <c r="W198" s="39">
        <f>+IFERROR((FT_RF_264[[#This Row],[Daño Insecto]]/FT_RF_264[[#This Row],[Muestra]]),"0")</f>
        <v>0</v>
      </c>
      <c r="X198" s="38">
        <v>0</v>
      </c>
      <c r="Y198" s="39">
        <f>+IFERROR((FT_RF_264[[#This Row],[Sobremadura]]/FT_RF_264[[#This Row],[Muestra]]),"0")</f>
        <v>0</v>
      </c>
      <c r="Z198" s="38">
        <v>0</v>
      </c>
      <c r="AA198" s="39">
        <f>+IFERROR((FT_RF_264[[#This Row],[Deforme]]/FT_RF_264[[#This Row],[Muestra]]),"0")</f>
        <v>0</v>
      </c>
      <c r="AB198" s="27"/>
      <c r="AC198" s="38">
        <v>0</v>
      </c>
      <c r="AD198" s="39">
        <f>+IFERROR((FT_RF_264[[#This Row],[Valor Extra 1]]/FT_RF_264[[#This Row],[Muestra]]),"0")</f>
        <v>0</v>
      </c>
      <c r="AF198" s="38">
        <v>0</v>
      </c>
      <c r="AG198" s="39">
        <f>+IFERROR((FT_RF_264[[#This Row],[Valor Extra 2]]/FT_RF_264[[#This Row],[Muestra]]),"0")</f>
        <v>0</v>
      </c>
      <c r="AH198" s="40">
        <v>0</v>
      </c>
      <c r="AI198" s="39">
        <f>+IFERROR((FT_RF_264[[#This Row],[Hongos]]/FT_RF_264[[#This Row],[Muestra]]),"0")</f>
        <v>0</v>
      </c>
      <c r="AJ198" s="38">
        <v>0</v>
      </c>
      <c r="AK198" s="39">
        <f>+IFERROR((FT_RF_264[[#This Row],[Block]]/FT_RF_264[[#This Row],[Muestra]]),"0")</f>
        <v>0</v>
      </c>
      <c r="AL198" s="41">
        <v>0</v>
      </c>
      <c r="AM198" s="42">
        <v>0</v>
      </c>
      <c r="AN198" s="38">
        <v>0</v>
      </c>
      <c r="AO198" s="39">
        <f>+IFERROR((FT_RF_264[[#This Row],[Fuera de calibre &lt;12mm]]/FT_RF_264[[#This Row],[Muestra]]),"0")</f>
        <v>0</v>
      </c>
      <c r="AP198" s="38">
        <v>0</v>
      </c>
      <c r="AQ198" s="39">
        <f>+IFERROR((FT_RF_264[[#This Row],[Calibre &lt;25]]/FT_RF_264[[#This Row],[Muestra]]),"0")</f>
        <v>0</v>
      </c>
      <c r="AR198" s="38">
        <v>0</v>
      </c>
      <c r="AS198" s="39">
        <f>+IFERROR((FT_RF_264[[#This Row],[Calibre &gt;12]]/FT_RF_264[[#This Row],[Muestra]]),"0")</f>
        <v>0</v>
      </c>
      <c r="AT198" s="38">
        <v>0</v>
      </c>
      <c r="AU198" s="39">
        <f>+IFERROR((FT_RF_264[[#This Row],[Calibre &lt;14]]/FT_RF_264[[#This Row],[Muestra]]),"0")</f>
        <v>0</v>
      </c>
      <c r="AV198" s="38">
        <v>0</v>
      </c>
      <c r="AW198" s="39">
        <f>+IFERROR((FT_RF_264[[#This Row],[Calibre &gt;14]]/FT_RF_264[[#This Row],[Muestra]]),"0")</f>
        <v>0</v>
      </c>
      <c r="AX198" s="38">
        <v>0</v>
      </c>
      <c r="AY198" s="39">
        <f>+IFERROR((FT_RF_264[[#This Row],[Calibre &lt;10]]/FT_RF_264[[#This Row],[Muestra]]),"0")</f>
        <v>0</v>
      </c>
      <c r="AZ198" s="38">
        <v>0</v>
      </c>
      <c r="BA198" s="39">
        <f>+IFERROR((FT_RF_264[[#This Row],[Calibre &gt;13]]/FT_RF_264[[#This Row],[Muestra]]),"0")</f>
        <v>0</v>
      </c>
      <c r="BB198" s="41"/>
      <c r="BG198" s="42"/>
      <c r="BH198" s="43">
        <v>0</v>
      </c>
      <c r="BI198" s="29" t="s">
        <v>894</v>
      </c>
      <c r="BJ198" s="29" t="s">
        <v>894</v>
      </c>
      <c r="BK19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9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98" s="45">
        <f>1-FT_RF_264[[#This Row],[% Defectos]]</f>
        <v>1</v>
      </c>
      <c r="BO198" s="60"/>
      <c r="BP198" s="12">
        <f>SUM(FT_RF_264[[#This Row],[Hoja (Un.)]:[Larvas Caja]])</f>
        <v>0</v>
      </c>
      <c r="BQ198" s="12">
        <f>SUM(FT_RF_264[[#This Row],[Vidrios]:[Plástico]])</f>
        <v>0</v>
      </c>
      <c r="BR198" s="12" t="str">
        <f>IF(ISBLANK(FT_RF_264[[#This Row],[Descripción del producto]]),"",FT_RF_264[[#This Row],[Descripción del producto]])</f>
        <v/>
      </c>
      <c r="BS198" s="29" t="str">
        <f>IF(ISBLANK(FT_RF_264[[#This Row],[N° de Lote]]),"",FT_RF_264[[#This Row],[N° de Lote]])</f>
        <v/>
      </c>
      <c r="BT198" s="29" t="str">
        <f>IF(ISBLANK(FT_RF_264[[#This Row],[N° de Pallet]]),"",FT_RF_264[[#This Row],[N° de Pallet]])</f>
        <v/>
      </c>
    </row>
    <row r="199" spans="2:72">
      <c r="B199" s="29">
        <f>+_xlfn.ISOWEEKNUM(FT_RF_264[[#This Row],[Fecha]])</f>
        <v>52</v>
      </c>
      <c r="E199" s="31"/>
      <c r="F199" s="12" t="str">
        <f>IFERROR(""&amp;_xlfn.XLOOKUP(FT_RF_264[[#This Row],[Código]],BD_Cod[SKU],BD_Cod[Descripción]),"")</f>
        <v/>
      </c>
      <c r="G199" s="32" t="str">
        <f>IFERROR(""&amp;_xlfn.XLOOKUP(FT_RF_264[[#This Row],[Código]],BD_Cod[SKU],BD_Cod[Familia Calidad]),"")</f>
        <v/>
      </c>
      <c r="J199" s="33">
        <v>1000</v>
      </c>
      <c r="L199" s="30" t="s">
        <v>244</v>
      </c>
      <c r="O199" s="30" t="s">
        <v>894</v>
      </c>
      <c r="P199" s="29" t="s">
        <v>894</v>
      </c>
      <c r="Q199" s="37">
        <f>1-FT_RF_264[[#This Row],[% Defectos]]</f>
        <v>1</v>
      </c>
      <c r="R199" s="38">
        <v>0</v>
      </c>
      <c r="S199" s="39">
        <f>+IFERROR((FT_RF_264[[#This Row],[Inmadura]]/FT_RF_264[[#This Row],[Muestra]]),"0")</f>
        <v>0</v>
      </c>
      <c r="T199" s="38">
        <v>0</v>
      </c>
      <c r="U199" s="39">
        <f>+IFERROR((FT_RF_264[[#This Row],[Partidas]]/FT_RF_264[[#This Row],[Muestra]]),"0")</f>
        <v>0</v>
      </c>
      <c r="V199" s="38">
        <v>0</v>
      </c>
      <c r="W199" s="39">
        <f>+IFERROR((FT_RF_264[[#This Row],[Daño Insecto]]/FT_RF_264[[#This Row],[Muestra]]),"0")</f>
        <v>0</v>
      </c>
      <c r="X199" s="38">
        <v>0</v>
      </c>
      <c r="Y199" s="39">
        <f>+IFERROR((FT_RF_264[[#This Row],[Sobremadura]]/FT_RF_264[[#This Row],[Muestra]]),"0")</f>
        <v>0</v>
      </c>
      <c r="Z199" s="38">
        <v>0</v>
      </c>
      <c r="AA199" s="39">
        <f>+IFERROR((FT_RF_264[[#This Row],[Deforme]]/FT_RF_264[[#This Row],[Muestra]]),"0")</f>
        <v>0</v>
      </c>
      <c r="AB199" s="27"/>
      <c r="AC199" s="38">
        <v>0</v>
      </c>
      <c r="AD199" s="39">
        <f>+IFERROR((FT_RF_264[[#This Row],[Valor Extra 1]]/FT_RF_264[[#This Row],[Muestra]]),"0")</f>
        <v>0</v>
      </c>
      <c r="AF199" s="38">
        <v>0</v>
      </c>
      <c r="AG199" s="39">
        <f>+IFERROR((FT_RF_264[[#This Row],[Valor Extra 2]]/FT_RF_264[[#This Row],[Muestra]]),"0")</f>
        <v>0</v>
      </c>
      <c r="AH199" s="40">
        <v>0</v>
      </c>
      <c r="AI199" s="39">
        <f>+IFERROR((FT_RF_264[[#This Row],[Hongos]]/FT_RF_264[[#This Row],[Muestra]]),"0")</f>
        <v>0</v>
      </c>
      <c r="AJ199" s="38">
        <v>0</v>
      </c>
      <c r="AK199" s="39">
        <f>+IFERROR((FT_RF_264[[#This Row],[Block]]/FT_RF_264[[#This Row],[Muestra]]),"0")</f>
        <v>0</v>
      </c>
      <c r="AL199" s="41">
        <v>0</v>
      </c>
      <c r="AM199" s="42">
        <v>0</v>
      </c>
      <c r="AN199" s="38">
        <v>0</v>
      </c>
      <c r="AO199" s="39">
        <f>+IFERROR((FT_RF_264[[#This Row],[Fuera de calibre &lt;12mm]]/FT_RF_264[[#This Row],[Muestra]]),"0")</f>
        <v>0</v>
      </c>
      <c r="AP199" s="38">
        <v>0</v>
      </c>
      <c r="AQ199" s="39">
        <f>+IFERROR((FT_RF_264[[#This Row],[Calibre &lt;25]]/FT_RF_264[[#This Row],[Muestra]]),"0")</f>
        <v>0</v>
      </c>
      <c r="AR199" s="38">
        <v>0</v>
      </c>
      <c r="AS199" s="39">
        <f>+IFERROR((FT_RF_264[[#This Row],[Calibre &gt;12]]/FT_RF_264[[#This Row],[Muestra]]),"0")</f>
        <v>0</v>
      </c>
      <c r="AT199" s="38">
        <v>0</v>
      </c>
      <c r="AU199" s="39">
        <f>+IFERROR((FT_RF_264[[#This Row],[Calibre &lt;14]]/FT_RF_264[[#This Row],[Muestra]]),"0")</f>
        <v>0</v>
      </c>
      <c r="AV199" s="38">
        <v>0</v>
      </c>
      <c r="AW199" s="39">
        <f>+IFERROR((FT_RF_264[[#This Row],[Calibre &gt;14]]/FT_RF_264[[#This Row],[Muestra]]),"0")</f>
        <v>0</v>
      </c>
      <c r="AX199" s="38">
        <v>0</v>
      </c>
      <c r="AY199" s="39">
        <f>+IFERROR((FT_RF_264[[#This Row],[Calibre &lt;10]]/FT_RF_264[[#This Row],[Muestra]]),"0")</f>
        <v>0</v>
      </c>
      <c r="AZ199" s="38">
        <v>0</v>
      </c>
      <c r="BA199" s="39">
        <f>+IFERROR((FT_RF_264[[#This Row],[Calibre &gt;13]]/FT_RF_264[[#This Row],[Muestra]]),"0")</f>
        <v>0</v>
      </c>
      <c r="BB199" s="41"/>
      <c r="BG199" s="42"/>
      <c r="BH199" s="43">
        <v>0</v>
      </c>
      <c r="BI199" s="29" t="s">
        <v>894</v>
      </c>
      <c r="BJ199" s="29" t="s">
        <v>894</v>
      </c>
      <c r="BK19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19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199" s="45">
        <f>1-FT_RF_264[[#This Row],[% Defectos]]</f>
        <v>1</v>
      </c>
      <c r="BO199" s="60"/>
      <c r="BP199" s="12">
        <f>SUM(FT_RF_264[[#This Row],[Hoja (Un.)]:[Larvas Caja]])</f>
        <v>0</v>
      </c>
      <c r="BQ199" s="12">
        <f>SUM(FT_RF_264[[#This Row],[Vidrios]:[Plástico]])</f>
        <v>0</v>
      </c>
      <c r="BR199" s="12" t="str">
        <f>IF(ISBLANK(FT_RF_264[[#This Row],[Descripción del producto]]),"",FT_RF_264[[#This Row],[Descripción del producto]])</f>
        <v/>
      </c>
      <c r="BS199" s="29" t="str">
        <f>IF(ISBLANK(FT_RF_264[[#This Row],[N° de Lote]]),"",FT_RF_264[[#This Row],[N° de Lote]])</f>
        <v/>
      </c>
      <c r="BT199" s="29" t="str">
        <f>IF(ISBLANK(FT_RF_264[[#This Row],[N° de Pallet]]),"",FT_RF_264[[#This Row],[N° de Pallet]])</f>
        <v/>
      </c>
    </row>
    <row r="200" spans="2:72">
      <c r="B200" s="29">
        <f>+_xlfn.ISOWEEKNUM(FT_RF_264[[#This Row],[Fecha]])</f>
        <v>52</v>
      </c>
      <c r="E200" s="31"/>
      <c r="F200" s="12" t="str">
        <f>IFERROR(""&amp;_xlfn.XLOOKUP(FT_RF_264[[#This Row],[Código]],BD_Cod[SKU],BD_Cod[Descripción]),"")</f>
        <v/>
      </c>
      <c r="G200" s="32" t="str">
        <f>IFERROR(""&amp;_xlfn.XLOOKUP(FT_RF_264[[#This Row],[Código]],BD_Cod[SKU],BD_Cod[Familia Calidad]),"")</f>
        <v/>
      </c>
      <c r="J200" s="33">
        <v>1000</v>
      </c>
      <c r="L200" s="30" t="s">
        <v>244</v>
      </c>
      <c r="O200" s="30" t="s">
        <v>894</v>
      </c>
      <c r="P200" s="29" t="s">
        <v>894</v>
      </c>
      <c r="Q200" s="37">
        <f>1-FT_RF_264[[#This Row],[% Defectos]]</f>
        <v>1</v>
      </c>
      <c r="R200" s="38">
        <v>0</v>
      </c>
      <c r="S200" s="39">
        <f>+IFERROR((FT_RF_264[[#This Row],[Inmadura]]/FT_RF_264[[#This Row],[Muestra]]),"0")</f>
        <v>0</v>
      </c>
      <c r="T200" s="38">
        <v>0</v>
      </c>
      <c r="U200" s="39">
        <f>+IFERROR((FT_RF_264[[#This Row],[Partidas]]/FT_RF_264[[#This Row],[Muestra]]),"0")</f>
        <v>0</v>
      </c>
      <c r="V200" s="38">
        <v>0</v>
      </c>
      <c r="W200" s="39">
        <f>+IFERROR((FT_RF_264[[#This Row],[Daño Insecto]]/FT_RF_264[[#This Row],[Muestra]]),"0")</f>
        <v>0</v>
      </c>
      <c r="X200" s="38">
        <v>0</v>
      </c>
      <c r="Y200" s="39">
        <f>+IFERROR((FT_RF_264[[#This Row],[Sobremadura]]/FT_RF_264[[#This Row],[Muestra]]),"0")</f>
        <v>0</v>
      </c>
      <c r="Z200" s="38">
        <v>0</v>
      </c>
      <c r="AA200" s="39">
        <f>+IFERROR((FT_RF_264[[#This Row],[Deforme]]/FT_RF_264[[#This Row],[Muestra]]),"0")</f>
        <v>0</v>
      </c>
      <c r="AB200" s="27"/>
      <c r="AC200" s="38">
        <v>0</v>
      </c>
      <c r="AD200" s="39">
        <f>+IFERROR((FT_RF_264[[#This Row],[Valor Extra 1]]/FT_RF_264[[#This Row],[Muestra]]),"0")</f>
        <v>0</v>
      </c>
      <c r="AF200" s="38">
        <v>0</v>
      </c>
      <c r="AG200" s="39">
        <f>+IFERROR((FT_RF_264[[#This Row],[Valor Extra 2]]/FT_RF_264[[#This Row],[Muestra]]),"0")</f>
        <v>0</v>
      </c>
      <c r="AH200" s="40">
        <v>0</v>
      </c>
      <c r="AI200" s="39">
        <f>+IFERROR((FT_RF_264[[#This Row],[Hongos]]/FT_RF_264[[#This Row],[Muestra]]),"0")</f>
        <v>0</v>
      </c>
      <c r="AJ200" s="38">
        <v>0</v>
      </c>
      <c r="AK200" s="39">
        <f>+IFERROR((FT_RF_264[[#This Row],[Block]]/FT_RF_264[[#This Row],[Muestra]]),"0")</f>
        <v>0</v>
      </c>
      <c r="AL200" s="41">
        <v>0</v>
      </c>
      <c r="AM200" s="42">
        <v>0</v>
      </c>
      <c r="AN200" s="38">
        <v>0</v>
      </c>
      <c r="AO200" s="39">
        <f>+IFERROR((FT_RF_264[[#This Row],[Fuera de calibre &lt;12mm]]/FT_RF_264[[#This Row],[Muestra]]),"0")</f>
        <v>0</v>
      </c>
      <c r="AP200" s="38">
        <v>0</v>
      </c>
      <c r="AQ200" s="39">
        <f>+IFERROR((FT_RF_264[[#This Row],[Calibre &lt;25]]/FT_RF_264[[#This Row],[Muestra]]),"0")</f>
        <v>0</v>
      </c>
      <c r="AR200" s="38">
        <v>0</v>
      </c>
      <c r="AS200" s="39">
        <f>+IFERROR((FT_RF_264[[#This Row],[Calibre &gt;12]]/FT_RF_264[[#This Row],[Muestra]]),"0")</f>
        <v>0</v>
      </c>
      <c r="AT200" s="38">
        <v>0</v>
      </c>
      <c r="AU200" s="39">
        <f>+IFERROR((FT_RF_264[[#This Row],[Calibre &lt;14]]/FT_RF_264[[#This Row],[Muestra]]),"0")</f>
        <v>0</v>
      </c>
      <c r="AV200" s="38">
        <v>0</v>
      </c>
      <c r="AW200" s="39">
        <f>+IFERROR((FT_RF_264[[#This Row],[Calibre &gt;14]]/FT_RF_264[[#This Row],[Muestra]]),"0")</f>
        <v>0</v>
      </c>
      <c r="AX200" s="38">
        <v>0</v>
      </c>
      <c r="AY200" s="39">
        <f>+IFERROR((FT_RF_264[[#This Row],[Calibre &lt;10]]/FT_RF_264[[#This Row],[Muestra]]),"0")</f>
        <v>0</v>
      </c>
      <c r="AZ200" s="38">
        <v>0</v>
      </c>
      <c r="BA200" s="39">
        <f>+IFERROR((FT_RF_264[[#This Row],[Calibre &gt;13]]/FT_RF_264[[#This Row],[Muestra]]),"0")</f>
        <v>0</v>
      </c>
      <c r="BB200" s="41"/>
      <c r="BG200" s="42"/>
      <c r="BH200" s="43">
        <v>0</v>
      </c>
      <c r="BI200" s="29" t="s">
        <v>894</v>
      </c>
      <c r="BJ200" s="29" t="s">
        <v>894</v>
      </c>
      <c r="BK20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0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00" s="45">
        <f>1-FT_RF_264[[#This Row],[% Defectos]]</f>
        <v>1</v>
      </c>
      <c r="BO200" s="60"/>
      <c r="BP200" s="12">
        <f>SUM(FT_RF_264[[#This Row],[Hoja (Un.)]:[Larvas Caja]])</f>
        <v>0</v>
      </c>
      <c r="BQ200" s="12">
        <f>SUM(FT_RF_264[[#This Row],[Vidrios]:[Plástico]])</f>
        <v>0</v>
      </c>
      <c r="BR200" s="12" t="str">
        <f>IF(ISBLANK(FT_RF_264[[#This Row],[Descripción del producto]]),"",FT_RF_264[[#This Row],[Descripción del producto]])</f>
        <v/>
      </c>
      <c r="BS200" s="29" t="str">
        <f>IF(ISBLANK(FT_RF_264[[#This Row],[N° de Lote]]),"",FT_RF_264[[#This Row],[N° de Lote]])</f>
        <v/>
      </c>
      <c r="BT200" s="29" t="str">
        <f>IF(ISBLANK(FT_RF_264[[#This Row],[N° de Pallet]]),"",FT_RF_264[[#This Row],[N° de Pallet]])</f>
        <v/>
      </c>
    </row>
    <row r="201" spans="2:72">
      <c r="B201" s="29">
        <f>+_xlfn.ISOWEEKNUM(FT_RF_264[[#This Row],[Fecha]])</f>
        <v>52</v>
      </c>
      <c r="E201" s="31"/>
      <c r="F201" s="12" t="str">
        <f>IFERROR(""&amp;_xlfn.XLOOKUP(FT_RF_264[[#This Row],[Código]],BD_Cod[SKU],BD_Cod[Descripción]),"")</f>
        <v/>
      </c>
      <c r="G201" s="32" t="str">
        <f>IFERROR(""&amp;_xlfn.XLOOKUP(FT_RF_264[[#This Row],[Código]],BD_Cod[SKU],BD_Cod[Familia Calidad]),"")</f>
        <v/>
      </c>
      <c r="J201" s="33">
        <v>1000</v>
      </c>
      <c r="L201" s="30" t="s">
        <v>244</v>
      </c>
      <c r="O201" s="30" t="s">
        <v>894</v>
      </c>
      <c r="P201" s="29" t="s">
        <v>894</v>
      </c>
      <c r="Q201" s="37">
        <f>1-FT_RF_264[[#This Row],[% Defectos]]</f>
        <v>1</v>
      </c>
      <c r="R201" s="38">
        <v>0</v>
      </c>
      <c r="S201" s="39">
        <f>+IFERROR((FT_RF_264[[#This Row],[Inmadura]]/FT_RF_264[[#This Row],[Muestra]]),"0")</f>
        <v>0</v>
      </c>
      <c r="T201" s="38">
        <v>0</v>
      </c>
      <c r="U201" s="39">
        <f>+IFERROR((FT_RF_264[[#This Row],[Partidas]]/FT_RF_264[[#This Row],[Muestra]]),"0")</f>
        <v>0</v>
      </c>
      <c r="V201" s="38">
        <v>0</v>
      </c>
      <c r="W201" s="39">
        <f>+IFERROR((FT_RF_264[[#This Row],[Daño Insecto]]/FT_RF_264[[#This Row],[Muestra]]),"0")</f>
        <v>0</v>
      </c>
      <c r="X201" s="38">
        <v>0</v>
      </c>
      <c r="Y201" s="39">
        <f>+IFERROR((FT_RF_264[[#This Row],[Sobremadura]]/FT_RF_264[[#This Row],[Muestra]]),"0")</f>
        <v>0</v>
      </c>
      <c r="Z201" s="38">
        <v>0</v>
      </c>
      <c r="AA201" s="39">
        <f>+IFERROR((FT_RF_264[[#This Row],[Deforme]]/FT_RF_264[[#This Row],[Muestra]]),"0")</f>
        <v>0</v>
      </c>
      <c r="AB201" s="27"/>
      <c r="AC201" s="38">
        <v>0</v>
      </c>
      <c r="AD201" s="39">
        <f>+IFERROR((FT_RF_264[[#This Row],[Valor Extra 1]]/FT_RF_264[[#This Row],[Muestra]]),"0")</f>
        <v>0</v>
      </c>
      <c r="AF201" s="38">
        <v>0</v>
      </c>
      <c r="AG201" s="39">
        <f>+IFERROR((FT_RF_264[[#This Row],[Valor Extra 2]]/FT_RF_264[[#This Row],[Muestra]]),"0")</f>
        <v>0</v>
      </c>
      <c r="AH201" s="40">
        <v>0</v>
      </c>
      <c r="AI201" s="39">
        <f>+IFERROR((FT_RF_264[[#This Row],[Hongos]]/FT_RF_264[[#This Row],[Muestra]]),"0")</f>
        <v>0</v>
      </c>
      <c r="AJ201" s="38">
        <v>0</v>
      </c>
      <c r="AK201" s="39">
        <f>+IFERROR((FT_RF_264[[#This Row],[Block]]/FT_RF_264[[#This Row],[Muestra]]),"0")</f>
        <v>0</v>
      </c>
      <c r="AL201" s="41">
        <v>0</v>
      </c>
      <c r="AM201" s="42">
        <v>0</v>
      </c>
      <c r="AN201" s="38">
        <v>0</v>
      </c>
      <c r="AO201" s="39">
        <f>+IFERROR((FT_RF_264[[#This Row],[Fuera de calibre &lt;12mm]]/FT_RF_264[[#This Row],[Muestra]]),"0")</f>
        <v>0</v>
      </c>
      <c r="AP201" s="38">
        <v>0</v>
      </c>
      <c r="AQ201" s="39">
        <f>+IFERROR((FT_RF_264[[#This Row],[Calibre &lt;25]]/FT_RF_264[[#This Row],[Muestra]]),"0")</f>
        <v>0</v>
      </c>
      <c r="AR201" s="38">
        <v>0</v>
      </c>
      <c r="AS201" s="39">
        <f>+IFERROR((FT_RF_264[[#This Row],[Calibre &gt;12]]/FT_RF_264[[#This Row],[Muestra]]),"0")</f>
        <v>0</v>
      </c>
      <c r="AT201" s="38">
        <v>0</v>
      </c>
      <c r="AU201" s="39">
        <f>+IFERROR((FT_RF_264[[#This Row],[Calibre &lt;14]]/FT_RF_264[[#This Row],[Muestra]]),"0")</f>
        <v>0</v>
      </c>
      <c r="AV201" s="38">
        <v>0</v>
      </c>
      <c r="AW201" s="39">
        <f>+IFERROR((FT_RF_264[[#This Row],[Calibre &gt;14]]/FT_RF_264[[#This Row],[Muestra]]),"0")</f>
        <v>0</v>
      </c>
      <c r="AX201" s="38">
        <v>0</v>
      </c>
      <c r="AY201" s="39">
        <f>+IFERROR((FT_RF_264[[#This Row],[Calibre &lt;10]]/FT_RF_264[[#This Row],[Muestra]]),"0")</f>
        <v>0</v>
      </c>
      <c r="AZ201" s="38">
        <v>0</v>
      </c>
      <c r="BA201" s="39">
        <f>+IFERROR((FT_RF_264[[#This Row],[Calibre &gt;13]]/FT_RF_264[[#This Row],[Muestra]]),"0")</f>
        <v>0</v>
      </c>
      <c r="BB201" s="41"/>
      <c r="BG201" s="42"/>
      <c r="BH201" s="43">
        <v>0</v>
      </c>
      <c r="BI201" s="29" t="s">
        <v>894</v>
      </c>
      <c r="BJ201" s="29" t="s">
        <v>894</v>
      </c>
      <c r="BK20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0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01" s="45">
        <f>1-FT_RF_264[[#This Row],[% Defectos]]</f>
        <v>1</v>
      </c>
      <c r="BO201" s="60"/>
      <c r="BP201" s="12">
        <f>SUM(FT_RF_264[[#This Row],[Hoja (Un.)]:[Larvas Caja]])</f>
        <v>0</v>
      </c>
      <c r="BQ201" s="12">
        <f>SUM(FT_RF_264[[#This Row],[Vidrios]:[Plástico]])</f>
        <v>0</v>
      </c>
      <c r="BR201" s="12" t="str">
        <f>IF(ISBLANK(FT_RF_264[[#This Row],[Descripción del producto]]),"",FT_RF_264[[#This Row],[Descripción del producto]])</f>
        <v/>
      </c>
      <c r="BS201" s="29" t="str">
        <f>IF(ISBLANK(FT_RF_264[[#This Row],[N° de Lote]]),"",FT_RF_264[[#This Row],[N° de Lote]])</f>
        <v/>
      </c>
      <c r="BT201" s="29" t="str">
        <f>IF(ISBLANK(FT_RF_264[[#This Row],[N° de Pallet]]),"",FT_RF_264[[#This Row],[N° de Pallet]])</f>
        <v/>
      </c>
    </row>
    <row r="202" spans="2:72">
      <c r="B202" s="29">
        <f>+_xlfn.ISOWEEKNUM(FT_RF_264[[#This Row],[Fecha]])</f>
        <v>52</v>
      </c>
      <c r="E202" s="31"/>
      <c r="F202" s="12" t="str">
        <f>IFERROR(""&amp;_xlfn.XLOOKUP(FT_RF_264[[#This Row],[Código]],BD_Cod[SKU],BD_Cod[Descripción]),"")</f>
        <v/>
      </c>
      <c r="G202" s="32" t="str">
        <f>IFERROR(""&amp;_xlfn.XLOOKUP(FT_RF_264[[#This Row],[Código]],BD_Cod[SKU],BD_Cod[Familia Calidad]),"")</f>
        <v/>
      </c>
      <c r="J202" s="33">
        <v>1000</v>
      </c>
      <c r="L202" s="30" t="s">
        <v>244</v>
      </c>
      <c r="O202" s="30" t="s">
        <v>894</v>
      </c>
      <c r="P202" s="29" t="s">
        <v>894</v>
      </c>
      <c r="Q202" s="37">
        <f>1-FT_RF_264[[#This Row],[% Defectos]]</f>
        <v>1</v>
      </c>
      <c r="R202" s="38">
        <v>0</v>
      </c>
      <c r="S202" s="39">
        <f>+IFERROR((FT_RF_264[[#This Row],[Inmadura]]/FT_RF_264[[#This Row],[Muestra]]),"0")</f>
        <v>0</v>
      </c>
      <c r="T202" s="38">
        <v>0</v>
      </c>
      <c r="U202" s="39">
        <f>+IFERROR((FT_RF_264[[#This Row],[Partidas]]/FT_RF_264[[#This Row],[Muestra]]),"0")</f>
        <v>0</v>
      </c>
      <c r="V202" s="38">
        <v>0</v>
      </c>
      <c r="W202" s="39">
        <f>+IFERROR((FT_RF_264[[#This Row],[Daño Insecto]]/FT_RF_264[[#This Row],[Muestra]]),"0")</f>
        <v>0</v>
      </c>
      <c r="X202" s="38">
        <v>0</v>
      </c>
      <c r="Y202" s="39">
        <f>+IFERROR((FT_RF_264[[#This Row],[Sobremadura]]/FT_RF_264[[#This Row],[Muestra]]),"0")</f>
        <v>0</v>
      </c>
      <c r="Z202" s="38">
        <v>0</v>
      </c>
      <c r="AA202" s="39">
        <f>+IFERROR((FT_RF_264[[#This Row],[Deforme]]/FT_RF_264[[#This Row],[Muestra]]),"0")</f>
        <v>0</v>
      </c>
      <c r="AB202" s="27"/>
      <c r="AC202" s="38">
        <v>0</v>
      </c>
      <c r="AD202" s="39">
        <f>+IFERROR((FT_RF_264[[#This Row],[Valor Extra 1]]/FT_RF_264[[#This Row],[Muestra]]),"0")</f>
        <v>0</v>
      </c>
      <c r="AF202" s="38">
        <v>0</v>
      </c>
      <c r="AG202" s="39">
        <f>+IFERROR((FT_RF_264[[#This Row],[Valor Extra 2]]/FT_RF_264[[#This Row],[Muestra]]),"0")</f>
        <v>0</v>
      </c>
      <c r="AH202" s="40">
        <v>0</v>
      </c>
      <c r="AI202" s="39">
        <f>+IFERROR((FT_RF_264[[#This Row],[Hongos]]/FT_RF_264[[#This Row],[Muestra]]),"0")</f>
        <v>0</v>
      </c>
      <c r="AJ202" s="38">
        <v>0</v>
      </c>
      <c r="AK202" s="39">
        <f>+IFERROR((FT_RF_264[[#This Row],[Block]]/FT_RF_264[[#This Row],[Muestra]]),"0")</f>
        <v>0</v>
      </c>
      <c r="AL202" s="41">
        <v>0</v>
      </c>
      <c r="AM202" s="42">
        <v>0</v>
      </c>
      <c r="AN202" s="38">
        <v>0</v>
      </c>
      <c r="AO202" s="39">
        <f>+IFERROR((FT_RF_264[[#This Row],[Fuera de calibre &lt;12mm]]/FT_RF_264[[#This Row],[Muestra]]),"0")</f>
        <v>0</v>
      </c>
      <c r="AP202" s="38">
        <v>0</v>
      </c>
      <c r="AQ202" s="39">
        <f>+IFERROR((FT_RF_264[[#This Row],[Calibre &lt;25]]/FT_RF_264[[#This Row],[Muestra]]),"0")</f>
        <v>0</v>
      </c>
      <c r="AR202" s="38">
        <v>0</v>
      </c>
      <c r="AS202" s="39">
        <f>+IFERROR((FT_RF_264[[#This Row],[Calibre &gt;12]]/FT_RF_264[[#This Row],[Muestra]]),"0")</f>
        <v>0</v>
      </c>
      <c r="AT202" s="38">
        <v>0</v>
      </c>
      <c r="AU202" s="39">
        <f>+IFERROR((FT_RF_264[[#This Row],[Calibre &lt;14]]/FT_RF_264[[#This Row],[Muestra]]),"0")</f>
        <v>0</v>
      </c>
      <c r="AV202" s="38">
        <v>0</v>
      </c>
      <c r="AW202" s="39">
        <f>+IFERROR((FT_RF_264[[#This Row],[Calibre &gt;14]]/FT_RF_264[[#This Row],[Muestra]]),"0")</f>
        <v>0</v>
      </c>
      <c r="AX202" s="38">
        <v>0</v>
      </c>
      <c r="AY202" s="39">
        <f>+IFERROR((FT_RF_264[[#This Row],[Calibre &lt;10]]/FT_RF_264[[#This Row],[Muestra]]),"0")</f>
        <v>0</v>
      </c>
      <c r="AZ202" s="38">
        <v>0</v>
      </c>
      <c r="BA202" s="39">
        <f>+IFERROR((FT_RF_264[[#This Row],[Calibre &gt;13]]/FT_RF_264[[#This Row],[Muestra]]),"0")</f>
        <v>0</v>
      </c>
      <c r="BB202" s="41"/>
      <c r="BG202" s="42"/>
      <c r="BH202" s="43">
        <v>0</v>
      </c>
      <c r="BI202" s="29" t="s">
        <v>894</v>
      </c>
      <c r="BJ202" s="29" t="s">
        <v>894</v>
      </c>
      <c r="BK20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0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02" s="45">
        <f>1-FT_RF_264[[#This Row],[% Defectos]]</f>
        <v>1</v>
      </c>
      <c r="BO202" s="60"/>
      <c r="BP202" s="12">
        <f>SUM(FT_RF_264[[#This Row],[Hoja (Un.)]:[Larvas Caja]])</f>
        <v>0</v>
      </c>
      <c r="BQ202" s="12">
        <f>SUM(FT_RF_264[[#This Row],[Vidrios]:[Plástico]])</f>
        <v>0</v>
      </c>
      <c r="BR202" s="12" t="str">
        <f>IF(ISBLANK(FT_RF_264[[#This Row],[Descripción del producto]]),"",FT_RF_264[[#This Row],[Descripción del producto]])</f>
        <v/>
      </c>
      <c r="BS202" s="29" t="str">
        <f>IF(ISBLANK(FT_RF_264[[#This Row],[N° de Lote]]),"",FT_RF_264[[#This Row],[N° de Lote]])</f>
        <v/>
      </c>
      <c r="BT202" s="29" t="str">
        <f>IF(ISBLANK(FT_RF_264[[#This Row],[N° de Pallet]]),"",FT_RF_264[[#This Row],[N° de Pallet]])</f>
        <v/>
      </c>
    </row>
    <row r="203" spans="2:72">
      <c r="B203" s="29">
        <f>+_xlfn.ISOWEEKNUM(FT_RF_264[[#This Row],[Fecha]])</f>
        <v>52</v>
      </c>
      <c r="E203" s="31"/>
      <c r="F203" s="12" t="str">
        <f>IFERROR(""&amp;_xlfn.XLOOKUP(FT_RF_264[[#This Row],[Código]],BD_Cod[SKU],BD_Cod[Descripción]),"")</f>
        <v/>
      </c>
      <c r="G203" s="32" t="str">
        <f>IFERROR(""&amp;_xlfn.XLOOKUP(FT_RF_264[[#This Row],[Código]],BD_Cod[SKU],BD_Cod[Familia Calidad]),"")</f>
        <v/>
      </c>
      <c r="J203" s="33">
        <v>1000</v>
      </c>
      <c r="L203" s="30" t="s">
        <v>244</v>
      </c>
      <c r="O203" s="30" t="s">
        <v>894</v>
      </c>
      <c r="P203" s="29" t="s">
        <v>894</v>
      </c>
      <c r="Q203" s="37">
        <f>1-FT_RF_264[[#This Row],[% Defectos]]</f>
        <v>1</v>
      </c>
      <c r="R203" s="38">
        <v>0</v>
      </c>
      <c r="S203" s="39">
        <f>+IFERROR((FT_RF_264[[#This Row],[Inmadura]]/FT_RF_264[[#This Row],[Muestra]]),"0")</f>
        <v>0</v>
      </c>
      <c r="T203" s="38">
        <v>0</v>
      </c>
      <c r="U203" s="39">
        <f>+IFERROR((FT_RF_264[[#This Row],[Partidas]]/FT_RF_264[[#This Row],[Muestra]]),"0")</f>
        <v>0</v>
      </c>
      <c r="V203" s="38">
        <v>0</v>
      </c>
      <c r="W203" s="39">
        <f>+IFERROR((FT_RF_264[[#This Row],[Daño Insecto]]/FT_RF_264[[#This Row],[Muestra]]),"0")</f>
        <v>0</v>
      </c>
      <c r="X203" s="38">
        <v>0</v>
      </c>
      <c r="Y203" s="39">
        <f>+IFERROR((FT_RF_264[[#This Row],[Sobremadura]]/FT_RF_264[[#This Row],[Muestra]]),"0")</f>
        <v>0</v>
      </c>
      <c r="Z203" s="38">
        <v>0</v>
      </c>
      <c r="AA203" s="39">
        <f>+IFERROR((FT_RF_264[[#This Row],[Deforme]]/FT_RF_264[[#This Row],[Muestra]]),"0")</f>
        <v>0</v>
      </c>
      <c r="AB203" s="27"/>
      <c r="AC203" s="38">
        <v>0</v>
      </c>
      <c r="AD203" s="39">
        <f>+IFERROR((FT_RF_264[[#This Row],[Valor Extra 1]]/FT_RF_264[[#This Row],[Muestra]]),"0")</f>
        <v>0</v>
      </c>
      <c r="AF203" s="38">
        <v>0</v>
      </c>
      <c r="AG203" s="39">
        <f>+IFERROR((FT_RF_264[[#This Row],[Valor Extra 2]]/FT_RF_264[[#This Row],[Muestra]]),"0")</f>
        <v>0</v>
      </c>
      <c r="AH203" s="40">
        <v>0</v>
      </c>
      <c r="AI203" s="39">
        <f>+IFERROR((FT_RF_264[[#This Row],[Hongos]]/FT_RF_264[[#This Row],[Muestra]]),"0")</f>
        <v>0</v>
      </c>
      <c r="AJ203" s="38">
        <v>0</v>
      </c>
      <c r="AK203" s="39">
        <f>+IFERROR((FT_RF_264[[#This Row],[Block]]/FT_RF_264[[#This Row],[Muestra]]),"0")</f>
        <v>0</v>
      </c>
      <c r="AL203" s="41">
        <v>0</v>
      </c>
      <c r="AM203" s="42">
        <v>0</v>
      </c>
      <c r="AN203" s="38">
        <v>0</v>
      </c>
      <c r="AO203" s="39">
        <f>+IFERROR((FT_RF_264[[#This Row],[Fuera de calibre &lt;12mm]]/FT_RF_264[[#This Row],[Muestra]]),"0")</f>
        <v>0</v>
      </c>
      <c r="AP203" s="38">
        <v>0</v>
      </c>
      <c r="AQ203" s="39">
        <f>+IFERROR((FT_RF_264[[#This Row],[Calibre &lt;25]]/FT_RF_264[[#This Row],[Muestra]]),"0")</f>
        <v>0</v>
      </c>
      <c r="AR203" s="38">
        <v>0</v>
      </c>
      <c r="AS203" s="39">
        <f>+IFERROR((FT_RF_264[[#This Row],[Calibre &gt;12]]/FT_RF_264[[#This Row],[Muestra]]),"0")</f>
        <v>0</v>
      </c>
      <c r="AT203" s="38">
        <v>0</v>
      </c>
      <c r="AU203" s="39">
        <f>+IFERROR((FT_RF_264[[#This Row],[Calibre &lt;14]]/FT_RF_264[[#This Row],[Muestra]]),"0")</f>
        <v>0</v>
      </c>
      <c r="AV203" s="38">
        <v>0</v>
      </c>
      <c r="AW203" s="39">
        <f>+IFERROR((FT_RF_264[[#This Row],[Calibre &gt;14]]/FT_RF_264[[#This Row],[Muestra]]),"0")</f>
        <v>0</v>
      </c>
      <c r="AX203" s="38">
        <v>0</v>
      </c>
      <c r="AY203" s="39">
        <f>+IFERROR((FT_RF_264[[#This Row],[Calibre &lt;10]]/FT_RF_264[[#This Row],[Muestra]]),"0")</f>
        <v>0</v>
      </c>
      <c r="AZ203" s="38">
        <v>0</v>
      </c>
      <c r="BA203" s="39">
        <f>+IFERROR((FT_RF_264[[#This Row],[Calibre &gt;13]]/FT_RF_264[[#This Row],[Muestra]]),"0")</f>
        <v>0</v>
      </c>
      <c r="BB203" s="41"/>
      <c r="BG203" s="42"/>
      <c r="BH203" s="43">
        <v>0</v>
      </c>
      <c r="BI203" s="29" t="s">
        <v>894</v>
      </c>
      <c r="BJ203" s="29" t="s">
        <v>894</v>
      </c>
      <c r="BK20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0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03" s="45">
        <f>1-FT_RF_264[[#This Row],[% Defectos]]</f>
        <v>1</v>
      </c>
      <c r="BO203" s="60"/>
      <c r="BP203" s="12">
        <f>SUM(FT_RF_264[[#This Row],[Hoja (Un.)]:[Larvas Caja]])</f>
        <v>0</v>
      </c>
      <c r="BQ203" s="12">
        <f>SUM(FT_RF_264[[#This Row],[Vidrios]:[Plástico]])</f>
        <v>0</v>
      </c>
      <c r="BR203" s="12" t="str">
        <f>IF(ISBLANK(FT_RF_264[[#This Row],[Descripción del producto]]),"",FT_RF_264[[#This Row],[Descripción del producto]])</f>
        <v/>
      </c>
      <c r="BS203" s="29" t="str">
        <f>IF(ISBLANK(FT_RF_264[[#This Row],[N° de Lote]]),"",FT_RF_264[[#This Row],[N° de Lote]])</f>
        <v/>
      </c>
      <c r="BT203" s="29" t="str">
        <f>IF(ISBLANK(FT_RF_264[[#This Row],[N° de Pallet]]),"",FT_RF_264[[#This Row],[N° de Pallet]])</f>
        <v/>
      </c>
    </row>
    <row r="204" spans="2:72">
      <c r="B204" s="29">
        <f>+_xlfn.ISOWEEKNUM(FT_RF_264[[#This Row],[Fecha]])</f>
        <v>52</v>
      </c>
      <c r="E204" s="31"/>
      <c r="F204" s="12" t="str">
        <f>IFERROR(""&amp;_xlfn.XLOOKUP(FT_RF_264[[#This Row],[Código]],BD_Cod[SKU],BD_Cod[Descripción]),"")</f>
        <v/>
      </c>
      <c r="G204" s="32" t="str">
        <f>IFERROR(""&amp;_xlfn.XLOOKUP(FT_RF_264[[#This Row],[Código]],BD_Cod[SKU],BD_Cod[Familia Calidad]),"")</f>
        <v/>
      </c>
      <c r="J204" s="33">
        <v>1000</v>
      </c>
      <c r="L204" s="30" t="s">
        <v>244</v>
      </c>
      <c r="O204" s="30" t="s">
        <v>894</v>
      </c>
      <c r="P204" s="29" t="s">
        <v>894</v>
      </c>
      <c r="Q204" s="37">
        <f>1-FT_RF_264[[#This Row],[% Defectos]]</f>
        <v>1</v>
      </c>
      <c r="R204" s="38">
        <v>0</v>
      </c>
      <c r="S204" s="39">
        <f>+IFERROR((FT_RF_264[[#This Row],[Inmadura]]/FT_RF_264[[#This Row],[Muestra]]),"0")</f>
        <v>0</v>
      </c>
      <c r="T204" s="38">
        <v>0</v>
      </c>
      <c r="U204" s="39">
        <f>+IFERROR((FT_RF_264[[#This Row],[Partidas]]/FT_RF_264[[#This Row],[Muestra]]),"0")</f>
        <v>0</v>
      </c>
      <c r="V204" s="38">
        <v>0</v>
      </c>
      <c r="W204" s="39">
        <f>+IFERROR((FT_RF_264[[#This Row],[Daño Insecto]]/FT_RF_264[[#This Row],[Muestra]]),"0")</f>
        <v>0</v>
      </c>
      <c r="X204" s="38">
        <v>0</v>
      </c>
      <c r="Y204" s="39">
        <f>+IFERROR((FT_RF_264[[#This Row],[Sobremadura]]/FT_RF_264[[#This Row],[Muestra]]),"0")</f>
        <v>0</v>
      </c>
      <c r="Z204" s="38">
        <v>0</v>
      </c>
      <c r="AA204" s="39">
        <f>+IFERROR((FT_RF_264[[#This Row],[Deforme]]/FT_RF_264[[#This Row],[Muestra]]),"0")</f>
        <v>0</v>
      </c>
      <c r="AB204" s="27"/>
      <c r="AC204" s="38">
        <v>0</v>
      </c>
      <c r="AD204" s="39">
        <f>+IFERROR((FT_RF_264[[#This Row],[Valor Extra 1]]/FT_RF_264[[#This Row],[Muestra]]),"0")</f>
        <v>0</v>
      </c>
      <c r="AF204" s="38">
        <v>0</v>
      </c>
      <c r="AG204" s="39">
        <f>+IFERROR((FT_RF_264[[#This Row],[Valor Extra 2]]/FT_RF_264[[#This Row],[Muestra]]),"0")</f>
        <v>0</v>
      </c>
      <c r="AH204" s="40">
        <v>0</v>
      </c>
      <c r="AI204" s="39">
        <f>+IFERROR((FT_RF_264[[#This Row],[Hongos]]/FT_RF_264[[#This Row],[Muestra]]),"0")</f>
        <v>0</v>
      </c>
      <c r="AJ204" s="38">
        <v>0</v>
      </c>
      <c r="AK204" s="39">
        <f>+IFERROR((FT_RF_264[[#This Row],[Block]]/FT_RF_264[[#This Row],[Muestra]]),"0")</f>
        <v>0</v>
      </c>
      <c r="AL204" s="41">
        <v>0</v>
      </c>
      <c r="AM204" s="42">
        <v>0</v>
      </c>
      <c r="AN204" s="38">
        <v>0</v>
      </c>
      <c r="AO204" s="39">
        <f>+IFERROR((FT_RF_264[[#This Row],[Fuera de calibre &lt;12mm]]/FT_RF_264[[#This Row],[Muestra]]),"0")</f>
        <v>0</v>
      </c>
      <c r="AP204" s="38">
        <v>0</v>
      </c>
      <c r="AQ204" s="39">
        <f>+IFERROR((FT_RF_264[[#This Row],[Calibre &lt;25]]/FT_RF_264[[#This Row],[Muestra]]),"0")</f>
        <v>0</v>
      </c>
      <c r="AR204" s="38">
        <v>0</v>
      </c>
      <c r="AS204" s="39">
        <f>+IFERROR((FT_RF_264[[#This Row],[Calibre &gt;12]]/FT_RF_264[[#This Row],[Muestra]]),"0")</f>
        <v>0</v>
      </c>
      <c r="AT204" s="38">
        <v>0</v>
      </c>
      <c r="AU204" s="39">
        <f>+IFERROR((FT_RF_264[[#This Row],[Calibre &lt;14]]/FT_RF_264[[#This Row],[Muestra]]),"0")</f>
        <v>0</v>
      </c>
      <c r="AV204" s="38">
        <v>0</v>
      </c>
      <c r="AW204" s="39">
        <f>+IFERROR((FT_RF_264[[#This Row],[Calibre &gt;14]]/FT_RF_264[[#This Row],[Muestra]]),"0")</f>
        <v>0</v>
      </c>
      <c r="AX204" s="38">
        <v>0</v>
      </c>
      <c r="AY204" s="39">
        <f>+IFERROR((FT_RF_264[[#This Row],[Calibre &lt;10]]/FT_RF_264[[#This Row],[Muestra]]),"0")</f>
        <v>0</v>
      </c>
      <c r="AZ204" s="38">
        <v>0</v>
      </c>
      <c r="BA204" s="39">
        <f>+IFERROR((FT_RF_264[[#This Row],[Calibre &gt;13]]/FT_RF_264[[#This Row],[Muestra]]),"0")</f>
        <v>0</v>
      </c>
      <c r="BB204" s="41"/>
      <c r="BG204" s="42"/>
      <c r="BH204" s="43">
        <v>0</v>
      </c>
      <c r="BI204" s="29" t="s">
        <v>894</v>
      </c>
      <c r="BJ204" s="29" t="s">
        <v>894</v>
      </c>
      <c r="BK20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0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04" s="45">
        <f>1-FT_RF_264[[#This Row],[% Defectos]]</f>
        <v>1</v>
      </c>
      <c r="BO204" s="60"/>
      <c r="BP204" s="12">
        <f>SUM(FT_RF_264[[#This Row],[Hoja (Un.)]:[Larvas Caja]])</f>
        <v>0</v>
      </c>
      <c r="BQ204" s="12">
        <f>SUM(FT_RF_264[[#This Row],[Vidrios]:[Plástico]])</f>
        <v>0</v>
      </c>
      <c r="BR204" s="12" t="str">
        <f>IF(ISBLANK(FT_RF_264[[#This Row],[Descripción del producto]]),"",FT_RF_264[[#This Row],[Descripción del producto]])</f>
        <v/>
      </c>
      <c r="BS204" s="29" t="str">
        <f>IF(ISBLANK(FT_RF_264[[#This Row],[N° de Lote]]),"",FT_RF_264[[#This Row],[N° de Lote]])</f>
        <v/>
      </c>
      <c r="BT204" s="29" t="str">
        <f>IF(ISBLANK(FT_RF_264[[#This Row],[N° de Pallet]]),"",FT_RF_264[[#This Row],[N° de Pallet]])</f>
        <v/>
      </c>
    </row>
    <row r="205" spans="2:72">
      <c r="B205" s="29">
        <f>+_xlfn.ISOWEEKNUM(FT_RF_264[[#This Row],[Fecha]])</f>
        <v>52</v>
      </c>
      <c r="E205" s="31"/>
      <c r="F205" s="12" t="str">
        <f>IFERROR(""&amp;_xlfn.XLOOKUP(FT_RF_264[[#This Row],[Código]],BD_Cod[SKU],BD_Cod[Descripción]),"")</f>
        <v/>
      </c>
      <c r="G205" s="32" t="str">
        <f>IFERROR(""&amp;_xlfn.XLOOKUP(FT_RF_264[[#This Row],[Código]],BD_Cod[SKU],BD_Cod[Familia Calidad]),"")</f>
        <v/>
      </c>
      <c r="J205" s="33">
        <v>1000</v>
      </c>
      <c r="L205" s="30" t="s">
        <v>244</v>
      </c>
      <c r="O205" s="30" t="s">
        <v>894</v>
      </c>
      <c r="P205" s="29" t="s">
        <v>894</v>
      </c>
      <c r="Q205" s="37">
        <f>1-FT_RF_264[[#This Row],[% Defectos]]</f>
        <v>1</v>
      </c>
      <c r="R205" s="38">
        <v>0</v>
      </c>
      <c r="S205" s="39">
        <f>+IFERROR((FT_RF_264[[#This Row],[Inmadura]]/FT_RF_264[[#This Row],[Muestra]]),"0")</f>
        <v>0</v>
      </c>
      <c r="T205" s="38">
        <v>0</v>
      </c>
      <c r="U205" s="39">
        <f>+IFERROR((FT_RF_264[[#This Row],[Partidas]]/FT_RF_264[[#This Row],[Muestra]]),"0")</f>
        <v>0</v>
      </c>
      <c r="V205" s="38">
        <v>0</v>
      </c>
      <c r="W205" s="39">
        <f>+IFERROR((FT_RF_264[[#This Row],[Daño Insecto]]/FT_RF_264[[#This Row],[Muestra]]),"0")</f>
        <v>0</v>
      </c>
      <c r="X205" s="38">
        <v>0</v>
      </c>
      <c r="Y205" s="39">
        <f>+IFERROR((FT_RF_264[[#This Row],[Sobremadura]]/FT_RF_264[[#This Row],[Muestra]]),"0")</f>
        <v>0</v>
      </c>
      <c r="Z205" s="38">
        <v>0</v>
      </c>
      <c r="AA205" s="39">
        <f>+IFERROR((FT_RF_264[[#This Row],[Deforme]]/FT_RF_264[[#This Row],[Muestra]]),"0")</f>
        <v>0</v>
      </c>
      <c r="AB205" s="27"/>
      <c r="AC205" s="38">
        <v>0</v>
      </c>
      <c r="AD205" s="39">
        <f>+IFERROR((FT_RF_264[[#This Row],[Valor Extra 1]]/FT_RF_264[[#This Row],[Muestra]]),"0")</f>
        <v>0</v>
      </c>
      <c r="AF205" s="38">
        <v>0</v>
      </c>
      <c r="AG205" s="39">
        <f>+IFERROR((FT_RF_264[[#This Row],[Valor Extra 2]]/FT_RF_264[[#This Row],[Muestra]]),"0")</f>
        <v>0</v>
      </c>
      <c r="AH205" s="40">
        <v>0</v>
      </c>
      <c r="AI205" s="39">
        <f>+IFERROR((FT_RF_264[[#This Row],[Hongos]]/FT_RF_264[[#This Row],[Muestra]]),"0")</f>
        <v>0</v>
      </c>
      <c r="AJ205" s="38">
        <v>0</v>
      </c>
      <c r="AK205" s="39">
        <f>+IFERROR((FT_RF_264[[#This Row],[Block]]/FT_RF_264[[#This Row],[Muestra]]),"0")</f>
        <v>0</v>
      </c>
      <c r="AL205" s="41">
        <v>0</v>
      </c>
      <c r="AM205" s="42">
        <v>0</v>
      </c>
      <c r="AN205" s="38">
        <v>0</v>
      </c>
      <c r="AO205" s="39">
        <f>+IFERROR((FT_RF_264[[#This Row],[Fuera de calibre &lt;12mm]]/FT_RF_264[[#This Row],[Muestra]]),"0")</f>
        <v>0</v>
      </c>
      <c r="AP205" s="38">
        <v>0</v>
      </c>
      <c r="AQ205" s="39">
        <f>+IFERROR((FT_RF_264[[#This Row],[Calibre &lt;25]]/FT_RF_264[[#This Row],[Muestra]]),"0")</f>
        <v>0</v>
      </c>
      <c r="AR205" s="38">
        <v>0</v>
      </c>
      <c r="AS205" s="39">
        <f>+IFERROR((FT_RF_264[[#This Row],[Calibre &gt;12]]/FT_RF_264[[#This Row],[Muestra]]),"0")</f>
        <v>0</v>
      </c>
      <c r="AT205" s="38">
        <v>0</v>
      </c>
      <c r="AU205" s="39">
        <f>+IFERROR((FT_RF_264[[#This Row],[Calibre &lt;14]]/FT_RF_264[[#This Row],[Muestra]]),"0")</f>
        <v>0</v>
      </c>
      <c r="AV205" s="38">
        <v>0</v>
      </c>
      <c r="AW205" s="39">
        <f>+IFERROR((FT_RF_264[[#This Row],[Calibre &gt;14]]/FT_RF_264[[#This Row],[Muestra]]),"0")</f>
        <v>0</v>
      </c>
      <c r="AX205" s="38">
        <v>0</v>
      </c>
      <c r="AY205" s="39">
        <f>+IFERROR((FT_RF_264[[#This Row],[Calibre &lt;10]]/FT_RF_264[[#This Row],[Muestra]]),"0")</f>
        <v>0</v>
      </c>
      <c r="AZ205" s="38">
        <v>0</v>
      </c>
      <c r="BA205" s="39">
        <f>+IFERROR((FT_RF_264[[#This Row],[Calibre &gt;13]]/FT_RF_264[[#This Row],[Muestra]]),"0")</f>
        <v>0</v>
      </c>
      <c r="BB205" s="41"/>
      <c r="BG205" s="42"/>
      <c r="BH205" s="43">
        <v>0</v>
      </c>
      <c r="BI205" s="29" t="s">
        <v>894</v>
      </c>
      <c r="BJ205" s="29" t="s">
        <v>894</v>
      </c>
      <c r="BK20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0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05" s="45">
        <f>1-FT_RF_264[[#This Row],[% Defectos]]</f>
        <v>1</v>
      </c>
      <c r="BO205" s="60"/>
      <c r="BP205" s="12">
        <f>SUM(FT_RF_264[[#This Row],[Hoja (Un.)]:[Larvas Caja]])</f>
        <v>0</v>
      </c>
      <c r="BQ205" s="12">
        <f>SUM(FT_RF_264[[#This Row],[Vidrios]:[Plástico]])</f>
        <v>0</v>
      </c>
      <c r="BR205" s="12" t="str">
        <f>IF(ISBLANK(FT_RF_264[[#This Row],[Descripción del producto]]),"",FT_RF_264[[#This Row],[Descripción del producto]])</f>
        <v/>
      </c>
      <c r="BS205" s="29" t="str">
        <f>IF(ISBLANK(FT_RF_264[[#This Row],[N° de Lote]]),"",FT_RF_264[[#This Row],[N° de Lote]])</f>
        <v/>
      </c>
      <c r="BT205" s="29" t="str">
        <f>IF(ISBLANK(FT_RF_264[[#This Row],[N° de Pallet]]),"",FT_RF_264[[#This Row],[N° de Pallet]])</f>
        <v/>
      </c>
    </row>
    <row r="206" spans="2:72">
      <c r="B206" s="29">
        <f>+_xlfn.ISOWEEKNUM(FT_RF_264[[#This Row],[Fecha]])</f>
        <v>52</v>
      </c>
      <c r="E206" s="31"/>
      <c r="F206" s="12" t="str">
        <f>IFERROR(""&amp;_xlfn.XLOOKUP(FT_RF_264[[#This Row],[Código]],BD_Cod[SKU],BD_Cod[Descripción]),"")</f>
        <v/>
      </c>
      <c r="G206" s="32" t="str">
        <f>IFERROR(""&amp;_xlfn.XLOOKUP(FT_RF_264[[#This Row],[Código]],BD_Cod[SKU],BD_Cod[Familia Calidad]),"")</f>
        <v/>
      </c>
      <c r="J206" s="33">
        <v>1000</v>
      </c>
      <c r="L206" s="30" t="s">
        <v>244</v>
      </c>
      <c r="O206" s="30" t="s">
        <v>894</v>
      </c>
      <c r="P206" s="29" t="s">
        <v>894</v>
      </c>
      <c r="Q206" s="37">
        <f>1-FT_RF_264[[#This Row],[% Defectos]]</f>
        <v>1</v>
      </c>
      <c r="R206" s="38">
        <v>0</v>
      </c>
      <c r="S206" s="39">
        <f>+IFERROR((FT_RF_264[[#This Row],[Inmadura]]/FT_RF_264[[#This Row],[Muestra]]),"0")</f>
        <v>0</v>
      </c>
      <c r="T206" s="38">
        <v>0</v>
      </c>
      <c r="U206" s="39">
        <f>+IFERROR((FT_RF_264[[#This Row],[Partidas]]/FT_RF_264[[#This Row],[Muestra]]),"0")</f>
        <v>0</v>
      </c>
      <c r="V206" s="38">
        <v>0</v>
      </c>
      <c r="W206" s="39">
        <f>+IFERROR((FT_RF_264[[#This Row],[Daño Insecto]]/FT_RF_264[[#This Row],[Muestra]]),"0")</f>
        <v>0</v>
      </c>
      <c r="X206" s="38">
        <v>0</v>
      </c>
      <c r="Y206" s="39">
        <f>+IFERROR((FT_RF_264[[#This Row],[Sobremadura]]/FT_RF_264[[#This Row],[Muestra]]),"0")</f>
        <v>0</v>
      </c>
      <c r="Z206" s="38">
        <v>0</v>
      </c>
      <c r="AA206" s="39">
        <f>+IFERROR((FT_RF_264[[#This Row],[Deforme]]/FT_RF_264[[#This Row],[Muestra]]),"0")</f>
        <v>0</v>
      </c>
      <c r="AB206" s="27"/>
      <c r="AC206" s="38">
        <v>0</v>
      </c>
      <c r="AD206" s="39">
        <f>+IFERROR((FT_RF_264[[#This Row],[Valor Extra 1]]/FT_RF_264[[#This Row],[Muestra]]),"0")</f>
        <v>0</v>
      </c>
      <c r="AF206" s="38">
        <v>0</v>
      </c>
      <c r="AG206" s="39">
        <f>+IFERROR((FT_RF_264[[#This Row],[Valor Extra 2]]/FT_RF_264[[#This Row],[Muestra]]),"0")</f>
        <v>0</v>
      </c>
      <c r="AH206" s="40">
        <v>0</v>
      </c>
      <c r="AI206" s="39">
        <f>+IFERROR((FT_RF_264[[#This Row],[Hongos]]/FT_RF_264[[#This Row],[Muestra]]),"0")</f>
        <v>0</v>
      </c>
      <c r="AJ206" s="38">
        <v>0</v>
      </c>
      <c r="AK206" s="39">
        <f>+IFERROR((FT_RF_264[[#This Row],[Block]]/FT_RF_264[[#This Row],[Muestra]]),"0")</f>
        <v>0</v>
      </c>
      <c r="AL206" s="41">
        <v>0</v>
      </c>
      <c r="AM206" s="42">
        <v>0</v>
      </c>
      <c r="AN206" s="38">
        <v>0</v>
      </c>
      <c r="AO206" s="39">
        <f>+IFERROR((FT_RF_264[[#This Row],[Fuera de calibre &lt;12mm]]/FT_RF_264[[#This Row],[Muestra]]),"0")</f>
        <v>0</v>
      </c>
      <c r="AP206" s="38">
        <v>0</v>
      </c>
      <c r="AQ206" s="39">
        <f>+IFERROR((FT_RF_264[[#This Row],[Calibre &lt;25]]/FT_RF_264[[#This Row],[Muestra]]),"0")</f>
        <v>0</v>
      </c>
      <c r="AR206" s="38">
        <v>0</v>
      </c>
      <c r="AS206" s="39">
        <f>+IFERROR((FT_RF_264[[#This Row],[Calibre &gt;12]]/FT_RF_264[[#This Row],[Muestra]]),"0")</f>
        <v>0</v>
      </c>
      <c r="AT206" s="38">
        <v>0</v>
      </c>
      <c r="AU206" s="39">
        <f>+IFERROR((FT_RF_264[[#This Row],[Calibre &lt;14]]/FT_RF_264[[#This Row],[Muestra]]),"0")</f>
        <v>0</v>
      </c>
      <c r="AV206" s="38">
        <v>0</v>
      </c>
      <c r="AW206" s="39">
        <f>+IFERROR((FT_RF_264[[#This Row],[Calibre &gt;14]]/FT_RF_264[[#This Row],[Muestra]]),"0")</f>
        <v>0</v>
      </c>
      <c r="AX206" s="38">
        <v>0</v>
      </c>
      <c r="AY206" s="39">
        <f>+IFERROR((FT_RF_264[[#This Row],[Calibre &lt;10]]/FT_RF_264[[#This Row],[Muestra]]),"0")</f>
        <v>0</v>
      </c>
      <c r="AZ206" s="38">
        <v>0</v>
      </c>
      <c r="BA206" s="39">
        <f>+IFERROR((FT_RF_264[[#This Row],[Calibre &gt;13]]/FT_RF_264[[#This Row],[Muestra]]),"0")</f>
        <v>0</v>
      </c>
      <c r="BB206" s="41"/>
      <c r="BG206" s="42"/>
      <c r="BH206" s="43">
        <v>0</v>
      </c>
      <c r="BI206" s="29" t="s">
        <v>894</v>
      </c>
      <c r="BJ206" s="29" t="s">
        <v>894</v>
      </c>
      <c r="BK20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0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06" s="45">
        <f>1-FT_RF_264[[#This Row],[% Defectos]]</f>
        <v>1</v>
      </c>
      <c r="BO206" s="60"/>
      <c r="BP206" s="12">
        <f>SUM(FT_RF_264[[#This Row],[Hoja (Un.)]:[Larvas Caja]])</f>
        <v>0</v>
      </c>
      <c r="BQ206" s="12">
        <f>SUM(FT_RF_264[[#This Row],[Vidrios]:[Plástico]])</f>
        <v>0</v>
      </c>
      <c r="BR206" s="12" t="str">
        <f>IF(ISBLANK(FT_RF_264[[#This Row],[Descripción del producto]]),"",FT_RF_264[[#This Row],[Descripción del producto]])</f>
        <v/>
      </c>
      <c r="BS206" s="29" t="str">
        <f>IF(ISBLANK(FT_RF_264[[#This Row],[N° de Lote]]),"",FT_RF_264[[#This Row],[N° de Lote]])</f>
        <v/>
      </c>
      <c r="BT206" s="29" t="str">
        <f>IF(ISBLANK(FT_RF_264[[#This Row],[N° de Pallet]]),"",FT_RF_264[[#This Row],[N° de Pallet]])</f>
        <v/>
      </c>
    </row>
    <row r="207" spans="2:72">
      <c r="B207" s="29">
        <f>+_xlfn.ISOWEEKNUM(FT_RF_264[[#This Row],[Fecha]])</f>
        <v>52</v>
      </c>
      <c r="E207" s="31"/>
      <c r="F207" s="12" t="str">
        <f>IFERROR(""&amp;_xlfn.XLOOKUP(FT_RF_264[[#This Row],[Código]],BD_Cod[SKU],BD_Cod[Descripción]),"")</f>
        <v/>
      </c>
      <c r="G207" s="32" t="str">
        <f>IFERROR(""&amp;_xlfn.XLOOKUP(FT_RF_264[[#This Row],[Código]],BD_Cod[SKU],BD_Cod[Familia Calidad]),"")</f>
        <v/>
      </c>
      <c r="J207" s="33">
        <v>1000</v>
      </c>
      <c r="L207" s="30" t="s">
        <v>244</v>
      </c>
      <c r="O207" s="30" t="s">
        <v>894</v>
      </c>
      <c r="P207" s="29" t="s">
        <v>894</v>
      </c>
      <c r="Q207" s="37">
        <f>1-FT_RF_264[[#This Row],[% Defectos]]</f>
        <v>1</v>
      </c>
      <c r="R207" s="38">
        <v>0</v>
      </c>
      <c r="S207" s="39">
        <f>+IFERROR((FT_RF_264[[#This Row],[Inmadura]]/FT_RF_264[[#This Row],[Muestra]]),"0")</f>
        <v>0</v>
      </c>
      <c r="T207" s="38">
        <v>0</v>
      </c>
      <c r="U207" s="39">
        <f>+IFERROR((FT_RF_264[[#This Row],[Partidas]]/FT_RF_264[[#This Row],[Muestra]]),"0")</f>
        <v>0</v>
      </c>
      <c r="V207" s="38">
        <v>0</v>
      </c>
      <c r="W207" s="39">
        <f>+IFERROR((FT_RF_264[[#This Row],[Daño Insecto]]/FT_RF_264[[#This Row],[Muestra]]),"0")</f>
        <v>0</v>
      </c>
      <c r="X207" s="38">
        <v>0</v>
      </c>
      <c r="Y207" s="39">
        <f>+IFERROR((FT_RF_264[[#This Row],[Sobremadura]]/FT_RF_264[[#This Row],[Muestra]]),"0")</f>
        <v>0</v>
      </c>
      <c r="Z207" s="38">
        <v>0</v>
      </c>
      <c r="AA207" s="39">
        <f>+IFERROR((FT_RF_264[[#This Row],[Deforme]]/FT_RF_264[[#This Row],[Muestra]]),"0")</f>
        <v>0</v>
      </c>
      <c r="AB207" s="27"/>
      <c r="AC207" s="38">
        <v>0</v>
      </c>
      <c r="AD207" s="39">
        <f>+IFERROR((FT_RF_264[[#This Row],[Valor Extra 1]]/FT_RF_264[[#This Row],[Muestra]]),"0")</f>
        <v>0</v>
      </c>
      <c r="AF207" s="38">
        <v>0</v>
      </c>
      <c r="AG207" s="39">
        <f>+IFERROR((FT_RF_264[[#This Row],[Valor Extra 2]]/FT_RF_264[[#This Row],[Muestra]]),"0")</f>
        <v>0</v>
      </c>
      <c r="AH207" s="40">
        <v>0</v>
      </c>
      <c r="AI207" s="39">
        <f>+IFERROR((FT_RF_264[[#This Row],[Hongos]]/FT_RF_264[[#This Row],[Muestra]]),"0")</f>
        <v>0</v>
      </c>
      <c r="AJ207" s="38">
        <v>0</v>
      </c>
      <c r="AK207" s="39">
        <f>+IFERROR((FT_RF_264[[#This Row],[Block]]/FT_RF_264[[#This Row],[Muestra]]),"0")</f>
        <v>0</v>
      </c>
      <c r="AL207" s="41">
        <v>0</v>
      </c>
      <c r="AM207" s="42">
        <v>0</v>
      </c>
      <c r="AN207" s="38">
        <v>0</v>
      </c>
      <c r="AO207" s="39">
        <f>+IFERROR((FT_RF_264[[#This Row],[Fuera de calibre &lt;12mm]]/FT_RF_264[[#This Row],[Muestra]]),"0")</f>
        <v>0</v>
      </c>
      <c r="AP207" s="38">
        <v>0</v>
      </c>
      <c r="AQ207" s="39">
        <f>+IFERROR((FT_RF_264[[#This Row],[Calibre &lt;25]]/FT_RF_264[[#This Row],[Muestra]]),"0")</f>
        <v>0</v>
      </c>
      <c r="AR207" s="38">
        <v>0</v>
      </c>
      <c r="AS207" s="39">
        <f>+IFERROR((FT_RF_264[[#This Row],[Calibre &gt;12]]/FT_RF_264[[#This Row],[Muestra]]),"0")</f>
        <v>0</v>
      </c>
      <c r="AT207" s="38">
        <v>0</v>
      </c>
      <c r="AU207" s="39">
        <f>+IFERROR((FT_RF_264[[#This Row],[Calibre &lt;14]]/FT_RF_264[[#This Row],[Muestra]]),"0")</f>
        <v>0</v>
      </c>
      <c r="AV207" s="38">
        <v>0</v>
      </c>
      <c r="AW207" s="39">
        <f>+IFERROR((FT_RF_264[[#This Row],[Calibre &gt;14]]/FT_RF_264[[#This Row],[Muestra]]),"0")</f>
        <v>0</v>
      </c>
      <c r="AX207" s="38">
        <v>0</v>
      </c>
      <c r="AY207" s="39">
        <f>+IFERROR((FT_RF_264[[#This Row],[Calibre &lt;10]]/FT_RF_264[[#This Row],[Muestra]]),"0")</f>
        <v>0</v>
      </c>
      <c r="AZ207" s="38">
        <v>0</v>
      </c>
      <c r="BA207" s="39">
        <f>+IFERROR((FT_RF_264[[#This Row],[Calibre &gt;13]]/FT_RF_264[[#This Row],[Muestra]]),"0")</f>
        <v>0</v>
      </c>
      <c r="BB207" s="41"/>
      <c r="BG207" s="42"/>
      <c r="BH207" s="43">
        <v>0</v>
      </c>
      <c r="BI207" s="29" t="s">
        <v>894</v>
      </c>
      <c r="BJ207" s="29" t="s">
        <v>894</v>
      </c>
      <c r="BK20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0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07" s="45">
        <f>1-FT_RF_264[[#This Row],[% Defectos]]</f>
        <v>1</v>
      </c>
      <c r="BO207" s="60"/>
      <c r="BP207" s="12">
        <f>SUM(FT_RF_264[[#This Row],[Hoja (Un.)]:[Larvas Caja]])</f>
        <v>0</v>
      </c>
      <c r="BQ207" s="12">
        <f>SUM(FT_RF_264[[#This Row],[Vidrios]:[Plástico]])</f>
        <v>0</v>
      </c>
      <c r="BR207" s="12" t="str">
        <f>IF(ISBLANK(FT_RF_264[[#This Row],[Descripción del producto]]),"",FT_RF_264[[#This Row],[Descripción del producto]])</f>
        <v/>
      </c>
      <c r="BS207" s="29" t="str">
        <f>IF(ISBLANK(FT_RF_264[[#This Row],[N° de Lote]]),"",FT_RF_264[[#This Row],[N° de Lote]])</f>
        <v/>
      </c>
      <c r="BT207" s="29" t="str">
        <f>IF(ISBLANK(FT_RF_264[[#This Row],[N° de Pallet]]),"",FT_RF_264[[#This Row],[N° de Pallet]])</f>
        <v/>
      </c>
    </row>
    <row r="208" spans="2:72">
      <c r="B208" s="29">
        <f>+_xlfn.ISOWEEKNUM(FT_RF_264[[#This Row],[Fecha]])</f>
        <v>52</v>
      </c>
      <c r="E208" s="31"/>
      <c r="F208" s="12" t="str">
        <f>IFERROR(""&amp;_xlfn.XLOOKUP(FT_RF_264[[#This Row],[Código]],BD_Cod[SKU],BD_Cod[Descripción]),"")</f>
        <v/>
      </c>
      <c r="G208" s="32" t="str">
        <f>IFERROR(""&amp;_xlfn.XLOOKUP(FT_RF_264[[#This Row],[Código]],BD_Cod[SKU],BD_Cod[Familia Calidad]),"")</f>
        <v/>
      </c>
      <c r="J208" s="33">
        <v>1000</v>
      </c>
      <c r="L208" s="30" t="s">
        <v>244</v>
      </c>
      <c r="O208" s="30" t="s">
        <v>894</v>
      </c>
      <c r="P208" s="29" t="s">
        <v>894</v>
      </c>
      <c r="Q208" s="37">
        <f>1-FT_RF_264[[#This Row],[% Defectos]]</f>
        <v>1</v>
      </c>
      <c r="R208" s="38">
        <v>0</v>
      </c>
      <c r="S208" s="39">
        <f>+IFERROR((FT_RF_264[[#This Row],[Inmadura]]/FT_RF_264[[#This Row],[Muestra]]),"0")</f>
        <v>0</v>
      </c>
      <c r="T208" s="38">
        <v>0</v>
      </c>
      <c r="U208" s="39">
        <f>+IFERROR((FT_RF_264[[#This Row],[Partidas]]/FT_RF_264[[#This Row],[Muestra]]),"0")</f>
        <v>0</v>
      </c>
      <c r="V208" s="38">
        <v>0</v>
      </c>
      <c r="W208" s="39">
        <f>+IFERROR((FT_RF_264[[#This Row],[Daño Insecto]]/FT_RF_264[[#This Row],[Muestra]]),"0")</f>
        <v>0</v>
      </c>
      <c r="X208" s="38">
        <v>0</v>
      </c>
      <c r="Y208" s="39">
        <f>+IFERROR((FT_RF_264[[#This Row],[Sobremadura]]/FT_RF_264[[#This Row],[Muestra]]),"0")</f>
        <v>0</v>
      </c>
      <c r="Z208" s="38">
        <v>0</v>
      </c>
      <c r="AA208" s="39">
        <f>+IFERROR((FT_RF_264[[#This Row],[Deforme]]/FT_RF_264[[#This Row],[Muestra]]),"0")</f>
        <v>0</v>
      </c>
      <c r="AB208" s="27"/>
      <c r="AC208" s="38">
        <v>0</v>
      </c>
      <c r="AD208" s="39">
        <f>+IFERROR((FT_RF_264[[#This Row],[Valor Extra 1]]/FT_RF_264[[#This Row],[Muestra]]),"0")</f>
        <v>0</v>
      </c>
      <c r="AF208" s="38">
        <v>0</v>
      </c>
      <c r="AG208" s="39">
        <f>+IFERROR((FT_RF_264[[#This Row],[Valor Extra 2]]/FT_RF_264[[#This Row],[Muestra]]),"0")</f>
        <v>0</v>
      </c>
      <c r="AH208" s="40">
        <v>0</v>
      </c>
      <c r="AI208" s="39">
        <f>+IFERROR((FT_RF_264[[#This Row],[Hongos]]/FT_RF_264[[#This Row],[Muestra]]),"0")</f>
        <v>0</v>
      </c>
      <c r="AJ208" s="38">
        <v>0</v>
      </c>
      <c r="AK208" s="39">
        <f>+IFERROR((FT_RF_264[[#This Row],[Block]]/FT_RF_264[[#This Row],[Muestra]]),"0")</f>
        <v>0</v>
      </c>
      <c r="AL208" s="41">
        <v>0</v>
      </c>
      <c r="AM208" s="42">
        <v>0</v>
      </c>
      <c r="AN208" s="38">
        <v>0</v>
      </c>
      <c r="AO208" s="39">
        <f>+IFERROR((FT_RF_264[[#This Row],[Fuera de calibre &lt;12mm]]/FT_RF_264[[#This Row],[Muestra]]),"0")</f>
        <v>0</v>
      </c>
      <c r="AP208" s="38">
        <v>0</v>
      </c>
      <c r="AQ208" s="39">
        <f>+IFERROR((FT_RF_264[[#This Row],[Calibre &lt;25]]/FT_RF_264[[#This Row],[Muestra]]),"0")</f>
        <v>0</v>
      </c>
      <c r="AR208" s="38">
        <v>0</v>
      </c>
      <c r="AS208" s="39">
        <f>+IFERROR((FT_RF_264[[#This Row],[Calibre &gt;12]]/FT_RF_264[[#This Row],[Muestra]]),"0")</f>
        <v>0</v>
      </c>
      <c r="AT208" s="38">
        <v>0</v>
      </c>
      <c r="AU208" s="39">
        <f>+IFERROR((FT_RF_264[[#This Row],[Calibre &lt;14]]/FT_RF_264[[#This Row],[Muestra]]),"0")</f>
        <v>0</v>
      </c>
      <c r="AV208" s="38">
        <v>0</v>
      </c>
      <c r="AW208" s="39">
        <f>+IFERROR((FT_RF_264[[#This Row],[Calibre &gt;14]]/FT_RF_264[[#This Row],[Muestra]]),"0")</f>
        <v>0</v>
      </c>
      <c r="AX208" s="38">
        <v>0</v>
      </c>
      <c r="AY208" s="39">
        <f>+IFERROR((FT_RF_264[[#This Row],[Calibre &lt;10]]/FT_RF_264[[#This Row],[Muestra]]),"0")</f>
        <v>0</v>
      </c>
      <c r="AZ208" s="38">
        <v>0</v>
      </c>
      <c r="BA208" s="39">
        <f>+IFERROR((FT_RF_264[[#This Row],[Calibre &gt;13]]/FT_RF_264[[#This Row],[Muestra]]),"0")</f>
        <v>0</v>
      </c>
      <c r="BB208" s="41"/>
      <c r="BG208" s="42"/>
      <c r="BH208" s="43">
        <v>0</v>
      </c>
      <c r="BI208" s="29" t="s">
        <v>894</v>
      </c>
      <c r="BJ208" s="29" t="s">
        <v>894</v>
      </c>
      <c r="BK20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0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08" s="45">
        <f>1-FT_RF_264[[#This Row],[% Defectos]]</f>
        <v>1</v>
      </c>
      <c r="BO208" s="60"/>
      <c r="BP208" s="12">
        <f>SUM(FT_RF_264[[#This Row],[Hoja (Un.)]:[Larvas Caja]])</f>
        <v>0</v>
      </c>
      <c r="BQ208" s="12">
        <f>SUM(FT_RF_264[[#This Row],[Vidrios]:[Plástico]])</f>
        <v>0</v>
      </c>
      <c r="BR208" s="12" t="str">
        <f>IF(ISBLANK(FT_RF_264[[#This Row],[Descripción del producto]]),"",FT_RF_264[[#This Row],[Descripción del producto]])</f>
        <v/>
      </c>
      <c r="BS208" s="29" t="str">
        <f>IF(ISBLANK(FT_RF_264[[#This Row],[N° de Lote]]),"",FT_RF_264[[#This Row],[N° de Lote]])</f>
        <v/>
      </c>
      <c r="BT208" s="29" t="str">
        <f>IF(ISBLANK(FT_RF_264[[#This Row],[N° de Pallet]]),"",FT_RF_264[[#This Row],[N° de Pallet]])</f>
        <v/>
      </c>
    </row>
    <row r="209" spans="2:72">
      <c r="B209" s="29">
        <f>+_xlfn.ISOWEEKNUM(FT_RF_264[[#This Row],[Fecha]])</f>
        <v>52</v>
      </c>
      <c r="E209" s="31"/>
      <c r="F209" s="12" t="str">
        <f>IFERROR(""&amp;_xlfn.XLOOKUP(FT_RF_264[[#This Row],[Código]],BD_Cod[SKU],BD_Cod[Descripción]),"")</f>
        <v/>
      </c>
      <c r="G209" s="32" t="str">
        <f>IFERROR(""&amp;_xlfn.XLOOKUP(FT_RF_264[[#This Row],[Código]],BD_Cod[SKU],BD_Cod[Familia Calidad]),"")</f>
        <v/>
      </c>
      <c r="J209" s="33">
        <v>1000</v>
      </c>
      <c r="L209" s="30" t="s">
        <v>244</v>
      </c>
      <c r="O209" s="30" t="s">
        <v>894</v>
      </c>
      <c r="P209" s="29" t="s">
        <v>894</v>
      </c>
      <c r="Q209" s="37">
        <f>1-FT_RF_264[[#This Row],[% Defectos]]</f>
        <v>1</v>
      </c>
      <c r="R209" s="38">
        <v>0</v>
      </c>
      <c r="S209" s="39">
        <f>+IFERROR((FT_RF_264[[#This Row],[Inmadura]]/FT_RF_264[[#This Row],[Muestra]]),"0")</f>
        <v>0</v>
      </c>
      <c r="T209" s="38">
        <v>0</v>
      </c>
      <c r="U209" s="39">
        <f>+IFERROR((FT_RF_264[[#This Row],[Partidas]]/FT_RF_264[[#This Row],[Muestra]]),"0")</f>
        <v>0</v>
      </c>
      <c r="V209" s="38">
        <v>0</v>
      </c>
      <c r="W209" s="39">
        <f>+IFERROR((FT_RF_264[[#This Row],[Daño Insecto]]/FT_RF_264[[#This Row],[Muestra]]),"0")</f>
        <v>0</v>
      </c>
      <c r="X209" s="38">
        <v>0</v>
      </c>
      <c r="Y209" s="39">
        <f>+IFERROR((FT_RF_264[[#This Row],[Sobremadura]]/FT_RF_264[[#This Row],[Muestra]]),"0")</f>
        <v>0</v>
      </c>
      <c r="Z209" s="38">
        <v>0</v>
      </c>
      <c r="AA209" s="39">
        <f>+IFERROR((FT_RF_264[[#This Row],[Deforme]]/FT_RF_264[[#This Row],[Muestra]]),"0")</f>
        <v>0</v>
      </c>
      <c r="AB209" s="27"/>
      <c r="AC209" s="38">
        <v>0</v>
      </c>
      <c r="AD209" s="39">
        <f>+IFERROR((FT_RF_264[[#This Row],[Valor Extra 1]]/FT_RF_264[[#This Row],[Muestra]]),"0")</f>
        <v>0</v>
      </c>
      <c r="AF209" s="38">
        <v>0</v>
      </c>
      <c r="AG209" s="39">
        <f>+IFERROR((FT_RF_264[[#This Row],[Valor Extra 2]]/FT_RF_264[[#This Row],[Muestra]]),"0")</f>
        <v>0</v>
      </c>
      <c r="AH209" s="40">
        <v>0</v>
      </c>
      <c r="AI209" s="39">
        <f>+IFERROR((FT_RF_264[[#This Row],[Hongos]]/FT_RF_264[[#This Row],[Muestra]]),"0")</f>
        <v>0</v>
      </c>
      <c r="AJ209" s="38">
        <v>0</v>
      </c>
      <c r="AK209" s="39">
        <f>+IFERROR((FT_RF_264[[#This Row],[Block]]/FT_RF_264[[#This Row],[Muestra]]),"0")</f>
        <v>0</v>
      </c>
      <c r="AL209" s="41">
        <v>0</v>
      </c>
      <c r="AM209" s="42">
        <v>0</v>
      </c>
      <c r="AN209" s="38">
        <v>0</v>
      </c>
      <c r="AO209" s="39">
        <f>+IFERROR((FT_RF_264[[#This Row],[Fuera de calibre &lt;12mm]]/FT_RF_264[[#This Row],[Muestra]]),"0")</f>
        <v>0</v>
      </c>
      <c r="AP209" s="38">
        <v>0</v>
      </c>
      <c r="AQ209" s="39">
        <f>+IFERROR((FT_RF_264[[#This Row],[Calibre &lt;25]]/FT_RF_264[[#This Row],[Muestra]]),"0")</f>
        <v>0</v>
      </c>
      <c r="AR209" s="38">
        <v>0</v>
      </c>
      <c r="AS209" s="39">
        <f>+IFERROR((FT_RF_264[[#This Row],[Calibre &gt;12]]/FT_RF_264[[#This Row],[Muestra]]),"0")</f>
        <v>0</v>
      </c>
      <c r="AT209" s="38">
        <v>0</v>
      </c>
      <c r="AU209" s="39">
        <f>+IFERROR((FT_RF_264[[#This Row],[Calibre &lt;14]]/FT_RF_264[[#This Row],[Muestra]]),"0")</f>
        <v>0</v>
      </c>
      <c r="AV209" s="38">
        <v>0</v>
      </c>
      <c r="AW209" s="39">
        <f>+IFERROR((FT_RF_264[[#This Row],[Calibre &gt;14]]/FT_RF_264[[#This Row],[Muestra]]),"0")</f>
        <v>0</v>
      </c>
      <c r="AX209" s="38">
        <v>0</v>
      </c>
      <c r="AY209" s="39">
        <f>+IFERROR((FT_RF_264[[#This Row],[Calibre &lt;10]]/FT_RF_264[[#This Row],[Muestra]]),"0")</f>
        <v>0</v>
      </c>
      <c r="AZ209" s="38">
        <v>0</v>
      </c>
      <c r="BA209" s="39">
        <f>+IFERROR((FT_RF_264[[#This Row],[Calibre &gt;13]]/FT_RF_264[[#This Row],[Muestra]]),"0")</f>
        <v>0</v>
      </c>
      <c r="BB209" s="41"/>
      <c r="BG209" s="42"/>
      <c r="BH209" s="43">
        <v>0</v>
      </c>
      <c r="BI209" s="29" t="s">
        <v>894</v>
      </c>
      <c r="BJ209" s="29" t="s">
        <v>894</v>
      </c>
      <c r="BK20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0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09" s="45">
        <f>1-FT_RF_264[[#This Row],[% Defectos]]</f>
        <v>1</v>
      </c>
      <c r="BO209" s="60"/>
      <c r="BP209" s="12">
        <f>SUM(FT_RF_264[[#This Row],[Hoja (Un.)]:[Larvas Caja]])</f>
        <v>0</v>
      </c>
      <c r="BQ209" s="12">
        <f>SUM(FT_RF_264[[#This Row],[Vidrios]:[Plástico]])</f>
        <v>0</v>
      </c>
      <c r="BR209" s="12" t="str">
        <f>IF(ISBLANK(FT_RF_264[[#This Row],[Descripción del producto]]),"",FT_RF_264[[#This Row],[Descripción del producto]])</f>
        <v/>
      </c>
      <c r="BS209" s="29" t="str">
        <f>IF(ISBLANK(FT_RF_264[[#This Row],[N° de Lote]]),"",FT_RF_264[[#This Row],[N° de Lote]])</f>
        <v/>
      </c>
      <c r="BT209" s="29" t="str">
        <f>IF(ISBLANK(FT_RF_264[[#This Row],[N° de Pallet]]),"",FT_RF_264[[#This Row],[N° de Pallet]])</f>
        <v/>
      </c>
    </row>
    <row r="210" spans="2:72">
      <c r="B210" s="29">
        <f>+_xlfn.ISOWEEKNUM(FT_RF_264[[#This Row],[Fecha]])</f>
        <v>52</v>
      </c>
      <c r="E210" s="31"/>
      <c r="F210" s="12" t="str">
        <f>IFERROR(""&amp;_xlfn.XLOOKUP(FT_RF_264[[#This Row],[Código]],BD_Cod[SKU],BD_Cod[Descripción]),"")</f>
        <v/>
      </c>
      <c r="G210" s="32" t="str">
        <f>IFERROR(""&amp;_xlfn.XLOOKUP(FT_RF_264[[#This Row],[Código]],BD_Cod[SKU],BD_Cod[Familia Calidad]),"")</f>
        <v/>
      </c>
      <c r="J210" s="33">
        <v>1000</v>
      </c>
      <c r="L210" s="30" t="s">
        <v>244</v>
      </c>
      <c r="O210" s="30" t="s">
        <v>894</v>
      </c>
      <c r="P210" s="29" t="s">
        <v>894</v>
      </c>
      <c r="Q210" s="37">
        <f>1-FT_RF_264[[#This Row],[% Defectos]]</f>
        <v>1</v>
      </c>
      <c r="R210" s="38">
        <v>0</v>
      </c>
      <c r="S210" s="39">
        <f>+IFERROR((FT_RF_264[[#This Row],[Inmadura]]/FT_RF_264[[#This Row],[Muestra]]),"0")</f>
        <v>0</v>
      </c>
      <c r="T210" s="38">
        <v>0</v>
      </c>
      <c r="U210" s="39">
        <f>+IFERROR((FT_RF_264[[#This Row],[Partidas]]/FT_RF_264[[#This Row],[Muestra]]),"0")</f>
        <v>0</v>
      </c>
      <c r="V210" s="38">
        <v>0</v>
      </c>
      <c r="W210" s="39">
        <f>+IFERROR((FT_RF_264[[#This Row],[Daño Insecto]]/FT_RF_264[[#This Row],[Muestra]]),"0")</f>
        <v>0</v>
      </c>
      <c r="X210" s="38">
        <v>0</v>
      </c>
      <c r="Y210" s="39">
        <f>+IFERROR((FT_RF_264[[#This Row],[Sobremadura]]/FT_RF_264[[#This Row],[Muestra]]),"0")</f>
        <v>0</v>
      </c>
      <c r="Z210" s="38">
        <v>0</v>
      </c>
      <c r="AA210" s="39">
        <f>+IFERROR((FT_RF_264[[#This Row],[Deforme]]/FT_RF_264[[#This Row],[Muestra]]),"0")</f>
        <v>0</v>
      </c>
      <c r="AB210" s="27"/>
      <c r="AC210" s="38">
        <v>0</v>
      </c>
      <c r="AD210" s="39">
        <f>+IFERROR((FT_RF_264[[#This Row],[Valor Extra 1]]/FT_RF_264[[#This Row],[Muestra]]),"0")</f>
        <v>0</v>
      </c>
      <c r="AF210" s="38">
        <v>0</v>
      </c>
      <c r="AG210" s="39">
        <f>+IFERROR((FT_RF_264[[#This Row],[Valor Extra 2]]/FT_RF_264[[#This Row],[Muestra]]),"0")</f>
        <v>0</v>
      </c>
      <c r="AH210" s="40">
        <v>0</v>
      </c>
      <c r="AI210" s="39">
        <f>+IFERROR((FT_RF_264[[#This Row],[Hongos]]/FT_RF_264[[#This Row],[Muestra]]),"0")</f>
        <v>0</v>
      </c>
      <c r="AJ210" s="38">
        <v>0</v>
      </c>
      <c r="AK210" s="39">
        <f>+IFERROR((FT_RF_264[[#This Row],[Block]]/FT_RF_264[[#This Row],[Muestra]]),"0")</f>
        <v>0</v>
      </c>
      <c r="AL210" s="41">
        <v>0</v>
      </c>
      <c r="AM210" s="42">
        <v>0</v>
      </c>
      <c r="AN210" s="38">
        <v>0</v>
      </c>
      <c r="AO210" s="39">
        <f>+IFERROR((FT_RF_264[[#This Row],[Fuera de calibre &lt;12mm]]/FT_RF_264[[#This Row],[Muestra]]),"0")</f>
        <v>0</v>
      </c>
      <c r="AP210" s="38">
        <v>0</v>
      </c>
      <c r="AQ210" s="39">
        <f>+IFERROR((FT_RF_264[[#This Row],[Calibre &lt;25]]/FT_RF_264[[#This Row],[Muestra]]),"0")</f>
        <v>0</v>
      </c>
      <c r="AR210" s="38">
        <v>0</v>
      </c>
      <c r="AS210" s="39">
        <f>+IFERROR((FT_RF_264[[#This Row],[Calibre &gt;12]]/FT_RF_264[[#This Row],[Muestra]]),"0")</f>
        <v>0</v>
      </c>
      <c r="AT210" s="38">
        <v>0</v>
      </c>
      <c r="AU210" s="39">
        <f>+IFERROR((FT_RF_264[[#This Row],[Calibre &lt;14]]/FT_RF_264[[#This Row],[Muestra]]),"0")</f>
        <v>0</v>
      </c>
      <c r="AV210" s="38">
        <v>0</v>
      </c>
      <c r="AW210" s="39">
        <f>+IFERROR((FT_RF_264[[#This Row],[Calibre &gt;14]]/FT_RF_264[[#This Row],[Muestra]]),"0")</f>
        <v>0</v>
      </c>
      <c r="AX210" s="38">
        <v>0</v>
      </c>
      <c r="AY210" s="39">
        <f>+IFERROR((FT_RF_264[[#This Row],[Calibre &lt;10]]/FT_RF_264[[#This Row],[Muestra]]),"0")</f>
        <v>0</v>
      </c>
      <c r="AZ210" s="38">
        <v>0</v>
      </c>
      <c r="BA210" s="39">
        <f>+IFERROR((FT_RF_264[[#This Row],[Calibre &gt;13]]/FT_RF_264[[#This Row],[Muestra]]),"0")</f>
        <v>0</v>
      </c>
      <c r="BB210" s="41"/>
      <c r="BG210" s="42"/>
      <c r="BH210" s="43">
        <v>0</v>
      </c>
      <c r="BI210" s="29" t="s">
        <v>894</v>
      </c>
      <c r="BJ210" s="29" t="s">
        <v>894</v>
      </c>
      <c r="BK21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1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10" s="45">
        <f>1-FT_RF_264[[#This Row],[% Defectos]]</f>
        <v>1</v>
      </c>
      <c r="BO210" s="60"/>
      <c r="BP210" s="12">
        <f>SUM(FT_RF_264[[#This Row],[Hoja (Un.)]:[Larvas Caja]])</f>
        <v>0</v>
      </c>
      <c r="BQ210" s="12">
        <f>SUM(FT_RF_264[[#This Row],[Vidrios]:[Plástico]])</f>
        <v>0</v>
      </c>
      <c r="BR210" s="12" t="str">
        <f>IF(ISBLANK(FT_RF_264[[#This Row],[Descripción del producto]]),"",FT_RF_264[[#This Row],[Descripción del producto]])</f>
        <v/>
      </c>
      <c r="BS210" s="29" t="str">
        <f>IF(ISBLANK(FT_RF_264[[#This Row],[N° de Lote]]),"",FT_RF_264[[#This Row],[N° de Lote]])</f>
        <v/>
      </c>
      <c r="BT210" s="29" t="str">
        <f>IF(ISBLANK(FT_RF_264[[#This Row],[N° de Pallet]]),"",FT_RF_264[[#This Row],[N° de Pallet]])</f>
        <v/>
      </c>
    </row>
    <row r="211" spans="2:72">
      <c r="B211" s="29">
        <f>+_xlfn.ISOWEEKNUM(FT_RF_264[[#This Row],[Fecha]])</f>
        <v>52</v>
      </c>
      <c r="E211" s="31"/>
      <c r="F211" s="12" t="str">
        <f>IFERROR(""&amp;_xlfn.XLOOKUP(FT_RF_264[[#This Row],[Código]],BD_Cod[SKU],BD_Cod[Descripción]),"")</f>
        <v/>
      </c>
      <c r="G211" s="32" t="str">
        <f>IFERROR(""&amp;_xlfn.XLOOKUP(FT_RF_264[[#This Row],[Código]],BD_Cod[SKU],BD_Cod[Familia Calidad]),"")</f>
        <v/>
      </c>
      <c r="J211" s="33">
        <v>1000</v>
      </c>
      <c r="L211" s="30" t="s">
        <v>244</v>
      </c>
      <c r="O211" s="30" t="s">
        <v>894</v>
      </c>
      <c r="P211" s="29" t="s">
        <v>894</v>
      </c>
      <c r="Q211" s="37">
        <f>1-FT_RF_264[[#This Row],[% Defectos]]</f>
        <v>1</v>
      </c>
      <c r="R211" s="38">
        <v>0</v>
      </c>
      <c r="S211" s="39">
        <f>+IFERROR((FT_RF_264[[#This Row],[Inmadura]]/FT_RF_264[[#This Row],[Muestra]]),"0")</f>
        <v>0</v>
      </c>
      <c r="T211" s="38">
        <v>0</v>
      </c>
      <c r="U211" s="39">
        <f>+IFERROR((FT_RF_264[[#This Row],[Partidas]]/FT_RF_264[[#This Row],[Muestra]]),"0")</f>
        <v>0</v>
      </c>
      <c r="V211" s="38">
        <v>0</v>
      </c>
      <c r="W211" s="39">
        <f>+IFERROR((FT_RF_264[[#This Row],[Daño Insecto]]/FT_RF_264[[#This Row],[Muestra]]),"0")</f>
        <v>0</v>
      </c>
      <c r="X211" s="38">
        <v>0</v>
      </c>
      <c r="Y211" s="39">
        <f>+IFERROR((FT_RF_264[[#This Row],[Sobremadura]]/FT_RF_264[[#This Row],[Muestra]]),"0")</f>
        <v>0</v>
      </c>
      <c r="Z211" s="38">
        <v>0</v>
      </c>
      <c r="AA211" s="39">
        <f>+IFERROR((FT_RF_264[[#This Row],[Deforme]]/FT_RF_264[[#This Row],[Muestra]]),"0")</f>
        <v>0</v>
      </c>
      <c r="AB211" s="27"/>
      <c r="AC211" s="38">
        <v>0</v>
      </c>
      <c r="AD211" s="39">
        <f>+IFERROR((FT_RF_264[[#This Row],[Valor Extra 1]]/FT_RF_264[[#This Row],[Muestra]]),"0")</f>
        <v>0</v>
      </c>
      <c r="AF211" s="38">
        <v>0</v>
      </c>
      <c r="AG211" s="39">
        <f>+IFERROR((FT_RF_264[[#This Row],[Valor Extra 2]]/FT_RF_264[[#This Row],[Muestra]]),"0")</f>
        <v>0</v>
      </c>
      <c r="AH211" s="40">
        <v>0</v>
      </c>
      <c r="AI211" s="39">
        <f>+IFERROR((FT_RF_264[[#This Row],[Hongos]]/FT_RF_264[[#This Row],[Muestra]]),"0")</f>
        <v>0</v>
      </c>
      <c r="AJ211" s="38">
        <v>0</v>
      </c>
      <c r="AK211" s="39">
        <f>+IFERROR((FT_RF_264[[#This Row],[Block]]/FT_RF_264[[#This Row],[Muestra]]),"0")</f>
        <v>0</v>
      </c>
      <c r="AL211" s="41">
        <v>0</v>
      </c>
      <c r="AM211" s="42">
        <v>0</v>
      </c>
      <c r="AN211" s="38">
        <v>0</v>
      </c>
      <c r="AO211" s="39">
        <f>+IFERROR((FT_RF_264[[#This Row],[Fuera de calibre &lt;12mm]]/FT_RF_264[[#This Row],[Muestra]]),"0")</f>
        <v>0</v>
      </c>
      <c r="AP211" s="38">
        <v>0</v>
      </c>
      <c r="AQ211" s="39">
        <f>+IFERROR((FT_RF_264[[#This Row],[Calibre &lt;25]]/FT_RF_264[[#This Row],[Muestra]]),"0")</f>
        <v>0</v>
      </c>
      <c r="AR211" s="38">
        <v>0</v>
      </c>
      <c r="AS211" s="39">
        <f>+IFERROR((FT_RF_264[[#This Row],[Calibre &gt;12]]/FT_RF_264[[#This Row],[Muestra]]),"0")</f>
        <v>0</v>
      </c>
      <c r="AT211" s="38">
        <v>0</v>
      </c>
      <c r="AU211" s="39">
        <f>+IFERROR((FT_RF_264[[#This Row],[Calibre &lt;14]]/FT_RF_264[[#This Row],[Muestra]]),"0")</f>
        <v>0</v>
      </c>
      <c r="AV211" s="38">
        <v>0</v>
      </c>
      <c r="AW211" s="39">
        <f>+IFERROR((FT_RF_264[[#This Row],[Calibre &gt;14]]/FT_RF_264[[#This Row],[Muestra]]),"0")</f>
        <v>0</v>
      </c>
      <c r="AX211" s="38">
        <v>0</v>
      </c>
      <c r="AY211" s="39">
        <f>+IFERROR((FT_RF_264[[#This Row],[Calibre &lt;10]]/FT_RF_264[[#This Row],[Muestra]]),"0")</f>
        <v>0</v>
      </c>
      <c r="AZ211" s="38">
        <v>0</v>
      </c>
      <c r="BA211" s="39">
        <f>+IFERROR((FT_RF_264[[#This Row],[Calibre &gt;13]]/FT_RF_264[[#This Row],[Muestra]]),"0")</f>
        <v>0</v>
      </c>
      <c r="BB211" s="41"/>
      <c r="BG211" s="42"/>
      <c r="BH211" s="43">
        <v>0</v>
      </c>
      <c r="BI211" s="29" t="s">
        <v>894</v>
      </c>
      <c r="BJ211" s="29" t="s">
        <v>894</v>
      </c>
      <c r="BK21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1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11" s="45">
        <f>1-FT_RF_264[[#This Row],[% Defectos]]</f>
        <v>1</v>
      </c>
      <c r="BO211" s="60"/>
      <c r="BP211" s="12">
        <f>SUM(FT_RF_264[[#This Row],[Hoja (Un.)]:[Larvas Caja]])</f>
        <v>0</v>
      </c>
      <c r="BQ211" s="12">
        <f>SUM(FT_RF_264[[#This Row],[Vidrios]:[Plástico]])</f>
        <v>0</v>
      </c>
      <c r="BR211" s="12" t="str">
        <f>IF(ISBLANK(FT_RF_264[[#This Row],[Descripción del producto]]),"",FT_RF_264[[#This Row],[Descripción del producto]])</f>
        <v/>
      </c>
      <c r="BS211" s="29" t="str">
        <f>IF(ISBLANK(FT_RF_264[[#This Row],[N° de Lote]]),"",FT_RF_264[[#This Row],[N° de Lote]])</f>
        <v/>
      </c>
      <c r="BT211" s="29" t="str">
        <f>IF(ISBLANK(FT_RF_264[[#This Row],[N° de Pallet]]),"",FT_RF_264[[#This Row],[N° de Pallet]])</f>
        <v/>
      </c>
    </row>
    <row r="212" spans="2:72">
      <c r="B212" s="29">
        <f>+_xlfn.ISOWEEKNUM(FT_RF_264[[#This Row],[Fecha]])</f>
        <v>52</v>
      </c>
      <c r="E212" s="31"/>
      <c r="F212" s="12" t="str">
        <f>IFERROR(""&amp;_xlfn.XLOOKUP(FT_RF_264[[#This Row],[Código]],BD_Cod[SKU],BD_Cod[Descripción]),"")</f>
        <v/>
      </c>
      <c r="G212" s="32" t="str">
        <f>IFERROR(""&amp;_xlfn.XLOOKUP(FT_RF_264[[#This Row],[Código]],BD_Cod[SKU],BD_Cod[Familia Calidad]),"")</f>
        <v/>
      </c>
      <c r="J212" s="33">
        <v>1000</v>
      </c>
      <c r="L212" s="30" t="s">
        <v>244</v>
      </c>
      <c r="O212" s="30" t="s">
        <v>894</v>
      </c>
      <c r="P212" s="29" t="s">
        <v>894</v>
      </c>
      <c r="Q212" s="37">
        <f>1-FT_RF_264[[#This Row],[% Defectos]]</f>
        <v>1</v>
      </c>
      <c r="R212" s="38">
        <v>0</v>
      </c>
      <c r="S212" s="39">
        <f>+IFERROR((FT_RF_264[[#This Row],[Inmadura]]/FT_RF_264[[#This Row],[Muestra]]),"0")</f>
        <v>0</v>
      </c>
      <c r="T212" s="38">
        <v>0</v>
      </c>
      <c r="U212" s="39">
        <f>+IFERROR((FT_RF_264[[#This Row],[Partidas]]/FT_RF_264[[#This Row],[Muestra]]),"0")</f>
        <v>0</v>
      </c>
      <c r="V212" s="38">
        <v>0</v>
      </c>
      <c r="W212" s="39">
        <f>+IFERROR((FT_RF_264[[#This Row],[Daño Insecto]]/FT_RF_264[[#This Row],[Muestra]]),"0")</f>
        <v>0</v>
      </c>
      <c r="X212" s="38">
        <v>0</v>
      </c>
      <c r="Y212" s="39">
        <f>+IFERROR((FT_RF_264[[#This Row],[Sobremadura]]/FT_RF_264[[#This Row],[Muestra]]),"0")</f>
        <v>0</v>
      </c>
      <c r="Z212" s="38">
        <v>0</v>
      </c>
      <c r="AA212" s="39">
        <f>+IFERROR((FT_RF_264[[#This Row],[Deforme]]/FT_RF_264[[#This Row],[Muestra]]),"0")</f>
        <v>0</v>
      </c>
      <c r="AB212" s="27"/>
      <c r="AC212" s="38">
        <v>0</v>
      </c>
      <c r="AD212" s="39">
        <f>+IFERROR((FT_RF_264[[#This Row],[Valor Extra 1]]/FT_RF_264[[#This Row],[Muestra]]),"0")</f>
        <v>0</v>
      </c>
      <c r="AF212" s="38">
        <v>0</v>
      </c>
      <c r="AG212" s="39">
        <f>+IFERROR((FT_RF_264[[#This Row],[Valor Extra 2]]/FT_RF_264[[#This Row],[Muestra]]),"0")</f>
        <v>0</v>
      </c>
      <c r="AH212" s="40">
        <v>0</v>
      </c>
      <c r="AI212" s="39">
        <f>+IFERROR((FT_RF_264[[#This Row],[Hongos]]/FT_RF_264[[#This Row],[Muestra]]),"0")</f>
        <v>0</v>
      </c>
      <c r="AJ212" s="38">
        <v>0</v>
      </c>
      <c r="AK212" s="39">
        <f>+IFERROR((FT_RF_264[[#This Row],[Block]]/FT_RF_264[[#This Row],[Muestra]]),"0")</f>
        <v>0</v>
      </c>
      <c r="AL212" s="41">
        <v>0</v>
      </c>
      <c r="AM212" s="42">
        <v>0</v>
      </c>
      <c r="AN212" s="38">
        <v>0</v>
      </c>
      <c r="AO212" s="39">
        <f>+IFERROR((FT_RF_264[[#This Row],[Fuera de calibre &lt;12mm]]/FT_RF_264[[#This Row],[Muestra]]),"0")</f>
        <v>0</v>
      </c>
      <c r="AP212" s="38">
        <v>0</v>
      </c>
      <c r="AQ212" s="39">
        <f>+IFERROR((FT_RF_264[[#This Row],[Calibre &lt;25]]/FT_RF_264[[#This Row],[Muestra]]),"0")</f>
        <v>0</v>
      </c>
      <c r="AR212" s="38">
        <v>0</v>
      </c>
      <c r="AS212" s="39">
        <f>+IFERROR((FT_RF_264[[#This Row],[Calibre &gt;12]]/FT_RF_264[[#This Row],[Muestra]]),"0")</f>
        <v>0</v>
      </c>
      <c r="AT212" s="38">
        <v>0</v>
      </c>
      <c r="AU212" s="39">
        <f>+IFERROR((FT_RF_264[[#This Row],[Calibre &lt;14]]/FT_RF_264[[#This Row],[Muestra]]),"0")</f>
        <v>0</v>
      </c>
      <c r="AV212" s="38">
        <v>0</v>
      </c>
      <c r="AW212" s="39">
        <f>+IFERROR((FT_RF_264[[#This Row],[Calibre &gt;14]]/FT_RF_264[[#This Row],[Muestra]]),"0")</f>
        <v>0</v>
      </c>
      <c r="AX212" s="38">
        <v>0</v>
      </c>
      <c r="AY212" s="39">
        <f>+IFERROR((FT_RF_264[[#This Row],[Calibre &lt;10]]/FT_RF_264[[#This Row],[Muestra]]),"0")</f>
        <v>0</v>
      </c>
      <c r="AZ212" s="38">
        <v>0</v>
      </c>
      <c r="BA212" s="39">
        <f>+IFERROR((FT_RF_264[[#This Row],[Calibre &gt;13]]/FT_RF_264[[#This Row],[Muestra]]),"0")</f>
        <v>0</v>
      </c>
      <c r="BB212" s="41"/>
      <c r="BG212" s="42"/>
      <c r="BH212" s="43">
        <v>0</v>
      </c>
      <c r="BI212" s="29" t="s">
        <v>894</v>
      </c>
      <c r="BJ212" s="29" t="s">
        <v>894</v>
      </c>
      <c r="BK21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1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12" s="45">
        <f>1-FT_RF_264[[#This Row],[% Defectos]]</f>
        <v>1</v>
      </c>
      <c r="BO212" s="60"/>
      <c r="BP212" s="12">
        <f>SUM(FT_RF_264[[#This Row],[Hoja (Un.)]:[Larvas Caja]])</f>
        <v>0</v>
      </c>
      <c r="BQ212" s="12">
        <f>SUM(FT_RF_264[[#This Row],[Vidrios]:[Plástico]])</f>
        <v>0</v>
      </c>
      <c r="BR212" s="12" t="str">
        <f>IF(ISBLANK(FT_RF_264[[#This Row],[Descripción del producto]]),"",FT_RF_264[[#This Row],[Descripción del producto]])</f>
        <v/>
      </c>
      <c r="BS212" s="29" t="str">
        <f>IF(ISBLANK(FT_RF_264[[#This Row],[N° de Lote]]),"",FT_RF_264[[#This Row],[N° de Lote]])</f>
        <v/>
      </c>
      <c r="BT212" s="29" t="str">
        <f>IF(ISBLANK(FT_RF_264[[#This Row],[N° de Pallet]]),"",FT_RF_264[[#This Row],[N° de Pallet]])</f>
        <v/>
      </c>
    </row>
    <row r="213" spans="2:72">
      <c r="B213" s="29">
        <f>+_xlfn.ISOWEEKNUM(FT_RF_264[[#This Row],[Fecha]])</f>
        <v>52</v>
      </c>
      <c r="E213" s="31"/>
      <c r="F213" s="12" t="str">
        <f>IFERROR(""&amp;_xlfn.XLOOKUP(FT_RF_264[[#This Row],[Código]],BD_Cod[SKU],BD_Cod[Descripción]),"")</f>
        <v/>
      </c>
      <c r="G213" s="32" t="str">
        <f>IFERROR(""&amp;_xlfn.XLOOKUP(FT_RF_264[[#This Row],[Código]],BD_Cod[SKU],BD_Cod[Familia Calidad]),"")</f>
        <v/>
      </c>
      <c r="J213" s="33">
        <v>1000</v>
      </c>
      <c r="L213" s="30" t="s">
        <v>244</v>
      </c>
      <c r="O213" s="30" t="s">
        <v>894</v>
      </c>
      <c r="P213" s="29" t="s">
        <v>894</v>
      </c>
      <c r="Q213" s="37">
        <f>1-FT_RF_264[[#This Row],[% Defectos]]</f>
        <v>1</v>
      </c>
      <c r="R213" s="38">
        <v>0</v>
      </c>
      <c r="S213" s="39">
        <f>+IFERROR((FT_RF_264[[#This Row],[Inmadura]]/FT_RF_264[[#This Row],[Muestra]]),"0")</f>
        <v>0</v>
      </c>
      <c r="T213" s="38">
        <v>0</v>
      </c>
      <c r="U213" s="39">
        <f>+IFERROR((FT_RF_264[[#This Row],[Partidas]]/FT_RF_264[[#This Row],[Muestra]]),"0")</f>
        <v>0</v>
      </c>
      <c r="V213" s="38">
        <v>0</v>
      </c>
      <c r="W213" s="39">
        <f>+IFERROR((FT_RF_264[[#This Row],[Daño Insecto]]/FT_RF_264[[#This Row],[Muestra]]),"0")</f>
        <v>0</v>
      </c>
      <c r="X213" s="38">
        <v>0</v>
      </c>
      <c r="Y213" s="39">
        <f>+IFERROR((FT_RF_264[[#This Row],[Sobremadura]]/FT_RF_264[[#This Row],[Muestra]]),"0")</f>
        <v>0</v>
      </c>
      <c r="Z213" s="38">
        <v>0</v>
      </c>
      <c r="AA213" s="39">
        <f>+IFERROR((FT_RF_264[[#This Row],[Deforme]]/FT_RF_264[[#This Row],[Muestra]]),"0")</f>
        <v>0</v>
      </c>
      <c r="AB213" s="27"/>
      <c r="AC213" s="38">
        <v>0</v>
      </c>
      <c r="AD213" s="39">
        <f>+IFERROR((FT_RF_264[[#This Row],[Valor Extra 1]]/FT_RF_264[[#This Row],[Muestra]]),"0")</f>
        <v>0</v>
      </c>
      <c r="AF213" s="38">
        <v>0</v>
      </c>
      <c r="AG213" s="39">
        <f>+IFERROR((FT_RF_264[[#This Row],[Valor Extra 2]]/FT_RF_264[[#This Row],[Muestra]]),"0")</f>
        <v>0</v>
      </c>
      <c r="AH213" s="40">
        <v>0</v>
      </c>
      <c r="AI213" s="39">
        <f>+IFERROR((FT_RF_264[[#This Row],[Hongos]]/FT_RF_264[[#This Row],[Muestra]]),"0")</f>
        <v>0</v>
      </c>
      <c r="AJ213" s="38">
        <v>0</v>
      </c>
      <c r="AK213" s="39">
        <f>+IFERROR((FT_RF_264[[#This Row],[Block]]/FT_RF_264[[#This Row],[Muestra]]),"0")</f>
        <v>0</v>
      </c>
      <c r="AL213" s="41">
        <v>0</v>
      </c>
      <c r="AM213" s="42">
        <v>0</v>
      </c>
      <c r="AN213" s="38">
        <v>0</v>
      </c>
      <c r="AO213" s="39">
        <f>+IFERROR((FT_RF_264[[#This Row],[Fuera de calibre &lt;12mm]]/FT_RF_264[[#This Row],[Muestra]]),"0")</f>
        <v>0</v>
      </c>
      <c r="AP213" s="38">
        <v>0</v>
      </c>
      <c r="AQ213" s="39">
        <f>+IFERROR((FT_RF_264[[#This Row],[Calibre &lt;25]]/FT_RF_264[[#This Row],[Muestra]]),"0")</f>
        <v>0</v>
      </c>
      <c r="AR213" s="38">
        <v>0</v>
      </c>
      <c r="AS213" s="39">
        <f>+IFERROR((FT_RF_264[[#This Row],[Calibre &gt;12]]/FT_RF_264[[#This Row],[Muestra]]),"0")</f>
        <v>0</v>
      </c>
      <c r="AT213" s="38">
        <v>0</v>
      </c>
      <c r="AU213" s="39">
        <f>+IFERROR((FT_RF_264[[#This Row],[Calibre &lt;14]]/FT_RF_264[[#This Row],[Muestra]]),"0")</f>
        <v>0</v>
      </c>
      <c r="AV213" s="38">
        <v>0</v>
      </c>
      <c r="AW213" s="39">
        <f>+IFERROR((FT_RF_264[[#This Row],[Calibre &gt;14]]/FT_RF_264[[#This Row],[Muestra]]),"0")</f>
        <v>0</v>
      </c>
      <c r="AX213" s="38">
        <v>0</v>
      </c>
      <c r="AY213" s="39">
        <f>+IFERROR((FT_RF_264[[#This Row],[Calibre &lt;10]]/FT_RF_264[[#This Row],[Muestra]]),"0")</f>
        <v>0</v>
      </c>
      <c r="AZ213" s="38">
        <v>0</v>
      </c>
      <c r="BA213" s="39">
        <f>+IFERROR((FT_RF_264[[#This Row],[Calibre &gt;13]]/FT_RF_264[[#This Row],[Muestra]]),"0")</f>
        <v>0</v>
      </c>
      <c r="BB213" s="41"/>
      <c r="BG213" s="42"/>
      <c r="BH213" s="43">
        <v>0</v>
      </c>
      <c r="BI213" s="29" t="s">
        <v>894</v>
      </c>
      <c r="BJ213" s="29" t="s">
        <v>894</v>
      </c>
      <c r="BK21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1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13" s="45">
        <f>1-FT_RF_264[[#This Row],[% Defectos]]</f>
        <v>1</v>
      </c>
      <c r="BO213" s="60"/>
      <c r="BP213" s="12">
        <f>SUM(FT_RF_264[[#This Row],[Hoja (Un.)]:[Larvas Caja]])</f>
        <v>0</v>
      </c>
      <c r="BQ213" s="12">
        <f>SUM(FT_RF_264[[#This Row],[Vidrios]:[Plástico]])</f>
        <v>0</v>
      </c>
      <c r="BR213" s="12" t="str">
        <f>IF(ISBLANK(FT_RF_264[[#This Row],[Descripción del producto]]),"",FT_RF_264[[#This Row],[Descripción del producto]])</f>
        <v/>
      </c>
      <c r="BS213" s="29" t="str">
        <f>IF(ISBLANK(FT_RF_264[[#This Row],[N° de Lote]]),"",FT_RF_264[[#This Row],[N° de Lote]])</f>
        <v/>
      </c>
      <c r="BT213" s="29" t="str">
        <f>IF(ISBLANK(FT_RF_264[[#This Row],[N° de Pallet]]),"",FT_RF_264[[#This Row],[N° de Pallet]])</f>
        <v/>
      </c>
    </row>
    <row r="214" spans="2:72">
      <c r="B214" s="29">
        <f>+_xlfn.ISOWEEKNUM(FT_RF_264[[#This Row],[Fecha]])</f>
        <v>52</v>
      </c>
      <c r="E214" s="31"/>
      <c r="F214" s="12" t="str">
        <f>IFERROR(""&amp;_xlfn.XLOOKUP(FT_RF_264[[#This Row],[Código]],BD_Cod[SKU],BD_Cod[Descripción]),"")</f>
        <v/>
      </c>
      <c r="G214" s="32" t="str">
        <f>IFERROR(""&amp;_xlfn.XLOOKUP(FT_RF_264[[#This Row],[Código]],BD_Cod[SKU],BD_Cod[Familia Calidad]),"")</f>
        <v/>
      </c>
      <c r="J214" s="33">
        <v>1000</v>
      </c>
      <c r="L214" s="30" t="s">
        <v>244</v>
      </c>
      <c r="O214" s="30" t="s">
        <v>894</v>
      </c>
      <c r="P214" s="29" t="s">
        <v>894</v>
      </c>
      <c r="Q214" s="37">
        <f>1-FT_RF_264[[#This Row],[% Defectos]]</f>
        <v>1</v>
      </c>
      <c r="R214" s="38">
        <v>0</v>
      </c>
      <c r="S214" s="39">
        <f>+IFERROR((FT_RF_264[[#This Row],[Inmadura]]/FT_RF_264[[#This Row],[Muestra]]),"0")</f>
        <v>0</v>
      </c>
      <c r="T214" s="38">
        <v>0</v>
      </c>
      <c r="U214" s="39">
        <f>+IFERROR((FT_RF_264[[#This Row],[Partidas]]/FT_RF_264[[#This Row],[Muestra]]),"0")</f>
        <v>0</v>
      </c>
      <c r="V214" s="38">
        <v>0</v>
      </c>
      <c r="W214" s="39">
        <f>+IFERROR((FT_RF_264[[#This Row],[Daño Insecto]]/FT_RF_264[[#This Row],[Muestra]]),"0")</f>
        <v>0</v>
      </c>
      <c r="X214" s="38">
        <v>0</v>
      </c>
      <c r="Y214" s="39">
        <f>+IFERROR((FT_RF_264[[#This Row],[Sobremadura]]/FT_RF_264[[#This Row],[Muestra]]),"0")</f>
        <v>0</v>
      </c>
      <c r="Z214" s="38">
        <v>0</v>
      </c>
      <c r="AA214" s="39">
        <f>+IFERROR((FT_RF_264[[#This Row],[Deforme]]/FT_RF_264[[#This Row],[Muestra]]),"0")</f>
        <v>0</v>
      </c>
      <c r="AB214" s="27"/>
      <c r="AC214" s="38">
        <v>0</v>
      </c>
      <c r="AD214" s="39">
        <f>+IFERROR((FT_RF_264[[#This Row],[Valor Extra 1]]/FT_RF_264[[#This Row],[Muestra]]),"0")</f>
        <v>0</v>
      </c>
      <c r="AF214" s="38">
        <v>0</v>
      </c>
      <c r="AG214" s="39">
        <f>+IFERROR((FT_RF_264[[#This Row],[Valor Extra 2]]/FT_RF_264[[#This Row],[Muestra]]),"0")</f>
        <v>0</v>
      </c>
      <c r="AH214" s="40">
        <v>0</v>
      </c>
      <c r="AI214" s="39">
        <f>+IFERROR((FT_RF_264[[#This Row],[Hongos]]/FT_RF_264[[#This Row],[Muestra]]),"0")</f>
        <v>0</v>
      </c>
      <c r="AJ214" s="38">
        <v>0</v>
      </c>
      <c r="AK214" s="39">
        <f>+IFERROR((FT_RF_264[[#This Row],[Block]]/FT_RF_264[[#This Row],[Muestra]]),"0")</f>
        <v>0</v>
      </c>
      <c r="AL214" s="41">
        <v>0</v>
      </c>
      <c r="AM214" s="42">
        <v>0</v>
      </c>
      <c r="AN214" s="38">
        <v>0</v>
      </c>
      <c r="AO214" s="39">
        <f>+IFERROR((FT_RF_264[[#This Row],[Fuera de calibre &lt;12mm]]/FT_RF_264[[#This Row],[Muestra]]),"0")</f>
        <v>0</v>
      </c>
      <c r="AP214" s="38">
        <v>0</v>
      </c>
      <c r="AQ214" s="39">
        <f>+IFERROR((FT_RF_264[[#This Row],[Calibre &lt;25]]/FT_RF_264[[#This Row],[Muestra]]),"0")</f>
        <v>0</v>
      </c>
      <c r="AR214" s="38">
        <v>0</v>
      </c>
      <c r="AS214" s="39">
        <f>+IFERROR((FT_RF_264[[#This Row],[Calibre &gt;12]]/FT_RF_264[[#This Row],[Muestra]]),"0")</f>
        <v>0</v>
      </c>
      <c r="AT214" s="38">
        <v>0</v>
      </c>
      <c r="AU214" s="39">
        <f>+IFERROR((FT_RF_264[[#This Row],[Calibre &lt;14]]/FT_RF_264[[#This Row],[Muestra]]),"0")</f>
        <v>0</v>
      </c>
      <c r="AV214" s="38">
        <v>0</v>
      </c>
      <c r="AW214" s="39">
        <f>+IFERROR((FT_RF_264[[#This Row],[Calibre &gt;14]]/FT_RF_264[[#This Row],[Muestra]]),"0")</f>
        <v>0</v>
      </c>
      <c r="AX214" s="38">
        <v>0</v>
      </c>
      <c r="AY214" s="39">
        <f>+IFERROR((FT_RF_264[[#This Row],[Calibre &lt;10]]/FT_RF_264[[#This Row],[Muestra]]),"0")</f>
        <v>0</v>
      </c>
      <c r="AZ214" s="38">
        <v>0</v>
      </c>
      <c r="BA214" s="39">
        <f>+IFERROR((FT_RF_264[[#This Row],[Calibre &gt;13]]/FT_RF_264[[#This Row],[Muestra]]),"0")</f>
        <v>0</v>
      </c>
      <c r="BB214" s="41"/>
      <c r="BG214" s="42"/>
      <c r="BH214" s="43">
        <v>0</v>
      </c>
      <c r="BI214" s="29" t="s">
        <v>894</v>
      </c>
      <c r="BJ214" s="29" t="s">
        <v>894</v>
      </c>
      <c r="BK21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1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14" s="45">
        <f>1-FT_RF_264[[#This Row],[% Defectos]]</f>
        <v>1</v>
      </c>
      <c r="BO214" s="60"/>
      <c r="BP214" s="12">
        <f>SUM(FT_RF_264[[#This Row],[Hoja (Un.)]:[Larvas Caja]])</f>
        <v>0</v>
      </c>
      <c r="BQ214" s="12">
        <f>SUM(FT_RF_264[[#This Row],[Vidrios]:[Plástico]])</f>
        <v>0</v>
      </c>
      <c r="BR214" s="12" t="str">
        <f>IF(ISBLANK(FT_RF_264[[#This Row],[Descripción del producto]]),"",FT_RF_264[[#This Row],[Descripción del producto]])</f>
        <v/>
      </c>
      <c r="BS214" s="29" t="str">
        <f>IF(ISBLANK(FT_RF_264[[#This Row],[N° de Lote]]),"",FT_RF_264[[#This Row],[N° de Lote]])</f>
        <v/>
      </c>
      <c r="BT214" s="29" t="str">
        <f>IF(ISBLANK(FT_RF_264[[#This Row],[N° de Pallet]]),"",FT_RF_264[[#This Row],[N° de Pallet]])</f>
        <v/>
      </c>
    </row>
    <row r="215" spans="2:72">
      <c r="B215" s="29">
        <f>+_xlfn.ISOWEEKNUM(FT_RF_264[[#This Row],[Fecha]])</f>
        <v>52</v>
      </c>
      <c r="E215" s="31"/>
      <c r="F215" s="12" t="str">
        <f>IFERROR(""&amp;_xlfn.XLOOKUP(FT_RF_264[[#This Row],[Código]],BD_Cod[SKU],BD_Cod[Descripción]),"")</f>
        <v/>
      </c>
      <c r="G215" s="32" t="str">
        <f>IFERROR(""&amp;_xlfn.XLOOKUP(FT_RF_264[[#This Row],[Código]],BD_Cod[SKU],BD_Cod[Familia Calidad]),"")</f>
        <v/>
      </c>
      <c r="J215" s="33">
        <v>1000</v>
      </c>
      <c r="L215" s="30" t="s">
        <v>244</v>
      </c>
      <c r="O215" s="30" t="s">
        <v>894</v>
      </c>
      <c r="P215" s="29" t="s">
        <v>894</v>
      </c>
      <c r="Q215" s="37">
        <f>1-FT_RF_264[[#This Row],[% Defectos]]</f>
        <v>1</v>
      </c>
      <c r="R215" s="38">
        <v>0</v>
      </c>
      <c r="S215" s="39">
        <f>+IFERROR((FT_RF_264[[#This Row],[Inmadura]]/FT_RF_264[[#This Row],[Muestra]]),"0")</f>
        <v>0</v>
      </c>
      <c r="T215" s="38">
        <v>0</v>
      </c>
      <c r="U215" s="39">
        <f>+IFERROR((FT_RF_264[[#This Row],[Partidas]]/FT_RF_264[[#This Row],[Muestra]]),"0")</f>
        <v>0</v>
      </c>
      <c r="V215" s="38">
        <v>0</v>
      </c>
      <c r="W215" s="39">
        <f>+IFERROR((FT_RF_264[[#This Row],[Daño Insecto]]/FT_RF_264[[#This Row],[Muestra]]),"0")</f>
        <v>0</v>
      </c>
      <c r="X215" s="38">
        <v>0</v>
      </c>
      <c r="Y215" s="39">
        <f>+IFERROR((FT_RF_264[[#This Row],[Sobremadura]]/FT_RF_264[[#This Row],[Muestra]]),"0")</f>
        <v>0</v>
      </c>
      <c r="Z215" s="38">
        <v>0</v>
      </c>
      <c r="AA215" s="39">
        <f>+IFERROR((FT_RF_264[[#This Row],[Deforme]]/FT_RF_264[[#This Row],[Muestra]]),"0")</f>
        <v>0</v>
      </c>
      <c r="AB215" s="27"/>
      <c r="AC215" s="38">
        <v>0</v>
      </c>
      <c r="AD215" s="39">
        <f>+IFERROR((FT_RF_264[[#This Row],[Valor Extra 1]]/FT_RF_264[[#This Row],[Muestra]]),"0")</f>
        <v>0</v>
      </c>
      <c r="AF215" s="38">
        <v>0</v>
      </c>
      <c r="AG215" s="39">
        <f>+IFERROR((FT_RF_264[[#This Row],[Valor Extra 2]]/FT_RF_264[[#This Row],[Muestra]]),"0")</f>
        <v>0</v>
      </c>
      <c r="AH215" s="40">
        <v>0</v>
      </c>
      <c r="AI215" s="39">
        <f>+IFERROR((FT_RF_264[[#This Row],[Hongos]]/FT_RF_264[[#This Row],[Muestra]]),"0")</f>
        <v>0</v>
      </c>
      <c r="AJ215" s="38">
        <v>0</v>
      </c>
      <c r="AK215" s="39">
        <f>+IFERROR((FT_RF_264[[#This Row],[Block]]/FT_RF_264[[#This Row],[Muestra]]),"0")</f>
        <v>0</v>
      </c>
      <c r="AL215" s="41">
        <v>0</v>
      </c>
      <c r="AM215" s="42">
        <v>0</v>
      </c>
      <c r="AN215" s="38">
        <v>0</v>
      </c>
      <c r="AO215" s="39">
        <f>+IFERROR((FT_RF_264[[#This Row],[Fuera de calibre &lt;12mm]]/FT_RF_264[[#This Row],[Muestra]]),"0")</f>
        <v>0</v>
      </c>
      <c r="AP215" s="38">
        <v>0</v>
      </c>
      <c r="AQ215" s="39">
        <f>+IFERROR((FT_RF_264[[#This Row],[Calibre &lt;25]]/FT_RF_264[[#This Row],[Muestra]]),"0")</f>
        <v>0</v>
      </c>
      <c r="AR215" s="38">
        <v>0</v>
      </c>
      <c r="AS215" s="39">
        <f>+IFERROR((FT_RF_264[[#This Row],[Calibre &gt;12]]/FT_RF_264[[#This Row],[Muestra]]),"0")</f>
        <v>0</v>
      </c>
      <c r="AT215" s="38">
        <v>0</v>
      </c>
      <c r="AU215" s="39">
        <f>+IFERROR((FT_RF_264[[#This Row],[Calibre &lt;14]]/FT_RF_264[[#This Row],[Muestra]]),"0")</f>
        <v>0</v>
      </c>
      <c r="AV215" s="38">
        <v>0</v>
      </c>
      <c r="AW215" s="39">
        <f>+IFERROR((FT_RF_264[[#This Row],[Calibre &gt;14]]/FT_RF_264[[#This Row],[Muestra]]),"0")</f>
        <v>0</v>
      </c>
      <c r="AX215" s="38">
        <v>0</v>
      </c>
      <c r="AY215" s="39">
        <f>+IFERROR((FT_RF_264[[#This Row],[Calibre &lt;10]]/FT_RF_264[[#This Row],[Muestra]]),"0")</f>
        <v>0</v>
      </c>
      <c r="AZ215" s="38">
        <v>0</v>
      </c>
      <c r="BA215" s="39">
        <f>+IFERROR((FT_RF_264[[#This Row],[Calibre &gt;13]]/FT_RF_264[[#This Row],[Muestra]]),"0")</f>
        <v>0</v>
      </c>
      <c r="BB215" s="41"/>
      <c r="BG215" s="42"/>
      <c r="BH215" s="43">
        <v>0</v>
      </c>
      <c r="BI215" s="29" t="s">
        <v>894</v>
      </c>
      <c r="BJ215" s="29" t="s">
        <v>894</v>
      </c>
      <c r="BK21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1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15" s="45">
        <f>1-FT_RF_264[[#This Row],[% Defectos]]</f>
        <v>1</v>
      </c>
      <c r="BO215" s="60"/>
      <c r="BP215" s="12">
        <f>SUM(FT_RF_264[[#This Row],[Hoja (Un.)]:[Larvas Caja]])</f>
        <v>0</v>
      </c>
      <c r="BQ215" s="12">
        <f>SUM(FT_RF_264[[#This Row],[Vidrios]:[Plástico]])</f>
        <v>0</v>
      </c>
      <c r="BR215" s="12" t="str">
        <f>IF(ISBLANK(FT_RF_264[[#This Row],[Descripción del producto]]),"",FT_RF_264[[#This Row],[Descripción del producto]])</f>
        <v/>
      </c>
      <c r="BS215" s="29" t="str">
        <f>IF(ISBLANK(FT_RF_264[[#This Row],[N° de Lote]]),"",FT_RF_264[[#This Row],[N° de Lote]])</f>
        <v/>
      </c>
      <c r="BT215" s="29" t="str">
        <f>IF(ISBLANK(FT_RF_264[[#This Row],[N° de Pallet]]),"",FT_RF_264[[#This Row],[N° de Pallet]])</f>
        <v/>
      </c>
    </row>
    <row r="216" spans="2:72">
      <c r="B216" s="29">
        <f>+_xlfn.ISOWEEKNUM(FT_RF_264[[#This Row],[Fecha]])</f>
        <v>52</v>
      </c>
      <c r="E216" s="31"/>
      <c r="F216" s="12" t="str">
        <f>IFERROR(""&amp;_xlfn.XLOOKUP(FT_RF_264[[#This Row],[Código]],BD_Cod[SKU],BD_Cod[Descripción]),"")</f>
        <v/>
      </c>
      <c r="G216" s="32" t="str">
        <f>IFERROR(""&amp;_xlfn.XLOOKUP(FT_RF_264[[#This Row],[Código]],BD_Cod[SKU],BD_Cod[Familia Calidad]),"")</f>
        <v/>
      </c>
      <c r="J216" s="33">
        <v>1000</v>
      </c>
      <c r="L216" s="30" t="s">
        <v>244</v>
      </c>
      <c r="O216" s="30" t="s">
        <v>894</v>
      </c>
      <c r="P216" s="29" t="s">
        <v>894</v>
      </c>
      <c r="Q216" s="37">
        <f>1-FT_RF_264[[#This Row],[% Defectos]]</f>
        <v>1</v>
      </c>
      <c r="R216" s="38">
        <v>0</v>
      </c>
      <c r="S216" s="39">
        <f>+IFERROR((FT_RF_264[[#This Row],[Inmadura]]/FT_RF_264[[#This Row],[Muestra]]),"0")</f>
        <v>0</v>
      </c>
      <c r="T216" s="38">
        <v>0</v>
      </c>
      <c r="U216" s="39">
        <f>+IFERROR((FT_RF_264[[#This Row],[Partidas]]/FT_RF_264[[#This Row],[Muestra]]),"0")</f>
        <v>0</v>
      </c>
      <c r="V216" s="38">
        <v>0</v>
      </c>
      <c r="W216" s="39">
        <f>+IFERROR((FT_RF_264[[#This Row],[Daño Insecto]]/FT_RF_264[[#This Row],[Muestra]]),"0")</f>
        <v>0</v>
      </c>
      <c r="X216" s="38">
        <v>0</v>
      </c>
      <c r="Y216" s="39">
        <f>+IFERROR((FT_RF_264[[#This Row],[Sobremadura]]/FT_RF_264[[#This Row],[Muestra]]),"0")</f>
        <v>0</v>
      </c>
      <c r="Z216" s="38">
        <v>0</v>
      </c>
      <c r="AA216" s="39">
        <f>+IFERROR((FT_RF_264[[#This Row],[Deforme]]/FT_RF_264[[#This Row],[Muestra]]),"0")</f>
        <v>0</v>
      </c>
      <c r="AB216" s="27"/>
      <c r="AC216" s="38">
        <v>0</v>
      </c>
      <c r="AD216" s="39">
        <f>+IFERROR((FT_RF_264[[#This Row],[Valor Extra 1]]/FT_RF_264[[#This Row],[Muestra]]),"0")</f>
        <v>0</v>
      </c>
      <c r="AF216" s="38">
        <v>0</v>
      </c>
      <c r="AG216" s="39">
        <f>+IFERROR((FT_RF_264[[#This Row],[Valor Extra 2]]/FT_RF_264[[#This Row],[Muestra]]),"0")</f>
        <v>0</v>
      </c>
      <c r="AH216" s="40">
        <v>0</v>
      </c>
      <c r="AI216" s="39">
        <f>+IFERROR((FT_RF_264[[#This Row],[Hongos]]/FT_RF_264[[#This Row],[Muestra]]),"0")</f>
        <v>0</v>
      </c>
      <c r="AJ216" s="38">
        <v>0</v>
      </c>
      <c r="AK216" s="39">
        <f>+IFERROR((FT_RF_264[[#This Row],[Block]]/FT_RF_264[[#This Row],[Muestra]]),"0")</f>
        <v>0</v>
      </c>
      <c r="AL216" s="41">
        <v>0</v>
      </c>
      <c r="AM216" s="42">
        <v>0</v>
      </c>
      <c r="AN216" s="38">
        <v>0</v>
      </c>
      <c r="AO216" s="39">
        <f>+IFERROR((FT_RF_264[[#This Row],[Fuera de calibre &lt;12mm]]/FT_RF_264[[#This Row],[Muestra]]),"0")</f>
        <v>0</v>
      </c>
      <c r="AP216" s="38">
        <v>0</v>
      </c>
      <c r="AQ216" s="39">
        <f>+IFERROR((FT_RF_264[[#This Row],[Calibre &lt;25]]/FT_RF_264[[#This Row],[Muestra]]),"0")</f>
        <v>0</v>
      </c>
      <c r="AR216" s="38">
        <v>0</v>
      </c>
      <c r="AS216" s="39">
        <f>+IFERROR((FT_RF_264[[#This Row],[Calibre &gt;12]]/FT_RF_264[[#This Row],[Muestra]]),"0")</f>
        <v>0</v>
      </c>
      <c r="AT216" s="38">
        <v>0</v>
      </c>
      <c r="AU216" s="39">
        <f>+IFERROR((FT_RF_264[[#This Row],[Calibre &lt;14]]/FT_RF_264[[#This Row],[Muestra]]),"0")</f>
        <v>0</v>
      </c>
      <c r="AV216" s="38">
        <v>0</v>
      </c>
      <c r="AW216" s="39">
        <f>+IFERROR((FT_RF_264[[#This Row],[Calibre &gt;14]]/FT_RF_264[[#This Row],[Muestra]]),"0")</f>
        <v>0</v>
      </c>
      <c r="AX216" s="38">
        <v>0</v>
      </c>
      <c r="AY216" s="39">
        <f>+IFERROR((FT_RF_264[[#This Row],[Calibre &lt;10]]/FT_RF_264[[#This Row],[Muestra]]),"0")</f>
        <v>0</v>
      </c>
      <c r="AZ216" s="38">
        <v>0</v>
      </c>
      <c r="BA216" s="39">
        <f>+IFERROR((FT_RF_264[[#This Row],[Calibre &gt;13]]/FT_RF_264[[#This Row],[Muestra]]),"0")</f>
        <v>0</v>
      </c>
      <c r="BB216" s="41"/>
      <c r="BG216" s="42"/>
      <c r="BH216" s="43">
        <v>0</v>
      </c>
      <c r="BI216" s="29" t="s">
        <v>894</v>
      </c>
      <c r="BJ216" s="29" t="s">
        <v>894</v>
      </c>
      <c r="BK21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1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16" s="45">
        <f>1-FT_RF_264[[#This Row],[% Defectos]]</f>
        <v>1</v>
      </c>
      <c r="BO216" s="60"/>
      <c r="BP216" s="12">
        <f>SUM(FT_RF_264[[#This Row],[Hoja (Un.)]:[Larvas Caja]])</f>
        <v>0</v>
      </c>
      <c r="BQ216" s="12">
        <f>SUM(FT_RF_264[[#This Row],[Vidrios]:[Plástico]])</f>
        <v>0</v>
      </c>
      <c r="BR216" s="12" t="str">
        <f>IF(ISBLANK(FT_RF_264[[#This Row],[Descripción del producto]]),"",FT_RF_264[[#This Row],[Descripción del producto]])</f>
        <v/>
      </c>
      <c r="BS216" s="29" t="str">
        <f>IF(ISBLANK(FT_RF_264[[#This Row],[N° de Lote]]),"",FT_RF_264[[#This Row],[N° de Lote]])</f>
        <v/>
      </c>
      <c r="BT216" s="29" t="str">
        <f>IF(ISBLANK(FT_RF_264[[#This Row],[N° de Pallet]]),"",FT_RF_264[[#This Row],[N° de Pallet]])</f>
        <v/>
      </c>
    </row>
    <row r="217" spans="2:72">
      <c r="B217" s="29">
        <f>+_xlfn.ISOWEEKNUM(FT_RF_264[[#This Row],[Fecha]])</f>
        <v>52</v>
      </c>
      <c r="E217" s="31"/>
      <c r="F217" s="12" t="str">
        <f>IFERROR(""&amp;_xlfn.XLOOKUP(FT_RF_264[[#This Row],[Código]],BD_Cod[SKU],BD_Cod[Descripción]),"")</f>
        <v/>
      </c>
      <c r="G217" s="32" t="str">
        <f>IFERROR(""&amp;_xlfn.XLOOKUP(FT_RF_264[[#This Row],[Código]],BD_Cod[SKU],BD_Cod[Familia Calidad]),"")</f>
        <v/>
      </c>
      <c r="J217" s="33">
        <v>1000</v>
      </c>
      <c r="L217" s="30" t="s">
        <v>244</v>
      </c>
      <c r="O217" s="30" t="s">
        <v>894</v>
      </c>
      <c r="P217" s="29" t="s">
        <v>894</v>
      </c>
      <c r="Q217" s="37">
        <f>1-FT_RF_264[[#This Row],[% Defectos]]</f>
        <v>1</v>
      </c>
      <c r="R217" s="38">
        <v>0</v>
      </c>
      <c r="S217" s="39">
        <f>+IFERROR((FT_RF_264[[#This Row],[Inmadura]]/FT_RF_264[[#This Row],[Muestra]]),"0")</f>
        <v>0</v>
      </c>
      <c r="T217" s="38">
        <v>0</v>
      </c>
      <c r="U217" s="39">
        <f>+IFERROR((FT_RF_264[[#This Row],[Partidas]]/FT_RF_264[[#This Row],[Muestra]]),"0")</f>
        <v>0</v>
      </c>
      <c r="V217" s="38">
        <v>0</v>
      </c>
      <c r="W217" s="39">
        <f>+IFERROR((FT_RF_264[[#This Row],[Daño Insecto]]/FT_RF_264[[#This Row],[Muestra]]),"0")</f>
        <v>0</v>
      </c>
      <c r="X217" s="38">
        <v>0</v>
      </c>
      <c r="Y217" s="39">
        <f>+IFERROR((FT_RF_264[[#This Row],[Sobremadura]]/FT_RF_264[[#This Row],[Muestra]]),"0")</f>
        <v>0</v>
      </c>
      <c r="Z217" s="38">
        <v>0</v>
      </c>
      <c r="AA217" s="39">
        <f>+IFERROR((FT_RF_264[[#This Row],[Deforme]]/FT_RF_264[[#This Row],[Muestra]]),"0")</f>
        <v>0</v>
      </c>
      <c r="AB217" s="27"/>
      <c r="AC217" s="38">
        <v>0</v>
      </c>
      <c r="AD217" s="39">
        <f>+IFERROR((FT_RF_264[[#This Row],[Valor Extra 1]]/FT_RF_264[[#This Row],[Muestra]]),"0")</f>
        <v>0</v>
      </c>
      <c r="AF217" s="38">
        <v>0</v>
      </c>
      <c r="AG217" s="39">
        <f>+IFERROR((FT_RF_264[[#This Row],[Valor Extra 2]]/FT_RF_264[[#This Row],[Muestra]]),"0")</f>
        <v>0</v>
      </c>
      <c r="AH217" s="40">
        <v>0</v>
      </c>
      <c r="AI217" s="39">
        <f>+IFERROR((FT_RF_264[[#This Row],[Hongos]]/FT_RF_264[[#This Row],[Muestra]]),"0")</f>
        <v>0</v>
      </c>
      <c r="AJ217" s="38">
        <v>0</v>
      </c>
      <c r="AK217" s="39">
        <f>+IFERROR((FT_RF_264[[#This Row],[Block]]/FT_RF_264[[#This Row],[Muestra]]),"0")</f>
        <v>0</v>
      </c>
      <c r="AL217" s="41">
        <v>0</v>
      </c>
      <c r="AM217" s="42">
        <v>0</v>
      </c>
      <c r="AN217" s="38">
        <v>0</v>
      </c>
      <c r="AO217" s="39">
        <f>+IFERROR((FT_RF_264[[#This Row],[Fuera de calibre &lt;12mm]]/FT_RF_264[[#This Row],[Muestra]]),"0")</f>
        <v>0</v>
      </c>
      <c r="AP217" s="38">
        <v>0</v>
      </c>
      <c r="AQ217" s="39">
        <f>+IFERROR((FT_RF_264[[#This Row],[Calibre &lt;25]]/FT_RF_264[[#This Row],[Muestra]]),"0")</f>
        <v>0</v>
      </c>
      <c r="AR217" s="38">
        <v>0</v>
      </c>
      <c r="AS217" s="39">
        <f>+IFERROR((FT_RF_264[[#This Row],[Calibre &gt;12]]/FT_RF_264[[#This Row],[Muestra]]),"0")</f>
        <v>0</v>
      </c>
      <c r="AT217" s="38">
        <v>0</v>
      </c>
      <c r="AU217" s="39">
        <f>+IFERROR((FT_RF_264[[#This Row],[Calibre &lt;14]]/FT_RF_264[[#This Row],[Muestra]]),"0")</f>
        <v>0</v>
      </c>
      <c r="AV217" s="38">
        <v>0</v>
      </c>
      <c r="AW217" s="39">
        <f>+IFERROR((FT_RF_264[[#This Row],[Calibre &gt;14]]/FT_RF_264[[#This Row],[Muestra]]),"0")</f>
        <v>0</v>
      </c>
      <c r="AX217" s="38">
        <v>0</v>
      </c>
      <c r="AY217" s="39">
        <f>+IFERROR((FT_RF_264[[#This Row],[Calibre &lt;10]]/FT_RF_264[[#This Row],[Muestra]]),"0")</f>
        <v>0</v>
      </c>
      <c r="AZ217" s="38">
        <v>0</v>
      </c>
      <c r="BA217" s="39">
        <f>+IFERROR((FT_RF_264[[#This Row],[Calibre &gt;13]]/FT_RF_264[[#This Row],[Muestra]]),"0")</f>
        <v>0</v>
      </c>
      <c r="BB217" s="41"/>
      <c r="BG217" s="42"/>
      <c r="BH217" s="43">
        <v>0</v>
      </c>
      <c r="BI217" s="29" t="s">
        <v>894</v>
      </c>
      <c r="BJ217" s="29" t="s">
        <v>894</v>
      </c>
      <c r="BK21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1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17" s="45">
        <f>1-FT_RF_264[[#This Row],[% Defectos]]</f>
        <v>1</v>
      </c>
      <c r="BO217" s="60"/>
      <c r="BP217" s="12">
        <f>SUM(FT_RF_264[[#This Row],[Hoja (Un.)]:[Larvas Caja]])</f>
        <v>0</v>
      </c>
      <c r="BQ217" s="12">
        <f>SUM(FT_RF_264[[#This Row],[Vidrios]:[Plástico]])</f>
        <v>0</v>
      </c>
      <c r="BR217" s="12" t="str">
        <f>IF(ISBLANK(FT_RF_264[[#This Row],[Descripción del producto]]),"",FT_RF_264[[#This Row],[Descripción del producto]])</f>
        <v/>
      </c>
      <c r="BS217" s="29" t="str">
        <f>IF(ISBLANK(FT_RF_264[[#This Row],[N° de Lote]]),"",FT_RF_264[[#This Row],[N° de Lote]])</f>
        <v/>
      </c>
      <c r="BT217" s="29" t="str">
        <f>IF(ISBLANK(FT_RF_264[[#This Row],[N° de Pallet]]),"",FT_RF_264[[#This Row],[N° de Pallet]])</f>
        <v/>
      </c>
    </row>
    <row r="218" spans="2:72">
      <c r="B218" s="29">
        <f>+_xlfn.ISOWEEKNUM(FT_RF_264[[#This Row],[Fecha]])</f>
        <v>52</v>
      </c>
      <c r="E218" s="31"/>
      <c r="F218" s="12" t="str">
        <f>IFERROR(""&amp;_xlfn.XLOOKUP(FT_RF_264[[#This Row],[Código]],BD_Cod[SKU],BD_Cod[Descripción]),"")</f>
        <v/>
      </c>
      <c r="G218" s="32" t="str">
        <f>IFERROR(""&amp;_xlfn.XLOOKUP(FT_RF_264[[#This Row],[Código]],BD_Cod[SKU],BD_Cod[Familia Calidad]),"")</f>
        <v/>
      </c>
      <c r="J218" s="33">
        <v>1000</v>
      </c>
      <c r="L218" s="30" t="s">
        <v>244</v>
      </c>
      <c r="O218" s="30" t="s">
        <v>894</v>
      </c>
      <c r="P218" s="29" t="s">
        <v>894</v>
      </c>
      <c r="Q218" s="37">
        <f>1-FT_RF_264[[#This Row],[% Defectos]]</f>
        <v>1</v>
      </c>
      <c r="R218" s="38">
        <v>0</v>
      </c>
      <c r="S218" s="39">
        <f>+IFERROR((FT_RF_264[[#This Row],[Inmadura]]/FT_RF_264[[#This Row],[Muestra]]),"0")</f>
        <v>0</v>
      </c>
      <c r="T218" s="38">
        <v>0</v>
      </c>
      <c r="U218" s="39">
        <f>+IFERROR((FT_RF_264[[#This Row],[Partidas]]/FT_RF_264[[#This Row],[Muestra]]),"0")</f>
        <v>0</v>
      </c>
      <c r="V218" s="38">
        <v>0</v>
      </c>
      <c r="W218" s="39">
        <f>+IFERROR((FT_RF_264[[#This Row],[Daño Insecto]]/FT_RF_264[[#This Row],[Muestra]]),"0")</f>
        <v>0</v>
      </c>
      <c r="X218" s="38">
        <v>0</v>
      </c>
      <c r="Y218" s="39">
        <f>+IFERROR((FT_RF_264[[#This Row],[Sobremadura]]/FT_RF_264[[#This Row],[Muestra]]),"0")</f>
        <v>0</v>
      </c>
      <c r="Z218" s="38">
        <v>0</v>
      </c>
      <c r="AA218" s="39">
        <f>+IFERROR((FT_RF_264[[#This Row],[Deforme]]/FT_RF_264[[#This Row],[Muestra]]),"0")</f>
        <v>0</v>
      </c>
      <c r="AB218" s="27"/>
      <c r="AC218" s="38">
        <v>0</v>
      </c>
      <c r="AD218" s="39">
        <f>+IFERROR((FT_RF_264[[#This Row],[Valor Extra 1]]/FT_RF_264[[#This Row],[Muestra]]),"0")</f>
        <v>0</v>
      </c>
      <c r="AF218" s="38">
        <v>0</v>
      </c>
      <c r="AG218" s="39">
        <f>+IFERROR((FT_RF_264[[#This Row],[Valor Extra 2]]/FT_RF_264[[#This Row],[Muestra]]),"0")</f>
        <v>0</v>
      </c>
      <c r="AH218" s="40">
        <v>0</v>
      </c>
      <c r="AI218" s="39">
        <f>+IFERROR((FT_RF_264[[#This Row],[Hongos]]/FT_RF_264[[#This Row],[Muestra]]),"0")</f>
        <v>0</v>
      </c>
      <c r="AJ218" s="38">
        <v>0</v>
      </c>
      <c r="AK218" s="39">
        <f>+IFERROR((FT_RF_264[[#This Row],[Block]]/FT_RF_264[[#This Row],[Muestra]]),"0")</f>
        <v>0</v>
      </c>
      <c r="AL218" s="41">
        <v>0</v>
      </c>
      <c r="AM218" s="42">
        <v>0</v>
      </c>
      <c r="AN218" s="38">
        <v>0</v>
      </c>
      <c r="AO218" s="39">
        <f>+IFERROR((FT_RF_264[[#This Row],[Fuera de calibre &lt;12mm]]/FT_RF_264[[#This Row],[Muestra]]),"0")</f>
        <v>0</v>
      </c>
      <c r="AP218" s="38">
        <v>0</v>
      </c>
      <c r="AQ218" s="39">
        <f>+IFERROR((FT_RF_264[[#This Row],[Calibre &lt;25]]/FT_RF_264[[#This Row],[Muestra]]),"0")</f>
        <v>0</v>
      </c>
      <c r="AR218" s="38">
        <v>0</v>
      </c>
      <c r="AS218" s="39">
        <f>+IFERROR((FT_RF_264[[#This Row],[Calibre &gt;12]]/FT_RF_264[[#This Row],[Muestra]]),"0")</f>
        <v>0</v>
      </c>
      <c r="AT218" s="38">
        <v>0</v>
      </c>
      <c r="AU218" s="39">
        <f>+IFERROR((FT_RF_264[[#This Row],[Calibre &lt;14]]/FT_RF_264[[#This Row],[Muestra]]),"0")</f>
        <v>0</v>
      </c>
      <c r="AV218" s="38">
        <v>0</v>
      </c>
      <c r="AW218" s="39">
        <f>+IFERROR((FT_RF_264[[#This Row],[Calibre &gt;14]]/FT_RF_264[[#This Row],[Muestra]]),"0")</f>
        <v>0</v>
      </c>
      <c r="AX218" s="38">
        <v>0</v>
      </c>
      <c r="AY218" s="39">
        <f>+IFERROR((FT_RF_264[[#This Row],[Calibre &lt;10]]/FT_RF_264[[#This Row],[Muestra]]),"0")</f>
        <v>0</v>
      </c>
      <c r="AZ218" s="38">
        <v>0</v>
      </c>
      <c r="BA218" s="39">
        <f>+IFERROR((FT_RF_264[[#This Row],[Calibre &gt;13]]/FT_RF_264[[#This Row],[Muestra]]),"0")</f>
        <v>0</v>
      </c>
      <c r="BB218" s="41"/>
      <c r="BG218" s="42"/>
      <c r="BH218" s="43">
        <v>0</v>
      </c>
      <c r="BI218" s="29" t="s">
        <v>894</v>
      </c>
      <c r="BJ218" s="29" t="s">
        <v>894</v>
      </c>
      <c r="BK21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1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18" s="45">
        <f>1-FT_RF_264[[#This Row],[% Defectos]]</f>
        <v>1</v>
      </c>
      <c r="BO218" s="60"/>
      <c r="BP218" s="12">
        <f>SUM(FT_RF_264[[#This Row],[Hoja (Un.)]:[Larvas Caja]])</f>
        <v>0</v>
      </c>
      <c r="BQ218" s="12">
        <f>SUM(FT_RF_264[[#This Row],[Vidrios]:[Plástico]])</f>
        <v>0</v>
      </c>
      <c r="BR218" s="12" t="str">
        <f>IF(ISBLANK(FT_RF_264[[#This Row],[Descripción del producto]]),"",FT_RF_264[[#This Row],[Descripción del producto]])</f>
        <v/>
      </c>
      <c r="BS218" s="29" t="str">
        <f>IF(ISBLANK(FT_RF_264[[#This Row],[N° de Lote]]),"",FT_RF_264[[#This Row],[N° de Lote]])</f>
        <v/>
      </c>
      <c r="BT218" s="29" t="str">
        <f>IF(ISBLANK(FT_RF_264[[#This Row],[N° de Pallet]]),"",FT_RF_264[[#This Row],[N° de Pallet]])</f>
        <v/>
      </c>
    </row>
    <row r="219" spans="2:72">
      <c r="B219" s="29">
        <f>+_xlfn.ISOWEEKNUM(FT_RF_264[[#This Row],[Fecha]])</f>
        <v>52</v>
      </c>
      <c r="E219" s="31"/>
      <c r="F219" s="12" t="str">
        <f>IFERROR(""&amp;_xlfn.XLOOKUP(FT_RF_264[[#This Row],[Código]],BD_Cod[SKU],BD_Cod[Descripción]),"")</f>
        <v/>
      </c>
      <c r="G219" s="32" t="str">
        <f>IFERROR(""&amp;_xlfn.XLOOKUP(FT_RF_264[[#This Row],[Código]],BD_Cod[SKU],BD_Cod[Familia Calidad]),"")</f>
        <v/>
      </c>
      <c r="J219" s="33">
        <v>1000</v>
      </c>
      <c r="L219" s="30" t="s">
        <v>244</v>
      </c>
      <c r="O219" s="30" t="s">
        <v>894</v>
      </c>
      <c r="P219" s="29" t="s">
        <v>894</v>
      </c>
      <c r="Q219" s="37">
        <f>1-FT_RF_264[[#This Row],[% Defectos]]</f>
        <v>1</v>
      </c>
      <c r="R219" s="38">
        <v>0</v>
      </c>
      <c r="S219" s="39">
        <f>+IFERROR((FT_RF_264[[#This Row],[Inmadura]]/FT_RF_264[[#This Row],[Muestra]]),"0")</f>
        <v>0</v>
      </c>
      <c r="T219" s="38">
        <v>0</v>
      </c>
      <c r="U219" s="39">
        <f>+IFERROR((FT_RF_264[[#This Row],[Partidas]]/FT_RF_264[[#This Row],[Muestra]]),"0")</f>
        <v>0</v>
      </c>
      <c r="V219" s="38">
        <v>0</v>
      </c>
      <c r="W219" s="39">
        <f>+IFERROR((FT_RF_264[[#This Row],[Daño Insecto]]/FT_RF_264[[#This Row],[Muestra]]),"0")</f>
        <v>0</v>
      </c>
      <c r="X219" s="38">
        <v>0</v>
      </c>
      <c r="Y219" s="39">
        <f>+IFERROR((FT_RF_264[[#This Row],[Sobremadura]]/FT_RF_264[[#This Row],[Muestra]]),"0")</f>
        <v>0</v>
      </c>
      <c r="Z219" s="38">
        <v>0</v>
      </c>
      <c r="AA219" s="39">
        <f>+IFERROR((FT_RF_264[[#This Row],[Deforme]]/FT_RF_264[[#This Row],[Muestra]]),"0")</f>
        <v>0</v>
      </c>
      <c r="AB219" s="27"/>
      <c r="AC219" s="38">
        <v>0</v>
      </c>
      <c r="AD219" s="39">
        <f>+IFERROR((FT_RF_264[[#This Row],[Valor Extra 1]]/FT_RF_264[[#This Row],[Muestra]]),"0")</f>
        <v>0</v>
      </c>
      <c r="AF219" s="38">
        <v>0</v>
      </c>
      <c r="AG219" s="39">
        <f>+IFERROR((FT_RF_264[[#This Row],[Valor Extra 2]]/FT_RF_264[[#This Row],[Muestra]]),"0")</f>
        <v>0</v>
      </c>
      <c r="AH219" s="40">
        <v>0</v>
      </c>
      <c r="AI219" s="39">
        <f>+IFERROR((FT_RF_264[[#This Row],[Hongos]]/FT_RF_264[[#This Row],[Muestra]]),"0")</f>
        <v>0</v>
      </c>
      <c r="AJ219" s="38">
        <v>0</v>
      </c>
      <c r="AK219" s="39">
        <f>+IFERROR((FT_RF_264[[#This Row],[Block]]/FT_RF_264[[#This Row],[Muestra]]),"0")</f>
        <v>0</v>
      </c>
      <c r="AL219" s="41">
        <v>0</v>
      </c>
      <c r="AM219" s="42">
        <v>0</v>
      </c>
      <c r="AN219" s="38">
        <v>0</v>
      </c>
      <c r="AO219" s="39">
        <f>+IFERROR((FT_RF_264[[#This Row],[Fuera de calibre &lt;12mm]]/FT_RF_264[[#This Row],[Muestra]]),"0")</f>
        <v>0</v>
      </c>
      <c r="AP219" s="38">
        <v>0</v>
      </c>
      <c r="AQ219" s="39">
        <f>+IFERROR((FT_RF_264[[#This Row],[Calibre &lt;25]]/FT_RF_264[[#This Row],[Muestra]]),"0")</f>
        <v>0</v>
      </c>
      <c r="AR219" s="38">
        <v>0</v>
      </c>
      <c r="AS219" s="39">
        <f>+IFERROR((FT_RF_264[[#This Row],[Calibre &gt;12]]/FT_RF_264[[#This Row],[Muestra]]),"0")</f>
        <v>0</v>
      </c>
      <c r="AT219" s="38">
        <v>0</v>
      </c>
      <c r="AU219" s="39">
        <f>+IFERROR((FT_RF_264[[#This Row],[Calibre &lt;14]]/FT_RF_264[[#This Row],[Muestra]]),"0")</f>
        <v>0</v>
      </c>
      <c r="AV219" s="38">
        <v>0</v>
      </c>
      <c r="AW219" s="39">
        <f>+IFERROR((FT_RF_264[[#This Row],[Calibre &gt;14]]/FT_RF_264[[#This Row],[Muestra]]),"0")</f>
        <v>0</v>
      </c>
      <c r="AX219" s="38">
        <v>0</v>
      </c>
      <c r="AY219" s="39">
        <f>+IFERROR((FT_RF_264[[#This Row],[Calibre &lt;10]]/FT_RF_264[[#This Row],[Muestra]]),"0")</f>
        <v>0</v>
      </c>
      <c r="AZ219" s="38">
        <v>0</v>
      </c>
      <c r="BA219" s="39">
        <f>+IFERROR((FT_RF_264[[#This Row],[Calibre &gt;13]]/FT_RF_264[[#This Row],[Muestra]]),"0")</f>
        <v>0</v>
      </c>
      <c r="BB219" s="41"/>
      <c r="BG219" s="42"/>
      <c r="BH219" s="43">
        <v>0</v>
      </c>
      <c r="BI219" s="29" t="s">
        <v>894</v>
      </c>
      <c r="BJ219" s="29" t="s">
        <v>894</v>
      </c>
      <c r="BK21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1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19" s="45">
        <f>1-FT_RF_264[[#This Row],[% Defectos]]</f>
        <v>1</v>
      </c>
      <c r="BO219" s="60"/>
      <c r="BP219" s="12">
        <f>SUM(FT_RF_264[[#This Row],[Hoja (Un.)]:[Larvas Caja]])</f>
        <v>0</v>
      </c>
      <c r="BQ219" s="12">
        <f>SUM(FT_RF_264[[#This Row],[Vidrios]:[Plástico]])</f>
        <v>0</v>
      </c>
      <c r="BR219" s="12" t="str">
        <f>IF(ISBLANK(FT_RF_264[[#This Row],[Descripción del producto]]),"",FT_RF_264[[#This Row],[Descripción del producto]])</f>
        <v/>
      </c>
      <c r="BS219" s="29" t="str">
        <f>IF(ISBLANK(FT_RF_264[[#This Row],[N° de Lote]]),"",FT_RF_264[[#This Row],[N° de Lote]])</f>
        <v/>
      </c>
      <c r="BT219" s="29" t="str">
        <f>IF(ISBLANK(FT_RF_264[[#This Row],[N° de Pallet]]),"",FT_RF_264[[#This Row],[N° de Pallet]])</f>
        <v/>
      </c>
    </row>
    <row r="220" spans="2:72">
      <c r="B220" s="29">
        <f>+_xlfn.ISOWEEKNUM(FT_RF_264[[#This Row],[Fecha]])</f>
        <v>52</v>
      </c>
      <c r="E220" s="31"/>
      <c r="F220" s="12" t="str">
        <f>IFERROR(""&amp;_xlfn.XLOOKUP(FT_RF_264[[#This Row],[Código]],BD_Cod[SKU],BD_Cod[Descripción]),"")</f>
        <v/>
      </c>
      <c r="G220" s="32" t="str">
        <f>IFERROR(""&amp;_xlfn.XLOOKUP(FT_RF_264[[#This Row],[Código]],BD_Cod[SKU],BD_Cod[Familia Calidad]),"")</f>
        <v/>
      </c>
      <c r="J220" s="33">
        <v>1000</v>
      </c>
      <c r="L220" s="30" t="s">
        <v>244</v>
      </c>
      <c r="O220" s="30" t="s">
        <v>894</v>
      </c>
      <c r="P220" s="29" t="s">
        <v>894</v>
      </c>
      <c r="Q220" s="37">
        <f>1-FT_RF_264[[#This Row],[% Defectos]]</f>
        <v>1</v>
      </c>
      <c r="R220" s="38">
        <v>0</v>
      </c>
      <c r="S220" s="39">
        <f>+IFERROR((FT_RF_264[[#This Row],[Inmadura]]/FT_RF_264[[#This Row],[Muestra]]),"0")</f>
        <v>0</v>
      </c>
      <c r="T220" s="38">
        <v>0</v>
      </c>
      <c r="U220" s="39">
        <f>+IFERROR((FT_RF_264[[#This Row],[Partidas]]/FT_RF_264[[#This Row],[Muestra]]),"0")</f>
        <v>0</v>
      </c>
      <c r="V220" s="38">
        <v>0</v>
      </c>
      <c r="W220" s="39">
        <f>+IFERROR((FT_RF_264[[#This Row],[Daño Insecto]]/FT_RF_264[[#This Row],[Muestra]]),"0")</f>
        <v>0</v>
      </c>
      <c r="X220" s="38">
        <v>0</v>
      </c>
      <c r="Y220" s="39">
        <f>+IFERROR((FT_RF_264[[#This Row],[Sobremadura]]/FT_RF_264[[#This Row],[Muestra]]),"0")</f>
        <v>0</v>
      </c>
      <c r="Z220" s="38">
        <v>0</v>
      </c>
      <c r="AA220" s="39">
        <f>+IFERROR((FT_RF_264[[#This Row],[Deforme]]/FT_RF_264[[#This Row],[Muestra]]),"0")</f>
        <v>0</v>
      </c>
      <c r="AB220" s="27"/>
      <c r="AC220" s="38">
        <v>0</v>
      </c>
      <c r="AD220" s="39">
        <f>+IFERROR((FT_RF_264[[#This Row],[Valor Extra 1]]/FT_RF_264[[#This Row],[Muestra]]),"0")</f>
        <v>0</v>
      </c>
      <c r="AF220" s="38">
        <v>0</v>
      </c>
      <c r="AG220" s="39">
        <f>+IFERROR((FT_RF_264[[#This Row],[Valor Extra 2]]/FT_RF_264[[#This Row],[Muestra]]),"0")</f>
        <v>0</v>
      </c>
      <c r="AH220" s="40">
        <v>0</v>
      </c>
      <c r="AI220" s="39">
        <f>+IFERROR((FT_RF_264[[#This Row],[Hongos]]/FT_RF_264[[#This Row],[Muestra]]),"0")</f>
        <v>0</v>
      </c>
      <c r="AJ220" s="38">
        <v>0</v>
      </c>
      <c r="AK220" s="39">
        <f>+IFERROR((FT_RF_264[[#This Row],[Block]]/FT_RF_264[[#This Row],[Muestra]]),"0")</f>
        <v>0</v>
      </c>
      <c r="AL220" s="41">
        <v>0</v>
      </c>
      <c r="AM220" s="42">
        <v>0</v>
      </c>
      <c r="AN220" s="38">
        <v>0</v>
      </c>
      <c r="AO220" s="39">
        <f>+IFERROR((FT_RF_264[[#This Row],[Fuera de calibre &lt;12mm]]/FT_RF_264[[#This Row],[Muestra]]),"0")</f>
        <v>0</v>
      </c>
      <c r="AP220" s="38">
        <v>0</v>
      </c>
      <c r="AQ220" s="39">
        <f>+IFERROR((FT_RF_264[[#This Row],[Calibre &lt;25]]/FT_RF_264[[#This Row],[Muestra]]),"0")</f>
        <v>0</v>
      </c>
      <c r="AR220" s="38">
        <v>0</v>
      </c>
      <c r="AS220" s="39">
        <f>+IFERROR((FT_RF_264[[#This Row],[Calibre &gt;12]]/FT_RF_264[[#This Row],[Muestra]]),"0")</f>
        <v>0</v>
      </c>
      <c r="AT220" s="38">
        <v>0</v>
      </c>
      <c r="AU220" s="39">
        <f>+IFERROR((FT_RF_264[[#This Row],[Calibre &lt;14]]/FT_RF_264[[#This Row],[Muestra]]),"0")</f>
        <v>0</v>
      </c>
      <c r="AV220" s="38">
        <v>0</v>
      </c>
      <c r="AW220" s="39">
        <f>+IFERROR((FT_RF_264[[#This Row],[Calibre &gt;14]]/FT_RF_264[[#This Row],[Muestra]]),"0")</f>
        <v>0</v>
      </c>
      <c r="AX220" s="38">
        <v>0</v>
      </c>
      <c r="AY220" s="39">
        <f>+IFERROR((FT_RF_264[[#This Row],[Calibre &lt;10]]/FT_RF_264[[#This Row],[Muestra]]),"0")</f>
        <v>0</v>
      </c>
      <c r="AZ220" s="38">
        <v>0</v>
      </c>
      <c r="BA220" s="39">
        <f>+IFERROR((FT_RF_264[[#This Row],[Calibre &gt;13]]/FT_RF_264[[#This Row],[Muestra]]),"0")</f>
        <v>0</v>
      </c>
      <c r="BB220" s="41"/>
      <c r="BG220" s="42"/>
      <c r="BH220" s="43">
        <v>0</v>
      </c>
      <c r="BI220" s="29" t="s">
        <v>894</v>
      </c>
      <c r="BJ220" s="29" t="s">
        <v>894</v>
      </c>
      <c r="BK22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2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20" s="45">
        <f>1-FT_RF_264[[#This Row],[% Defectos]]</f>
        <v>1</v>
      </c>
      <c r="BO220" s="60"/>
      <c r="BP220" s="12">
        <f>SUM(FT_RF_264[[#This Row],[Hoja (Un.)]:[Larvas Caja]])</f>
        <v>0</v>
      </c>
      <c r="BQ220" s="12">
        <f>SUM(FT_RF_264[[#This Row],[Vidrios]:[Plástico]])</f>
        <v>0</v>
      </c>
      <c r="BR220" s="12" t="str">
        <f>IF(ISBLANK(FT_RF_264[[#This Row],[Descripción del producto]]),"",FT_RF_264[[#This Row],[Descripción del producto]])</f>
        <v/>
      </c>
      <c r="BS220" s="29" t="str">
        <f>IF(ISBLANK(FT_RF_264[[#This Row],[N° de Lote]]),"",FT_RF_264[[#This Row],[N° de Lote]])</f>
        <v/>
      </c>
      <c r="BT220" s="29" t="str">
        <f>IF(ISBLANK(FT_RF_264[[#This Row],[N° de Pallet]]),"",FT_RF_264[[#This Row],[N° de Pallet]])</f>
        <v/>
      </c>
    </row>
    <row r="221" spans="2:72">
      <c r="B221" s="29">
        <f>+_xlfn.ISOWEEKNUM(FT_RF_264[[#This Row],[Fecha]])</f>
        <v>52</v>
      </c>
      <c r="E221" s="31"/>
      <c r="F221" s="12" t="str">
        <f>IFERROR(""&amp;_xlfn.XLOOKUP(FT_RF_264[[#This Row],[Código]],BD_Cod[SKU],BD_Cod[Descripción]),"")</f>
        <v/>
      </c>
      <c r="G221" s="32" t="str">
        <f>IFERROR(""&amp;_xlfn.XLOOKUP(FT_RF_264[[#This Row],[Código]],BD_Cod[SKU],BD_Cod[Familia Calidad]),"")</f>
        <v/>
      </c>
      <c r="J221" s="33">
        <v>1000</v>
      </c>
      <c r="L221" s="30" t="s">
        <v>244</v>
      </c>
      <c r="O221" s="30" t="s">
        <v>894</v>
      </c>
      <c r="P221" s="29" t="s">
        <v>894</v>
      </c>
      <c r="Q221" s="37">
        <f>1-FT_RF_264[[#This Row],[% Defectos]]</f>
        <v>1</v>
      </c>
      <c r="R221" s="38">
        <v>0</v>
      </c>
      <c r="S221" s="39">
        <f>+IFERROR((FT_RF_264[[#This Row],[Inmadura]]/FT_RF_264[[#This Row],[Muestra]]),"0")</f>
        <v>0</v>
      </c>
      <c r="T221" s="38">
        <v>0</v>
      </c>
      <c r="U221" s="39">
        <f>+IFERROR((FT_RF_264[[#This Row],[Partidas]]/FT_RF_264[[#This Row],[Muestra]]),"0")</f>
        <v>0</v>
      </c>
      <c r="V221" s="38">
        <v>0</v>
      </c>
      <c r="W221" s="39">
        <f>+IFERROR((FT_RF_264[[#This Row],[Daño Insecto]]/FT_RF_264[[#This Row],[Muestra]]),"0")</f>
        <v>0</v>
      </c>
      <c r="X221" s="38">
        <v>0</v>
      </c>
      <c r="Y221" s="39">
        <f>+IFERROR((FT_RF_264[[#This Row],[Sobremadura]]/FT_RF_264[[#This Row],[Muestra]]),"0")</f>
        <v>0</v>
      </c>
      <c r="Z221" s="38">
        <v>0</v>
      </c>
      <c r="AA221" s="39">
        <f>+IFERROR((FT_RF_264[[#This Row],[Deforme]]/FT_RF_264[[#This Row],[Muestra]]),"0")</f>
        <v>0</v>
      </c>
      <c r="AB221" s="27"/>
      <c r="AC221" s="38">
        <v>0</v>
      </c>
      <c r="AD221" s="39">
        <f>+IFERROR((FT_RF_264[[#This Row],[Valor Extra 1]]/FT_RF_264[[#This Row],[Muestra]]),"0")</f>
        <v>0</v>
      </c>
      <c r="AF221" s="38">
        <v>0</v>
      </c>
      <c r="AG221" s="39">
        <f>+IFERROR((FT_RF_264[[#This Row],[Valor Extra 2]]/FT_RF_264[[#This Row],[Muestra]]),"0")</f>
        <v>0</v>
      </c>
      <c r="AH221" s="40">
        <v>0</v>
      </c>
      <c r="AI221" s="39">
        <f>+IFERROR((FT_RF_264[[#This Row],[Hongos]]/FT_RF_264[[#This Row],[Muestra]]),"0")</f>
        <v>0</v>
      </c>
      <c r="AJ221" s="38">
        <v>0</v>
      </c>
      <c r="AK221" s="39">
        <f>+IFERROR((FT_RF_264[[#This Row],[Block]]/FT_RF_264[[#This Row],[Muestra]]),"0")</f>
        <v>0</v>
      </c>
      <c r="AL221" s="41">
        <v>0</v>
      </c>
      <c r="AM221" s="42">
        <v>0</v>
      </c>
      <c r="AN221" s="38">
        <v>0</v>
      </c>
      <c r="AO221" s="39">
        <f>+IFERROR((FT_RF_264[[#This Row],[Fuera de calibre &lt;12mm]]/FT_RF_264[[#This Row],[Muestra]]),"0")</f>
        <v>0</v>
      </c>
      <c r="AP221" s="38">
        <v>0</v>
      </c>
      <c r="AQ221" s="39">
        <f>+IFERROR((FT_RF_264[[#This Row],[Calibre &lt;25]]/FT_RF_264[[#This Row],[Muestra]]),"0")</f>
        <v>0</v>
      </c>
      <c r="AR221" s="38">
        <v>0</v>
      </c>
      <c r="AS221" s="39">
        <f>+IFERROR((FT_RF_264[[#This Row],[Calibre &gt;12]]/FT_RF_264[[#This Row],[Muestra]]),"0")</f>
        <v>0</v>
      </c>
      <c r="AT221" s="38">
        <v>0</v>
      </c>
      <c r="AU221" s="39">
        <f>+IFERROR((FT_RF_264[[#This Row],[Calibre &lt;14]]/FT_RF_264[[#This Row],[Muestra]]),"0")</f>
        <v>0</v>
      </c>
      <c r="AV221" s="38">
        <v>0</v>
      </c>
      <c r="AW221" s="39">
        <f>+IFERROR((FT_RF_264[[#This Row],[Calibre &gt;14]]/FT_RF_264[[#This Row],[Muestra]]),"0")</f>
        <v>0</v>
      </c>
      <c r="AX221" s="38">
        <v>0</v>
      </c>
      <c r="AY221" s="39">
        <f>+IFERROR((FT_RF_264[[#This Row],[Calibre &lt;10]]/FT_RF_264[[#This Row],[Muestra]]),"0")</f>
        <v>0</v>
      </c>
      <c r="AZ221" s="38">
        <v>0</v>
      </c>
      <c r="BA221" s="39">
        <f>+IFERROR((FT_RF_264[[#This Row],[Calibre &gt;13]]/FT_RF_264[[#This Row],[Muestra]]),"0")</f>
        <v>0</v>
      </c>
      <c r="BB221" s="41"/>
      <c r="BG221" s="42"/>
      <c r="BH221" s="43">
        <v>0</v>
      </c>
      <c r="BI221" s="29" t="s">
        <v>894</v>
      </c>
      <c r="BJ221" s="29" t="s">
        <v>894</v>
      </c>
      <c r="BK22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2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21" s="45">
        <f>1-FT_RF_264[[#This Row],[% Defectos]]</f>
        <v>1</v>
      </c>
      <c r="BO221" s="60"/>
      <c r="BP221" s="12">
        <f>SUM(FT_RF_264[[#This Row],[Hoja (Un.)]:[Larvas Caja]])</f>
        <v>0</v>
      </c>
      <c r="BQ221" s="12">
        <f>SUM(FT_RF_264[[#This Row],[Vidrios]:[Plástico]])</f>
        <v>0</v>
      </c>
      <c r="BR221" s="12" t="str">
        <f>IF(ISBLANK(FT_RF_264[[#This Row],[Descripción del producto]]),"",FT_RF_264[[#This Row],[Descripción del producto]])</f>
        <v/>
      </c>
      <c r="BS221" s="29" t="str">
        <f>IF(ISBLANK(FT_RF_264[[#This Row],[N° de Lote]]),"",FT_RF_264[[#This Row],[N° de Lote]])</f>
        <v/>
      </c>
      <c r="BT221" s="29" t="str">
        <f>IF(ISBLANK(FT_RF_264[[#This Row],[N° de Pallet]]),"",FT_RF_264[[#This Row],[N° de Pallet]])</f>
        <v/>
      </c>
    </row>
    <row r="222" spans="2:72">
      <c r="B222" s="29">
        <f>+_xlfn.ISOWEEKNUM(FT_RF_264[[#This Row],[Fecha]])</f>
        <v>52</v>
      </c>
      <c r="E222" s="31"/>
      <c r="F222" s="12" t="str">
        <f>IFERROR(""&amp;_xlfn.XLOOKUP(FT_RF_264[[#This Row],[Código]],BD_Cod[SKU],BD_Cod[Descripción]),"")</f>
        <v/>
      </c>
      <c r="G222" s="32" t="str">
        <f>IFERROR(""&amp;_xlfn.XLOOKUP(FT_RF_264[[#This Row],[Código]],BD_Cod[SKU],BD_Cod[Familia Calidad]),"")</f>
        <v/>
      </c>
      <c r="J222" s="33">
        <v>1000</v>
      </c>
      <c r="L222" s="30" t="s">
        <v>244</v>
      </c>
      <c r="O222" s="30" t="s">
        <v>894</v>
      </c>
      <c r="P222" s="29" t="s">
        <v>894</v>
      </c>
      <c r="Q222" s="37">
        <f>1-FT_RF_264[[#This Row],[% Defectos]]</f>
        <v>1</v>
      </c>
      <c r="R222" s="38">
        <v>0</v>
      </c>
      <c r="S222" s="39">
        <f>+IFERROR((FT_RF_264[[#This Row],[Inmadura]]/FT_RF_264[[#This Row],[Muestra]]),"0")</f>
        <v>0</v>
      </c>
      <c r="T222" s="38">
        <v>0</v>
      </c>
      <c r="U222" s="39">
        <f>+IFERROR((FT_RF_264[[#This Row],[Partidas]]/FT_RF_264[[#This Row],[Muestra]]),"0")</f>
        <v>0</v>
      </c>
      <c r="V222" s="38">
        <v>0</v>
      </c>
      <c r="W222" s="39">
        <f>+IFERROR((FT_RF_264[[#This Row],[Daño Insecto]]/FT_RF_264[[#This Row],[Muestra]]),"0")</f>
        <v>0</v>
      </c>
      <c r="X222" s="38">
        <v>0</v>
      </c>
      <c r="Y222" s="39">
        <f>+IFERROR((FT_RF_264[[#This Row],[Sobremadura]]/FT_RF_264[[#This Row],[Muestra]]),"0")</f>
        <v>0</v>
      </c>
      <c r="Z222" s="38">
        <v>0</v>
      </c>
      <c r="AA222" s="39">
        <f>+IFERROR((FT_RF_264[[#This Row],[Deforme]]/FT_RF_264[[#This Row],[Muestra]]),"0")</f>
        <v>0</v>
      </c>
      <c r="AB222" s="27"/>
      <c r="AC222" s="38">
        <v>0</v>
      </c>
      <c r="AD222" s="39">
        <f>+IFERROR((FT_RF_264[[#This Row],[Valor Extra 1]]/FT_RF_264[[#This Row],[Muestra]]),"0")</f>
        <v>0</v>
      </c>
      <c r="AF222" s="38">
        <v>0</v>
      </c>
      <c r="AG222" s="39">
        <f>+IFERROR((FT_RF_264[[#This Row],[Valor Extra 2]]/FT_RF_264[[#This Row],[Muestra]]),"0")</f>
        <v>0</v>
      </c>
      <c r="AH222" s="40">
        <v>0</v>
      </c>
      <c r="AI222" s="39">
        <f>+IFERROR((FT_RF_264[[#This Row],[Hongos]]/FT_RF_264[[#This Row],[Muestra]]),"0")</f>
        <v>0</v>
      </c>
      <c r="AJ222" s="38">
        <v>0</v>
      </c>
      <c r="AK222" s="39">
        <f>+IFERROR((FT_RF_264[[#This Row],[Block]]/FT_RF_264[[#This Row],[Muestra]]),"0")</f>
        <v>0</v>
      </c>
      <c r="AL222" s="41">
        <v>0</v>
      </c>
      <c r="AM222" s="42">
        <v>0</v>
      </c>
      <c r="AN222" s="38">
        <v>0</v>
      </c>
      <c r="AO222" s="39">
        <f>+IFERROR((FT_RF_264[[#This Row],[Fuera de calibre &lt;12mm]]/FT_RF_264[[#This Row],[Muestra]]),"0")</f>
        <v>0</v>
      </c>
      <c r="AP222" s="38">
        <v>0</v>
      </c>
      <c r="AQ222" s="39">
        <f>+IFERROR((FT_RF_264[[#This Row],[Calibre &lt;25]]/FT_RF_264[[#This Row],[Muestra]]),"0")</f>
        <v>0</v>
      </c>
      <c r="AR222" s="38">
        <v>0</v>
      </c>
      <c r="AS222" s="39">
        <f>+IFERROR((FT_RF_264[[#This Row],[Calibre &gt;12]]/FT_RF_264[[#This Row],[Muestra]]),"0")</f>
        <v>0</v>
      </c>
      <c r="AT222" s="38">
        <v>0</v>
      </c>
      <c r="AU222" s="39">
        <f>+IFERROR((FT_RF_264[[#This Row],[Calibre &lt;14]]/FT_RF_264[[#This Row],[Muestra]]),"0")</f>
        <v>0</v>
      </c>
      <c r="AV222" s="38">
        <v>0</v>
      </c>
      <c r="AW222" s="39">
        <f>+IFERROR((FT_RF_264[[#This Row],[Calibre &gt;14]]/FT_RF_264[[#This Row],[Muestra]]),"0")</f>
        <v>0</v>
      </c>
      <c r="AX222" s="38">
        <v>0</v>
      </c>
      <c r="AY222" s="39">
        <f>+IFERROR((FT_RF_264[[#This Row],[Calibre &lt;10]]/FT_RF_264[[#This Row],[Muestra]]),"0")</f>
        <v>0</v>
      </c>
      <c r="AZ222" s="38">
        <v>0</v>
      </c>
      <c r="BA222" s="39">
        <f>+IFERROR((FT_RF_264[[#This Row],[Calibre &gt;13]]/FT_RF_264[[#This Row],[Muestra]]),"0")</f>
        <v>0</v>
      </c>
      <c r="BB222" s="41"/>
      <c r="BG222" s="42"/>
      <c r="BH222" s="43">
        <v>0</v>
      </c>
      <c r="BI222" s="29" t="s">
        <v>894</v>
      </c>
      <c r="BJ222" s="29" t="s">
        <v>894</v>
      </c>
      <c r="BK22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2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22" s="45">
        <f>1-FT_RF_264[[#This Row],[% Defectos]]</f>
        <v>1</v>
      </c>
      <c r="BO222" s="60"/>
      <c r="BP222" s="12">
        <f>SUM(FT_RF_264[[#This Row],[Hoja (Un.)]:[Larvas Caja]])</f>
        <v>0</v>
      </c>
      <c r="BQ222" s="12">
        <f>SUM(FT_RF_264[[#This Row],[Vidrios]:[Plástico]])</f>
        <v>0</v>
      </c>
      <c r="BR222" s="12" t="str">
        <f>IF(ISBLANK(FT_RF_264[[#This Row],[Descripción del producto]]),"",FT_RF_264[[#This Row],[Descripción del producto]])</f>
        <v/>
      </c>
      <c r="BS222" s="29" t="str">
        <f>IF(ISBLANK(FT_RF_264[[#This Row],[N° de Lote]]),"",FT_RF_264[[#This Row],[N° de Lote]])</f>
        <v/>
      </c>
      <c r="BT222" s="29" t="str">
        <f>IF(ISBLANK(FT_RF_264[[#This Row],[N° de Pallet]]),"",FT_RF_264[[#This Row],[N° de Pallet]])</f>
        <v/>
      </c>
    </row>
    <row r="223" spans="2:72">
      <c r="B223" s="29">
        <f>+_xlfn.ISOWEEKNUM(FT_RF_264[[#This Row],[Fecha]])</f>
        <v>52</v>
      </c>
      <c r="E223" s="31"/>
      <c r="F223" s="12" t="str">
        <f>IFERROR(""&amp;_xlfn.XLOOKUP(FT_RF_264[[#This Row],[Código]],BD_Cod[SKU],BD_Cod[Descripción]),"")</f>
        <v/>
      </c>
      <c r="G223" s="32" t="str">
        <f>IFERROR(""&amp;_xlfn.XLOOKUP(FT_RF_264[[#This Row],[Código]],BD_Cod[SKU],BD_Cod[Familia Calidad]),"")</f>
        <v/>
      </c>
      <c r="J223" s="33">
        <v>1000</v>
      </c>
      <c r="L223" s="30" t="s">
        <v>244</v>
      </c>
      <c r="O223" s="30" t="s">
        <v>894</v>
      </c>
      <c r="P223" s="29" t="s">
        <v>894</v>
      </c>
      <c r="Q223" s="37">
        <f>1-FT_RF_264[[#This Row],[% Defectos]]</f>
        <v>1</v>
      </c>
      <c r="R223" s="38">
        <v>0</v>
      </c>
      <c r="S223" s="39">
        <f>+IFERROR((FT_RF_264[[#This Row],[Inmadura]]/FT_RF_264[[#This Row],[Muestra]]),"0")</f>
        <v>0</v>
      </c>
      <c r="T223" s="38">
        <v>0</v>
      </c>
      <c r="U223" s="39">
        <f>+IFERROR((FT_RF_264[[#This Row],[Partidas]]/FT_RF_264[[#This Row],[Muestra]]),"0")</f>
        <v>0</v>
      </c>
      <c r="V223" s="38">
        <v>0</v>
      </c>
      <c r="W223" s="39">
        <f>+IFERROR((FT_RF_264[[#This Row],[Daño Insecto]]/FT_RF_264[[#This Row],[Muestra]]),"0")</f>
        <v>0</v>
      </c>
      <c r="X223" s="38">
        <v>0</v>
      </c>
      <c r="Y223" s="39">
        <f>+IFERROR((FT_RF_264[[#This Row],[Sobremadura]]/FT_RF_264[[#This Row],[Muestra]]),"0")</f>
        <v>0</v>
      </c>
      <c r="Z223" s="38">
        <v>0</v>
      </c>
      <c r="AA223" s="39">
        <f>+IFERROR((FT_RF_264[[#This Row],[Deforme]]/FT_RF_264[[#This Row],[Muestra]]),"0")</f>
        <v>0</v>
      </c>
      <c r="AB223" s="27"/>
      <c r="AC223" s="38">
        <v>0</v>
      </c>
      <c r="AD223" s="39">
        <f>+IFERROR((FT_RF_264[[#This Row],[Valor Extra 1]]/FT_RF_264[[#This Row],[Muestra]]),"0")</f>
        <v>0</v>
      </c>
      <c r="AF223" s="38">
        <v>0</v>
      </c>
      <c r="AG223" s="39">
        <f>+IFERROR((FT_RF_264[[#This Row],[Valor Extra 2]]/FT_RF_264[[#This Row],[Muestra]]),"0")</f>
        <v>0</v>
      </c>
      <c r="AH223" s="40">
        <v>0</v>
      </c>
      <c r="AI223" s="39">
        <f>+IFERROR((FT_RF_264[[#This Row],[Hongos]]/FT_RF_264[[#This Row],[Muestra]]),"0")</f>
        <v>0</v>
      </c>
      <c r="AJ223" s="38">
        <v>0</v>
      </c>
      <c r="AK223" s="39">
        <f>+IFERROR((FT_RF_264[[#This Row],[Block]]/FT_RF_264[[#This Row],[Muestra]]),"0")</f>
        <v>0</v>
      </c>
      <c r="AL223" s="41">
        <v>0</v>
      </c>
      <c r="AM223" s="42">
        <v>0</v>
      </c>
      <c r="AN223" s="38">
        <v>0</v>
      </c>
      <c r="AO223" s="39">
        <f>+IFERROR((FT_RF_264[[#This Row],[Fuera de calibre &lt;12mm]]/FT_RF_264[[#This Row],[Muestra]]),"0")</f>
        <v>0</v>
      </c>
      <c r="AP223" s="38">
        <v>0</v>
      </c>
      <c r="AQ223" s="39">
        <f>+IFERROR((FT_RF_264[[#This Row],[Calibre &lt;25]]/FT_RF_264[[#This Row],[Muestra]]),"0")</f>
        <v>0</v>
      </c>
      <c r="AR223" s="38">
        <v>0</v>
      </c>
      <c r="AS223" s="39">
        <f>+IFERROR((FT_RF_264[[#This Row],[Calibre &gt;12]]/FT_RF_264[[#This Row],[Muestra]]),"0")</f>
        <v>0</v>
      </c>
      <c r="AT223" s="38">
        <v>0</v>
      </c>
      <c r="AU223" s="39">
        <f>+IFERROR((FT_RF_264[[#This Row],[Calibre &lt;14]]/FT_RF_264[[#This Row],[Muestra]]),"0")</f>
        <v>0</v>
      </c>
      <c r="AV223" s="38">
        <v>0</v>
      </c>
      <c r="AW223" s="39">
        <f>+IFERROR((FT_RF_264[[#This Row],[Calibre &gt;14]]/FT_RF_264[[#This Row],[Muestra]]),"0")</f>
        <v>0</v>
      </c>
      <c r="AX223" s="38">
        <v>0</v>
      </c>
      <c r="AY223" s="39">
        <f>+IFERROR((FT_RF_264[[#This Row],[Calibre &lt;10]]/FT_RF_264[[#This Row],[Muestra]]),"0")</f>
        <v>0</v>
      </c>
      <c r="AZ223" s="38">
        <v>0</v>
      </c>
      <c r="BA223" s="39">
        <f>+IFERROR((FT_RF_264[[#This Row],[Calibre &gt;13]]/FT_RF_264[[#This Row],[Muestra]]),"0")</f>
        <v>0</v>
      </c>
      <c r="BB223" s="41"/>
      <c r="BG223" s="42"/>
      <c r="BH223" s="43">
        <v>0</v>
      </c>
      <c r="BI223" s="29" t="s">
        <v>894</v>
      </c>
      <c r="BJ223" s="29" t="s">
        <v>894</v>
      </c>
      <c r="BK22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2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23" s="45">
        <f>1-FT_RF_264[[#This Row],[% Defectos]]</f>
        <v>1</v>
      </c>
      <c r="BO223" s="60"/>
      <c r="BP223" s="12">
        <f>SUM(FT_RF_264[[#This Row],[Hoja (Un.)]:[Larvas Caja]])</f>
        <v>0</v>
      </c>
      <c r="BQ223" s="12">
        <f>SUM(FT_RF_264[[#This Row],[Vidrios]:[Plástico]])</f>
        <v>0</v>
      </c>
      <c r="BR223" s="12" t="str">
        <f>IF(ISBLANK(FT_RF_264[[#This Row],[Descripción del producto]]),"",FT_RF_264[[#This Row],[Descripción del producto]])</f>
        <v/>
      </c>
      <c r="BS223" s="29" t="str">
        <f>IF(ISBLANK(FT_RF_264[[#This Row],[N° de Lote]]),"",FT_RF_264[[#This Row],[N° de Lote]])</f>
        <v/>
      </c>
      <c r="BT223" s="29" t="str">
        <f>IF(ISBLANK(FT_RF_264[[#This Row],[N° de Pallet]]),"",FT_RF_264[[#This Row],[N° de Pallet]])</f>
        <v/>
      </c>
    </row>
    <row r="224" spans="2:72">
      <c r="B224" s="29">
        <f>+_xlfn.ISOWEEKNUM(FT_RF_264[[#This Row],[Fecha]])</f>
        <v>52</v>
      </c>
      <c r="E224" s="31"/>
      <c r="F224" s="12" t="str">
        <f>IFERROR(""&amp;_xlfn.XLOOKUP(FT_RF_264[[#This Row],[Código]],BD_Cod[SKU],BD_Cod[Descripción]),"")</f>
        <v/>
      </c>
      <c r="G224" s="32" t="str">
        <f>IFERROR(""&amp;_xlfn.XLOOKUP(FT_RF_264[[#This Row],[Código]],BD_Cod[SKU],BD_Cod[Familia Calidad]),"")</f>
        <v/>
      </c>
      <c r="J224" s="33">
        <v>1000</v>
      </c>
      <c r="L224" s="30" t="s">
        <v>244</v>
      </c>
      <c r="O224" s="30" t="s">
        <v>894</v>
      </c>
      <c r="P224" s="29" t="s">
        <v>894</v>
      </c>
      <c r="Q224" s="37">
        <f>1-FT_RF_264[[#This Row],[% Defectos]]</f>
        <v>1</v>
      </c>
      <c r="R224" s="38">
        <v>0</v>
      </c>
      <c r="S224" s="39">
        <f>+IFERROR((FT_RF_264[[#This Row],[Inmadura]]/FT_RF_264[[#This Row],[Muestra]]),"0")</f>
        <v>0</v>
      </c>
      <c r="T224" s="38">
        <v>0</v>
      </c>
      <c r="U224" s="39">
        <f>+IFERROR((FT_RF_264[[#This Row],[Partidas]]/FT_RF_264[[#This Row],[Muestra]]),"0")</f>
        <v>0</v>
      </c>
      <c r="V224" s="38">
        <v>0</v>
      </c>
      <c r="W224" s="39">
        <f>+IFERROR((FT_RF_264[[#This Row],[Daño Insecto]]/FT_RF_264[[#This Row],[Muestra]]),"0")</f>
        <v>0</v>
      </c>
      <c r="X224" s="38">
        <v>0</v>
      </c>
      <c r="Y224" s="39">
        <f>+IFERROR((FT_RF_264[[#This Row],[Sobremadura]]/FT_RF_264[[#This Row],[Muestra]]),"0")</f>
        <v>0</v>
      </c>
      <c r="Z224" s="38">
        <v>0</v>
      </c>
      <c r="AA224" s="39">
        <f>+IFERROR((FT_RF_264[[#This Row],[Deforme]]/FT_RF_264[[#This Row],[Muestra]]),"0")</f>
        <v>0</v>
      </c>
      <c r="AB224" s="27"/>
      <c r="AC224" s="38">
        <v>0</v>
      </c>
      <c r="AD224" s="39">
        <f>+IFERROR((FT_RF_264[[#This Row],[Valor Extra 1]]/FT_RF_264[[#This Row],[Muestra]]),"0")</f>
        <v>0</v>
      </c>
      <c r="AF224" s="38">
        <v>0</v>
      </c>
      <c r="AG224" s="39">
        <f>+IFERROR((FT_RF_264[[#This Row],[Valor Extra 2]]/FT_RF_264[[#This Row],[Muestra]]),"0")</f>
        <v>0</v>
      </c>
      <c r="AH224" s="40">
        <v>0</v>
      </c>
      <c r="AI224" s="39">
        <f>+IFERROR((FT_RF_264[[#This Row],[Hongos]]/FT_RF_264[[#This Row],[Muestra]]),"0")</f>
        <v>0</v>
      </c>
      <c r="AJ224" s="38">
        <v>0</v>
      </c>
      <c r="AK224" s="39">
        <f>+IFERROR((FT_RF_264[[#This Row],[Block]]/FT_RF_264[[#This Row],[Muestra]]),"0")</f>
        <v>0</v>
      </c>
      <c r="AL224" s="41">
        <v>0</v>
      </c>
      <c r="AM224" s="42">
        <v>0</v>
      </c>
      <c r="AN224" s="38">
        <v>0</v>
      </c>
      <c r="AO224" s="39">
        <f>+IFERROR((FT_RF_264[[#This Row],[Fuera de calibre &lt;12mm]]/FT_RF_264[[#This Row],[Muestra]]),"0")</f>
        <v>0</v>
      </c>
      <c r="AP224" s="38">
        <v>0</v>
      </c>
      <c r="AQ224" s="39">
        <f>+IFERROR((FT_RF_264[[#This Row],[Calibre &lt;25]]/FT_RF_264[[#This Row],[Muestra]]),"0")</f>
        <v>0</v>
      </c>
      <c r="AR224" s="38">
        <v>0</v>
      </c>
      <c r="AS224" s="39">
        <f>+IFERROR((FT_RF_264[[#This Row],[Calibre &gt;12]]/FT_RF_264[[#This Row],[Muestra]]),"0")</f>
        <v>0</v>
      </c>
      <c r="AT224" s="38">
        <v>0</v>
      </c>
      <c r="AU224" s="39">
        <f>+IFERROR((FT_RF_264[[#This Row],[Calibre &lt;14]]/FT_RF_264[[#This Row],[Muestra]]),"0")</f>
        <v>0</v>
      </c>
      <c r="AV224" s="38">
        <v>0</v>
      </c>
      <c r="AW224" s="39">
        <f>+IFERROR((FT_RF_264[[#This Row],[Calibre &gt;14]]/FT_RF_264[[#This Row],[Muestra]]),"0")</f>
        <v>0</v>
      </c>
      <c r="AX224" s="38">
        <v>0</v>
      </c>
      <c r="AY224" s="39">
        <f>+IFERROR((FT_RF_264[[#This Row],[Calibre &lt;10]]/FT_RF_264[[#This Row],[Muestra]]),"0")</f>
        <v>0</v>
      </c>
      <c r="AZ224" s="38">
        <v>0</v>
      </c>
      <c r="BA224" s="39">
        <f>+IFERROR((FT_RF_264[[#This Row],[Calibre &gt;13]]/FT_RF_264[[#This Row],[Muestra]]),"0")</f>
        <v>0</v>
      </c>
      <c r="BB224" s="41"/>
      <c r="BG224" s="42"/>
      <c r="BH224" s="43">
        <v>0</v>
      </c>
      <c r="BI224" s="29" t="s">
        <v>894</v>
      </c>
      <c r="BJ224" s="29" t="s">
        <v>894</v>
      </c>
      <c r="BK22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2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24" s="45">
        <f>1-FT_RF_264[[#This Row],[% Defectos]]</f>
        <v>1</v>
      </c>
      <c r="BO224" s="60"/>
      <c r="BP224" s="12">
        <f>SUM(FT_RF_264[[#This Row],[Hoja (Un.)]:[Larvas Caja]])</f>
        <v>0</v>
      </c>
      <c r="BQ224" s="12">
        <f>SUM(FT_RF_264[[#This Row],[Vidrios]:[Plástico]])</f>
        <v>0</v>
      </c>
      <c r="BR224" s="12" t="str">
        <f>IF(ISBLANK(FT_RF_264[[#This Row],[Descripción del producto]]),"",FT_RF_264[[#This Row],[Descripción del producto]])</f>
        <v/>
      </c>
      <c r="BS224" s="29" t="str">
        <f>IF(ISBLANK(FT_RF_264[[#This Row],[N° de Lote]]),"",FT_RF_264[[#This Row],[N° de Lote]])</f>
        <v/>
      </c>
      <c r="BT224" s="29" t="str">
        <f>IF(ISBLANK(FT_RF_264[[#This Row],[N° de Pallet]]),"",FT_RF_264[[#This Row],[N° de Pallet]])</f>
        <v/>
      </c>
    </row>
    <row r="225" spans="2:72">
      <c r="B225" s="29">
        <f>+_xlfn.ISOWEEKNUM(FT_RF_264[[#This Row],[Fecha]])</f>
        <v>52</v>
      </c>
      <c r="E225" s="31"/>
      <c r="F225" s="12" t="str">
        <f>IFERROR(""&amp;_xlfn.XLOOKUP(FT_RF_264[[#This Row],[Código]],BD_Cod[SKU],BD_Cod[Descripción]),"")</f>
        <v/>
      </c>
      <c r="G225" s="32" t="str">
        <f>IFERROR(""&amp;_xlfn.XLOOKUP(FT_RF_264[[#This Row],[Código]],BD_Cod[SKU],BD_Cod[Familia Calidad]),"")</f>
        <v/>
      </c>
      <c r="J225" s="33">
        <v>1000</v>
      </c>
      <c r="L225" s="30" t="s">
        <v>244</v>
      </c>
      <c r="O225" s="30" t="s">
        <v>894</v>
      </c>
      <c r="P225" s="29" t="s">
        <v>894</v>
      </c>
      <c r="Q225" s="37">
        <f>1-FT_RF_264[[#This Row],[% Defectos]]</f>
        <v>1</v>
      </c>
      <c r="R225" s="38">
        <v>0</v>
      </c>
      <c r="S225" s="39">
        <f>+IFERROR((FT_RF_264[[#This Row],[Inmadura]]/FT_RF_264[[#This Row],[Muestra]]),"0")</f>
        <v>0</v>
      </c>
      <c r="T225" s="38">
        <v>0</v>
      </c>
      <c r="U225" s="39">
        <f>+IFERROR((FT_RF_264[[#This Row],[Partidas]]/FT_RF_264[[#This Row],[Muestra]]),"0")</f>
        <v>0</v>
      </c>
      <c r="V225" s="38">
        <v>0</v>
      </c>
      <c r="W225" s="39">
        <f>+IFERROR((FT_RF_264[[#This Row],[Daño Insecto]]/FT_RF_264[[#This Row],[Muestra]]),"0")</f>
        <v>0</v>
      </c>
      <c r="X225" s="38">
        <v>0</v>
      </c>
      <c r="Y225" s="39">
        <f>+IFERROR((FT_RF_264[[#This Row],[Sobremadura]]/FT_RF_264[[#This Row],[Muestra]]),"0")</f>
        <v>0</v>
      </c>
      <c r="Z225" s="38">
        <v>0</v>
      </c>
      <c r="AA225" s="39">
        <f>+IFERROR((FT_RF_264[[#This Row],[Deforme]]/FT_RF_264[[#This Row],[Muestra]]),"0")</f>
        <v>0</v>
      </c>
      <c r="AB225" s="27"/>
      <c r="AC225" s="38">
        <v>0</v>
      </c>
      <c r="AD225" s="39">
        <f>+IFERROR((FT_RF_264[[#This Row],[Valor Extra 1]]/FT_RF_264[[#This Row],[Muestra]]),"0")</f>
        <v>0</v>
      </c>
      <c r="AF225" s="38">
        <v>0</v>
      </c>
      <c r="AG225" s="39">
        <f>+IFERROR((FT_RF_264[[#This Row],[Valor Extra 2]]/FT_RF_264[[#This Row],[Muestra]]),"0")</f>
        <v>0</v>
      </c>
      <c r="AH225" s="40">
        <v>0</v>
      </c>
      <c r="AI225" s="39">
        <f>+IFERROR((FT_RF_264[[#This Row],[Hongos]]/FT_RF_264[[#This Row],[Muestra]]),"0")</f>
        <v>0</v>
      </c>
      <c r="AJ225" s="38">
        <v>0</v>
      </c>
      <c r="AK225" s="39">
        <f>+IFERROR((FT_RF_264[[#This Row],[Block]]/FT_RF_264[[#This Row],[Muestra]]),"0")</f>
        <v>0</v>
      </c>
      <c r="AL225" s="41">
        <v>0</v>
      </c>
      <c r="AM225" s="42">
        <v>0</v>
      </c>
      <c r="AN225" s="38">
        <v>0</v>
      </c>
      <c r="AO225" s="39">
        <f>+IFERROR((FT_RF_264[[#This Row],[Fuera de calibre &lt;12mm]]/FT_RF_264[[#This Row],[Muestra]]),"0")</f>
        <v>0</v>
      </c>
      <c r="AP225" s="38">
        <v>0</v>
      </c>
      <c r="AQ225" s="39">
        <f>+IFERROR((FT_RF_264[[#This Row],[Calibre &lt;25]]/FT_RF_264[[#This Row],[Muestra]]),"0")</f>
        <v>0</v>
      </c>
      <c r="AR225" s="38">
        <v>0</v>
      </c>
      <c r="AS225" s="39">
        <f>+IFERROR((FT_RF_264[[#This Row],[Calibre &gt;12]]/FT_RF_264[[#This Row],[Muestra]]),"0")</f>
        <v>0</v>
      </c>
      <c r="AT225" s="38">
        <v>0</v>
      </c>
      <c r="AU225" s="39">
        <f>+IFERROR((FT_RF_264[[#This Row],[Calibre &lt;14]]/FT_RF_264[[#This Row],[Muestra]]),"0")</f>
        <v>0</v>
      </c>
      <c r="AV225" s="38">
        <v>0</v>
      </c>
      <c r="AW225" s="39">
        <f>+IFERROR((FT_RF_264[[#This Row],[Calibre &gt;14]]/FT_RF_264[[#This Row],[Muestra]]),"0")</f>
        <v>0</v>
      </c>
      <c r="AX225" s="38">
        <v>0</v>
      </c>
      <c r="AY225" s="39">
        <f>+IFERROR((FT_RF_264[[#This Row],[Calibre &lt;10]]/FT_RF_264[[#This Row],[Muestra]]),"0")</f>
        <v>0</v>
      </c>
      <c r="AZ225" s="38">
        <v>0</v>
      </c>
      <c r="BA225" s="39">
        <f>+IFERROR((FT_RF_264[[#This Row],[Calibre &gt;13]]/FT_RF_264[[#This Row],[Muestra]]),"0")</f>
        <v>0</v>
      </c>
      <c r="BB225" s="41"/>
      <c r="BG225" s="42"/>
      <c r="BH225" s="43">
        <v>0</v>
      </c>
      <c r="BI225" s="29" t="s">
        <v>894</v>
      </c>
      <c r="BJ225" s="29" t="s">
        <v>894</v>
      </c>
      <c r="BK22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2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25" s="45">
        <f>1-FT_RF_264[[#This Row],[% Defectos]]</f>
        <v>1</v>
      </c>
      <c r="BO225" s="60"/>
      <c r="BP225" s="12">
        <f>SUM(FT_RF_264[[#This Row],[Hoja (Un.)]:[Larvas Caja]])</f>
        <v>0</v>
      </c>
      <c r="BQ225" s="12">
        <f>SUM(FT_RF_264[[#This Row],[Vidrios]:[Plástico]])</f>
        <v>0</v>
      </c>
      <c r="BR225" s="12" t="str">
        <f>IF(ISBLANK(FT_RF_264[[#This Row],[Descripción del producto]]),"",FT_RF_264[[#This Row],[Descripción del producto]])</f>
        <v/>
      </c>
      <c r="BS225" s="29" t="str">
        <f>IF(ISBLANK(FT_RF_264[[#This Row],[N° de Lote]]),"",FT_RF_264[[#This Row],[N° de Lote]])</f>
        <v/>
      </c>
      <c r="BT225" s="29" t="str">
        <f>IF(ISBLANK(FT_RF_264[[#This Row],[N° de Pallet]]),"",FT_RF_264[[#This Row],[N° de Pallet]])</f>
        <v/>
      </c>
    </row>
    <row r="226" spans="2:72">
      <c r="B226" s="29">
        <f>+_xlfn.ISOWEEKNUM(FT_RF_264[[#This Row],[Fecha]])</f>
        <v>52</v>
      </c>
      <c r="E226" s="31"/>
      <c r="F226" s="12" t="str">
        <f>IFERROR(""&amp;_xlfn.XLOOKUP(FT_RF_264[[#This Row],[Código]],BD_Cod[SKU],BD_Cod[Descripción]),"")</f>
        <v/>
      </c>
      <c r="G226" s="32" t="str">
        <f>IFERROR(""&amp;_xlfn.XLOOKUP(FT_RF_264[[#This Row],[Código]],BD_Cod[SKU],BD_Cod[Familia Calidad]),"")</f>
        <v/>
      </c>
      <c r="J226" s="33">
        <v>1000</v>
      </c>
      <c r="L226" s="30" t="s">
        <v>244</v>
      </c>
      <c r="O226" s="30" t="s">
        <v>894</v>
      </c>
      <c r="P226" s="29" t="s">
        <v>894</v>
      </c>
      <c r="Q226" s="37">
        <f>1-FT_RF_264[[#This Row],[% Defectos]]</f>
        <v>1</v>
      </c>
      <c r="R226" s="38">
        <v>0</v>
      </c>
      <c r="S226" s="39">
        <f>+IFERROR((FT_RF_264[[#This Row],[Inmadura]]/FT_RF_264[[#This Row],[Muestra]]),"0")</f>
        <v>0</v>
      </c>
      <c r="T226" s="38">
        <v>0</v>
      </c>
      <c r="U226" s="39">
        <f>+IFERROR((FT_RF_264[[#This Row],[Partidas]]/FT_RF_264[[#This Row],[Muestra]]),"0")</f>
        <v>0</v>
      </c>
      <c r="V226" s="38">
        <v>0</v>
      </c>
      <c r="W226" s="39">
        <f>+IFERROR((FT_RF_264[[#This Row],[Daño Insecto]]/FT_RF_264[[#This Row],[Muestra]]),"0")</f>
        <v>0</v>
      </c>
      <c r="X226" s="38">
        <v>0</v>
      </c>
      <c r="Y226" s="39">
        <f>+IFERROR((FT_RF_264[[#This Row],[Sobremadura]]/FT_RF_264[[#This Row],[Muestra]]),"0")</f>
        <v>0</v>
      </c>
      <c r="Z226" s="38">
        <v>0</v>
      </c>
      <c r="AA226" s="39">
        <f>+IFERROR((FT_RF_264[[#This Row],[Deforme]]/FT_RF_264[[#This Row],[Muestra]]),"0")</f>
        <v>0</v>
      </c>
      <c r="AB226" s="27"/>
      <c r="AC226" s="38">
        <v>0</v>
      </c>
      <c r="AD226" s="39">
        <f>+IFERROR((FT_RF_264[[#This Row],[Valor Extra 1]]/FT_RF_264[[#This Row],[Muestra]]),"0")</f>
        <v>0</v>
      </c>
      <c r="AF226" s="38">
        <v>0</v>
      </c>
      <c r="AG226" s="39">
        <f>+IFERROR((FT_RF_264[[#This Row],[Valor Extra 2]]/FT_RF_264[[#This Row],[Muestra]]),"0")</f>
        <v>0</v>
      </c>
      <c r="AH226" s="40">
        <v>0</v>
      </c>
      <c r="AI226" s="39">
        <f>+IFERROR((FT_RF_264[[#This Row],[Hongos]]/FT_RF_264[[#This Row],[Muestra]]),"0")</f>
        <v>0</v>
      </c>
      <c r="AJ226" s="38">
        <v>0</v>
      </c>
      <c r="AK226" s="39">
        <f>+IFERROR((FT_RF_264[[#This Row],[Block]]/FT_RF_264[[#This Row],[Muestra]]),"0")</f>
        <v>0</v>
      </c>
      <c r="AL226" s="41">
        <v>0</v>
      </c>
      <c r="AM226" s="42">
        <v>0</v>
      </c>
      <c r="AN226" s="38">
        <v>0</v>
      </c>
      <c r="AO226" s="39">
        <f>+IFERROR((FT_RF_264[[#This Row],[Fuera de calibre &lt;12mm]]/FT_RF_264[[#This Row],[Muestra]]),"0")</f>
        <v>0</v>
      </c>
      <c r="AP226" s="38">
        <v>0</v>
      </c>
      <c r="AQ226" s="39">
        <f>+IFERROR((FT_RF_264[[#This Row],[Calibre &lt;25]]/FT_RF_264[[#This Row],[Muestra]]),"0")</f>
        <v>0</v>
      </c>
      <c r="AR226" s="38">
        <v>0</v>
      </c>
      <c r="AS226" s="39">
        <f>+IFERROR((FT_RF_264[[#This Row],[Calibre &gt;12]]/FT_RF_264[[#This Row],[Muestra]]),"0")</f>
        <v>0</v>
      </c>
      <c r="AT226" s="38">
        <v>0</v>
      </c>
      <c r="AU226" s="39">
        <f>+IFERROR((FT_RF_264[[#This Row],[Calibre &lt;14]]/FT_RF_264[[#This Row],[Muestra]]),"0")</f>
        <v>0</v>
      </c>
      <c r="AV226" s="38">
        <v>0</v>
      </c>
      <c r="AW226" s="39">
        <f>+IFERROR((FT_RF_264[[#This Row],[Calibre &gt;14]]/FT_RF_264[[#This Row],[Muestra]]),"0")</f>
        <v>0</v>
      </c>
      <c r="AX226" s="38">
        <v>0</v>
      </c>
      <c r="AY226" s="39">
        <f>+IFERROR((FT_RF_264[[#This Row],[Calibre &lt;10]]/FT_RF_264[[#This Row],[Muestra]]),"0")</f>
        <v>0</v>
      </c>
      <c r="AZ226" s="38">
        <v>0</v>
      </c>
      <c r="BA226" s="39">
        <f>+IFERROR((FT_RF_264[[#This Row],[Calibre &gt;13]]/FT_RF_264[[#This Row],[Muestra]]),"0")</f>
        <v>0</v>
      </c>
      <c r="BB226" s="41"/>
      <c r="BG226" s="42"/>
      <c r="BH226" s="43">
        <v>0</v>
      </c>
      <c r="BI226" s="29" t="s">
        <v>894</v>
      </c>
      <c r="BJ226" s="29" t="s">
        <v>894</v>
      </c>
      <c r="BK22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2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26" s="45">
        <f>1-FT_RF_264[[#This Row],[% Defectos]]</f>
        <v>1</v>
      </c>
      <c r="BO226" s="60"/>
      <c r="BP226" s="12">
        <f>SUM(FT_RF_264[[#This Row],[Hoja (Un.)]:[Larvas Caja]])</f>
        <v>0</v>
      </c>
      <c r="BQ226" s="12">
        <f>SUM(FT_RF_264[[#This Row],[Vidrios]:[Plástico]])</f>
        <v>0</v>
      </c>
      <c r="BR226" s="12" t="str">
        <f>IF(ISBLANK(FT_RF_264[[#This Row],[Descripción del producto]]),"",FT_RF_264[[#This Row],[Descripción del producto]])</f>
        <v/>
      </c>
      <c r="BS226" s="29" t="str">
        <f>IF(ISBLANK(FT_RF_264[[#This Row],[N° de Lote]]),"",FT_RF_264[[#This Row],[N° de Lote]])</f>
        <v/>
      </c>
      <c r="BT226" s="29" t="str">
        <f>IF(ISBLANK(FT_RF_264[[#This Row],[N° de Pallet]]),"",FT_RF_264[[#This Row],[N° de Pallet]])</f>
        <v/>
      </c>
    </row>
    <row r="227" spans="2:72">
      <c r="B227" s="29">
        <f>+_xlfn.ISOWEEKNUM(FT_RF_264[[#This Row],[Fecha]])</f>
        <v>52</v>
      </c>
      <c r="E227" s="31"/>
      <c r="F227" s="12" t="str">
        <f>IFERROR(""&amp;_xlfn.XLOOKUP(FT_RF_264[[#This Row],[Código]],BD_Cod[SKU],BD_Cod[Descripción]),"")</f>
        <v/>
      </c>
      <c r="G227" s="32" t="str">
        <f>IFERROR(""&amp;_xlfn.XLOOKUP(FT_RF_264[[#This Row],[Código]],BD_Cod[SKU],BD_Cod[Familia Calidad]),"")</f>
        <v/>
      </c>
      <c r="J227" s="33">
        <v>1000</v>
      </c>
      <c r="L227" s="30" t="s">
        <v>244</v>
      </c>
      <c r="O227" s="30" t="s">
        <v>894</v>
      </c>
      <c r="P227" s="29" t="s">
        <v>894</v>
      </c>
      <c r="Q227" s="37">
        <f>1-FT_RF_264[[#This Row],[% Defectos]]</f>
        <v>1</v>
      </c>
      <c r="R227" s="38">
        <v>0</v>
      </c>
      <c r="S227" s="39">
        <f>+IFERROR((FT_RF_264[[#This Row],[Inmadura]]/FT_RF_264[[#This Row],[Muestra]]),"0")</f>
        <v>0</v>
      </c>
      <c r="T227" s="38">
        <v>0</v>
      </c>
      <c r="U227" s="39">
        <f>+IFERROR((FT_RF_264[[#This Row],[Partidas]]/FT_RF_264[[#This Row],[Muestra]]),"0")</f>
        <v>0</v>
      </c>
      <c r="V227" s="38">
        <v>0</v>
      </c>
      <c r="W227" s="39">
        <f>+IFERROR((FT_RF_264[[#This Row],[Daño Insecto]]/FT_RF_264[[#This Row],[Muestra]]),"0")</f>
        <v>0</v>
      </c>
      <c r="X227" s="38">
        <v>0</v>
      </c>
      <c r="Y227" s="39">
        <f>+IFERROR((FT_RF_264[[#This Row],[Sobremadura]]/FT_RF_264[[#This Row],[Muestra]]),"0")</f>
        <v>0</v>
      </c>
      <c r="Z227" s="38">
        <v>0</v>
      </c>
      <c r="AA227" s="39">
        <f>+IFERROR((FT_RF_264[[#This Row],[Deforme]]/FT_RF_264[[#This Row],[Muestra]]),"0")</f>
        <v>0</v>
      </c>
      <c r="AB227" s="27"/>
      <c r="AC227" s="38">
        <v>0</v>
      </c>
      <c r="AD227" s="39">
        <f>+IFERROR((FT_RF_264[[#This Row],[Valor Extra 1]]/FT_RF_264[[#This Row],[Muestra]]),"0")</f>
        <v>0</v>
      </c>
      <c r="AF227" s="38">
        <v>0</v>
      </c>
      <c r="AG227" s="39">
        <f>+IFERROR((FT_RF_264[[#This Row],[Valor Extra 2]]/FT_RF_264[[#This Row],[Muestra]]),"0")</f>
        <v>0</v>
      </c>
      <c r="AH227" s="40">
        <v>0</v>
      </c>
      <c r="AI227" s="39">
        <f>+IFERROR((FT_RF_264[[#This Row],[Hongos]]/FT_RF_264[[#This Row],[Muestra]]),"0")</f>
        <v>0</v>
      </c>
      <c r="AJ227" s="38">
        <v>0</v>
      </c>
      <c r="AK227" s="39">
        <f>+IFERROR((FT_RF_264[[#This Row],[Block]]/FT_RF_264[[#This Row],[Muestra]]),"0")</f>
        <v>0</v>
      </c>
      <c r="AL227" s="41">
        <v>0</v>
      </c>
      <c r="AM227" s="42">
        <v>0</v>
      </c>
      <c r="AN227" s="38">
        <v>0</v>
      </c>
      <c r="AO227" s="39">
        <f>+IFERROR((FT_RF_264[[#This Row],[Fuera de calibre &lt;12mm]]/FT_RF_264[[#This Row],[Muestra]]),"0")</f>
        <v>0</v>
      </c>
      <c r="AP227" s="38">
        <v>0</v>
      </c>
      <c r="AQ227" s="39">
        <f>+IFERROR((FT_RF_264[[#This Row],[Calibre &lt;25]]/FT_RF_264[[#This Row],[Muestra]]),"0")</f>
        <v>0</v>
      </c>
      <c r="AR227" s="38">
        <v>0</v>
      </c>
      <c r="AS227" s="39">
        <f>+IFERROR((FT_RF_264[[#This Row],[Calibre &gt;12]]/FT_RF_264[[#This Row],[Muestra]]),"0")</f>
        <v>0</v>
      </c>
      <c r="AT227" s="38">
        <v>0</v>
      </c>
      <c r="AU227" s="39">
        <f>+IFERROR((FT_RF_264[[#This Row],[Calibre &lt;14]]/FT_RF_264[[#This Row],[Muestra]]),"0")</f>
        <v>0</v>
      </c>
      <c r="AV227" s="38">
        <v>0</v>
      </c>
      <c r="AW227" s="39">
        <f>+IFERROR((FT_RF_264[[#This Row],[Calibre &gt;14]]/FT_RF_264[[#This Row],[Muestra]]),"0")</f>
        <v>0</v>
      </c>
      <c r="AX227" s="38">
        <v>0</v>
      </c>
      <c r="AY227" s="39">
        <f>+IFERROR((FT_RF_264[[#This Row],[Calibre &lt;10]]/FT_RF_264[[#This Row],[Muestra]]),"0")</f>
        <v>0</v>
      </c>
      <c r="AZ227" s="38">
        <v>0</v>
      </c>
      <c r="BA227" s="39">
        <f>+IFERROR((FT_RF_264[[#This Row],[Calibre &gt;13]]/FT_RF_264[[#This Row],[Muestra]]),"0")</f>
        <v>0</v>
      </c>
      <c r="BB227" s="41"/>
      <c r="BG227" s="42"/>
      <c r="BH227" s="43">
        <v>0</v>
      </c>
      <c r="BI227" s="29" t="s">
        <v>894</v>
      </c>
      <c r="BJ227" s="29" t="s">
        <v>894</v>
      </c>
      <c r="BK22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2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27" s="45">
        <f>1-FT_RF_264[[#This Row],[% Defectos]]</f>
        <v>1</v>
      </c>
      <c r="BO227" s="60"/>
      <c r="BP227" s="12">
        <f>SUM(FT_RF_264[[#This Row],[Hoja (Un.)]:[Larvas Caja]])</f>
        <v>0</v>
      </c>
      <c r="BQ227" s="12">
        <f>SUM(FT_RF_264[[#This Row],[Vidrios]:[Plástico]])</f>
        <v>0</v>
      </c>
      <c r="BR227" s="12" t="str">
        <f>IF(ISBLANK(FT_RF_264[[#This Row],[Descripción del producto]]),"",FT_RF_264[[#This Row],[Descripción del producto]])</f>
        <v/>
      </c>
      <c r="BS227" s="29" t="str">
        <f>IF(ISBLANK(FT_RF_264[[#This Row],[N° de Lote]]),"",FT_RF_264[[#This Row],[N° de Lote]])</f>
        <v/>
      </c>
      <c r="BT227" s="29" t="str">
        <f>IF(ISBLANK(FT_RF_264[[#This Row],[N° de Pallet]]),"",FT_RF_264[[#This Row],[N° de Pallet]])</f>
        <v/>
      </c>
    </row>
    <row r="228" spans="2:72">
      <c r="B228" s="29">
        <f>+_xlfn.ISOWEEKNUM(FT_RF_264[[#This Row],[Fecha]])</f>
        <v>52</v>
      </c>
      <c r="E228" s="31"/>
      <c r="F228" s="12" t="str">
        <f>IFERROR(""&amp;_xlfn.XLOOKUP(FT_RF_264[[#This Row],[Código]],BD_Cod[SKU],BD_Cod[Descripción]),"")</f>
        <v/>
      </c>
      <c r="G228" s="32" t="str">
        <f>IFERROR(""&amp;_xlfn.XLOOKUP(FT_RF_264[[#This Row],[Código]],BD_Cod[SKU],BD_Cod[Familia Calidad]),"")</f>
        <v/>
      </c>
      <c r="J228" s="33">
        <v>1000</v>
      </c>
      <c r="L228" s="30" t="s">
        <v>244</v>
      </c>
      <c r="O228" s="30" t="s">
        <v>894</v>
      </c>
      <c r="P228" s="29" t="s">
        <v>894</v>
      </c>
      <c r="Q228" s="37">
        <f>1-FT_RF_264[[#This Row],[% Defectos]]</f>
        <v>1</v>
      </c>
      <c r="R228" s="38">
        <v>0</v>
      </c>
      <c r="S228" s="39">
        <f>+IFERROR((FT_RF_264[[#This Row],[Inmadura]]/FT_RF_264[[#This Row],[Muestra]]),"0")</f>
        <v>0</v>
      </c>
      <c r="T228" s="38">
        <v>0</v>
      </c>
      <c r="U228" s="39">
        <f>+IFERROR((FT_RF_264[[#This Row],[Partidas]]/FT_RF_264[[#This Row],[Muestra]]),"0")</f>
        <v>0</v>
      </c>
      <c r="V228" s="38">
        <v>0</v>
      </c>
      <c r="W228" s="39">
        <f>+IFERROR((FT_RF_264[[#This Row],[Daño Insecto]]/FT_RF_264[[#This Row],[Muestra]]),"0")</f>
        <v>0</v>
      </c>
      <c r="X228" s="38">
        <v>0</v>
      </c>
      <c r="Y228" s="39">
        <f>+IFERROR((FT_RF_264[[#This Row],[Sobremadura]]/FT_RF_264[[#This Row],[Muestra]]),"0")</f>
        <v>0</v>
      </c>
      <c r="Z228" s="38">
        <v>0</v>
      </c>
      <c r="AA228" s="39">
        <f>+IFERROR((FT_RF_264[[#This Row],[Deforme]]/FT_RF_264[[#This Row],[Muestra]]),"0")</f>
        <v>0</v>
      </c>
      <c r="AB228" s="27"/>
      <c r="AC228" s="38">
        <v>0</v>
      </c>
      <c r="AD228" s="39">
        <f>+IFERROR((FT_RF_264[[#This Row],[Valor Extra 1]]/FT_RF_264[[#This Row],[Muestra]]),"0")</f>
        <v>0</v>
      </c>
      <c r="AF228" s="38">
        <v>0</v>
      </c>
      <c r="AG228" s="39">
        <f>+IFERROR((FT_RF_264[[#This Row],[Valor Extra 2]]/FT_RF_264[[#This Row],[Muestra]]),"0")</f>
        <v>0</v>
      </c>
      <c r="AH228" s="40">
        <v>0</v>
      </c>
      <c r="AI228" s="39">
        <f>+IFERROR((FT_RF_264[[#This Row],[Hongos]]/FT_RF_264[[#This Row],[Muestra]]),"0")</f>
        <v>0</v>
      </c>
      <c r="AJ228" s="38">
        <v>0</v>
      </c>
      <c r="AK228" s="39">
        <f>+IFERROR((FT_RF_264[[#This Row],[Block]]/FT_RF_264[[#This Row],[Muestra]]),"0")</f>
        <v>0</v>
      </c>
      <c r="AL228" s="41">
        <v>0</v>
      </c>
      <c r="AM228" s="42">
        <v>0</v>
      </c>
      <c r="AN228" s="38">
        <v>0</v>
      </c>
      <c r="AO228" s="39">
        <f>+IFERROR((FT_RF_264[[#This Row],[Fuera de calibre &lt;12mm]]/FT_RF_264[[#This Row],[Muestra]]),"0")</f>
        <v>0</v>
      </c>
      <c r="AP228" s="38">
        <v>0</v>
      </c>
      <c r="AQ228" s="39">
        <f>+IFERROR((FT_RF_264[[#This Row],[Calibre &lt;25]]/FT_RF_264[[#This Row],[Muestra]]),"0")</f>
        <v>0</v>
      </c>
      <c r="AR228" s="38">
        <v>0</v>
      </c>
      <c r="AS228" s="39">
        <f>+IFERROR((FT_RF_264[[#This Row],[Calibre &gt;12]]/FT_RF_264[[#This Row],[Muestra]]),"0")</f>
        <v>0</v>
      </c>
      <c r="AT228" s="38">
        <v>0</v>
      </c>
      <c r="AU228" s="39">
        <f>+IFERROR((FT_RF_264[[#This Row],[Calibre &lt;14]]/FT_RF_264[[#This Row],[Muestra]]),"0")</f>
        <v>0</v>
      </c>
      <c r="AV228" s="38">
        <v>0</v>
      </c>
      <c r="AW228" s="39">
        <f>+IFERROR((FT_RF_264[[#This Row],[Calibre &gt;14]]/FT_RF_264[[#This Row],[Muestra]]),"0")</f>
        <v>0</v>
      </c>
      <c r="AX228" s="38">
        <v>0</v>
      </c>
      <c r="AY228" s="39">
        <f>+IFERROR((FT_RF_264[[#This Row],[Calibre &lt;10]]/FT_RF_264[[#This Row],[Muestra]]),"0")</f>
        <v>0</v>
      </c>
      <c r="AZ228" s="38">
        <v>0</v>
      </c>
      <c r="BA228" s="39">
        <f>+IFERROR((FT_RF_264[[#This Row],[Calibre &gt;13]]/FT_RF_264[[#This Row],[Muestra]]),"0")</f>
        <v>0</v>
      </c>
      <c r="BB228" s="41"/>
      <c r="BG228" s="42"/>
      <c r="BH228" s="43">
        <v>0</v>
      </c>
      <c r="BI228" s="29" t="s">
        <v>894</v>
      </c>
      <c r="BJ228" s="29" t="s">
        <v>894</v>
      </c>
      <c r="BK22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2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28" s="45">
        <f>1-FT_RF_264[[#This Row],[% Defectos]]</f>
        <v>1</v>
      </c>
      <c r="BO228" s="60"/>
      <c r="BP228" s="12">
        <f>SUM(FT_RF_264[[#This Row],[Hoja (Un.)]:[Larvas Caja]])</f>
        <v>0</v>
      </c>
      <c r="BQ228" s="12">
        <f>SUM(FT_RF_264[[#This Row],[Vidrios]:[Plástico]])</f>
        <v>0</v>
      </c>
      <c r="BR228" s="12" t="str">
        <f>IF(ISBLANK(FT_RF_264[[#This Row],[Descripción del producto]]),"",FT_RF_264[[#This Row],[Descripción del producto]])</f>
        <v/>
      </c>
      <c r="BS228" s="29" t="str">
        <f>IF(ISBLANK(FT_RF_264[[#This Row],[N° de Lote]]),"",FT_RF_264[[#This Row],[N° de Lote]])</f>
        <v/>
      </c>
      <c r="BT228" s="29" t="str">
        <f>IF(ISBLANK(FT_RF_264[[#This Row],[N° de Pallet]]),"",FT_RF_264[[#This Row],[N° de Pallet]])</f>
        <v/>
      </c>
    </row>
    <row r="229" spans="2:72">
      <c r="B229" s="29">
        <f>+_xlfn.ISOWEEKNUM(FT_RF_264[[#This Row],[Fecha]])</f>
        <v>52</v>
      </c>
      <c r="E229" s="31"/>
      <c r="F229" s="12" t="str">
        <f>IFERROR(""&amp;_xlfn.XLOOKUP(FT_RF_264[[#This Row],[Código]],BD_Cod[SKU],BD_Cod[Descripción]),"")</f>
        <v/>
      </c>
      <c r="G229" s="32" t="str">
        <f>IFERROR(""&amp;_xlfn.XLOOKUP(FT_RF_264[[#This Row],[Código]],BD_Cod[SKU],BD_Cod[Familia Calidad]),"")</f>
        <v/>
      </c>
      <c r="J229" s="33">
        <v>1000</v>
      </c>
      <c r="L229" s="30" t="s">
        <v>244</v>
      </c>
      <c r="O229" s="30" t="s">
        <v>894</v>
      </c>
      <c r="P229" s="29" t="s">
        <v>894</v>
      </c>
      <c r="Q229" s="37">
        <f>1-FT_RF_264[[#This Row],[% Defectos]]</f>
        <v>1</v>
      </c>
      <c r="R229" s="38">
        <v>0</v>
      </c>
      <c r="S229" s="39">
        <f>+IFERROR((FT_RF_264[[#This Row],[Inmadura]]/FT_RF_264[[#This Row],[Muestra]]),"0")</f>
        <v>0</v>
      </c>
      <c r="T229" s="38">
        <v>0</v>
      </c>
      <c r="U229" s="39">
        <f>+IFERROR((FT_RF_264[[#This Row],[Partidas]]/FT_RF_264[[#This Row],[Muestra]]),"0")</f>
        <v>0</v>
      </c>
      <c r="V229" s="38">
        <v>0</v>
      </c>
      <c r="W229" s="39">
        <f>+IFERROR((FT_RF_264[[#This Row],[Daño Insecto]]/FT_RF_264[[#This Row],[Muestra]]),"0")</f>
        <v>0</v>
      </c>
      <c r="X229" s="38">
        <v>0</v>
      </c>
      <c r="Y229" s="39">
        <f>+IFERROR((FT_RF_264[[#This Row],[Sobremadura]]/FT_RF_264[[#This Row],[Muestra]]),"0")</f>
        <v>0</v>
      </c>
      <c r="Z229" s="38">
        <v>0</v>
      </c>
      <c r="AA229" s="39">
        <f>+IFERROR((FT_RF_264[[#This Row],[Deforme]]/FT_RF_264[[#This Row],[Muestra]]),"0")</f>
        <v>0</v>
      </c>
      <c r="AB229" s="27"/>
      <c r="AC229" s="38">
        <v>0</v>
      </c>
      <c r="AD229" s="39">
        <f>+IFERROR((FT_RF_264[[#This Row],[Valor Extra 1]]/FT_RF_264[[#This Row],[Muestra]]),"0")</f>
        <v>0</v>
      </c>
      <c r="AF229" s="38">
        <v>0</v>
      </c>
      <c r="AG229" s="39">
        <f>+IFERROR((FT_RF_264[[#This Row],[Valor Extra 2]]/FT_RF_264[[#This Row],[Muestra]]),"0")</f>
        <v>0</v>
      </c>
      <c r="AH229" s="40">
        <v>0</v>
      </c>
      <c r="AI229" s="39">
        <f>+IFERROR((FT_RF_264[[#This Row],[Hongos]]/FT_RF_264[[#This Row],[Muestra]]),"0")</f>
        <v>0</v>
      </c>
      <c r="AJ229" s="38">
        <v>0</v>
      </c>
      <c r="AK229" s="39">
        <f>+IFERROR((FT_RF_264[[#This Row],[Block]]/FT_RF_264[[#This Row],[Muestra]]),"0")</f>
        <v>0</v>
      </c>
      <c r="AL229" s="41">
        <v>0</v>
      </c>
      <c r="AM229" s="42">
        <v>0</v>
      </c>
      <c r="AN229" s="38">
        <v>0</v>
      </c>
      <c r="AO229" s="39">
        <f>+IFERROR((FT_RF_264[[#This Row],[Fuera de calibre &lt;12mm]]/FT_RF_264[[#This Row],[Muestra]]),"0")</f>
        <v>0</v>
      </c>
      <c r="AP229" s="38">
        <v>0</v>
      </c>
      <c r="AQ229" s="39">
        <f>+IFERROR((FT_RF_264[[#This Row],[Calibre &lt;25]]/FT_RF_264[[#This Row],[Muestra]]),"0")</f>
        <v>0</v>
      </c>
      <c r="AR229" s="38">
        <v>0</v>
      </c>
      <c r="AS229" s="39">
        <f>+IFERROR((FT_RF_264[[#This Row],[Calibre &gt;12]]/FT_RF_264[[#This Row],[Muestra]]),"0")</f>
        <v>0</v>
      </c>
      <c r="AT229" s="38">
        <v>0</v>
      </c>
      <c r="AU229" s="39">
        <f>+IFERROR((FT_RF_264[[#This Row],[Calibre &lt;14]]/FT_RF_264[[#This Row],[Muestra]]),"0")</f>
        <v>0</v>
      </c>
      <c r="AV229" s="38">
        <v>0</v>
      </c>
      <c r="AW229" s="39">
        <f>+IFERROR((FT_RF_264[[#This Row],[Calibre &gt;14]]/FT_RF_264[[#This Row],[Muestra]]),"0")</f>
        <v>0</v>
      </c>
      <c r="AX229" s="38">
        <v>0</v>
      </c>
      <c r="AY229" s="39">
        <f>+IFERROR((FT_RF_264[[#This Row],[Calibre &lt;10]]/FT_RF_264[[#This Row],[Muestra]]),"0")</f>
        <v>0</v>
      </c>
      <c r="AZ229" s="38">
        <v>0</v>
      </c>
      <c r="BA229" s="39">
        <f>+IFERROR((FT_RF_264[[#This Row],[Calibre &gt;13]]/FT_RF_264[[#This Row],[Muestra]]),"0")</f>
        <v>0</v>
      </c>
      <c r="BB229" s="41"/>
      <c r="BG229" s="42"/>
      <c r="BH229" s="43">
        <v>0</v>
      </c>
      <c r="BI229" s="29" t="s">
        <v>894</v>
      </c>
      <c r="BJ229" s="29" t="s">
        <v>894</v>
      </c>
      <c r="BK22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2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29" s="45">
        <f>1-FT_RF_264[[#This Row],[% Defectos]]</f>
        <v>1</v>
      </c>
      <c r="BO229" s="60"/>
      <c r="BP229" s="12">
        <f>SUM(FT_RF_264[[#This Row],[Hoja (Un.)]:[Larvas Caja]])</f>
        <v>0</v>
      </c>
      <c r="BQ229" s="12">
        <f>SUM(FT_RF_264[[#This Row],[Vidrios]:[Plástico]])</f>
        <v>0</v>
      </c>
      <c r="BR229" s="12" t="str">
        <f>IF(ISBLANK(FT_RF_264[[#This Row],[Descripción del producto]]),"",FT_RF_264[[#This Row],[Descripción del producto]])</f>
        <v/>
      </c>
      <c r="BS229" s="29" t="str">
        <f>IF(ISBLANK(FT_RF_264[[#This Row],[N° de Lote]]),"",FT_RF_264[[#This Row],[N° de Lote]])</f>
        <v/>
      </c>
      <c r="BT229" s="29" t="str">
        <f>IF(ISBLANK(FT_RF_264[[#This Row],[N° de Pallet]]),"",FT_RF_264[[#This Row],[N° de Pallet]])</f>
        <v/>
      </c>
    </row>
    <row r="230" spans="2:72">
      <c r="B230" s="29">
        <f>+_xlfn.ISOWEEKNUM(FT_RF_264[[#This Row],[Fecha]])</f>
        <v>52</v>
      </c>
      <c r="E230" s="31"/>
      <c r="F230" s="12" t="str">
        <f>IFERROR(""&amp;_xlfn.XLOOKUP(FT_RF_264[[#This Row],[Código]],BD_Cod[SKU],BD_Cod[Descripción]),"")</f>
        <v/>
      </c>
      <c r="G230" s="32" t="str">
        <f>IFERROR(""&amp;_xlfn.XLOOKUP(FT_RF_264[[#This Row],[Código]],BD_Cod[SKU],BD_Cod[Familia Calidad]),"")</f>
        <v/>
      </c>
      <c r="J230" s="33">
        <v>1000</v>
      </c>
      <c r="L230" s="30" t="s">
        <v>244</v>
      </c>
      <c r="O230" s="30" t="s">
        <v>894</v>
      </c>
      <c r="P230" s="29" t="s">
        <v>894</v>
      </c>
      <c r="Q230" s="37">
        <f>1-FT_RF_264[[#This Row],[% Defectos]]</f>
        <v>1</v>
      </c>
      <c r="R230" s="38">
        <v>0</v>
      </c>
      <c r="S230" s="39">
        <f>+IFERROR((FT_RF_264[[#This Row],[Inmadura]]/FT_RF_264[[#This Row],[Muestra]]),"0")</f>
        <v>0</v>
      </c>
      <c r="T230" s="38">
        <v>0</v>
      </c>
      <c r="U230" s="39">
        <f>+IFERROR((FT_RF_264[[#This Row],[Partidas]]/FT_RF_264[[#This Row],[Muestra]]),"0")</f>
        <v>0</v>
      </c>
      <c r="V230" s="38">
        <v>0</v>
      </c>
      <c r="W230" s="39">
        <f>+IFERROR((FT_RF_264[[#This Row],[Daño Insecto]]/FT_RF_264[[#This Row],[Muestra]]),"0")</f>
        <v>0</v>
      </c>
      <c r="X230" s="38">
        <v>0</v>
      </c>
      <c r="Y230" s="39">
        <f>+IFERROR((FT_RF_264[[#This Row],[Sobremadura]]/FT_RF_264[[#This Row],[Muestra]]),"0")</f>
        <v>0</v>
      </c>
      <c r="Z230" s="38">
        <v>0</v>
      </c>
      <c r="AA230" s="39">
        <f>+IFERROR((FT_RF_264[[#This Row],[Deforme]]/FT_RF_264[[#This Row],[Muestra]]),"0")</f>
        <v>0</v>
      </c>
      <c r="AB230" s="27"/>
      <c r="AC230" s="38">
        <v>0</v>
      </c>
      <c r="AD230" s="39">
        <f>+IFERROR((FT_RF_264[[#This Row],[Valor Extra 1]]/FT_RF_264[[#This Row],[Muestra]]),"0")</f>
        <v>0</v>
      </c>
      <c r="AF230" s="38">
        <v>0</v>
      </c>
      <c r="AG230" s="39">
        <f>+IFERROR((FT_RF_264[[#This Row],[Valor Extra 2]]/FT_RF_264[[#This Row],[Muestra]]),"0")</f>
        <v>0</v>
      </c>
      <c r="AH230" s="40">
        <v>0</v>
      </c>
      <c r="AI230" s="39">
        <f>+IFERROR((FT_RF_264[[#This Row],[Hongos]]/FT_RF_264[[#This Row],[Muestra]]),"0")</f>
        <v>0</v>
      </c>
      <c r="AJ230" s="38">
        <v>0</v>
      </c>
      <c r="AK230" s="39">
        <f>+IFERROR((FT_RF_264[[#This Row],[Block]]/FT_RF_264[[#This Row],[Muestra]]),"0")</f>
        <v>0</v>
      </c>
      <c r="AL230" s="41">
        <v>0</v>
      </c>
      <c r="AM230" s="42">
        <v>0</v>
      </c>
      <c r="AN230" s="38">
        <v>0</v>
      </c>
      <c r="AO230" s="39">
        <f>+IFERROR((FT_RF_264[[#This Row],[Fuera de calibre &lt;12mm]]/FT_RF_264[[#This Row],[Muestra]]),"0")</f>
        <v>0</v>
      </c>
      <c r="AP230" s="38">
        <v>0</v>
      </c>
      <c r="AQ230" s="39">
        <f>+IFERROR((FT_RF_264[[#This Row],[Calibre &lt;25]]/FT_RF_264[[#This Row],[Muestra]]),"0")</f>
        <v>0</v>
      </c>
      <c r="AR230" s="38">
        <v>0</v>
      </c>
      <c r="AS230" s="39">
        <f>+IFERROR((FT_RF_264[[#This Row],[Calibre &gt;12]]/FT_RF_264[[#This Row],[Muestra]]),"0")</f>
        <v>0</v>
      </c>
      <c r="AT230" s="38">
        <v>0</v>
      </c>
      <c r="AU230" s="39">
        <f>+IFERROR((FT_RF_264[[#This Row],[Calibre &lt;14]]/FT_RF_264[[#This Row],[Muestra]]),"0")</f>
        <v>0</v>
      </c>
      <c r="AV230" s="38">
        <v>0</v>
      </c>
      <c r="AW230" s="39">
        <f>+IFERROR((FT_RF_264[[#This Row],[Calibre &gt;14]]/FT_RF_264[[#This Row],[Muestra]]),"0")</f>
        <v>0</v>
      </c>
      <c r="AX230" s="38">
        <v>0</v>
      </c>
      <c r="AY230" s="39">
        <f>+IFERROR((FT_RF_264[[#This Row],[Calibre &lt;10]]/FT_RF_264[[#This Row],[Muestra]]),"0")</f>
        <v>0</v>
      </c>
      <c r="AZ230" s="38">
        <v>0</v>
      </c>
      <c r="BA230" s="39">
        <f>+IFERROR((FT_RF_264[[#This Row],[Calibre &gt;13]]/FT_RF_264[[#This Row],[Muestra]]),"0")</f>
        <v>0</v>
      </c>
      <c r="BB230" s="41"/>
      <c r="BG230" s="42"/>
      <c r="BH230" s="43">
        <v>0</v>
      </c>
      <c r="BI230" s="29" t="s">
        <v>894</v>
      </c>
      <c r="BJ230" s="29" t="s">
        <v>894</v>
      </c>
      <c r="BK23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3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30" s="45">
        <f>1-FT_RF_264[[#This Row],[% Defectos]]</f>
        <v>1</v>
      </c>
      <c r="BO230" s="60"/>
      <c r="BP230" s="12">
        <f>SUM(FT_RF_264[[#This Row],[Hoja (Un.)]:[Larvas Caja]])</f>
        <v>0</v>
      </c>
      <c r="BQ230" s="12">
        <f>SUM(FT_RF_264[[#This Row],[Vidrios]:[Plástico]])</f>
        <v>0</v>
      </c>
      <c r="BR230" s="12" t="str">
        <f>IF(ISBLANK(FT_RF_264[[#This Row],[Descripción del producto]]),"",FT_RF_264[[#This Row],[Descripción del producto]])</f>
        <v/>
      </c>
      <c r="BS230" s="29" t="str">
        <f>IF(ISBLANK(FT_RF_264[[#This Row],[N° de Lote]]),"",FT_RF_264[[#This Row],[N° de Lote]])</f>
        <v/>
      </c>
      <c r="BT230" s="29" t="str">
        <f>IF(ISBLANK(FT_RF_264[[#This Row],[N° de Pallet]]),"",FT_RF_264[[#This Row],[N° de Pallet]])</f>
        <v/>
      </c>
    </row>
    <row r="231" spans="2:72">
      <c r="B231" s="29">
        <f>+_xlfn.ISOWEEKNUM(FT_RF_264[[#This Row],[Fecha]])</f>
        <v>52</v>
      </c>
      <c r="E231" s="31"/>
      <c r="F231" s="12" t="str">
        <f>IFERROR(""&amp;_xlfn.XLOOKUP(FT_RF_264[[#This Row],[Código]],BD_Cod[SKU],BD_Cod[Descripción]),"")</f>
        <v/>
      </c>
      <c r="G231" s="32" t="str">
        <f>IFERROR(""&amp;_xlfn.XLOOKUP(FT_RF_264[[#This Row],[Código]],BD_Cod[SKU],BD_Cod[Familia Calidad]),"")</f>
        <v/>
      </c>
      <c r="J231" s="33">
        <v>1000</v>
      </c>
      <c r="L231" s="30" t="s">
        <v>244</v>
      </c>
      <c r="O231" s="30" t="s">
        <v>894</v>
      </c>
      <c r="P231" s="29" t="s">
        <v>894</v>
      </c>
      <c r="Q231" s="37">
        <f>1-FT_RF_264[[#This Row],[% Defectos]]</f>
        <v>1</v>
      </c>
      <c r="R231" s="38">
        <v>0</v>
      </c>
      <c r="S231" s="39">
        <f>+IFERROR((FT_RF_264[[#This Row],[Inmadura]]/FT_RF_264[[#This Row],[Muestra]]),"0")</f>
        <v>0</v>
      </c>
      <c r="T231" s="38">
        <v>0</v>
      </c>
      <c r="U231" s="39">
        <f>+IFERROR((FT_RF_264[[#This Row],[Partidas]]/FT_RF_264[[#This Row],[Muestra]]),"0")</f>
        <v>0</v>
      </c>
      <c r="V231" s="38">
        <v>0</v>
      </c>
      <c r="W231" s="39">
        <f>+IFERROR((FT_RF_264[[#This Row],[Daño Insecto]]/FT_RF_264[[#This Row],[Muestra]]),"0")</f>
        <v>0</v>
      </c>
      <c r="X231" s="38">
        <v>0</v>
      </c>
      <c r="Y231" s="39">
        <f>+IFERROR((FT_RF_264[[#This Row],[Sobremadura]]/FT_RF_264[[#This Row],[Muestra]]),"0")</f>
        <v>0</v>
      </c>
      <c r="Z231" s="38">
        <v>0</v>
      </c>
      <c r="AA231" s="39">
        <f>+IFERROR((FT_RF_264[[#This Row],[Deforme]]/FT_RF_264[[#This Row],[Muestra]]),"0")</f>
        <v>0</v>
      </c>
      <c r="AB231" s="27"/>
      <c r="AC231" s="38">
        <v>0</v>
      </c>
      <c r="AD231" s="39">
        <f>+IFERROR((FT_RF_264[[#This Row],[Valor Extra 1]]/FT_RF_264[[#This Row],[Muestra]]),"0")</f>
        <v>0</v>
      </c>
      <c r="AF231" s="38">
        <v>0</v>
      </c>
      <c r="AG231" s="39">
        <f>+IFERROR((FT_RF_264[[#This Row],[Valor Extra 2]]/FT_RF_264[[#This Row],[Muestra]]),"0")</f>
        <v>0</v>
      </c>
      <c r="AH231" s="40">
        <v>0</v>
      </c>
      <c r="AI231" s="39">
        <f>+IFERROR((FT_RF_264[[#This Row],[Hongos]]/FT_RF_264[[#This Row],[Muestra]]),"0")</f>
        <v>0</v>
      </c>
      <c r="AJ231" s="38">
        <v>0</v>
      </c>
      <c r="AK231" s="39">
        <f>+IFERROR((FT_RF_264[[#This Row],[Block]]/FT_RF_264[[#This Row],[Muestra]]),"0")</f>
        <v>0</v>
      </c>
      <c r="AL231" s="41">
        <v>0</v>
      </c>
      <c r="AM231" s="42">
        <v>0</v>
      </c>
      <c r="AN231" s="38">
        <v>0</v>
      </c>
      <c r="AO231" s="39">
        <f>+IFERROR((FT_RF_264[[#This Row],[Fuera de calibre &lt;12mm]]/FT_RF_264[[#This Row],[Muestra]]),"0")</f>
        <v>0</v>
      </c>
      <c r="AP231" s="38">
        <v>0</v>
      </c>
      <c r="AQ231" s="39">
        <f>+IFERROR((FT_RF_264[[#This Row],[Calibre &lt;25]]/FT_RF_264[[#This Row],[Muestra]]),"0")</f>
        <v>0</v>
      </c>
      <c r="AR231" s="38">
        <v>0</v>
      </c>
      <c r="AS231" s="39">
        <f>+IFERROR((FT_RF_264[[#This Row],[Calibre &gt;12]]/FT_RF_264[[#This Row],[Muestra]]),"0")</f>
        <v>0</v>
      </c>
      <c r="AT231" s="38">
        <v>0</v>
      </c>
      <c r="AU231" s="39">
        <f>+IFERROR((FT_RF_264[[#This Row],[Calibre &lt;14]]/FT_RF_264[[#This Row],[Muestra]]),"0")</f>
        <v>0</v>
      </c>
      <c r="AV231" s="38">
        <v>0</v>
      </c>
      <c r="AW231" s="39">
        <f>+IFERROR((FT_RF_264[[#This Row],[Calibre &gt;14]]/FT_RF_264[[#This Row],[Muestra]]),"0")</f>
        <v>0</v>
      </c>
      <c r="AX231" s="38">
        <v>0</v>
      </c>
      <c r="AY231" s="39">
        <f>+IFERROR((FT_RF_264[[#This Row],[Calibre &lt;10]]/FT_RF_264[[#This Row],[Muestra]]),"0")</f>
        <v>0</v>
      </c>
      <c r="AZ231" s="38">
        <v>0</v>
      </c>
      <c r="BA231" s="39">
        <f>+IFERROR((FT_RF_264[[#This Row],[Calibre &gt;13]]/FT_RF_264[[#This Row],[Muestra]]),"0")</f>
        <v>0</v>
      </c>
      <c r="BB231" s="41"/>
      <c r="BG231" s="42"/>
      <c r="BH231" s="43">
        <v>0</v>
      </c>
      <c r="BI231" s="29" t="s">
        <v>894</v>
      </c>
      <c r="BJ231" s="29" t="s">
        <v>894</v>
      </c>
      <c r="BK23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3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31" s="45">
        <f>1-FT_RF_264[[#This Row],[% Defectos]]</f>
        <v>1</v>
      </c>
      <c r="BO231" s="60"/>
      <c r="BP231" s="12">
        <f>SUM(FT_RF_264[[#This Row],[Hoja (Un.)]:[Larvas Caja]])</f>
        <v>0</v>
      </c>
      <c r="BQ231" s="12">
        <f>SUM(FT_RF_264[[#This Row],[Vidrios]:[Plástico]])</f>
        <v>0</v>
      </c>
      <c r="BR231" s="12" t="str">
        <f>IF(ISBLANK(FT_RF_264[[#This Row],[Descripción del producto]]),"",FT_RF_264[[#This Row],[Descripción del producto]])</f>
        <v/>
      </c>
      <c r="BS231" s="29" t="str">
        <f>IF(ISBLANK(FT_RF_264[[#This Row],[N° de Lote]]),"",FT_RF_264[[#This Row],[N° de Lote]])</f>
        <v/>
      </c>
      <c r="BT231" s="29" t="str">
        <f>IF(ISBLANK(FT_RF_264[[#This Row],[N° de Pallet]]),"",FT_RF_264[[#This Row],[N° de Pallet]])</f>
        <v/>
      </c>
    </row>
    <row r="232" spans="2:72">
      <c r="B232" s="29">
        <f>+_xlfn.ISOWEEKNUM(FT_RF_264[[#This Row],[Fecha]])</f>
        <v>52</v>
      </c>
      <c r="E232" s="31"/>
      <c r="F232" s="12" t="str">
        <f>IFERROR(""&amp;_xlfn.XLOOKUP(FT_RF_264[[#This Row],[Código]],BD_Cod[SKU],BD_Cod[Descripción]),"")</f>
        <v/>
      </c>
      <c r="G232" s="32" t="str">
        <f>IFERROR(""&amp;_xlfn.XLOOKUP(FT_RF_264[[#This Row],[Código]],BD_Cod[SKU],BD_Cod[Familia Calidad]),"")</f>
        <v/>
      </c>
      <c r="J232" s="33">
        <v>1000</v>
      </c>
      <c r="L232" s="30" t="s">
        <v>244</v>
      </c>
      <c r="O232" s="30" t="s">
        <v>894</v>
      </c>
      <c r="P232" s="29" t="s">
        <v>894</v>
      </c>
      <c r="Q232" s="37">
        <f>1-FT_RF_264[[#This Row],[% Defectos]]</f>
        <v>1</v>
      </c>
      <c r="R232" s="38">
        <v>0</v>
      </c>
      <c r="S232" s="39">
        <f>+IFERROR((FT_RF_264[[#This Row],[Inmadura]]/FT_RF_264[[#This Row],[Muestra]]),"0")</f>
        <v>0</v>
      </c>
      <c r="T232" s="38">
        <v>0</v>
      </c>
      <c r="U232" s="39">
        <f>+IFERROR((FT_RF_264[[#This Row],[Partidas]]/FT_RF_264[[#This Row],[Muestra]]),"0")</f>
        <v>0</v>
      </c>
      <c r="V232" s="38">
        <v>0</v>
      </c>
      <c r="W232" s="39">
        <f>+IFERROR((FT_RF_264[[#This Row],[Daño Insecto]]/FT_RF_264[[#This Row],[Muestra]]),"0")</f>
        <v>0</v>
      </c>
      <c r="X232" s="38">
        <v>0</v>
      </c>
      <c r="Y232" s="39">
        <f>+IFERROR((FT_RF_264[[#This Row],[Sobremadura]]/FT_RF_264[[#This Row],[Muestra]]),"0")</f>
        <v>0</v>
      </c>
      <c r="Z232" s="38">
        <v>0</v>
      </c>
      <c r="AA232" s="39">
        <f>+IFERROR((FT_RF_264[[#This Row],[Deforme]]/FT_RF_264[[#This Row],[Muestra]]),"0")</f>
        <v>0</v>
      </c>
      <c r="AB232" s="27"/>
      <c r="AC232" s="38">
        <v>0</v>
      </c>
      <c r="AD232" s="39">
        <f>+IFERROR((FT_RF_264[[#This Row],[Valor Extra 1]]/FT_RF_264[[#This Row],[Muestra]]),"0")</f>
        <v>0</v>
      </c>
      <c r="AF232" s="38">
        <v>0</v>
      </c>
      <c r="AG232" s="39">
        <f>+IFERROR((FT_RF_264[[#This Row],[Valor Extra 2]]/FT_RF_264[[#This Row],[Muestra]]),"0")</f>
        <v>0</v>
      </c>
      <c r="AH232" s="40">
        <v>0</v>
      </c>
      <c r="AI232" s="39">
        <f>+IFERROR((FT_RF_264[[#This Row],[Hongos]]/FT_RF_264[[#This Row],[Muestra]]),"0")</f>
        <v>0</v>
      </c>
      <c r="AJ232" s="38">
        <v>0</v>
      </c>
      <c r="AK232" s="39">
        <f>+IFERROR((FT_RF_264[[#This Row],[Block]]/FT_RF_264[[#This Row],[Muestra]]),"0")</f>
        <v>0</v>
      </c>
      <c r="AL232" s="41">
        <v>0</v>
      </c>
      <c r="AM232" s="42">
        <v>0</v>
      </c>
      <c r="AN232" s="38">
        <v>0</v>
      </c>
      <c r="AO232" s="39">
        <f>+IFERROR((FT_RF_264[[#This Row],[Fuera de calibre &lt;12mm]]/FT_RF_264[[#This Row],[Muestra]]),"0")</f>
        <v>0</v>
      </c>
      <c r="AP232" s="38">
        <v>0</v>
      </c>
      <c r="AQ232" s="39">
        <f>+IFERROR((FT_RF_264[[#This Row],[Calibre &lt;25]]/FT_RF_264[[#This Row],[Muestra]]),"0")</f>
        <v>0</v>
      </c>
      <c r="AR232" s="38">
        <v>0</v>
      </c>
      <c r="AS232" s="39">
        <f>+IFERROR((FT_RF_264[[#This Row],[Calibre &gt;12]]/FT_RF_264[[#This Row],[Muestra]]),"0")</f>
        <v>0</v>
      </c>
      <c r="AT232" s="38">
        <v>0</v>
      </c>
      <c r="AU232" s="39">
        <f>+IFERROR((FT_RF_264[[#This Row],[Calibre &lt;14]]/FT_RF_264[[#This Row],[Muestra]]),"0")</f>
        <v>0</v>
      </c>
      <c r="AV232" s="38">
        <v>0</v>
      </c>
      <c r="AW232" s="39">
        <f>+IFERROR((FT_RF_264[[#This Row],[Calibre &gt;14]]/FT_RF_264[[#This Row],[Muestra]]),"0")</f>
        <v>0</v>
      </c>
      <c r="AX232" s="38">
        <v>0</v>
      </c>
      <c r="AY232" s="39">
        <f>+IFERROR((FT_RF_264[[#This Row],[Calibre &lt;10]]/FT_RF_264[[#This Row],[Muestra]]),"0")</f>
        <v>0</v>
      </c>
      <c r="AZ232" s="38">
        <v>0</v>
      </c>
      <c r="BA232" s="39">
        <f>+IFERROR((FT_RF_264[[#This Row],[Calibre &gt;13]]/FT_RF_264[[#This Row],[Muestra]]),"0")</f>
        <v>0</v>
      </c>
      <c r="BB232" s="41"/>
      <c r="BG232" s="42"/>
      <c r="BH232" s="43">
        <v>0</v>
      </c>
      <c r="BI232" s="29" t="s">
        <v>894</v>
      </c>
      <c r="BJ232" s="29" t="s">
        <v>894</v>
      </c>
      <c r="BK23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3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32" s="45">
        <f>1-FT_RF_264[[#This Row],[% Defectos]]</f>
        <v>1</v>
      </c>
      <c r="BO232" s="60"/>
      <c r="BP232" s="12">
        <f>SUM(FT_RF_264[[#This Row],[Hoja (Un.)]:[Larvas Caja]])</f>
        <v>0</v>
      </c>
      <c r="BQ232" s="12">
        <f>SUM(FT_RF_264[[#This Row],[Vidrios]:[Plástico]])</f>
        <v>0</v>
      </c>
      <c r="BR232" s="12" t="str">
        <f>IF(ISBLANK(FT_RF_264[[#This Row],[Descripción del producto]]),"",FT_RF_264[[#This Row],[Descripción del producto]])</f>
        <v/>
      </c>
      <c r="BS232" s="29" t="str">
        <f>IF(ISBLANK(FT_RF_264[[#This Row],[N° de Lote]]),"",FT_RF_264[[#This Row],[N° de Lote]])</f>
        <v/>
      </c>
      <c r="BT232" s="29" t="str">
        <f>IF(ISBLANK(FT_RF_264[[#This Row],[N° de Pallet]]),"",FT_RF_264[[#This Row],[N° de Pallet]])</f>
        <v/>
      </c>
    </row>
    <row r="233" spans="2:72">
      <c r="B233" s="29">
        <f>+_xlfn.ISOWEEKNUM(FT_RF_264[[#This Row],[Fecha]])</f>
        <v>52</v>
      </c>
      <c r="E233" s="31"/>
      <c r="F233" s="12" t="str">
        <f>IFERROR(""&amp;_xlfn.XLOOKUP(FT_RF_264[[#This Row],[Código]],BD_Cod[SKU],BD_Cod[Descripción]),"")</f>
        <v/>
      </c>
      <c r="G233" s="32" t="str">
        <f>IFERROR(""&amp;_xlfn.XLOOKUP(FT_RF_264[[#This Row],[Código]],BD_Cod[SKU],BD_Cod[Familia Calidad]),"")</f>
        <v/>
      </c>
      <c r="J233" s="33">
        <v>1000</v>
      </c>
      <c r="L233" s="30" t="s">
        <v>244</v>
      </c>
      <c r="O233" s="30" t="s">
        <v>894</v>
      </c>
      <c r="P233" s="29" t="s">
        <v>894</v>
      </c>
      <c r="Q233" s="37">
        <f>1-FT_RF_264[[#This Row],[% Defectos]]</f>
        <v>1</v>
      </c>
      <c r="R233" s="38">
        <v>0</v>
      </c>
      <c r="S233" s="39">
        <f>+IFERROR((FT_RF_264[[#This Row],[Inmadura]]/FT_RF_264[[#This Row],[Muestra]]),"0")</f>
        <v>0</v>
      </c>
      <c r="T233" s="38">
        <v>0</v>
      </c>
      <c r="U233" s="39">
        <f>+IFERROR((FT_RF_264[[#This Row],[Partidas]]/FT_RF_264[[#This Row],[Muestra]]),"0")</f>
        <v>0</v>
      </c>
      <c r="V233" s="38">
        <v>0</v>
      </c>
      <c r="W233" s="39">
        <f>+IFERROR((FT_RF_264[[#This Row],[Daño Insecto]]/FT_RF_264[[#This Row],[Muestra]]),"0")</f>
        <v>0</v>
      </c>
      <c r="X233" s="38">
        <v>0</v>
      </c>
      <c r="Y233" s="39">
        <f>+IFERROR((FT_RF_264[[#This Row],[Sobremadura]]/FT_RF_264[[#This Row],[Muestra]]),"0")</f>
        <v>0</v>
      </c>
      <c r="Z233" s="38">
        <v>0</v>
      </c>
      <c r="AA233" s="39">
        <f>+IFERROR((FT_RF_264[[#This Row],[Deforme]]/FT_RF_264[[#This Row],[Muestra]]),"0")</f>
        <v>0</v>
      </c>
      <c r="AB233" s="27"/>
      <c r="AC233" s="38">
        <v>0</v>
      </c>
      <c r="AD233" s="39">
        <f>+IFERROR((FT_RF_264[[#This Row],[Valor Extra 1]]/FT_RF_264[[#This Row],[Muestra]]),"0")</f>
        <v>0</v>
      </c>
      <c r="AF233" s="38">
        <v>0</v>
      </c>
      <c r="AG233" s="39">
        <f>+IFERROR((FT_RF_264[[#This Row],[Valor Extra 2]]/FT_RF_264[[#This Row],[Muestra]]),"0")</f>
        <v>0</v>
      </c>
      <c r="AH233" s="40">
        <v>0</v>
      </c>
      <c r="AI233" s="39">
        <f>+IFERROR((FT_RF_264[[#This Row],[Hongos]]/FT_RF_264[[#This Row],[Muestra]]),"0")</f>
        <v>0</v>
      </c>
      <c r="AJ233" s="38">
        <v>0</v>
      </c>
      <c r="AK233" s="39">
        <f>+IFERROR((FT_RF_264[[#This Row],[Block]]/FT_RF_264[[#This Row],[Muestra]]),"0")</f>
        <v>0</v>
      </c>
      <c r="AL233" s="41">
        <v>0</v>
      </c>
      <c r="AM233" s="42">
        <v>0</v>
      </c>
      <c r="AN233" s="38">
        <v>0</v>
      </c>
      <c r="AO233" s="39">
        <f>+IFERROR((FT_RF_264[[#This Row],[Fuera de calibre &lt;12mm]]/FT_RF_264[[#This Row],[Muestra]]),"0")</f>
        <v>0</v>
      </c>
      <c r="AP233" s="38">
        <v>0</v>
      </c>
      <c r="AQ233" s="39">
        <f>+IFERROR((FT_RF_264[[#This Row],[Calibre &lt;25]]/FT_RF_264[[#This Row],[Muestra]]),"0")</f>
        <v>0</v>
      </c>
      <c r="AR233" s="38">
        <v>0</v>
      </c>
      <c r="AS233" s="39">
        <f>+IFERROR((FT_RF_264[[#This Row],[Calibre &gt;12]]/FT_RF_264[[#This Row],[Muestra]]),"0")</f>
        <v>0</v>
      </c>
      <c r="AT233" s="38">
        <v>0</v>
      </c>
      <c r="AU233" s="39">
        <f>+IFERROR((FT_RF_264[[#This Row],[Calibre &lt;14]]/FT_RF_264[[#This Row],[Muestra]]),"0")</f>
        <v>0</v>
      </c>
      <c r="AV233" s="38">
        <v>0</v>
      </c>
      <c r="AW233" s="39">
        <f>+IFERROR((FT_RF_264[[#This Row],[Calibre &gt;14]]/FT_RF_264[[#This Row],[Muestra]]),"0")</f>
        <v>0</v>
      </c>
      <c r="AX233" s="38">
        <v>0</v>
      </c>
      <c r="AY233" s="39">
        <f>+IFERROR((FT_RF_264[[#This Row],[Calibre &lt;10]]/FT_RF_264[[#This Row],[Muestra]]),"0")</f>
        <v>0</v>
      </c>
      <c r="AZ233" s="38">
        <v>0</v>
      </c>
      <c r="BA233" s="39">
        <f>+IFERROR((FT_RF_264[[#This Row],[Calibre &gt;13]]/FT_RF_264[[#This Row],[Muestra]]),"0")</f>
        <v>0</v>
      </c>
      <c r="BB233" s="41"/>
      <c r="BG233" s="42"/>
      <c r="BH233" s="43">
        <v>0</v>
      </c>
      <c r="BI233" s="29" t="s">
        <v>894</v>
      </c>
      <c r="BJ233" s="29" t="s">
        <v>894</v>
      </c>
      <c r="BK23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3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33" s="45">
        <f>1-FT_RF_264[[#This Row],[% Defectos]]</f>
        <v>1</v>
      </c>
      <c r="BO233" s="60"/>
      <c r="BP233" s="12">
        <f>SUM(FT_RF_264[[#This Row],[Hoja (Un.)]:[Larvas Caja]])</f>
        <v>0</v>
      </c>
      <c r="BQ233" s="12">
        <f>SUM(FT_RF_264[[#This Row],[Vidrios]:[Plástico]])</f>
        <v>0</v>
      </c>
      <c r="BR233" s="12" t="str">
        <f>IF(ISBLANK(FT_RF_264[[#This Row],[Descripción del producto]]),"",FT_RF_264[[#This Row],[Descripción del producto]])</f>
        <v/>
      </c>
      <c r="BS233" s="29" t="str">
        <f>IF(ISBLANK(FT_RF_264[[#This Row],[N° de Lote]]),"",FT_RF_264[[#This Row],[N° de Lote]])</f>
        <v/>
      </c>
      <c r="BT233" s="29" t="str">
        <f>IF(ISBLANK(FT_RF_264[[#This Row],[N° de Pallet]]),"",FT_RF_264[[#This Row],[N° de Pallet]])</f>
        <v/>
      </c>
    </row>
    <row r="234" spans="2:72">
      <c r="B234" s="29">
        <f>+_xlfn.ISOWEEKNUM(FT_RF_264[[#This Row],[Fecha]])</f>
        <v>52</v>
      </c>
      <c r="E234" s="31"/>
      <c r="F234" s="12" t="str">
        <f>IFERROR(""&amp;_xlfn.XLOOKUP(FT_RF_264[[#This Row],[Código]],BD_Cod[SKU],BD_Cod[Descripción]),"")</f>
        <v/>
      </c>
      <c r="G234" s="32" t="str">
        <f>IFERROR(""&amp;_xlfn.XLOOKUP(FT_RF_264[[#This Row],[Código]],BD_Cod[SKU],BD_Cod[Familia Calidad]),"")</f>
        <v/>
      </c>
      <c r="J234" s="33">
        <v>1000</v>
      </c>
      <c r="L234" s="30" t="s">
        <v>244</v>
      </c>
      <c r="O234" s="30" t="s">
        <v>894</v>
      </c>
      <c r="P234" s="29" t="s">
        <v>894</v>
      </c>
      <c r="Q234" s="37">
        <f>1-FT_RF_264[[#This Row],[% Defectos]]</f>
        <v>1</v>
      </c>
      <c r="R234" s="38">
        <v>0</v>
      </c>
      <c r="S234" s="39">
        <f>+IFERROR((FT_RF_264[[#This Row],[Inmadura]]/FT_RF_264[[#This Row],[Muestra]]),"0")</f>
        <v>0</v>
      </c>
      <c r="T234" s="38">
        <v>0</v>
      </c>
      <c r="U234" s="39">
        <f>+IFERROR((FT_RF_264[[#This Row],[Partidas]]/FT_RF_264[[#This Row],[Muestra]]),"0")</f>
        <v>0</v>
      </c>
      <c r="V234" s="38">
        <v>0</v>
      </c>
      <c r="W234" s="39">
        <f>+IFERROR((FT_RF_264[[#This Row],[Daño Insecto]]/FT_RF_264[[#This Row],[Muestra]]),"0")</f>
        <v>0</v>
      </c>
      <c r="X234" s="38">
        <v>0</v>
      </c>
      <c r="Y234" s="39">
        <f>+IFERROR((FT_RF_264[[#This Row],[Sobremadura]]/FT_RF_264[[#This Row],[Muestra]]),"0")</f>
        <v>0</v>
      </c>
      <c r="Z234" s="38">
        <v>0</v>
      </c>
      <c r="AA234" s="39">
        <f>+IFERROR((FT_RF_264[[#This Row],[Deforme]]/FT_RF_264[[#This Row],[Muestra]]),"0")</f>
        <v>0</v>
      </c>
      <c r="AB234" s="27"/>
      <c r="AC234" s="38">
        <v>0</v>
      </c>
      <c r="AD234" s="39">
        <f>+IFERROR((FT_RF_264[[#This Row],[Valor Extra 1]]/FT_RF_264[[#This Row],[Muestra]]),"0")</f>
        <v>0</v>
      </c>
      <c r="AF234" s="38">
        <v>0</v>
      </c>
      <c r="AG234" s="39">
        <f>+IFERROR((FT_RF_264[[#This Row],[Valor Extra 2]]/FT_RF_264[[#This Row],[Muestra]]),"0")</f>
        <v>0</v>
      </c>
      <c r="AH234" s="40">
        <v>0</v>
      </c>
      <c r="AI234" s="39">
        <f>+IFERROR((FT_RF_264[[#This Row],[Hongos]]/FT_RF_264[[#This Row],[Muestra]]),"0")</f>
        <v>0</v>
      </c>
      <c r="AJ234" s="38">
        <v>0</v>
      </c>
      <c r="AK234" s="39">
        <f>+IFERROR((FT_RF_264[[#This Row],[Block]]/FT_RF_264[[#This Row],[Muestra]]),"0")</f>
        <v>0</v>
      </c>
      <c r="AL234" s="41">
        <v>0</v>
      </c>
      <c r="AM234" s="42">
        <v>0</v>
      </c>
      <c r="AN234" s="38">
        <v>0</v>
      </c>
      <c r="AO234" s="39">
        <f>+IFERROR((FT_RF_264[[#This Row],[Fuera de calibre &lt;12mm]]/FT_RF_264[[#This Row],[Muestra]]),"0")</f>
        <v>0</v>
      </c>
      <c r="AP234" s="38">
        <v>0</v>
      </c>
      <c r="AQ234" s="39">
        <f>+IFERROR((FT_RF_264[[#This Row],[Calibre &lt;25]]/FT_RF_264[[#This Row],[Muestra]]),"0")</f>
        <v>0</v>
      </c>
      <c r="AR234" s="38">
        <v>0</v>
      </c>
      <c r="AS234" s="39">
        <f>+IFERROR((FT_RF_264[[#This Row],[Calibre &gt;12]]/FT_RF_264[[#This Row],[Muestra]]),"0")</f>
        <v>0</v>
      </c>
      <c r="AT234" s="38">
        <v>0</v>
      </c>
      <c r="AU234" s="39">
        <f>+IFERROR((FT_RF_264[[#This Row],[Calibre &lt;14]]/FT_RF_264[[#This Row],[Muestra]]),"0")</f>
        <v>0</v>
      </c>
      <c r="AV234" s="38">
        <v>0</v>
      </c>
      <c r="AW234" s="39">
        <f>+IFERROR((FT_RF_264[[#This Row],[Calibre &gt;14]]/FT_RF_264[[#This Row],[Muestra]]),"0")</f>
        <v>0</v>
      </c>
      <c r="AX234" s="38">
        <v>0</v>
      </c>
      <c r="AY234" s="39">
        <f>+IFERROR((FT_RF_264[[#This Row],[Calibre &lt;10]]/FT_RF_264[[#This Row],[Muestra]]),"0")</f>
        <v>0</v>
      </c>
      <c r="AZ234" s="38">
        <v>0</v>
      </c>
      <c r="BA234" s="39">
        <f>+IFERROR((FT_RF_264[[#This Row],[Calibre &gt;13]]/FT_RF_264[[#This Row],[Muestra]]),"0")</f>
        <v>0</v>
      </c>
      <c r="BB234" s="41"/>
      <c r="BG234" s="42"/>
      <c r="BH234" s="43">
        <v>0</v>
      </c>
      <c r="BI234" s="29" t="s">
        <v>894</v>
      </c>
      <c r="BJ234" s="29" t="s">
        <v>894</v>
      </c>
      <c r="BK23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3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34" s="45">
        <f>1-FT_RF_264[[#This Row],[% Defectos]]</f>
        <v>1</v>
      </c>
      <c r="BO234" s="60"/>
      <c r="BP234" s="12">
        <f>SUM(FT_RF_264[[#This Row],[Hoja (Un.)]:[Larvas Caja]])</f>
        <v>0</v>
      </c>
      <c r="BQ234" s="12">
        <f>SUM(FT_RF_264[[#This Row],[Vidrios]:[Plástico]])</f>
        <v>0</v>
      </c>
      <c r="BR234" s="12" t="str">
        <f>IF(ISBLANK(FT_RF_264[[#This Row],[Descripción del producto]]),"",FT_RF_264[[#This Row],[Descripción del producto]])</f>
        <v/>
      </c>
      <c r="BS234" s="29" t="str">
        <f>IF(ISBLANK(FT_RF_264[[#This Row],[N° de Lote]]),"",FT_RF_264[[#This Row],[N° de Lote]])</f>
        <v/>
      </c>
      <c r="BT234" s="29" t="str">
        <f>IF(ISBLANK(FT_RF_264[[#This Row],[N° de Pallet]]),"",FT_RF_264[[#This Row],[N° de Pallet]])</f>
        <v/>
      </c>
    </row>
    <row r="235" spans="2:72">
      <c r="B235" s="29">
        <f>+_xlfn.ISOWEEKNUM(FT_RF_264[[#This Row],[Fecha]])</f>
        <v>52</v>
      </c>
      <c r="E235" s="31"/>
      <c r="F235" s="12" t="str">
        <f>IFERROR(""&amp;_xlfn.XLOOKUP(FT_RF_264[[#This Row],[Código]],BD_Cod[SKU],BD_Cod[Descripción]),"")</f>
        <v/>
      </c>
      <c r="G235" s="32" t="str">
        <f>IFERROR(""&amp;_xlfn.XLOOKUP(FT_RF_264[[#This Row],[Código]],BD_Cod[SKU],BD_Cod[Familia Calidad]),"")</f>
        <v/>
      </c>
      <c r="J235" s="33">
        <v>1000</v>
      </c>
      <c r="L235" s="30" t="s">
        <v>244</v>
      </c>
      <c r="O235" s="30" t="s">
        <v>894</v>
      </c>
      <c r="P235" s="29" t="s">
        <v>894</v>
      </c>
      <c r="Q235" s="37">
        <f>1-FT_RF_264[[#This Row],[% Defectos]]</f>
        <v>1</v>
      </c>
      <c r="R235" s="38">
        <v>0</v>
      </c>
      <c r="S235" s="39">
        <f>+IFERROR((FT_RF_264[[#This Row],[Inmadura]]/FT_RF_264[[#This Row],[Muestra]]),"0")</f>
        <v>0</v>
      </c>
      <c r="T235" s="38">
        <v>0</v>
      </c>
      <c r="U235" s="39">
        <f>+IFERROR((FT_RF_264[[#This Row],[Partidas]]/FT_RF_264[[#This Row],[Muestra]]),"0")</f>
        <v>0</v>
      </c>
      <c r="V235" s="38">
        <v>0</v>
      </c>
      <c r="W235" s="39">
        <f>+IFERROR((FT_RF_264[[#This Row],[Daño Insecto]]/FT_RF_264[[#This Row],[Muestra]]),"0")</f>
        <v>0</v>
      </c>
      <c r="X235" s="38">
        <v>0</v>
      </c>
      <c r="Y235" s="39">
        <f>+IFERROR((FT_RF_264[[#This Row],[Sobremadura]]/FT_RF_264[[#This Row],[Muestra]]),"0")</f>
        <v>0</v>
      </c>
      <c r="Z235" s="38">
        <v>0</v>
      </c>
      <c r="AA235" s="39">
        <f>+IFERROR((FT_RF_264[[#This Row],[Deforme]]/FT_RF_264[[#This Row],[Muestra]]),"0")</f>
        <v>0</v>
      </c>
      <c r="AB235" s="27"/>
      <c r="AC235" s="38">
        <v>0</v>
      </c>
      <c r="AD235" s="39">
        <f>+IFERROR((FT_RF_264[[#This Row],[Valor Extra 1]]/FT_RF_264[[#This Row],[Muestra]]),"0")</f>
        <v>0</v>
      </c>
      <c r="AF235" s="38">
        <v>0</v>
      </c>
      <c r="AG235" s="39">
        <f>+IFERROR((FT_RF_264[[#This Row],[Valor Extra 2]]/FT_RF_264[[#This Row],[Muestra]]),"0")</f>
        <v>0</v>
      </c>
      <c r="AH235" s="40">
        <v>0</v>
      </c>
      <c r="AI235" s="39">
        <f>+IFERROR((FT_RF_264[[#This Row],[Hongos]]/FT_RF_264[[#This Row],[Muestra]]),"0")</f>
        <v>0</v>
      </c>
      <c r="AJ235" s="38">
        <v>0</v>
      </c>
      <c r="AK235" s="39">
        <f>+IFERROR((FT_RF_264[[#This Row],[Block]]/FT_RF_264[[#This Row],[Muestra]]),"0")</f>
        <v>0</v>
      </c>
      <c r="AL235" s="41">
        <v>0</v>
      </c>
      <c r="AM235" s="42">
        <v>0</v>
      </c>
      <c r="AN235" s="38">
        <v>0</v>
      </c>
      <c r="AO235" s="39">
        <f>+IFERROR((FT_RF_264[[#This Row],[Fuera de calibre &lt;12mm]]/FT_RF_264[[#This Row],[Muestra]]),"0")</f>
        <v>0</v>
      </c>
      <c r="AP235" s="38">
        <v>0</v>
      </c>
      <c r="AQ235" s="39">
        <f>+IFERROR((FT_RF_264[[#This Row],[Calibre &lt;25]]/FT_RF_264[[#This Row],[Muestra]]),"0")</f>
        <v>0</v>
      </c>
      <c r="AR235" s="38">
        <v>0</v>
      </c>
      <c r="AS235" s="39">
        <f>+IFERROR((FT_RF_264[[#This Row],[Calibre &gt;12]]/FT_RF_264[[#This Row],[Muestra]]),"0")</f>
        <v>0</v>
      </c>
      <c r="AT235" s="38">
        <v>0</v>
      </c>
      <c r="AU235" s="39">
        <f>+IFERROR((FT_RF_264[[#This Row],[Calibre &lt;14]]/FT_RF_264[[#This Row],[Muestra]]),"0")</f>
        <v>0</v>
      </c>
      <c r="AV235" s="38">
        <v>0</v>
      </c>
      <c r="AW235" s="39">
        <f>+IFERROR((FT_RF_264[[#This Row],[Calibre &gt;14]]/FT_RF_264[[#This Row],[Muestra]]),"0")</f>
        <v>0</v>
      </c>
      <c r="AX235" s="38">
        <v>0</v>
      </c>
      <c r="AY235" s="39">
        <f>+IFERROR((FT_RF_264[[#This Row],[Calibre &lt;10]]/FT_RF_264[[#This Row],[Muestra]]),"0")</f>
        <v>0</v>
      </c>
      <c r="AZ235" s="38">
        <v>0</v>
      </c>
      <c r="BA235" s="39">
        <f>+IFERROR((FT_RF_264[[#This Row],[Calibre &gt;13]]/FT_RF_264[[#This Row],[Muestra]]),"0")</f>
        <v>0</v>
      </c>
      <c r="BB235" s="41"/>
      <c r="BG235" s="42"/>
      <c r="BH235" s="43">
        <v>0</v>
      </c>
      <c r="BI235" s="29" t="s">
        <v>894</v>
      </c>
      <c r="BJ235" s="29" t="s">
        <v>894</v>
      </c>
      <c r="BK23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3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35" s="45">
        <f>1-FT_RF_264[[#This Row],[% Defectos]]</f>
        <v>1</v>
      </c>
      <c r="BO235" s="60"/>
      <c r="BP235" s="12">
        <f>SUM(FT_RF_264[[#This Row],[Hoja (Un.)]:[Larvas Caja]])</f>
        <v>0</v>
      </c>
      <c r="BQ235" s="12">
        <f>SUM(FT_RF_264[[#This Row],[Vidrios]:[Plástico]])</f>
        <v>0</v>
      </c>
      <c r="BR235" s="12" t="str">
        <f>IF(ISBLANK(FT_RF_264[[#This Row],[Descripción del producto]]),"",FT_RF_264[[#This Row],[Descripción del producto]])</f>
        <v/>
      </c>
      <c r="BS235" s="29" t="str">
        <f>IF(ISBLANK(FT_RF_264[[#This Row],[N° de Lote]]),"",FT_RF_264[[#This Row],[N° de Lote]])</f>
        <v/>
      </c>
      <c r="BT235" s="29" t="str">
        <f>IF(ISBLANK(FT_RF_264[[#This Row],[N° de Pallet]]),"",FT_RF_264[[#This Row],[N° de Pallet]])</f>
        <v/>
      </c>
    </row>
    <row r="236" spans="2:72">
      <c r="B236" s="29">
        <f>+_xlfn.ISOWEEKNUM(FT_RF_264[[#This Row],[Fecha]])</f>
        <v>52</v>
      </c>
      <c r="E236" s="31"/>
      <c r="F236" s="12" t="str">
        <f>IFERROR(""&amp;_xlfn.XLOOKUP(FT_RF_264[[#This Row],[Código]],BD_Cod[SKU],BD_Cod[Descripción]),"")</f>
        <v/>
      </c>
      <c r="G236" s="32" t="str">
        <f>IFERROR(""&amp;_xlfn.XLOOKUP(FT_RF_264[[#This Row],[Código]],BD_Cod[SKU],BD_Cod[Familia Calidad]),"")</f>
        <v/>
      </c>
      <c r="J236" s="33">
        <v>1000</v>
      </c>
      <c r="L236" s="30" t="s">
        <v>244</v>
      </c>
      <c r="O236" s="30" t="s">
        <v>894</v>
      </c>
      <c r="P236" s="29" t="s">
        <v>894</v>
      </c>
      <c r="Q236" s="37">
        <f>1-FT_RF_264[[#This Row],[% Defectos]]</f>
        <v>1</v>
      </c>
      <c r="R236" s="38">
        <v>0</v>
      </c>
      <c r="S236" s="39">
        <f>+IFERROR((FT_RF_264[[#This Row],[Inmadura]]/FT_RF_264[[#This Row],[Muestra]]),"0")</f>
        <v>0</v>
      </c>
      <c r="T236" s="38">
        <v>0</v>
      </c>
      <c r="U236" s="39">
        <f>+IFERROR((FT_RF_264[[#This Row],[Partidas]]/FT_RF_264[[#This Row],[Muestra]]),"0")</f>
        <v>0</v>
      </c>
      <c r="V236" s="38">
        <v>0</v>
      </c>
      <c r="W236" s="39">
        <f>+IFERROR((FT_RF_264[[#This Row],[Daño Insecto]]/FT_RF_264[[#This Row],[Muestra]]),"0")</f>
        <v>0</v>
      </c>
      <c r="X236" s="38">
        <v>0</v>
      </c>
      <c r="Y236" s="39">
        <f>+IFERROR((FT_RF_264[[#This Row],[Sobremadura]]/FT_RF_264[[#This Row],[Muestra]]),"0")</f>
        <v>0</v>
      </c>
      <c r="Z236" s="38">
        <v>0</v>
      </c>
      <c r="AA236" s="39">
        <f>+IFERROR((FT_RF_264[[#This Row],[Deforme]]/FT_RF_264[[#This Row],[Muestra]]),"0")</f>
        <v>0</v>
      </c>
      <c r="AB236" s="27"/>
      <c r="AC236" s="38">
        <v>0</v>
      </c>
      <c r="AD236" s="39">
        <f>+IFERROR((FT_RF_264[[#This Row],[Valor Extra 1]]/FT_RF_264[[#This Row],[Muestra]]),"0")</f>
        <v>0</v>
      </c>
      <c r="AF236" s="38">
        <v>0</v>
      </c>
      <c r="AG236" s="39">
        <f>+IFERROR((FT_RF_264[[#This Row],[Valor Extra 2]]/FT_RF_264[[#This Row],[Muestra]]),"0")</f>
        <v>0</v>
      </c>
      <c r="AH236" s="40">
        <v>0</v>
      </c>
      <c r="AI236" s="39">
        <f>+IFERROR((FT_RF_264[[#This Row],[Hongos]]/FT_RF_264[[#This Row],[Muestra]]),"0")</f>
        <v>0</v>
      </c>
      <c r="AJ236" s="38">
        <v>0</v>
      </c>
      <c r="AK236" s="39">
        <f>+IFERROR((FT_RF_264[[#This Row],[Block]]/FT_RF_264[[#This Row],[Muestra]]),"0")</f>
        <v>0</v>
      </c>
      <c r="AL236" s="41">
        <v>0</v>
      </c>
      <c r="AM236" s="42">
        <v>0</v>
      </c>
      <c r="AN236" s="38">
        <v>0</v>
      </c>
      <c r="AO236" s="39">
        <f>+IFERROR((FT_RF_264[[#This Row],[Fuera de calibre &lt;12mm]]/FT_RF_264[[#This Row],[Muestra]]),"0")</f>
        <v>0</v>
      </c>
      <c r="AP236" s="38">
        <v>0</v>
      </c>
      <c r="AQ236" s="39">
        <f>+IFERROR((FT_RF_264[[#This Row],[Calibre &lt;25]]/FT_RF_264[[#This Row],[Muestra]]),"0")</f>
        <v>0</v>
      </c>
      <c r="AR236" s="38">
        <v>0</v>
      </c>
      <c r="AS236" s="39">
        <f>+IFERROR((FT_RF_264[[#This Row],[Calibre &gt;12]]/FT_RF_264[[#This Row],[Muestra]]),"0")</f>
        <v>0</v>
      </c>
      <c r="AT236" s="38">
        <v>0</v>
      </c>
      <c r="AU236" s="39">
        <f>+IFERROR((FT_RF_264[[#This Row],[Calibre &lt;14]]/FT_RF_264[[#This Row],[Muestra]]),"0")</f>
        <v>0</v>
      </c>
      <c r="AV236" s="38">
        <v>0</v>
      </c>
      <c r="AW236" s="39">
        <f>+IFERROR((FT_RF_264[[#This Row],[Calibre &gt;14]]/FT_RF_264[[#This Row],[Muestra]]),"0")</f>
        <v>0</v>
      </c>
      <c r="AX236" s="38">
        <v>0</v>
      </c>
      <c r="AY236" s="39">
        <f>+IFERROR((FT_RF_264[[#This Row],[Calibre &lt;10]]/FT_RF_264[[#This Row],[Muestra]]),"0")</f>
        <v>0</v>
      </c>
      <c r="AZ236" s="38">
        <v>0</v>
      </c>
      <c r="BA236" s="39">
        <f>+IFERROR((FT_RF_264[[#This Row],[Calibre &gt;13]]/FT_RF_264[[#This Row],[Muestra]]),"0")</f>
        <v>0</v>
      </c>
      <c r="BB236" s="41"/>
      <c r="BG236" s="42"/>
      <c r="BH236" s="43">
        <v>0</v>
      </c>
      <c r="BI236" s="29" t="s">
        <v>894</v>
      </c>
      <c r="BJ236" s="29" t="s">
        <v>894</v>
      </c>
      <c r="BK23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3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36" s="45">
        <f>1-FT_RF_264[[#This Row],[% Defectos]]</f>
        <v>1</v>
      </c>
      <c r="BO236" s="60"/>
      <c r="BP236" s="12">
        <f>SUM(FT_RF_264[[#This Row],[Hoja (Un.)]:[Larvas Caja]])</f>
        <v>0</v>
      </c>
      <c r="BQ236" s="12">
        <f>SUM(FT_RF_264[[#This Row],[Vidrios]:[Plástico]])</f>
        <v>0</v>
      </c>
      <c r="BR236" s="12" t="str">
        <f>IF(ISBLANK(FT_RF_264[[#This Row],[Descripción del producto]]),"",FT_RF_264[[#This Row],[Descripción del producto]])</f>
        <v/>
      </c>
      <c r="BS236" s="29" t="str">
        <f>IF(ISBLANK(FT_RF_264[[#This Row],[N° de Lote]]),"",FT_RF_264[[#This Row],[N° de Lote]])</f>
        <v/>
      </c>
      <c r="BT236" s="29" t="str">
        <f>IF(ISBLANK(FT_RF_264[[#This Row],[N° de Pallet]]),"",FT_RF_264[[#This Row],[N° de Pallet]])</f>
        <v/>
      </c>
    </row>
    <row r="237" spans="2:72">
      <c r="B237" s="29">
        <f>+_xlfn.ISOWEEKNUM(FT_RF_264[[#This Row],[Fecha]])</f>
        <v>52</v>
      </c>
      <c r="E237" s="31"/>
      <c r="F237" s="12" t="str">
        <f>IFERROR(""&amp;_xlfn.XLOOKUP(FT_RF_264[[#This Row],[Código]],BD_Cod[SKU],BD_Cod[Descripción]),"")</f>
        <v/>
      </c>
      <c r="G237" s="32" t="str">
        <f>IFERROR(""&amp;_xlfn.XLOOKUP(FT_RF_264[[#This Row],[Código]],BD_Cod[SKU],BD_Cod[Familia Calidad]),"")</f>
        <v/>
      </c>
      <c r="J237" s="33">
        <v>1000</v>
      </c>
      <c r="L237" s="30" t="s">
        <v>244</v>
      </c>
      <c r="O237" s="30" t="s">
        <v>894</v>
      </c>
      <c r="P237" s="29" t="s">
        <v>894</v>
      </c>
      <c r="Q237" s="37">
        <f>1-FT_RF_264[[#This Row],[% Defectos]]</f>
        <v>1</v>
      </c>
      <c r="R237" s="38">
        <v>0</v>
      </c>
      <c r="S237" s="39">
        <f>+IFERROR((FT_RF_264[[#This Row],[Inmadura]]/FT_RF_264[[#This Row],[Muestra]]),"0")</f>
        <v>0</v>
      </c>
      <c r="T237" s="38">
        <v>0</v>
      </c>
      <c r="U237" s="39">
        <f>+IFERROR((FT_RF_264[[#This Row],[Partidas]]/FT_RF_264[[#This Row],[Muestra]]),"0")</f>
        <v>0</v>
      </c>
      <c r="V237" s="38">
        <v>0</v>
      </c>
      <c r="W237" s="39">
        <f>+IFERROR((FT_RF_264[[#This Row],[Daño Insecto]]/FT_RF_264[[#This Row],[Muestra]]),"0")</f>
        <v>0</v>
      </c>
      <c r="X237" s="38">
        <v>0</v>
      </c>
      <c r="Y237" s="39">
        <f>+IFERROR((FT_RF_264[[#This Row],[Sobremadura]]/FT_RF_264[[#This Row],[Muestra]]),"0")</f>
        <v>0</v>
      </c>
      <c r="Z237" s="38">
        <v>0</v>
      </c>
      <c r="AA237" s="39">
        <f>+IFERROR((FT_RF_264[[#This Row],[Deforme]]/FT_RF_264[[#This Row],[Muestra]]),"0")</f>
        <v>0</v>
      </c>
      <c r="AB237" s="27"/>
      <c r="AC237" s="38">
        <v>0</v>
      </c>
      <c r="AD237" s="39">
        <f>+IFERROR((FT_RF_264[[#This Row],[Valor Extra 1]]/FT_RF_264[[#This Row],[Muestra]]),"0")</f>
        <v>0</v>
      </c>
      <c r="AF237" s="38">
        <v>0</v>
      </c>
      <c r="AG237" s="39">
        <f>+IFERROR((FT_RF_264[[#This Row],[Valor Extra 2]]/FT_RF_264[[#This Row],[Muestra]]),"0")</f>
        <v>0</v>
      </c>
      <c r="AH237" s="40">
        <v>0</v>
      </c>
      <c r="AI237" s="39">
        <f>+IFERROR((FT_RF_264[[#This Row],[Hongos]]/FT_RF_264[[#This Row],[Muestra]]),"0")</f>
        <v>0</v>
      </c>
      <c r="AJ237" s="38">
        <v>0</v>
      </c>
      <c r="AK237" s="39">
        <f>+IFERROR((FT_RF_264[[#This Row],[Block]]/FT_RF_264[[#This Row],[Muestra]]),"0")</f>
        <v>0</v>
      </c>
      <c r="AL237" s="41">
        <v>0</v>
      </c>
      <c r="AM237" s="42">
        <v>0</v>
      </c>
      <c r="AN237" s="38">
        <v>0</v>
      </c>
      <c r="AO237" s="39">
        <f>+IFERROR((FT_RF_264[[#This Row],[Fuera de calibre &lt;12mm]]/FT_RF_264[[#This Row],[Muestra]]),"0")</f>
        <v>0</v>
      </c>
      <c r="AP237" s="38">
        <v>0</v>
      </c>
      <c r="AQ237" s="39">
        <f>+IFERROR((FT_RF_264[[#This Row],[Calibre &lt;25]]/FT_RF_264[[#This Row],[Muestra]]),"0")</f>
        <v>0</v>
      </c>
      <c r="AR237" s="38">
        <v>0</v>
      </c>
      <c r="AS237" s="39">
        <f>+IFERROR((FT_RF_264[[#This Row],[Calibre &gt;12]]/FT_RF_264[[#This Row],[Muestra]]),"0")</f>
        <v>0</v>
      </c>
      <c r="AT237" s="38">
        <v>0</v>
      </c>
      <c r="AU237" s="39">
        <f>+IFERROR((FT_RF_264[[#This Row],[Calibre &lt;14]]/FT_RF_264[[#This Row],[Muestra]]),"0")</f>
        <v>0</v>
      </c>
      <c r="AV237" s="38">
        <v>0</v>
      </c>
      <c r="AW237" s="39">
        <f>+IFERROR((FT_RF_264[[#This Row],[Calibre &gt;14]]/FT_RF_264[[#This Row],[Muestra]]),"0")</f>
        <v>0</v>
      </c>
      <c r="AX237" s="38">
        <v>0</v>
      </c>
      <c r="AY237" s="39">
        <f>+IFERROR((FT_RF_264[[#This Row],[Calibre &lt;10]]/FT_RF_264[[#This Row],[Muestra]]),"0")</f>
        <v>0</v>
      </c>
      <c r="AZ237" s="38">
        <v>0</v>
      </c>
      <c r="BA237" s="39">
        <f>+IFERROR((FT_RF_264[[#This Row],[Calibre &gt;13]]/FT_RF_264[[#This Row],[Muestra]]),"0")</f>
        <v>0</v>
      </c>
      <c r="BB237" s="41"/>
      <c r="BG237" s="42"/>
      <c r="BH237" s="43">
        <v>0</v>
      </c>
      <c r="BI237" s="29" t="s">
        <v>894</v>
      </c>
      <c r="BJ237" s="29" t="s">
        <v>894</v>
      </c>
      <c r="BK23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3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37" s="45">
        <f>1-FT_RF_264[[#This Row],[% Defectos]]</f>
        <v>1</v>
      </c>
      <c r="BO237" s="60"/>
      <c r="BP237" s="12">
        <f>SUM(FT_RF_264[[#This Row],[Hoja (Un.)]:[Larvas Caja]])</f>
        <v>0</v>
      </c>
      <c r="BQ237" s="12">
        <f>SUM(FT_RF_264[[#This Row],[Vidrios]:[Plástico]])</f>
        <v>0</v>
      </c>
      <c r="BR237" s="12" t="str">
        <f>IF(ISBLANK(FT_RF_264[[#This Row],[Descripción del producto]]),"",FT_RF_264[[#This Row],[Descripción del producto]])</f>
        <v/>
      </c>
      <c r="BS237" s="29" t="str">
        <f>IF(ISBLANK(FT_RF_264[[#This Row],[N° de Lote]]),"",FT_RF_264[[#This Row],[N° de Lote]])</f>
        <v/>
      </c>
      <c r="BT237" s="29" t="str">
        <f>IF(ISBLANK(FT_RF_264[[#This Row],[N° de Pallet]]),"",FT_RF_264[[#This Row],[N° de Pallet]])</f>
        <v/>
      </c>
    </row>
    <row r="238" spans="2:72">
      <c r="B238" s="29">
        <f>+_xlfn.ISOWEEKNUM(FT_RF_264[[#This Row],[Fecha]])</f>
        <v>52</v>
      </c>
      <c r="E238" s="31"/>
      <c r="F238" s="12" t="str">
        <f>IFERROR(""&amp;_xlfn.XLOOKUP(FT_RF_264[[#This Row],[Código]],BD_Cod[SKU],BD_Cod[Descripción]),"")</f>
        <v/>
      </c>
      <c r="G238" s="32" t="str">
        <f>IFERROR(""&amp;_xlfn.XLOOKUP(FT_RF_264[[#This Row],[Código]],BD_Cod[SKU],BD_Cod[Familia Calidad]),"")</f>
        <v/>
      </c>
      <c r="J238" s="33">
        <v>1000</v>
      </c>
      <c r="L238" s="30" t="s">
        <v>244</v>
      </c>
      <c r="O238" s="30" t="s">
        <v>894</v>
      </c>
      <c r="P238" s="29" t="s">
        <v>894</v>
      </c>
      <c r="Q238" s="37">
        <f>1-FT_RF_264[[#This Row],[% Defectos]]</f>
        <v>1</v>
      </c>
      <c r="R238" s="38">
        <v>0</v>
      </c>
      <c r="S238" s="39">
        <f>+IFERROR((FT_RF_264[[#This Row],[Inmadura]]/FT_RF_264[[#This Row],[Muestra]]),"0")</f>
        <v>0</v>
      </c>
      <c r="T238" s="38">
        <v>0</v>
      </c>
      <c r="U238" s="39">
        <f>+IFERROR((FT_RF_264[[#This Row],[Partidas]]/FT_RF_264[[#This Row],[Muestra]]),"0")</f>
        <v>0</v>
      </c>
      <c r="V238" s="38">
        <v>0</v>
      </c>
      <c r="W238" s="39">
        <f>+IFERROR((FT_RF_264[[#This Row],[Daño Insecto]]/FT_RF_264[[#This Row],[Muestra]]),"0")</f>
        <v>0</v>
      </c>
      <c r="X238" s="38">
        <v>0</v>
      </c>
      <c r="Y238" s="39">
        <f>+IFERROR((FT_RF_264[[#This Row],[Sobremadura]]/FT_RF_264[[#This Row],[Muestra]]),"0")</f>
        <v>0</v>
      </c>
      <c r="Z238" s="38">
        <v>0</v>
      </c>
      <c r="AA238" s="39">
        <f>+IFERROR((FT_RF_264[[#This Row],[Deforme]]/FT_RF_264[[#This Row],[Muestra]]),"0")</f>
        <v>0</v>
      </c>
      <c r="AB238" s="27"/>
      <c r="AC238" s="38">
        <v>0</v>
      </c>
      <c r="AD238" s="39">
        <f>+IFERROR((FT_RF_264[[#This Row],[Valor Extra 1]]/FT_RF_264[[#This Row],[Muestra]]),"0")</f>
        <v>0</v>
      </c>
      <c r="AF238" s="38">
        <v>0</v>
      </c>
      <c r="AG238" s="39">
        <f>+IFERROR((FT_RF_264[[#This Row],[Valor Extra 2]]/FT_RF_264[[#This Row],[Muestra]]),"0")</f>
        <v>0</v>
      </c>
      <c r="AH238" s="40">
        <v>0</v>
      </c>
      <c r="AI238" s="39">
        <f>+IFERROR((FT_RF_264[[#This Row],[Hongos]]/FT_RF_264[[#This Row],[Muestra]]),"0")</f>
        <v>0</v>
      </c>
      <c r="AJ238" s="38">
        <v>0</v>
      </c>
      <c r="AK238" s="39">
        <f>+IFERROR((FT_RF_264[[#This Row],[Block]]/FT_RF_264[[#This Row],[Muestra]]),"0")</f>
        <v>0</v>
      </c>
      <c r="AL238" s="41">
        <v>0</v>
      </c>
      <c r="AM238" s="42">
        <v>0</v>
      </c>
      <c r="AN238" s="38">
        <v>0</v>
      </c>
      <c r="AO238" s="39">
        <f>+IFERROR((FT_RF_264[[#This Row],[Fuera de calibre &lt;12mm]]/FT_RF_264[[#This Row],[Muestra]]),"0")</f>
        <v>0</v>
      </c>
      <c r="AP238" s="38">
        <v>0</v>
      </c>
      <c r="AQ238" s="39">
        <f>+IFERROR((FT_RF_264[[#This Row],[Calibre &lt;25]]/FT_RF_264[[#This Row],[Muestra]]),"0")</f>
        <v>0</v>
      </c>
      <c r="AR238" s="38">
        <v>0</v>
      </c>
      <c r="AS238" s="39">
        <f>+IFERROR((FT_RF_264[[#This Row],[Calibre &gt;12]]/FT_RF_264[[#This Row],[Muestra]]),"0")</f>
        <v>0</v>
      </c>
      <c r="AT238" s="38">
        <v>0</v>
      </c>
      <c r="AU238" s="39">
        <f>+IFERROR((FT_RF_264[[#This Row],[Calibre &lt;14]]/FT_RF_264[[#This Row],[Muestra]]),"0")</f>
        <v>0</v>
      </c>
      <c r="AV238" s="38">
        <v>0</v>
      </c>
      <c r="AW238" s="39">
        <f>+IFERROR((FT_RF_264[[#This Row],[Calibre &gt;14]]/FT_RF_264[[#This Row],[Muestra]]),"0")</f>
        <v>0</v>
      </c>
      <c r="AX238" s="38">
        <v>0</v>
      </c>
      <c r="AY238" s="39">
        <f>+IFERROR((FT_RF_264[[#This Row],[Calibre &lt;10]]/FT_RF_264[[#This Row],[Muestra]]),"0")</f>
        <v>0</v>
      </c>
      <c r="AZ238" s="38">
        <v>0</v>
      </c>
      <c r="BA238" s="39">
        <f>+IFERROR((FT_RF_264[[#This Row],[Calibre &gt;13]]/FT_RF_264[[#This Row],[Muestra]]),"0")</f>
        <v>0</v>
      </c>
      <c r="BB238" s="41"/>
      <c r="BG238" s="42"/>
      <c r="BH238" s="43">
        <v>0</v>
      </c>
      <c r="BI238" s="29" t="s">
        <v>894</v>
      </c>
      <c r="BJ238" s="29" t="s">
        <v>894</v>
      </c>
      <c r="BK23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3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38" s="45">
        <f>1-FT_RF_264[[#This Row],[% Defectos]]</f>
        <v>1</v>
      </c>
      <c r="BO238" s="60"/>
      <c r="BP238" s="12">
        <f>SUM(FT_RF_264[[#This Row],[Hoja (Un.)]:[Larvas Caja]])</f>
        <v>0</v>
      </c>
      <c r="BQ238" s="12">
        <f>SUM(FT_RF_264[[#This Row],[Vidrios]:[Plástico]])</f>
        <v>0</v>
      </c>
      <c r="BR238" s="12" t="str">
        <f>IF(ISBLANK(FT_RF_264[[#This Row],[Descripción del producto]]),"",FT_RF_264[[#This Row],[Descripción del producto]])</f>
        <v/>
      </c>
      <c r="BS238" s="29" t="str">
        <f>IF(ISBLANK(FT_RF_264[[#This Row],[N° de Lote]]),"",FT_RF_264[[#This Row],[N° de Lote]])</f>
        <v/>
      </c>
      <c r="BT238" s="29" t="str">
        <f>IF(ISBLANK(FT_RF_264[[#This Row],[N° de Pallet]]),"",FT_RF_264[[#This Row],[N° de Pallet]])</f>
        <v/>
      </c>
    </row>
    <row r="239" spans="2:72">
      <c r="B239" s="29">
        <f>+_xlfn.ISOWEEKNUM(FT_RF_264[[#This Row],[Fecha]])</f>
        <v>52</v>
      </c>
      <c r="E239" s="31"/>
      <c r="F239" s="12" t="str">
        <f>IFERROR(""&amp;_xlfn.XLOOKUP(FT_RF_264[[#This Row],[Código]],BD_Cod[SKU],BD_Cod[Descripción]),"")</f>
        <v/>
      </c>
      <c r="G239" s="32" t="str">
        <f>IFERROR(""&amp;_xlfn.XLOOKUP(FT_RF_264[[#This Row],[Código]],BD_Cod[SKU],BD_Cod[Familia Calidad]),"")</f>
        <v/>
      </c>
      <c r="J239" s="33">
        <v>1000</v>
      </c>
      <c r="L239" s="30" t="s">
        <v>244</v>
      </c>
      <c r="O239" s="30" t="s">
        <v>894</v>
      </c>
      <c r="P239" s="29" t="s">
        <v>894</v>
      </c>
      <c r="Q239" s="37">
        <f>1-FT_RF_264[[#This Row],[% Defectos]]</f>
        <v>1</v>
      </c>
      <c r="R239" s="38">
        <v>0</v>
      </c>
      <c r="S239" s="39">
        <f>+IFERROR((FT_RF_264[[#This Row],[Inmadura]]/FT_RF_264[[#This Row],[Muestra]]),"0")</f>
        <v>0</v>
      </c>
      <c r="T239" s="38">
        <v>0</v>
      </c>
      <c r="U239" s="39">
        <f>+IFERROR((FT_RF_264[[#This Row],[Partidas]]/FT_RF_264[[#This Row],[Muestra]]),"0")</f>
        <v>0</v>
      </c>
      <c r="V239" s="38">
        <v>0</v>
      </c>
      <c r="W239" s="39">
        <f>+IFERROR((FT_RF_264[[#This Row],[Daño Insecto]]/FT_RF_264[[#This Row],[Muestra]]),"0")</f>
        <v>0</v>
      </c>
      <c r="X239" s="38">
        <v>0</v>
      </c>
      <c r="Y239" s="39">
        <f>+IFERROR((FT_RF_264[[#This Row],[Sobremadura]]/FT_RF_264[[#This Row],[Muestra]]),"0")</f>
        <v>0</v>
      </c>
      <c r="Z239" s="38">
        <v>0</v>
      </c>
      <c r="AA239" s="39">
        <f>+IFERROR((FT_RF_264[[#This Row],[Deforme]]/FT_RF_264[[#This Row],[Muestra]]),"0")</f>
        <v>0</v>
      </c>
      <c r="AB239" s="27"/>
      <c r="AC239" s="38">
        <v>0</v>
      </c>
      <c r="AD239" s="39">
        <f>+IFERROR((FT_RF_264[[#This Row],[Valor Extra 1]]/FT_RF_264[[#This Row],[Muestra]]),"0")</f>
        <v>0</v>
      </c>
      <c r="AF239" s="38">
        <v>0</v>
      </c>
      <c r="AG239" s="39">
        <f>+IFERROR((FT_RF_264[[#This Row],[Valor Extra 2]]/FT_RF_264[[#This Row],[Muestra]]),"0")</f>
        <v>0</v>
      </c>
      <c r="AH239" s="40">
        <v>0</v>
      </c>
      <c r="AI239" s="39">
        <f>+IFERROR((FT_RF_264[[#This Row],[Hongos]]/FT_RF_264[[#This Row],[Muestra]]),"0")</f>
        <v>0</v>
      </c>
      <c r="AJ239" s="38">
        <v>0</v>
      </c>
      <c r="AK239" s="39">
        <f>+IFERROR((FT_RF_264[[#This Row],[Block]]/FT_RF_264[[#This Row],[Muestra]]),"0")</f>
        <v>0</v>
      </c>
      <c r="AL239" s="41">
        <v>0</v>
      </c>
      <c r="AM239" s="42">
        <v>0</v>
      </c>
      <c r="AN239" s="38">
        <v>0</v>
      </c>
      <c r="AO239" s="39">
        <f>+IFERROR((FT_RF_264[[#This Row],[Fuera de calibre &lt;12mm]]/FT_RF_264[[#This Row],[Muestra]]),"0")</f>
        <v>0</v>
      </c>
      <c r="AP239" s="38">
        <v>0</v>
      </c>
      <c r="AQ239" s="39">
        <f>+IFERROR((FT_RF_264[[#This Row],[Calibre &lt;25]]/FT_RF_264[[#This Row],[Muestra]]),"0")</f>
        <v>0</v>
      </c>
      <c r="AR239" s="38">
        <v>0</v>
      </c>
      <c r="AS239" s="39">
        <f>+IFERROR((FT_RF_264[[#This Row],[Calibre &gt;12]]/FT_RF_264[[#This Row],[Muestra]]),"0")</f>
        <v>0</v>
      </c>
      <c r="AT239" s="38">
        <v>0</v>
      </c>
      <c r="AU239" s="39">
        <f>+IFERROR((FT_RF_264[[#This Row],[Calibre &lt;14]]/FT_RF_264[[#This Row],[Muestra]]),"0")</f>
        <v>0</v>
      </c>
      <c r="AV239" s="38">
        <v>0</v>
      </c>
      <c r="AW239" s="39">
        <f>+IFERROR((FT_RF_264[[#This Row],[Calibre &gt;14]]/FT_RF_264[[#This Row],[Muestra]]),"0")</f>
        <v>0</v>
      </c>
      <c r="AX239" s="38">
        <v>0</v>
      </c>
      <c r="AY239" s="39">
        <f>+IFERROR((FT_RF_264[[#This Row],[Calibre &lt;10]]/FT_RF_264[[#This Row],[Muestra]]),"0")</f>
        <v>0</v>
      </c>
      <c r="AZ239" s="38">
        <v>0</v>
      </c>
      <c r="BA239" s="39">
        <f>+IFERROR((FT_RF_264[[#This Row],[Calibre &gt;13]]/FT_RF_264[[#This Row],[Muestra]]),"0")</f>
        <v>0</v>
      </c>
      <c r="BB239" s="41"/>
      <c r="BG239" s="42"/>
      <c r="BH239" s="43">
        <v>0</v>
      </c>
      <c r="BI239" s="29" t="s">
        <v>894</v>
      </c>
      <c r="BJ239" s="29" t="s">
        <v>894</v>
      </c>
      <c r="BK23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3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39" s="45">
        <f>1-FT_RF_264[[#This Row],[% Defectos]]</f>
        <v>1</v>
      </c>
      <c r="BO239" s="60"/>
      <c r="BP239" s="12">
        <f>SUM(FT_RF_264[[#This Row],[Hoja (Un.)]:[Larvas Caja]])</f>
        <v>0</v>
      </c>
      <c r="BQ239" s="12">
        <f>SUM(FT_RF_264[[#This Row],[Vidrios]:[Plástico]])</f>
        <v>0</v>
      </c>
      <c r="BR239" s="12" t="str">
        <f>IF(ISBLANK(FT_RF_264[[#This Row],[Descripción del producto]]),"",FT_RF_264[[#This Row],[Descripción del producto]])</f>
        <v/>
      </c>
      <c r="BS239" s="29" t="str">
        <f>IF(ISBLANK(FT_RF_264[[#This Row],[N° de Lote]]),"",FT_RF_264[[#This Row],[N° de Lote]])</f>
        <v/>
      </c>
      <c r="BT239" s="29" t="str">
        <f>IF(ISBLANK(FT_RF_264[[#This Row],[N° de Pallet]]),"",FT_RF_264[[#This Row],[N° de Pallet]])</f>
        <v/>
      </c>
    </row>
    <row r="240" spans="2:72">
      <c r="B240" s="29">
        <f>+_xlfn.ISOWEEKNUM(FT_RF_264[[#This Row],[Fecha]])</f>
        <v>52</v>
      </c>
      <c r="E240" s="31"/>
      <c r="F240" s="12" t="str">
        <f>IFERROR(""&amp;_xlfn.XLOOKUP(FT_RF_264[[#This Row],[Código]],BD_Cod[SKU],BD_Cod[Descripción]),"")</f>
        <v/>
      </c>
      <c r="G240" s="32" t="str">
        <f>IFERROR(""&amp;_xlfn.XLOOKUP(FT_RF_264[[#This Row],[Código]],BD_Cod[SKU],BD_Cod[Familia Calidad]),"")</f>
        <v/>
      </c>
      <c r="J240" s="33">
        <v>1000</v>
      </c>
      <c r="L240" s="30" t="s">
        <v>244</v>
      </c>
      <c r="O240" s="30" t="s">
        <v>894</v>
      </c>
      <c r="P240" s="29" t="s">
        <v>894</v>
      </c>
      <c r="Q240" s="37">
        <f>1-FT_RF_264[[#This Row],[% Defectos]]</f>
        <v>1</v>
      </c>
      <c r="R240" s="38">
        <v>0</v>
      </c>
      <c r="S240" s="39">
        <f>+IFERROR((FT_RF_264[[#This Row],[Inmadura]]/FT_RF_264[[#This Row],[Muestra]]),"0")</f>
        <v>0</v>
      </c>
      <c r="T240" s="38">
        <v>0</v>
      </c>
      <c r="U240" s="39">
        <f>+IFERROR((FT_RF_264[[#This Row],[Partidas]]/FT_RF_264[[#This Row],[Muestra]]),"0")</f>
        <v>0</v>
      </c>
      <c r="V240" s="38">
        <v>0</v>
      </c>
      <c r="W240" s="39">
        <f>+IFERROR((FT_RF_264[[#This Row],[Daño Insecto]]/FT_RF_264[[#This Row],[Muestra]]),"0")</f>
        <v>0</v>
      </c>
      <c r="X240" s="38">
        <v>0</v>
      </c>
      <c r="Y240" s="39">
        <f>+IFERROR((FT_RF_264[[#This Row],[Sobremadura]]/FT_RF_264[[#This Row],[Muestra]]),"0")</f>
        <v>0</v>
      </c>
      <c r="Z240" s="38">
        <v>0</v>
      </c>
      <c r="AA240" s="39">
        <f>+IFERROR((FT_RF_264[[#This Row],[Deforme]]/FT_RF_264[[#This Row],[Muestra]]),"0")</f>
        <v>0</v>
      </c>
      <c r="AB240" s="27"/>
      <c r="AC240" s="38">
        <v>0</v>
      </c>
      <c r="AD240" s="39">
        <f>+IFERROR((FT_RF_264[[#This Row],[Valor Extra 1]]/FT_RF_264[[#This Row],[Muestra]]),"0")</f>
        <v>0</v>
      </c>
      <c r="AF240" s="38">
        <v>0</v>
      </c>
      <c r="AG240" s="39">
        <f>+IFERROR((FT_RF_264[[#This Row],[Valor Extra 2]]/FT_RF_264[[#This Row],[Muestra]]),"0")</f>
        <v>0</v>
      </c>
      <c r="AH240" s="40">
        <v>0</v>
      </c>
      <c r="AI240" s="39">
        <f>+IFERROR((FT_RF_264[[#This Row],[Hongos]]/FT_RF_264[[#This Row],[Muestra]]),"0")</f>
        <v>0</v>
      </c>
      <c r="AJ240" s="38">
        <v>0</v>
      </c>
      <c r="AK240" s="39">
        <f>+IFERROR((FT_RF_264[[#This Row],[Block]]/FT_RF_264[[#This Row],[Muestra]]),"0")</f>
        <v>0</v>
      </c>
      <c r="AL240" s="41">
        <v>0</v>
      </c>
      <c r="AM240" s="42">
        <v>0</v>
      </c>
      <c r="AN240" s="38">
        <v>0</v>
      </c>
      <c r="AO240" s="39">
        <f>+IFERROR((FT_RF_264[[#This Row],[Fuera de calibre &lt;12mm]]/FT_RF_264[[#This Row],[Muestra]]),"0")</f>
        <v>0</v>
      </c>
      <c r="AP240" s="38">
        <v>0</v>
      </c>
      <c r="AQ240" s="39">
        <f>+IFERROR((FT_RF_264[[#This Row],[Calibre &lt;25]]/FT_RF_264[[#This Row],[Muestra]]),"0")</f>
        <v>0</v>
      </c>
      <c r="AR240" s="38">
        <v>0</v>
      </c>
      <c r="AS240" s="39">
        <f>+IFERROR((FT_RF_264[[#This Row],[Calibre &gt;12]]/FT_RF_264[[#This Row],[Muestra]]),"0")</f>
        <v>0</v>
      </c>
      <c r="AT240" s="38">
        <v>0</v>
      </c>
      <c r="AU240" s="39">
        <f>+IFERROR((FT_RF_264[[#This Row],[Calibre &lt;14]]/FT_RF_264[[#This Row],[Muestra]]),"0")</f>
        <v>0</v>
      </c>
      <c r="AV240" s="38">
        <v>0</v>
      </c>
      <c r="AW240" s="39">
        <f>+IFERROR((FT_RF_264[[#This Row],[Calibre &gt;14]]/FT_RF_264[[#This Row],[Muestra]]),"0")</f>
        <v>0</v>
      </c>
      <c r="AX240" s="38">
        <v>0</v>
      </c>
      <c r="AY240" s="39">
        <f>+IFERROR((FT_RF_264[[#This Row],[Calibre &lt;10]]/FT_RF_264[[#This Row],[Muestra]]),"0")</f>
        <v>0</v>
      </c>
      <c r="AZ240" s="38">
        <v>0</v>
      </c>
      <c r="BA240" s="39">
        <f>+IFERROR((FT_RF_264[[#This Row],[Calibre &gt;13]]/FT_RF_264[[#This Row],[Muestra]]),"0")</f>
        <v>0</v>
      </c>
      <c r="BB240" s="41"/>
      <c r="BG240" s="42"/>
      <c r="BH240" s="43">
        <v>0</v>
      </c>
      <c r="BI240" s="29" t="s">
        <v>894</v>
      </c>
      <c r="BJ240" s="29" t="s">
        <v>894</v>
      </c>
      <c r="BK24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4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40" s="45">
        <f>1-FT_RF_264[[#This Row],[% Defectos]]</f>
        <v>1</v>
      </c>
      <c r="BO240" s="60"/>
      <c r="BP240" s="12">
        <f>SUM(FT_RF_264[[#This Row],[Hoja (Un.)]:[Larvas Caja]])</f>
        <v>0</v>
      </c>
      <c r="BQ240" s="12">
        <f>SUM(FT_RF_264[[#This Row],[Vidrios]:[Plástico]])</f>
        <v>0</v>
      </c>
      <c r="BR240" s="12" t="str">
        <f>IF(ISBLANK(FT_RF_264[[#This Row],[Descripción del producto]]),"",FT_RF_264[[#This Row],[Descripción del producto]])</f>
        <v/>
      </c>
      <c r="BS240" s="29" t="str">
        <f>IF(ISBLANK(FT_RF_264[[#This Row],[N° de Lote]]),"",FT_RF_264[[#This Row],[N° de Lote]])</f>
        <v/>
      </c>
      <c r="BT240" s="29" t="str">
        <f>IF(ISBLANK(FT_RF_264[[#This Row],[N° de Pallet]]),"",FT_RF_264[[#This Row],[N° de Pallet]])</f>
        <v/>
      </c>
    </row>
    <row r="241" spans="2:72">
      <c r="B241" s="29">
        <f>+_xlfn.ISOWEEKNUM(FT_RF_264[[#This Row],[Fecha]])</f>
        <v>52</v>
      </c>
      <c r="E241" s="31"/>
      <c r="F241" s="12" t="str">
        <f>IFERROR(""&amp;_xlfn.XLOOKUP(FT_RF_264[[#This Row],[Código]],BD_Cod[SKU],BD_Cod[Descripción]),"")</f>
        <v/>
      </c>
      <c r="G241" s="32" t="str">
        <f>IFERROR(""&amp;_xlfn.XLOOKUP(FT_RF_264[[#This Row],[Código]],BD_Cod[SKU],BD_Cod[Familia Calidad]),"")</f>
        <v/>
      </c>
      <c r="J241" s="33">
        <v>1000</v>
      </c>
      <c r="L241" s="30" t="s">
        <v>244</v>
      </c>
      <c r="O241" s="30" t="s">
        <v>894</v>
      </c>
      <c r="P241" s="29" t="s">
        <v>894</v>
      </c>
      <c r="Q241" s="37">
        <f>1-FT_RF_264[[#This Row],[% Defectos]]</f>
        <v>1</v>
      </c>
      <c r="R241" s="38">
        <v>0</v>
      </c>
      <c r="S241" s="39">
        <f>+IFERROR((FT_RF_264[[#This Row],[Inmadura]]/FT_RF_264[[#This Row],[Muestra]]),"0")</f>
        <v>0</v>
      </c>
      <c r="T241" s="38">
        <v>0</v>
      </c>
      <c r="U241" s="39">
        <f>+IFERROR((FT_RF_264[[#This Row],[Partidas]]/FT_RF_264[[#This Row],[Muestra]]),"0")</f>
        <v>0</v>
      </c>
      <c r="V241" s="38">
        <v>0</v>
      </c>
      <c r="W241" s="39">
        <f>+IFERROR((FT_RF_264[[#This Row],[Daño Insecto]]/FT_RF_264[[#This Row],[Muestra]]),"0")</f>
        <v>0</v>
      </c>
      <c r="X241" s="38">
        <v>0</v>
      </c>
      <c r="Y241" s="39">
        <f>+IFERROR((FT_RF_264[[#This Row],[Sobremadura]]/FT_RF_264[[#This Row],[Muestra]]),"0")</f>
        <v>0</v>
      </c>
      <c r="Z241" s="38">
        <v>0</v>
      </c>
      <c r="AA241" s="39">
        <f>+IFERROR((FT_RF_264[[#This Row],[Deforme]]/FT_RF_264[[#This Row],[Muestra]]),"0")</f>
        <v>0</v>
      </c>
      <c r="AB241" s="27"/>
      <c r="AC241" s="38">
        <v>0</v>
      </c>
      <c r="AD241" s="39">
        <f>+IFERROR((FT_RF_264[[#This Row],[Valor Extra 1]]/FT_RF_264[[#This Row],[Muestra]]),"0")</f>
        <v>0</v>
      </c>
      <c r="AF241" s="38">
        <v>0</v>
      </c>
      <c r="AG241" s="39">
        <f>+IFERROR((FT_RF_264[[#This Row],[Valor Extra 2]]/FT_RF_264[[#This Row],[Muestra]]),"0")</f>
        <v>0</v>
      </c>
      <c r="AH241" s="40">
        <v>0</v>
      </c>
      <c r="AI241" s="39">
        <f>+IFERROR((FT_RF_264[[#This Row],[Hongos]]/FT_RF_264[[#This Row],[Muestra]]),"0")</f>
        <v>0</v>
      </c>
      <c r="AJ241" s="38">
        <v>0</v>
      </c>
      <c r="AK241" s="39">
        <f>+IFERROR((FT_RF_264[[#This Row],[Block]]/FT_RF_264[[#This Row],[Muestra]]),"0")</f>
        <v>0</v>
      </c>
      <c r="AL241" s="41">
        <v>0</v>
      </c>
      <c r="AM241" s="42">
        <v>0</v>
      </c>
      <c r="AN241" s="38">
        <v>0</v>
      </c>
      <c r="AO241" s="39">
        <f>+IFERROR((FT_RF_264[[#This Row],[Fuera de calibre &lt;12mm]]/FT_RF_264[[#This Row],[Muestra]]),"0")</f>
        <v>0</v>
      </c>
      <c r="AP241" s="38">
        <v>0</v>
      </c>
      <c r="AQ241" s="39">
        <f>+IFERROR((FT_RF_264[[#This Row],[Calibre &lt;25]]/FT_RF_264[[#This Row],[Muestra]]),"0")</f>
        <v>0</v>
      </c>
      <c r="AR241" s="38">
        <v>0</v>
      </c>
      <c r="AS241" s="39">
        <f>+IFERROR((FT_RF_264[[#This Row],[Calibre &gt;12]]/FT_RF_264[[#This Row],[Muestra]]),"0")</f>
        <v>0</v>
      </c>
      <c r="AT241" s="38">
        <v>0</v>
      </c>
      <c r="AU241" s="39">
        <f>+IFERROR((FT_RF_264[[#This Row],[Calibre &lt;14]]/FT_RF_264[[#This Row],[Muestra]]),"0")</f>
        <v>0</v>
      </c>
      <c r="AV241" s="38">
        <v>0</v>
      </c>
      <c r="AW241" s="39">
        <f>+IFERROR((FT_RF_264[[#This Row],[Calibre &gt;14]]/FT_RF_264[[#This Row],[Muestra]]),"0")</f>
        <v>0</v>
      </c>
      <c r="AX241" s="38">
        <v>0</v>
      </c>
      <c r="AY241" s="39">
        <f>+IFERROR((FT_RF_264[[#This Row],[Calibre &lt;10]]/FT_RF_264[[#This Row],[Muestra]]),"0")</f>
        <v>0</v>
      </c>
      <c r="AZ241" s="38">
        <v>0</v>
      </c>
      <c r="BA241" s="39">
        <f>+IFERROR((FT_RF_264[[#This Row],[Calibre &gt;13]]/FT_RF_264[[#This Row],[Muestra]]),"0")</f>
        <v>0</v>
      </c>
      <c r="BB241" s="41"/>
      <c r="BG241" s="42"/>
      <c r="BH241" s="43">
        <v>0</v>
      </c>
      <c r="BI241" s="29" t="s">
        <v>894</v>
      </c>
      <c r="BJ241" s="29" t="s">
        <v>894</v>
      </c>
      <c r="BK24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4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41" s="45">
        <f>1-FT_RF_264[[#This Row],[% Defectos]]</f>
        <v>1</v>
      </c>
      <c r="BO241" s="60"/>
      <c r="BP241" s="12">
        <f>SUM(FT_RF_264[[#This Row],[Hoja (Un.)]:[Larvas Caja]])</f>
        <v>0</v>
      </c>
      <c r="BQ241" s="12">
        <f>SUM(FT_RF_264[[#This Row],[Vidrios]:[Plástico]])</f>
        <v>0</v>
      </c>
      <c r="BR241" s="12" t="str">
        <f>IF(ISBLANK(FT_RF_264[[#This Row],[Descripción del producto]]),"",FT_RF_264[[#This Row],[Descripción del producto]])</f>
        <v/>
      </c>
      <c r="BS241" s="29" t="str">
        <f>IF(ISBLANK(FT_RF_264[[#This Row],[N° de Lote]]),"",FT_RF_264[[#This Row],[N° de Lote]])</f>
        <v/>
      </c>
      <c r="BT241" s="29" t="str">
        <f>IF(ISBLANK(FT_RF_264[[#This Row],[N° de Pallet]]),"",FT_RF_264[[#This Row],[N° de Pallet]])</f>
        <v/>
      </c>
    </row>
    <row r="242" spans="2:72">
      <c r="B242" s="29">
        <f>+_xlfn.ISOWEEKNUM(FT_RF_264[[#This Row],[Fecha]])</f>
        <v>52</v>
      </c>
      <c r="E242" s="31"/>
      <c r="F242" s="12" t="str">
        <f>IFERROR(""&amp;_xlfn.XLOOKUP(FT_RF_264[[#This Row],[Código]],BD_Cod[SKU],BD_Cod[Descripción]),"")</f>
        <v/>
      </c>
      <c r="G242" s="32" t="str">
        <f>IFERROR(""&amp;_xlfn.XLOOKUP(FT_RF_264[[#This Row],[Código]],BD_Cod[SKU],BD_Cod[Familia Calidad]),"")</f>
        <v/>
      </c>
      <c r="J242" s="33">
        <v>1000</v>
      </c>
      <c r="L242" s="30" t="s">
        <v>244</v>
      </c>
      <c r="O242" s="30" t="s">
        <v>894</v>
      </c>
      <c r="P242" s="29" t="s">
        <v>894</v>
      </c>
      <c r="Q242" s="37">
        <f>1-FT_RF_264[[#This Row],[% Defectos]]</f>
        <v>1</v>
      </c>
      <c r="R242" s="38">
        <v>0</v>
      </c>
      <c r="S242" s="39">
        <f>+IFERROR((FT_RF_264[[#This Row],[Inmadura]]/FT_RF_264[[#This Row],[Muestra]]),"0")</f>
        <v>0</v>
      </c>
      <c r="T242" s="38">
        <v>0</v>
      </c>
      <c r="U242" s="39">
        <f>+IFERROR((FT_RF_264[[#This Row],[Partidas]]/FT_RF_264[[#This Row],[Muestra]]),"0")</f>
        <v>0</v>
      </c>
      <c r="V242" s="38">
        <v>0</v>
      </c>
      <c r="W242" s="39">
        <f>+IFERROR((FT_RF_264[[#This Row],[Daño Insecto]]/FT_RF_264[[#This Row],[Muestra]]),"0")</f>
        <v>0</v>
      </c>
      <c r="X242" s="38">
        <v>0</v>
      </c>
      <c r="Y242" s="39">
        <f>+IFERROR((FT_RF_264[[#This Row],[Sobremadura]]/FT_RF_264[[#This Row],[Muestra]]),"0")</f>
        <v>0</v>
      </c>
      <c r="Z242" s="38">
        <v>0</v>
      </c>
      <c r="AA242" s="39">
        <f>+IFERROR((FT_RF_264[[#This Row],[Deforme]]/FT_RF_264[[#This Row],[Muestra]]),"0")</f>
        <v>0</v>
      </c>
      <c r="AB242" s="27"/>
      <c r="AC242" s="38">
        <v>0</v>
      </c>
      <c r="AD242" s="39">
        <f>+IFERROR((FT_RF_264[[#This Row],[Valor Extra 1]]/FT_RF_264[[#This Row],[Muestra]]),"0")</f>
        <v>0</v>
      </c>
      <c r="AF242" s="38">
        <v>0</v>
      </c>
      <c r="AG242" s="39">
        <f>+IFERROR((FT_RF_264[[#This Row],[Valor Extra 2]]/FT_RF_264[[#This Row],[Muestra]]),"0")</f>
        <v>0</v>
      </c>
      <c r="AH242" s="40">
        <v>0</v>
      </c>
      <c r="AI242" s="39">
        <f>+IFERROR((FT_RF_264[[#This Row],[Hongos]]/FT_RF_264[[#This Row],[Muestra]]),"0")</f>
        <v>0</v>
      </c>
      <c r="AJ242" s="38">
        <v>0</v>
      </c>
      <c r="AK242" s="39">
        <f>+IFERROR((FT_RF_264[[#This Row],[Block]]/FT_RF_264[[#This Row],[Muestra]]),"0")</f>
        <v>0</v>
      </c>
      <c r="AL242" s="41">
        <v>0</v>
      </c>
      <c r="AM242" s="42">
        <v>0</v>
      </c>
      <c r="AN242" s="38">
        <v>0</v>
      </c>
      <c r="AO242" s="39">
        <f>+IFERROR((FT_RF_264[[#This Row],[Fuera de calibre &lt;12mm]]/FT_RF_264[[#This Row],[Muestra]]),"0")</f>
        <v>0</v>
      </c>
      <c r="AP242" s="38">
        <v>0</v>
      </c>
      <c r="AQ242" s="39">
        <f>+IFERROR((FT_RF_264[[#This Row],[Calibre &lt;25]]/FT_RF_264[[#This Row],[Muestra]]),"0")</f>
        <v>0</v>
      </c>
      <c r="AR242" s="38">
        <v>0</v>
      </c>
      <c r="AS242" s="39">
        <f>+IFERROR((FT_RF_264[[#This Row],[Calibre &gt;12]]/FT_RF_264[[#This Row],[Muestra]]),"0")</f>
        <v>0</v>
      </c>
      <c r="AT242" s="38">
        <v>0</v>
      </c>
      <c r="AU242" s="39">
        <f>+IFERROR((FT_RF_264[[#This Row],[Calibre &lt;14]]/FT_RF_264[[#This Row],[Muestra]]),"0")</f>
        <v>0</v>
      </c>
      <c r="AV242" s="38">
        <v>0</v>
      </c>
      <c r="AW242" s="39">
        <f>+IFERROR((FT_RF_264[[#This Row],[Calibre &gt;14]]/FT_RF_264[[#This Row],[Muestra]]),"0")</f>
        <v>0</v>
      </c>
      <c r="AX242" s="38">
        <v>0</v>
      </c>
      <c r="AY242" s="39">
        <f>+IFERROR((FT_RF_264[[#This Row],[Calibre &lt;10]]/FT_RF_264[[#This Row],[Muestra]]),"0")</f>
        <v>0</v>
      </c>
      <c r="AZ242" s="38">
        <v>0</v>
      </c>
      <c r="BA242" s="39">
        <f>+IFERROR((FT_RF_264[[#This Row],[Calibre &gt;13]]/FT_RF_264[[#This Row],[Muestra]]),"0")</f>
        <v>0</v>
      </c>
      <c r="BB242" s="41"/>
      <c r="BG242" s="42"/>
      <c r="BH242" s="43">
        <v>0</v>
      </c>
      <c r="BI242" s="29" t="s">
        <v>894</v>
      </c>
      <c r="BJ242" s="29" t="s">
        <v>894</v>
      </c>
      <c r="BK24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4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42" s="45">
        <f>1-FT_RF_264[[#This Row],[% Defectos]]</f>
        <v>1</v>
      </c>
      <c r="BO242" s="60"/>
      <c r="BP242" s="12">
        <f>SUM(FT_RF_264[[#This Row],[Hoja (Un.)]:[Larvas Caja]])</f>
        <v>0</v>
      </c>
      <c r="BQ242" s="12">
        <f>SUM(FT_RF_264[[#This Row],[Vidrios]:[Plástico]])</f>
        <v>0</v>
      </c>
      <c r="BR242" s="12" t="str">
        <f>IF(ISBLANK(FT_RF_264[[#This Row],[Descripción del producto]]),"",FT_RF_264[[#This Row],[Descripción del producto]])</f>
        <v/>
      </c>
      <c r="BS242" s="29" t="str">
        <f>IF(ISBLANK(FT_RF_264[[#This Row],[N° de Lote]]),"",FT_RF_264[[#This Row],[N° de Lote]])</f>
        <v/>
      </c>
      <c r="BT242" s="29" t="str">
        <f>IF(ISBLANK(FT_RF_264[[#This Row],[N° de Pallet]]),"",FT_RF_264[[#This Row],[N° de Pallet]])</f>
        <v/>
      </c>
    </row>
    <row r="243" spans="2:72">
      <c r="B243" s="29">
        <f>+_xlfn.ISOWEEKNUM(FT_RF_264[[#This Row],[Fecha]])</f>
        <v>52</v>
      </c>
      <c r="E243" s="31"/>
      <c r="F243" s="12" t="str">
        <f>IFERROR(""&amp;_xlfn.XLOOKUP(FT_RF_264[[#This Row],[Código]],BD_Cod[SKU],BD_Cod[Descripción]),"")</f>
        <v/>
      </c>
      <c r="G243" s="32" t="str">
        <f>IFERROR(""&amp;_xlfn.XLOOKUP(FT_RF_264[[#This Row],[Código]],BD_Cod[SKU],BD_Cod[Familia Calidad]),"")</f>
        <v/>
      </c>
      <c r="J243" s="33">
        <v>1000</v>
      </c>
      <c r="L243" s="30" t="s">
        <v>244</v>
      </c>
      <c r="O243" s="30" t="s">
        <v>894</v>
      </c>
      <c r="P243" s="29" t="s">
        <v>894</v>
      </c>
      <c r="Q243" s="37">
        <f>1-FT_RF_264[[#This Row],[% Defectos]]</f>
        <v>1</v>
      </c>
      <c r="R243" s="38">
        <v>0</v>
      </c>
      <c r="S243" s="39">
        <f>+IFERROR((FT_RF_264[[#This Row],[Inmadura]]/FT_RF_264[[#This Row],[Muestra]]),"0")</f>
        <v>0</v>
      </c>
      <c r="T243" s="38">
        <v>0</v>
      </c>
      <c r="U243" s="39">
        <f>+IFERROR((FT_RF_264[[#This Row],[Partidas]]/FT_RF_264[[#This Row],[Muestra]]),"0")</f>
        <v>0</v>
      </c>
      <c r="V243" s="38">
        <v>0</v>
      </c>
      <c r="W243" s="39">
        <f>+IFERROR((FT_RF_264[[#This Row],[Daño Insecto]]/FT_RF_264[[#This Row],[Muestra]]),"0")</f>
        <v>0</v>
      </c>
      <c r="X243" s="38">
        <v>0</v>
      </c>
      <c r="Y243" s="39">
        <f>+IFERROR((FT_RF_264[[#This Row],[Sobremadura]]/FT_RF_264[[#This Row],[Muestra]]),"0")</f>
        <v>0</v>
      </c>
      <c r="Z243" s="38">
        <v>0</v>
      </c>
      <c r="AA243" s="39">
        <f>+IFERROR((FT_RF_264[[#This Row],[Deforme]]/FT_RF_264[[#This Row],[Muestra]]),"0")</f>
        <v>0</v>
      </c>
      <c r="AB243" s="27"/>
      <c r="AC243" s="38">
        <v>0</v>
      </c>
      <c r="AD243" s="39">
        <f>+IFERROR((FT_RF_264[[#This Row],[Valor Extra 1]]/FT_RF_264[[#This Row],[Muestra]]),"0")</f>
        <v>0</v>
      </c>
      <c r="AF243" s="38">
        <v>0</v>
      </c>
      <c r="AG243" s="39">
        <f>+IFERROR((FT_RF_264[[#This Row],[Valor Extra 2]]/FT_RF_264[[#This Row],[Muestra]]),"0")</f>
        <v>0</v>
      </c>
      <c r="AH243" s="40">
        <v>0</v>
      </c>
      <c r="AI243" s="39">
        <f>+IFERROR((FT_RF_264[[#This Row],[Hongos]]/FT_RF_264[[#This Row],[Muestra]]),"0")</f>
        <v>0</v>
      </c>
      <c r="AJ243" s="38">
        <v>0</v>
      </c>
      <c r="AK243" s="39">
        <f>+IFERROR((FT_RF_264[[#This Row],[Block]]/FT_RF_264[[#This Row],[Muestra]]),"0")</f>
        <v>0</v>
      </c>
      <c r="AL243" s="41">
        <v>0</v>
      </c>
      <c r="AM243" s="42">
        <v>0</v>
      </c>
      <c r="AN243" s="38">
        <v>0</v>
      </c>
      <c r="AO243" s="39">
        <f>+IFERROR((FT_RF_264[[#This Row],[Fuera de calibre &lt;12mm]]/FT_RF_264[[#This Row],[Muestra]]),"0")</f>
        <v>0</v>
      </c>
      <c r="AP243" s="38">
        <v>0</v>
      </c>
      <c r="AQ243" s="39">
        <f>+IFERROR((FT_RF_264[[#This Row],[Calibre &lt;25]]/FT_RF_264[[#This Row],[Muestra]]),"0")</f>
        <v>0</v>
      </c>
      <c r="AR243" s="38">
        <v>0</v>
      </c>
      <c r="AS243" s="39">
        <f>+IFERROR((FT_RF_264[[#This Row],[Calibre &gt;12]]/FT_RF_264[[#This Row],[Muestra]]),"0")</f>
        <v>0</v>
      </c>
      <c r="AT243" s="38">
        <v>0</v>
      </c>
      <c r="AU243" s="39">
        <f>+IFERROR((FT_RF_264[[#This Row],[Calibre &lt;14]]/FT_RF_264[[#This Row],[Muestra]]),"0")</f>
        <v>0</v>
      </c>
      <c r="AV243" s="38">
        <v>0</v>
      </c>
      <c r="AW243" s="39">
        <f>+IFERROR((FT_RF_264[[#This Row],[Calibre &gt;14]]/FT_RF_264[[#This Row],[Muestra]]),"0")</f>
        <v>0</v>
      </c>
      <c r="AX243" s="38">
        <v>0</v>
      </c>
      <c r="AY243" s="39">
        <f>+IFERROR((FT_RF_264[[#This Row],[Calibre &lt;10]]/FT_RF_264[[#This Row],[Muestra]]),"0")</f>
        <v>0</v>
      </c>
      <c r="AZ243" s="38">
        <v>0</v>
      </c>
      <c r="BA243" s="39">
        <f>+IFERROR((FT_RF_264[[#This Row],[Calibre &gt;13]]/FT_RF_264[[#This Row],[Muestra]]),"0")</f>
        <v>0</v>
      </c>
      <c r="BB243" s="41"/>
      <c r="BG243" s="42"/>
      <c r="BH243" s="43">
        <v>0</v>
      </c>
      <c r="BI243" s="29" t="s">
        <v>894</v>
      </c>
      <c r="BJ243" s="29" t="s">
        <v>894</v>
      </c>
      <c r="BK24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4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43" s="45">
        <f>1-FT_RF_264[[#This Row],[% Defectos]]</f>
        <v>1</v>
      </c>
      <c r="BO243" s="60"/>
      <c r="BP243" s="12">
        <f>SUM(FT_RF_264[[#This Row],[Hoja (Un.)]:[Larvas Caja]])</f>
        <v>0</v>
      </c>
      <c r="BQ243" s="12">
        <f>SUM(FT_RF_264[[#This Row],[Vidrios]:[Plástico]])</f>
        <v>0</v>
      </c>
      <c r="BR243" s="12" t="str">
        <f>IF(ISBLANK(FT_RF_264[[#This Row],[Descripción del producto]]),"",FT_RF_264[[#This Row],[Descripción del producto]])</f>
        <v/>
      </c>
      <c r="BS243" s="29" t="str">
        <f>IF(ISBLANK(FT_RF_264[[#This Row],[N° de Lote]]),"",FT_RF_264[[#This Row],[N° de Lote]])</f>
        <v/>
      </c>
      <c r="BT243" s="29" t="str">
        <f>IF(ISBLANK(FT_RF_264[[#This Row],[N° de Pallet]]),"",FT_RF_264[[#This Row],[N° de Pallet]])</f>
        <v/>
      </c>
    </row>
    <row r="244" spans="2:72">
      <c r="B244" s="29">
        <f>+_xlfn.ISOWEEKNUM(FT_RF_264[[#This Row],[Fecha]])</f>
        <v>52</v>
      </c>
      <c r="E244" s="31"/>
      <c r="F244" s="12" t="str">
        <f>IFERROR(""&amp;_xlfn.XLOOKUP(FT_RF_264[[#This Row],[Código]],BD_Cod[SKU],BD_Cod[Descripción]),"")</f>
        <v/>
      </c>
      <c r="G244" s="32" t="str">
        <f>IFERROR(""&amp;_xlfn.XLOOKUP(FT_RF_264[[#This Row],[Código]],BD_Cod[SKU],BD_Cod[Familia Calidad]),"")</f>
        <v/>
      </c>
      <c r="J244" s="33">
        <v>1000</v>
      </c>
      <c r="L244" s="30" t="s">
        <v>244</v>
      </c>
      <c r="O244" s="30" t="s">
        <v>894</v>
      </c>
      <c r="P244" s="29" t="s">
        <v>894</v>
      </c>
      <c r="Q244" s="37">
        <f>1-FT_RF_264[[#This Row],[% Defectos]]</f>
        <v>1</v>
      </c>
      <c r="R244" s="38">
        <v>0</v>
      </c>
      <c r="S244" s="39">
        <f>+IFERROR((FT_RF_264[[#This Row],[Inmadura]]/FT_RF_264[[#This Row],[Muestra]]),"0")</f>
        <v>0</v>
      </c>
      <c r="T244" s="38">
        <v>0</v>
      </c>
      <c r="U244" s="39">
        <f>+IFERROR((FT_RF_264[[#This Row],[Partidas]]/FT_RF_264[[#This Row],[Muestra]]),"0")</f>
        <v>0</v>
      </c>
      <c r="V244" s="38">
        <v>0</v>
      </c>
      <c r="W244" s="39">
        <f>+IFERROR((FT_RF_264[[#This Row],[Daño Insecto]]/FT_RF_264[[#This Row],[Muestra]]),"0")</f>
        <v>0</v>
      </c>
      <c r="X244" s="38">
        <v>0</v>
      </c>
      <c r="Y244" s="39">
        <f>+IFERROR((FT_RF_264[[#This Row],[Sobremadura]]/FT_RF_264[[#This Row],[Muestra]]),"0")</f>
        <v>0</v>
      </c>
      <c r="Z244" s="38">
        <v>0</v>
      </c>
      <c r="AA244" s="39">
        <f>+IFERROR((FT_RF_264[[#This Row],[Deforme]]/FT_RF_264[[#This Row],[Muestra]]),"0")</f>
        <v>0</v>
      </c>
      <c r="AB244" s="27"/>
      <c r="AC244" s="38">
        <v>0</v>
      </c>
      <c r="AD244" s="39">
        <f>+IFERROR((FT_RF_264[[#This Row],[Valor Extra 1]]/FT_RF_264[[#This Row],[Muestra]]),"0")</f>
        <v>0</v>
      </c>
      <c r="AF244" s="38">
        <v>0</v>
      </c>
      <c r="AG244" s="39">
        <f>+IFERROR((FT_RF_264[[#This Row],[Valor Extra 2]]/FT_RF_264[[#This Row],[Muestra]]),"0")</f>
        <v>0</v>
      </c>
      <c r="AH244" s="40">
        <v>0</v>
      </c>
      <c r="AI244" s="39">
        <f>+IFERROR((FT_RF_264[[#This Row],[Hongos]]/FT_RF_264[[#This Row],[Muestra]]),"0")</f>
        <v>0</v>
      </c>
      <c r="AJ244" s="38">
        <v>0</v>
      </c>
      <c r="AK244" s="39">
        <f>+IFERROR((FT_RF_264[[#This Row],[Block]]/FT_RF_264[[#This Row],[Muestra]]),"0")</f>
        <v>0</v>
      </c>
      <c r="AL244" s="41">
        <v>0</v>
      </c>
      <c r="AM244" s="42">
        <v>0</v>
      </c>
      <c r="AN244" s="38">
        <v>0</v>
      </c>
      <c r="AO244" s="39">
        <f>+IFERROR((FT_RF_264[[#This Row],[Fuera de calibre &lt;12mm]]/FT_RF_264[[#This Row],[Muestra]]),"0")</f>
        <v>0</v>
      </c>
      <c r="AP244" s="38">
        <v>0</v>
      </c>
      <c r="AQ244" s="39">
        <f>+IFERROR((FT_RF_264[[#This Row],[Calibre &lt;25]]/FT_RF_264[[#This Row],[Muestra]]),"0")</f>
        <v>0</v>
      </c>
      <c r="AR244" s="38">
        <v>0</v>
      </c>
      <c r="AS244" s="39">
        <f>+IFERROR((FT_RF_264[[#This Row],[Calibre &gt;12]]/FT_RF_264[[#This Row],[Muestra]]),"0")</f>
        <v>0</v>
      </c>
      <c r="AT244" s="38">
        <v>0</v>
      </c>
      <c r="AU244" s="39">
        <f>+IFERROR((FT_RF_264[[#This Row],[Calibre &lt;14]]/FT_RF_264[[#This Row],[Muestra]]),"0")</f>
        <v>0</v>
      </c>
      <c r="AV244" s="38">
        <v>0</v>
      </c>
      <c r="AW244" s="39">
        <f>+IFERROR((FT_RF_264[[#This Row],[Calibre &gt;14]]/FT_RF_264[[#This Row],[Muestra]]),"0")</f>
        <v>0</v>
      </c>
      <c r="AX244" s="38">
        <v>0</v>
      </c>
      <c r="AY244" s="39">
        <f>+IFERROR((FT_RF_264[[#This Row],[Calibre &lt;10]]/FT_RF_264[[#This Row],[Muestra]]),"0")</f>
        <v>0</v>
      </c>
      <c r="AZ244" s="38">
        <v>0</v>
      </c>
      <c r="BA244" s="39">
        <f>+IFERROR((FT_RF_264[[#This Row],[Calibre &gt;13]]/FT_RF_264[[#This Row],[Muestra]]),"0")</f>
        <v>0</v>
      </c>
      <c r="BB244" s="41"/>
      <c r="BG244" s="42"/>
      <c r="BH244" s="43">
        <v>0</v>
      </c>
      <c r="BI244" s="29" t="s">
        <v>894</v>
      </c>
      <c r="BJ244" s="29" t="s">
        <v>894</v>
      </c>
      <c r="BK24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4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44" s="45">
        <f>1-FT_RF_264[[#This Row],[% Defectos]]</f>
        <v>1</v>
      </c>
      <c r="BO244" s="60"/>
      <c r="BP244" s="12">
        <f>SUM(FT_RF_264[[#This Row],[Hoja (Un.)]:[Larvas Caja]])</f>
        <v>0</v>
      </c>
      <c r="BQ244" s="12">
        <f>SUM(FT_RF_264[[#This Row],[Vidrios]:[Plástico]])</f>
        <v>0</v>
      </c>
      <c r="BR244" s="12" t="str">
        <f>IF(ISBLANK(FT_RF_264[[#This Row],[Descripción del producto]]),"",FT_RF_264[[#This Row],[Descripción del producto]])</f>
        <v/>
      </c>
      <c r="BS244" s="29" t="str">
        <f>IF(ISBLANK(FT_RF_264[[#This Row],[N° de Lote]]),"",FT_RF_264[[#This Row],[N° de Lote]])</f>
        <v/>
      </c>
      <c r="BT244" s="29" t="str">
        <f>IF(ISBLANK(FT_RF_264[[#This Row],[N° de Pallet]]),"",FT_RF_264[[#This Row],[N° de Pallet]])</f>
        <v/>
      </c>
    </row>
    <row r="245" spans="2:72">
      <c r="B245" s="29">
        <f>+_xlfn.ISOWEEKNUM(FT_RF_264[[#This Row],[Fecha]])</f>
        <v>52</v>
      </c>
      <c r="E245" s="31"/>
      <c r="F245" s="12" t="str">
        <f>IFERROR(""&amp;_xlfn.XLOOKUP(FT_RF_264[[#This Row],[Código]],BD_Cod[SKU],BD_Cod[Descripción]),"")</f>
        <v/>
      </c>
      <c r="G245" s="32" t="str">
        <f>IFERROR(""&amp;_xlfn.XLOOKUP(FT_RF_264[[#This Row],[Código]],BD_Cod[SKU],BD_Cod[Familia Calidad]),"")</f>
        <v/>
      </c>
      <c r="J245" s="33">
        <v>1000</v>
      </c>
      <c r="L245" s="30" t="s">
        <v>244</v>
      </c>
      <c r="O245" s="30" t="s">
        <v>894</v>
      </c>
      <c r="P245" s="29" t="s">
        <v>894</v>
      </c>
      <c r="Q245" s="37">
        <f>1-FT_RF_264[[#This Row],[% Defectos]]</f>
        <v>1</v>
      </c>
      <c r="R245" s="38">
        <v>0</v>
      </c>
      <c r="S245" s="39">
        <f>+IFERROR((FT_RF_264[[#This Row],[Inmadura]]/FT_RF_264[[#This Row],[Muestra]]),"0")</f>
        <v>0</v>
      </c>
      <c r="T245" s="38">
        <v>0</v>
      </c>
      <c r="U245" s="39">
        <f>+IFERROR((FT_RF_264[[#This Row],[Partidas]]/FT_RF_264[[#This Row],[Muestra]]),"0")</f>
        <v>0</v>
      </c>
      <c r="V245" s="38">
        <v>0</v>
      </c>
      <c r="W245" s="39">
        <f>+IFERROR((FT_RF_264[[#This Row],[Daño Insecto]]/FT_RF_264[[#This Row],[Muestra]]),"0")</f>
        <v>0</v>
      </c>
      <c r="X245" s="38">
        <v>0</v>
      </c>
      <c r="Y245" s="39">
        <f>+IFERROR((FT_RF_264[[#This Row],[Sobremadura]]/FT_RF_264[[#This Row],[Muestra]]),"0")</f>
        <v>0</v>
      </c>
      <c r="Z245" s="38">
        <v>0</v>
      </c>
      <c r="AA245" s="39">
        <f>+IFERROR((FT_RF_264[[#This Row],[Deforme]]/FT_RF_264[[#This Row],[Muestra]]),"0")</f>
        <v>0</v>
      </c>
      <c r="AB245" s="27"/>
      <c r="AC245" s="38">
        <v>0</v>
      </c>
      <c r="AD245" s="39">
        <f>+IFERROR((FT_RF_264[[#This Row],[Valor Extra 1]]/FT_RF_264[[#This Row],[Muestra]]),"0")</f>
        <v>0</v>
      </c>
      <c r="AF245" s="38">
        <v>0</v>
      </c>
      <c r="AG245" s="39">
        <f>+IFERROR((FT_RF_264[[#This Row],[Valor Extra 2]]/FT_RF_264[[#This Row],[Muestra]]),"0")</f>
        <v>0</v>
      </c>
      <c r="AH245" s="40">
        <v>0</v>
      </c>
      <c r="AI245" s="39">
        <f>+IFERROR((FT_RF_264[[#This Row],[Hongos]]/FT_RF_264[[#This Row],[Muestra]]),"0")</f>
        <v>0</v>
      </c>
      <c r="AJ245" s="38">
        <v>0</v>
      </c>
      <c r="AK245" s="39">
        <f>+IFERROR((FT_RF_264[[#This Row],[Block]]/FT_RF_264[[#This Row],[Muestra]]),"0")</f>
        <v>0</v>
      </c>
      <c r="AL245" s="41">
        <v>0</v>
      </c>
      <c r="AM245" s="42">
        <v>0</v>
      </c>
      <c r="AN245" s="38">
        <v>0</v>
      </c>
      <c r="AO245" s="39">
        <f>+IFERROR((FT_RF_264[[#This Row],[Fuera de calibre &lt;12mm]]/FT_RF_264[[#This Row],[Muestra]]),"0")</f>
        <v>0</v>
      </c>
      <c r="AP245" s="38">
        <v>0</v>
      </c>
      <c r="AQ245" s="39">
        <f>+IFERROR((FT_RF_264[[#This Row],[Calibre &lt;25]]/FT_RF_264[[#This Row],[Muestra]]),"0")</f>
        <v>0</v>
      </c>
      <c r="AR245" s="38">
        <v>0</v>
      </c>
      <c r="AS245" s="39">
        <f>+IFERROR((FT_RF_264[[#This Row],[Calibre &gt;12]]/FT_RF_264[[#This Row],[Muestra]]),"0")</f>
        <v>0</v>
      </c>
      <c r="AT245" s="38">
        <v>0</v>
      </c>
      <c r="AU245" s="39">
        <f>+IFERROR((FT_RF_264[[#This Row],[Calibre &lt;14]]/FT_RF_264[[#This Row],[Muestra]]),"0")</f>
        <v>0</v>
      </c>
      <c r="AV245" s="38">
        <v>0</v>
      </c>
      <c r="AW245" s="39">
        <f>+IFERROR((FT_RF_264[[#This Row],[Calibre &gt;14]]/FT_RF_264[[#This Row],[Muestra]]),"0")</f>
        <v>0</v>
      </c>
      <c r="AX245" s="38">
        <v>0</v>
      </c>
      <c r="AY245" s="39">
        <f>+IFERROR((FT_RF_264[[#This Row],[Calibre &lt;10]]/FT_RF_264[[#This Row],[Muestra]]),"0")</f>
        <v>0</v>
      </c>
      <c r="AZ245" s="38">
        <v>0</v>
      </c>
      <c r="BA245" s="39">
        <f>+IFERROR((FT_RF_264[[#This Row],[Calibre &gt;13]]/FT_RF_264[[#This Row],[Muestra]]),"0")</f>
        <v>0</v>
      </c>
      <c r="BB245" s="41"/>
      <c r="BG245" s="42"/>
      <c r="BH245" s="43">
        <v>0</v>
      </c>
      <c r="BI245" s="29" t="s">
        <v>894</v>
      </c>
      <c r="BJ245" s="29" t="s">
        <v>894</v>
      </c>
      <c r="BK24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4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45" s="45">
        <f>1-FT_RF_264[[#This Row],[% Defectos]]</f>
        <v>1</v>
      </c>
      <c r="BO245" s="60"/>
      <c r="BP245" s="12">
        <f>SUM(FT_RF_264[[#This Row],[Hoja (Un.)]:[Larvas Caja]])</f>
        <v>0</v>
      </c>
      <c r="BQ245" s="12">
        <f>SUM(FT_RF_264[[#This Row],[Vidrios]:[Plástico]])</f>
        <v>0</v>
      </c>
      <c r="BR245" s="12" t="str">
        <f>IF(ISBLANK(FT_RF_264[[#This Row],[Descripción del producto]]),"",FT_RF_264[[#This Row],[Descripción del producto]])</f>
        <v/>
      </c>
      <c r="BS245" s="29" t="str">
        <f>IF(ISBLANK(FT_RF_264[[#This Row],[N° de Lote]]),"",FT_RF_264[[#This Row],[N° de Lote]])</f>
        <v/>
      </c>
      <c r="BT245" s="29" t="str">
        <f>IF(ISBLANK(FT_RF_264[[#This Row],[N° de Pallet]]),"",FT_RF_264[[#This Row],[N° de Pallet]])</f>
        <v/>
      </c>
    </row>
    <row r="246" spans="2:72">
      <c r="B246" s="29">
        <f>+_xlfn.ISOWEEKNUM(FT_RF_264[[#This Row],[Fecha]])</f>
        <v>52</v>
      </c>
      <c r="E246" s="31"/>
      <c r="F246" s="12" t="str">
        <f>IFERROR(""&amp;_xlfn.XLOOKUP(FT_RF_264[[#This Row],[Código]],BD_Cod[SKU],BD_Cod[Descripción]),"")</f>
        <v/>
      </c>
      <c r="G246" s="32" t="str">
        <f>IFERROR(""&amp;_xlfn.XLOOKUP(FT_RF_264[[#This Row],[Código]],BD_Cod[SKU],BD_Cod[Familia Calidad]),"")</f>
        <v/>
      </c>
      <c r="J246" s="33">
        <v>1000</v>
      </c>
      <c r="L246" s="30" t="s">
        <v>244</v>
      </c>
      <c r="O246" s="30" t="s">
        <v>894</v>
      </c>
      <c r="P246" s="29" t="s">
        <v>894</v>
      </c>
      <c r="Q246" s="37">
        <f>1-FT_RF_264[[#This Row],[% Defectos]]</f>
        <v>1</v>
      </c>
      <c r="R246" s="38">
        <v>0</v>
      </c>
      <c r="S246" s="39">
        <f>+IFERROR((FT_RF_264[[#This Row],[Inmadura]]/FT_RF_264[[#This Row],[Muestra]]),"0")</f>
        <v>0</v>
      </c>
      <c r="T246" s="38">
        <v>0</v>
      </c>
      <c r="U246" s="39">
        <f>+IFERROR((FT_RF_264[[#This Row],[Partidas]]/FT_RF_264[[#This Row],[Muestra]]),"0")</f>
        <v>0</v>
      </c>
      <c r="V246" s="38">
        <v>0</v>
      </c>
      <c r="W246" s="39">
        <f>+IFERROR((FT_RF_264[[#This Row],[Daño Insecto]]/FT_RF_264[[#This Row],[Muestra]]),"0")</f>
        <v>0</v>
      </c>
      <c r="X246" s="38">
        <v>0</v>
      </c>
      <c r="Y246" s="39">
        <f>+IFERROR((FT_RF_264[[#This Row],[Sobremadura]]/FT_RF_264[[#This Row],[Muestra]]),"0")</f>
        <v>0</v>
      </c>
      <c r="Z246" s="38">
        <v>0</v>
      </c>
      <c r="AA246" s="39">
        <f>+IFERROR((FT_RF_264[[#This Row],[Deforme]]/FT_RF_264[[#This Row],[Muestra]]),"0")</f>
        <v>0</v>
      </c>
      <c r="AB246" s="27"/>
      <c r="AC246" s="38">
        <v>0</v>
      </c>
      <c r="AD246" s="39">
        <f>+IFERROR((FT_RF_264[[#This Row],[Valor Extra 1]]/FT_RF_264[[#This Row],[Muestra]]),"0")</f>
        <v>0</v>
      </c>
      <c r="AF246" s="38">
        <v>0</v>
      </c>
      <c r="AG246" s="39">
        <f>+IFERROR((FT_RF_264[[#This Row],[Valor Extra 2]]/FT_RF_264[[#This Row],[Muestra]]),"0")</f>
        <v>0</v>
      </c>
      <c r="AH246" s="40">
        <v>0</v>
      </c>
      <c r="AI246" s="39">
        <f>+IFERROR((FT_RF_264[[#This Row],[Hongos]]/FT_RF_264[[#This Row],[Muestra]]),"0")</f>
        <v>0</v>
      </c>
      <c r="AJ246" s="38">
        <v>0</v>
      </c>
      <c r="AK246" s="39">
        <f>+IFERROR((FT_RF_264[[#This Row],[Block]]/FT_RF_264[[#This Row],[Muestra]]),"0")</f>
        <v>0</v>
      </c>
      <c r="AL246" s="41">
        <v>0</v>
      </c>
      <c r="AM246" s="42">
        <v>0</v>
      </c>
      <c r="AN246" s="38">
        <v>0</v>
      </c>
      <c r="AO246" s="39">
        <f>+IFERROR((FT_RF_264[[#This Row],[Fuera de calibre &lt;12mm]]/FT_RF_264[[#This Row],[Muestra]]),"0")</f>
        <v>0</v>
      </c>
      <c r="AP246" s="38">
        <v>0</v>
      </c>
      <c r="AQ246" s="39">
        <f>+IFERROR((FT_RF_264[[#This Row],[Calibre &lt;25]]/FT_RF_264[[#This Row],[Muestra]]),"0")</f>
        <v>0</v>
      </c>
      <c r="AR246" s="38">
        <v>0</v>
      </c>
      <c r="AS246" s="39">
        <f>+IFERROR((FT_RF_264[[#This Row],[Calibre &gt;12]]/FT_RF_264[[#This Row],[Muestra]]),"0")</f>
        <v>0</v>
      </c>
      <c r="AT246" s="38">
        <v>0</v>
      </c>
      <c r="AU246" s="39">
        <f>+IFERROR((FT_RF_264[[#This Row],[Calibre &lt;14]]/FT_RF_264[[#This Row],[Muestra]]),"0")</f>
        <v>0</v>
      </c>
      <c r="AV246" s="38">
        <v>0</v>
      </c>
      <c r="AW246" s="39">
        <f>+IFERROR((FT_RF_264[[#This Row],[Calibre &gt;14]]/FT_RF_264[[#This Row],[Muestra]]),"0")</f>
        <v>0</v>
      </c>
      <c r="AX246" s="38">
        <v>0</v>
      </c>
      <c r="AY246" s="39">
        <f>+IFERROR((FT_RF_264[[#This Row],[Calibre &lt;10]]/FT_RF_264[[#This Row],[Muestra]]),"0")</f>
        <v>0</v>
      </c>
      <c r="AZ246" s="38">
        <v>0</v>
      </c>
      <c r="BA246" s="39">
        <f>+IFERROR((FT_RF_264[[#This Row],[Calibre &gt;13]]/FT_RF_264[[#This Row],[Muestra]]),"0")</f>
        <v>0</v>
      </c>
      <c r="BB246" s="41"/>
      <c r="BG246" s="42"/>
      <c r="BH246" s="43">
        <v>0</v>
      </c>
      <c r="BI246" s="29" t="s">
        <v>894</v>
      </c>
      <c r="BJ246" s="29" t="s">
        <v>894</v>
      </c>
      <c r="BK24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4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46" s="45">
        <f>1-FT_RF_264[[#This Row],[% Defectos]]</f>
        <v>1</v>
      </c>
      <c r="BO246" s="60"/>
      <c r="BP246" s="12">
        <f>SUM(FT_RF_264[[#This Row],[Hoja (Un.)]:[Larvas Caja]])</f>
        <v>0</v>
      </c>
      <c r="BQ246" s="12">
        <f>SUM(FT_RF_264[[#This Row],[Vidrios]:[Plástico]])</f>
        <v>0</v>
      </c>
      <c r="BR246" s="12" t="str">
        <f>IF(ISBLANK(FT_RF_264[[#This Row],[Descripción del producto]]),"",FT_RF_264[[#This Row],[Descripción del producto]])</f>
        <v/>
      </c>
      <c r="BS246" s="29" t="str">
        <f>IF(ISBLANK(FT_RF_264[[#This Row],[N° de Lote]]),"",FT_RF_264[[#This Row],[N° de Lote]])</f>
        <v/>
      </c>
      <c r="BT246" s="29" t="str">
        <f>IF(ISBLANK(FT_RF_264[[#This Row],[N° de Pallet]]),"",FT_RF_264[[#This Row],[N° de Pallet]])</f>
        <v/>
      </c>
    </row>
    <row r="247" spans="2:72">
      <c r="B247" s="29">
        <f>+_xlfn.ISOWEEKNUM(FT_RF_264[[#This Row],[Fecha]])</f>
        <v>52</v>
      </c>
      <c r="E247" s="31"/>
      <c r="F247" s="12" t="str">
        <f>IFERROR(""&amp;_xlfn.XLOOKUP(FT_RF_264[[#This Row],[Código]],BD_Cod[SKU],BD_Cod[Descripción]),"")</f>
        <v/>
      </c>
      <c r="G247" s="32" t="str">
        <f>IFERROR(""&amp;_xlfn.XLOOKUP(FT_RF_264[[#This Row],[Código]],BD_Cod[SKU],BD_Cod[Familia Calidad]),"")</f>
        <v/>
      </c>
      <c r="J247" s="33">
        <v>1000</v>
      </c>
      <c r="L247" s="30" t="s">
        <v>244</v>
      </c>
      <c r="O247" s="30" t="s">
        <v>894</v>
      </c>
      <c r="P247" s="29" t="s">
        <v>894</v>
      </c>
      <c r="Q247" s="37">
        <f>1-FT_RF_264[[#This Row],[% Defectos]]</f>
        <v>1</v>
      </c>
      <c r="R247" s="38">
        <v>0</v>
      </c>
      <c r="S247" s="39">
        <f>+IFERROR((FT_RF_264[[#This Row],[Inmadura]]/FT_RF_264[[#This Row],[Muestra]]),"0")</f>
        <v>0</v>
      </c>
      <c r="T247" s="38">
        <v>0</v>
      </c>
      <c r="U247" s="39">
        <f>+IFERROR((FT_RF_264[[#This Row],[Partidas]]/FT_RF_264[[#This Row],[Muestra]]),"0")</f>
        <v>0</v>
      </c>
      <c r="V247" s="38">
        <v>0</v>
      </c>
      <c r="W247" s="39">
        <f>+IFERROR((FT_RF_264[[#This Row],[Daño Insecto]]/FT_RF_264[[#This Row],[Muestra]]),"0")</f>
        <v>0</v>
      </c>
      <c r="X247" s="38">
        <v>0</v>
      </c>
      <c r="Y247" s="39">
        <f>+IFERROR((FT_RF_264[[#This Row],[Sobremadura]]/FT_RF_264[[#This Row],[Muestra]]),"0")</f>
        <v>0</v>
      </c>
      <c r="Z247" s="38">
        <v>0</v>
      </c>
      <c r="AA247" s="39">
        <f>+IFERROR((FT_RF_264[[#This Row],[Deforme]]/FT_RF_264[[#This Row],[Muestra]]),"0")</f>
        <v>0</v>
      </c>
      <c r="AB247" s="27"/>
      <c r="AC247" s="38">
        <v>0</v>
      </c>
      <c r="AD247" s="39">
        <f>+IFERROR((FT_RF_264[[#This Row],[Valor Extra 1]]/FT_RF_264[[#This Row],[Muestra]]),"0")</f>
        <v>0</v>
      </c>
      <c r="AF247" s="38">
        <v>0</v>
      </c>
      <c r="AG247" s="39">
        <f>+IFERROR((FT_RF_264[[#This Row],[Valor Extra 2]]/FT_RF_264[[#This Row],[Muestra]]),"0")</f>
        <v>0</v>
      </c>
      <c r="AH247" s="40">
        <v>0</v>
      </c>
      <c r="AI247" s="39">
        <f>+IFERROR((FT_RF_264[[#This Row],[Hongos]]/FT_RF_264[[#This Row],[Muestra]]),"0")</f>
        <v>0</v>
      </c>
      <c r="AJ247" s="38">
        <v>0</v>
      </c>
      <c r="AK247" s="39">
        <f>+IFERROR((FT_RF_264[[#This Row],[Block]]/FT_RF_264[[#This Row],[Muestra]]),"0")</f>
        <v>0</v>
      </c>
      <c r="AL247" s="41">
        <v>0</v>
      </c>
      <c r="AM247" s="42">
        <v>0</v>
      </c>
      <c r="AN247" s="38">
        <v>0</v>
      </c>
      <c r="AO247" s="39">
        <f>+IFERROR((FT_RF_264[[#This Row],[Fuera de calibre &lt;12mm]]/FT_RF_264[[#This Row],[Muestra]]),"0")</f>
        <v>0</v>
      </c>
      <c r="AP247" s="38">
        <v>0</v>
      </c>
      <c r="AQ247" s="39">
        <f>+IFERROR((FT_RF_264[[#This Row],[Calibre &lt;25]]/FT_RF_264[[#This Row],[Muestra]]),"0")</f>
        <v>0</v>
      </c>
      <c r="AR247" s="38">
        <v>0</v>
      </c>
      <c r="AS247" s="39">
        <f>+IFERROR((FT_RF_264[[#This Row],[Calibre &gt;12]]/FT_RF_264[[#This Row],[Muestra]]),"0")</f>
        <v>0</v>
      </c>
      <c r="AT247" s="38">
        <v>0</v>
      </c>
      <c r="AU247" s="39">
        <f>+IFERROR((FT_RF_264[[#This Row],[Calibre &lt;14]]/FT_RF_264[[#This Row],[Muestra]]),"0")</f>
        <v>0</v>
      </c>
      <c r="AV247" s="38">
        <v>0</v>
      </c>
      <c r="AW247" s="39">
        <f>+IFERROR((FT_RF_264[[#This Row],[Calibre &gt;14]]/FT_RF_264[[#This Row],[Muestra]]),"0")</f>
        <v>0</v>
      </c>
      <c r="AX247" s="38">
        <v>0</v>
      </c>
      <c r="AY247" s="39">
        <f>+IFERROR((FT_RF_264[[#This Row],[Calibre &lt;10]]/FT_RF_264[[#This Row],[Muestra]]),"0")</f>
        <v>0</v>
      </c>
      <c r="AZ247" s="38">
        <v>0</v>
      </c>
      <c r="BA247" s="39">
        <f>+IFERROR((FT_RF_264[[#This Row],[Calibre &gt;13]]/FT_RF_264[[#This Row],[Muestra]]),"0")</f>
        <v>0</v>
      </c>
      <c r="BB247" s="41"/>
      <c r="BG247" s="42"/>
      <c r="BH247" s="43">
        <v>0</v>
      </c>
      <c r="BI247" s="29" t="s">
        <v>894</v>
      </c>
      <c r="BJ247" s="29" t="s">
        <v>894</v>
      </c>
      <c r="BK24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4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47" s="45">
        <f>1-FT_RF_264[[#This Row],[% Defectos]]</f>
        <v>1</v>
      </c>
      <c r="BO247" s="60"/>
      <c r="BP247" s="12">
        <f>SUM(FT_RF_264[[#This Row],[Hoja (Un.)]:[Larvas Caja]])</f>
        <v>0</v>
      </c>
      <c r="BQ247" s="12">
        <f>SUM(FT_RF_264[[#This Row],[Vidrios]:[Plástico]])</f>
        <v>0</v>
      </c>
      <c r="BR247" s="12" t="str">
        <f>IF(ISBLANK(FT_RF_264[[#This Row],[Descripción del producto]]),"",FT_RF_264[[#This Row],[Descripción del producto]])</f>
        <v/>
      </c>
      <c r="BS247" s="29" t="str">
        <f>IF(ISBLANK(FT_RF_264[[#This Row],[N° de Lote]]),"",FT_RF_264[[#This Row],[N° de Lote]])</f>
        <v/>
      </c>
      <c r="BT247" s="29" t="str">
        <f>IF(ISBLANK(FT_RF_264[[#This Row],[N° de Pallet]]),"",FT_RF_264[[#This Row],[N° de Pallet]])</f>
        <v/>
      </c>
    </row>
    <row r="248" spans="2:72">
      <c r="B248" s="29">
        <f>+_xlfn.ISOWEEKNUM(FT_RF_264[[#This Row],[Fecha]])</f>
        <v>52</v>
      </c>
      <c r="E248" s="31"/>
      <c r="F248" s="12" t="str">
        <f>IFERROR(""&amp;_xlfn.XLOOKUP(FT_RF_264[[#This Row],[Código]],BD_Cod[SKU],BD_Cod[Descripción]),"")</f>
        <v/>
      </c>
      <c r="G248" s="32" t="str">
        <f>IFERROR(""&amp;_xlfn.XLOOKUP(FT_RF_264[[#This Row],[Código]],BD_Cod[SKU],BD_Cod[Familia Calidad]),"")</f>
        <v/>
      </c>
      <c r="J248" s="33">
        <v>1000</v>
      </c>
      <c r="L248" s="30" t="s">
        <v>244</v>
      </c>
      <c r="O248" s="30" t="s">
        <v>894</v>
      </c>
      <c r="P248" s="29" t="s">
        <v>894</v>
      </c>
      <c r="Q248" s="37">
        <f>1-FT_RF_264[[#This Row],[% Defectos]]</f>
        <v>1</v>
      </c>
      <c r="R248" s="38">
        <v>0</v>
      </c>
      <c r="S248" s="39">
        <f>+IFERROR((FT_RF_264[[#This Row],[Inmadura]]/FT_RF_264[[#This Row],[Muestra]]),"0")</f>
        <v>0</v>
      </c>
      <c r="T248" s="38">
        <v>0</v>
      </c>
      <c r="U248" s="39">
        <f>+IFERROR((FT_RF_264[[#This Row],[Partidas]]/FT_RF_264[[#This Row],[Muestra]]),"0")</f>
        <v>0</v>
      </c>
      <c r="V248" s="38">
        <v>0</v>
      </c>
      <c r="W248" s="39">
        <f>+IFERROR((FT_RF_264[[#This Row],[Daño Insecto]]/FT_RF_264[[#This Row],[Muestra]]),"0")</f>
        <v>0</v>
      </c>
      <c r="X248" s="38">
        <v>0</v>
      </c>
      <c r="Y248" s="39">
        <f>+IFERROR((FT_RF_264[[#This Row],[Sobremadura]]/FT_RF_264[[#This Row],[Muestra]]),"0")</f>
        <v>0</v>
      </c>
      <c r="Z248" s="38">
        <v>0</v>
      </c>
      <c r="AA248" s="39">
        <f>+IFERROR((FT_RF_264[[#This Row],[Deforme]]/FT_RF_264[[#This Row],[Muestra]]),"0")</f>
        <v>0</v>
      </c>
      <c r="AB248" s="27"/>
      <c r="AC248" s="38">
        <v>0</v>
      </c>
      <c r="AD248" s="39">
        <f>+IFERROR((FT_RF_264[[#This Row],[Valor Extra 1]]/FT_RF_264[[#This Row],[Muestra]]),"0")</f>
        <v>0</v>
      </c>
      <c r="AF248" s="38">
        <v>0</v>
      </c>
      <c r="AG248" s="39">
        <f>+IFERROR((FT_RF_264[[#This Row],[Valor Extra 2]]/FT_RF_264[[#This Row],[Muestra]]),"0")</f>
        <v>0</v>
      </c>
      <c r="AH248" s="40">
        <v>0</v>
      </c>
      <c r="AI248" s="39">
        <f>+IFERROR((FT_RF_264[[#This Row],[Hongos]]/FT_RF_264[[#This Row],[Muestra]]),"0")</f>
        <v>0</v>
      </c>
      <c r="AJ248" s="38">
        <v>0</v>
      </c>
      <c r="AK248" s="39">
        <f>+IFERROR((FT_RF_264[[#This Row],[Block]]/FT_RF_264[[#This Row],[Muestra]]),"0")</f>
        <v>0</v>
      </c>
      <c r="AL248" s="41">
        <v>0</v>
      </c>
      <c r="AM248" s="42">
        <v>0</v>
      </c>
      <c r="AN248" s="38">
        <v>0</v>
      </c>
      <c r="AO248" s="39">
        <f>+IFERROR((FT_RF_264[[#This Row],[Fuera de calibre &lt;12mm]]/FT_RF_264[[#This Row],[Muestra]]),"0")</f>
        <v>0</v>
      </c>
      <c r="AP248" s="38">
        <v>0</v>
      </c>
      <c r="AQ248" s="39">
        <f>+IFERROR((FT_RF_264[[#This Row],[Calibre &lt;25]]/FT_RF_264[[#This Row],[Muestra]]),"0")</f>
        <v>0</v>
      </c>
      <c r="AR248" s="38">
        <v>0</v>
      </c>
      <c r="AS248" s="39">
        <f>+IFERROR((FT_RF_264[[#This Row],[Calibre &gt;12]]/FT_RF_264[[#This Row],[Muestra]]),"0")</f>
        <v>0</v>
      </c>
      <c r="AT248" s="38">
        <v>0</v>
      </c>
      <c r="AU248" s="39">
        <f>+IFERROR((FT_RF_264[[#This Row],[Calibre &lt;14]]/FT_RF_264[[#This Row],[Muestra]]),"0")</f>
        <v>0</v>
      </c>
      <c r="AV248" s="38">
        <v>0</v>
      </c>
      <c r="AW248" s="39">
        <f>+IFERROR((FT_RF_264[[#This Row],[Calibre &gt;14]]/FT_RF_264[[#This Row],[Muestra]]),"0")</f>
        <v>0</v>
      </c>
      <c r="AX248" s="38">
        <v>0</v>
      </c>
      <c r="AY248" s="39">
        <f>+IFERROR((FT_RF_264[[#This Row],[Calibre &lt;10]]/FT_RF_264[[#This Row],[Muestra]]),"0")</f>
        <v>0</v>
      </c>
      <c r="AZ248" s="38">
        <v>0</v>
      </c>
      <c r="BA248" s="39">
        <f>+IFERROR((FT_RF_264[[#This Row],[Calibre &gt;13]]/FT_RF_264[[#This Row],[Muestra]]),"0")</f>
        <v>0</v>
      </c>
      <c r="BB248" s="41"/>
      <c r="BG248" s="42"/>
      <c r="BH248" s="43">
        <v>0</v>
      </c>
      <c r="BI248" s="29" t="s">
        <v>894</v>
      </c>
      <c r="BJ248" s="29" t="s">
        <v>894</v>
      </c>
      <c r="BK24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4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48" s="45">
        <f>1-FT_RF_264[[#This Row],[% Defectos]]</f>
        <v>1</v>
      </c>
      <c r="BO248" s="60"/>
      <c r="BP248" s="12">
        <f>SUM(FT_RF_264[[#This Row],[Hoja (Un.)]:[Larvas Caja]])</f>
        <v>0</v>
      </c>
      <c r="BQ248" s="12">
        <f>SUM(FT_RF_264[[#This Row],[Vidrios]:[Plástico]])</f>
        <v>0</v>
      </c>
      <c r="BR248" s="12" t="str">
        <f>IF(ISBLANK(FT_RF_264[[#This Row],[Descripción del producto]]),"",FT_RF_264[[#This Row],[Descripción del producto]])</f>
        <v/>
      </c>
      <c r="BS248" s="29" t="str">
        <f>IF(ISBLANK(FT_RF_264[[#This Row],[N° de Lote]]),"",FT_RF_264[[#This Row],[N° de Lote]])</f>
        <v/>
      </c>
      <c r="BT248" s="29" t="str">
        <f>IF(ISBLANK(FT_RF_264[[#This Row],[N° de Pallet]]),"",FT_RF_264[[#This Row],[N° de Pallet]])</f>
        <v/>
      </c>
    </row>
    <row r="249" spans="2:72">
      <c r="B249" s="29">
        <f>+_xlfn.ISOWEEKNUM(FT_RF_264[[#This Row],[Fecha]])</f>
        <v>52</v>
      </c>
      <c r="E249" s="31"/>
      <c r="F249" s="12" t="str">
        <f>IFERROR(""&amp;_xlfn.XLOOKUP(FT_RF_264[[#This Row],[Código]],BD_Cod[SKU],BD_Cod[Descripción]),"")</f>
        <v/>
      </c>
      <c r="G249" s="32" t="str">
        <f>IFERROR(""&amp;_xlfn.XLOOKUP(FT_RF_264[[#This Row],[Código]],BD_Cod[SKU],BD_Cod[Familia Calidad]),"")</f>
        <v/>
      </c>
      <c r="J249" s="33">
        <v>1000</v>
      </c>
      <c r="L249" s="30" t="s">
        <v>244</v>
      </c>
      <c r="O249" s="30" t="s">
        <v>894</v>
      </c>
      <c r="P249" s="29" t="s">
        <v>894</v>
      </c>
      <c r="Q249" s="37">
        <f>1-FT_RF_264[[#This Row],[% Defectos]]</f>
        <v>1</v>
      </c>
      <c r="R249" s="38">
        <v>0</v>
      </c>
      <c r="S249" s="39">
        <f>+IFERROR((FT_RF_264[[#This Row],[Inmadura]]/FT_RF_264[[#This Row],[Muestra]]),"0")</f>
        <v>0</v>
      </c>
      <c r="T249" s="38">
        <v>0</v>
      </c>
      <c r="U249" s="39">
        <f>+IFERROR((FT_RF_264[[#This Row],[Partidas]]/FT_RF_264[[#This Row],[Muestra]]),"0")</f>
        <v>0</v>
      </c>
      <c r="V249" s="38">
        <v>0</v>
      </c>
      <c r="W249" s="39">
        <f>+IFERROR((FT_RF_264[[#This Row],[Daño Insecto]]/FT_RF_264[[#This Row],[Muestra]]),"0")</f>
        <v>0</v>
      </c>
      <c r="X249" s="38">
        <v>0</v>
      </c>
      <c r="Y249" s="39">
        <f>+IFERROR((FT_RF_264[[#This Row],[Sobremadura]]/FT_RF_264[[#This Row],[Muestra]]),"0")</f>
        <v>0</v>
      </c>
      <c r="Z249" s="38">
        <v>0</v>
      </c>
      <c r="AA249" s="39">
        <f>+IFERROR((FT_RF_264[[#This Row],[Deforme]]/FT_RF_264[[#This Row],[Muestra]]),"0")</f>
        <v>0</v>
      </c>
      <c r="AB249" s="27"/>
      <c r="AC249" s="38">
        <v>0</v>
      </c>
      <c r="AD249" s="39">
        <f>+IFERROR((FT_RF_264[[#This Row],[Valor Extra 1]]/FT_RF_264[[#This Row],[Muestra]]),"0")</f>
        <v>0</v>
      </c>
      <c r="AF249" s="38">
        <v>0</v>
      </c>
      <c r="AG249" s="39">
        <f>+IFERROR((FT_RF_264[[#This Row],[Valor Extra 2]]/FT_RF_264[[#This Row],[Muestra]]),"0")</f>
        <v>0</v>
      </c>
      <c r="AH249" s="40">
        <v>0</v>
      </c>
      <c r="AI249" s="39">
        <f>+IFERROR((FT_RF_264[[#This Row],[Hongos]]/FT_RF_264[[#This Row],[Muestra]]),"0")</f>
        <v>0</v>
      </c>
      <c r="AJ249" s="38">
        <v>0</v>
      </c>
      <c r="AK249" s="39">
        <f>+IFERROR((FT_RF_264[[#This Row],[Block]]/FT_RF_264[[#This Row],[Muestra]]),"0")</f>
        <v>0</v>
      </c>
      <c r="AL249" s="41">
        <v>0</v>
      </c>
      <c r="AM249" s="42">
        <v>0</v>
      </c>
      <c r="AN249" s="38">
        <v>0</v>
      </c>
      <c r="AO249" s="39">
        <f>+IFERROR((FT_RF_264[[#This Row],[Fuera de calibre &lt;12mm]]/FT_RF_264[[#This Row],[Muestra]]),"0")</f>
        <v>0</v>
      </c>
      <c r="AP249" s="38">
        <v>0</v>
      </c>
      <c r="AQ249" s="39">
        <f>+IFERROR((FT_RF_264[[#This Row],[Calibre &lt;25]]/FT_RF_264[[#This Row],[Muestra]]),"0")</f>
        <v>0</v>
      </c>
      <c r="AR249" s="38">
        <v>0</v>
      </c>
      <c r="AS249" s="39">
        <f>+IFERROR((FT_RF_264[[#This Row],[Calibre &gt;12]]/FT_RF_264[[#This Row],[Muestra]]),"0")</f>
        <v>0</v>
      </c>
      <c r="AT249" s="38">
        <v>0</v>
      </c>
      <c r="AU249" s="39">
        <f>+IFERROR((FT_RF_264[[#This Row],[Calibre &lt;14]]/FT_RF_264[[#This Row],[Muestra]]),"0")</f>
        <v>0</v>
      </c>
      <c r="AV249" s="38">
        <v>0</v>
      </c>
      <c r="AW249" s="39">
        <f>+IFERROR((FT_RF_264[[#This Row],[Calibre &gt;14]]/FT_RF_264[[#This Row],[Muestra]]),"0")</f>
        <v>0</v>
      </c>
      <c r="AX249" s="38">
        <v>0</v>
      </c>
      <c r="AY249" s="39">
        <f>+IFERROR((FT_RF_264[[#This Row],[Calibre &lt;10]]/FT_RF_264[[#This Row],[Muestra]]),"0")</f>
        <v>0</v>
      </c>
      <c r="AZ249" s="38">
        <v>0</v>
      </c>
      <c r="BA249" s="39">
        <f>+IFERROR((FT_RF_264[[#This Row],[Calibre &gt;13]]/FT_RF_264[[#This Row],[Muestra]]),"0")</f>
        <v>0</v>
      </c>
      <c r="BB249" s="41"/>
      <c r="BG249" s="42"/>
      <c r="BH249" s="43">
        <v>0</v>
      </c>
      <c r="BI249" s="29" t="s">
        <v>894</v>
      </c>
      <c r="BJ249" s="29" t="s">
        <v>894</v>
      </c>
      <c r="BK24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4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49" s="45">
        <f>1-FT_RF_264[[#This Row],[% Defectos]]</f>
        <v>1</v>
      </c>
      <c r="BO249" s="60"/>
      <c r="BP249" s="12">
        <f>SUM(FT_RF_264[[#This Row],[Hoja (Un.)]:[Larvas Caja]])</f>
        <v>0</v>
      </c>
      <c r="BQ249" s="12">
        <f>SUM(FT_RF_264[[#This Row],[Vidrios]:[Plástico]])</f>
        <v>0</v>
      </c>
      <c r="BR249" s="12" t="str">
        <f>IF(ISBLANK(FT_RF_264[[#This Row],[Descripción del producto]]),"",FT_RF_264[[#This Row],[Descripción del producto]])</f>
        <v/>
      </c>
      <c r="BS249" s="29" t="str">
        <f>IF(ISBLANK(FT_RF_264[[#This Row],[N° de Lote]]),"",FT_RF_264[[#This Row],[N° de Lote]])</f>
        <v/>
      </c>
      <c r="BT249" s="29" t="str">
        <f>IF(ISBLANK(FT_RF_264[[#This Row],[N° de Pallet]]),"",FT_RF_264[[#This Row],[N° de Pallet]])</f>
        <v/>
      </c>
    </row>
    <row r="250" spans="2:72">
      <c r="B250" s="29">
        <f>+_xlfn.ISOWEEKNUM(FT_RF_264[[#This Row],[Fecha]])</f>
        <v>52</v>
      </c>
      <c r="E250" s="31"/>
      <c r="F250" s="12" t="str">
        <f>IFERROR(""&amp;_xlfn.XLOOKUP(FT_RF_264[[#This Row],[Código]],BD_Cod[SKU],BD_Cod[Descripción]),"")</f>
        <v/>
      </c>
      <c r="G250" s="32" t="str">
        <f>IFERROR(""&amp;_xlfn.XLOOKUP(FT_RF_264[[#This Row],[Código]],BD_Cod[SKU],BD_Cod[Familia Calidad]),"")</f>
        <v/>
      </c>
      <c r="J250" s="33">
        <v>1000</v>
      </c>
      <c r="L250" s="30" t="s">
        <v>244</v>
      </c>
      <c r="O250" s="30" t="s">
        <v>894</v>
      </c>
      <c r="P250" s="29" t="s">
        <v>894</v>
      </c>
      <c r="Q250" s="37">
        <f>1-FT_RF_264[[#This Row],[% Defectos]]</f>
        <v>1</v>
      </c>
      <c r="R250" s="38">
        <v>0</v>
      </c>
      <c r="S250" s="39">
        <f>+IFERROR((FT_RF_264[[#This Row],[Inmadura]]/FT_RF_264[[#This Row],[Muestra]]),"0")</f>
        <v>0</v>
      </c>
      <c r="T250" s="38">
        <v>0</v>
      </c>
      <c r="U250" s="39">
        <f>+IFERROR((FT_RF_264[[#This Row],[Partidas]]/FT_RF_264[[#This Row],[Muestra]]),"0")</f>
        <v>0</v>
      </c>
      <c r="V250" s="38">
        <v>0</v>
      </c>
      <c r="W250" s="39">
        <f>+IFERROR((FT_RF_264[[#This Row],[Daño Insecto]]/FT_RF_264[[#This Row],[Muestra]]),"0")</f>
        <v>0</v>
      </c>
      <c r="X250" s="38">
        <v>0</v>
      </c>
      <c r="Y250" s="39">
        <f>+IFERROR((FT_RF_264[[#This Row],[Sobremadura]]/FT_RF_264[[#This Row],[Muestra]]),"0")</f>
        <v>0</v>
      </c>
      <c r="Z250" s="38">
        <v>0</v>
      </c>
      <c r="AA250" s="39">
        <f>+IFERROR((FT_RF_264[[#This Row],[Deforme]]/FT_RF_264[[#This Row],[Muestra]]),"0")</f>
        <v>0</v>
      </c>
      <c r="AB250" s="27"/>
      <c r="AC250" s="38">
        <v>0</v>
      </c>
      <c r="AD250" s="39">
        <f>+IFERROR((FT_RF_264[[#This Row],[Valor Extra 1]]/FT_RF_264[[#This Row],[Muestra]]),"0")</f>
        <v>0</v>
      </c>
      <c r="AF250" s="38">
        <v>0</v>
      </c>
      <c r="AG250" s="39">
        <f>+IFERROR((FT_RF_264[[#This Row],[Valor Extra 2]]/FT_RF_264[[#This Row],[Muestra]]),"0")</f>
        <v>0</v>
      </c>
      <c r="AH250" s="40">
        <v>0</v>
      </c>
      <c r="AI250" s="39">
        <f>+IFERROR((FT_RF_264[[#This Row],[Hongos]]/FT_RF_264[[#This Row],[Muestra]]),"0")</f>
        <v>0</v>
      </c>
      <c r="AJ250" s="38">
        <v>0</v>
      </c>
      <c r="AK250" s="39">
        <f>+IFERROR((FT_RF_264[[#This Row],[Block]]/FT_RF_264[[#This Row],[Muestra]]),"0")</f>
        <v>0</v>
      </c>
      <c r="AL250" s="41">
        <v>0</v>
      </c>
      <c r="AM250" s="42">
        <v>0</v>
      </c>
      <c r="AN250" s="38">
        <v>0</v>
      </c>
      <c r="AO250" s="39">
        <f>+IFERROR((FT_RF_264[[#This Row],[Fuera de calibre &lt;12mm]]/FT_RF_264[[#This Row],[Muestra]]),"0")</f>
        <v>0</v>
      </c>
      <c r="AP250" s="38">
        <v>0</v>
      </c>
      <c r="AQ250" s="39">
        <f>+IFERROR((FT_RF_264[[#This Row],[Calibre &lt;25]]/FT_RF_264[[#This Row],[Muestra]]),"0")</f>
        <v>0</v>
      </c>
      <c r="AR250" s="38">
        <v>0</v>
      </c>
      <c r="AS250" s="39">
        <f>+IFERROR((FT_RF_264[[#This Row],[Calibre &gt;12]]/FT_RF_264[[#This Row],[Muestra]]),"0")</f>
        <v>0</v>
      </c>
      <c r="AT250" s="38">
        <v>0</v>
      </c>
      <c r="AU250" s="39">
        <f>+IFERROR((FT_RF_264[[#This Row],[Calibre &lt;14]]/FT_RF_264[[#This Row],[Muestra]]),"0")</f>
        <v>0</v>
      </c>
      <c r="AV250" s="38">
        <v>0</v>
      </c>
      <c r="AW250" s="39">
        <f>+IFERROR((FT_RF_264[[#This Row],[Calibre &gt;14]]/FT_RF_264[[#This Row],[Muestra]]),"0")</f>
        <v>0</v>
      </c>
      <c r="AX250" s="38">
        <v>0</v>
      </c>
      <c r="AY250" s="39">
        <f>+IFERROR((FT_RF_264[[#This Row],[Calibre &lt;10]]/FT_RF_264[[#This Row],[Muestra]]),"0")</f>
        <v>0</v>
      </c>
      <c r="AZ250" s="38">
        <v>0</v>
      </c>
      <c r="BA250" s="39">
        <f>+IFERROR((FT_RF_264[[#This Row],[Calibre &gt;13]]/FT_RF_264[[#This Row],[Muestra]]),"0")</f>
        <v>0</v>
      </c>
      <c r="BB250" s="41"/>
      <c r="BG250" s="42"/>
      <c r="BH250" s="43">
        <v>0</v>
      </c>
      <c r="BI250" s="29" t="s">
        <v>894</v>
      </c>
      <c r="BJ250" s="29" t="s">
        <v>894</v>
      </c>
      <c r="BK25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5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50" s="45">
        <f>1-FT_RF_264[[#This Row],[% Defectos]]</f>
        <v>1</v>
      </c>
      <c r="BO250" s="60"/>
      <c r="BP250" s="12">
        <f>SUM(FT_RF_264[[#This Row],[Hoja (Un.)]:[Larvas Caja]])</f>
        <v>0</v>
      </c>
      <c r="BQ250" s="12">
        <f>SUM(FT_RF_264[[#This Row],[Vidrios]:[Plástico]])</f>
        <v>0</v>
      </c>
      <c r="BR250" s="12" t="str">
        <f>IF(ISBLANK(FT_RF_264[[#This Row],[Descripción del producto]]),"",FT_RF_264[[#This Row],[Descripción del producto]])</f>
        <v/>
      </c>
      <c r="BS250" s="29" t="str">
        <f>IF(ISBLANK(FT_RF_264[[#This Row],[N° de Lote]]),"",FT_RF_264[[#This Row],[N° de Lote]])</f>
        <v/>
      </c>
      <c r="BT250" s="29" t="str">
        <f>IF(ISBLANK(FT_RF_264[[#This Row],[N° de Pallet]]),"",FT_RF_264[[#This Row],[N° de Pallet]])</f>
        <v/>
      </c>
    </row>
    <row r="251" spans="2:72">
      <c r="B251" s="29">
        <f>+_xlfn.ISOWEEKNUM(FT_RF_264[[#This Row],[Fecha]])</f>
        <v>52</v>
      </c>
      <c r="E251" s="31"/>
      <c r="F251" s="12" t="str">
        <f>IFERROR(""&amp;_xlfn.XLOOKUP(FT_RF_264[[#This Row],[Código]],BD_Cod[SKU],BD_Cod[Descripción]),"")</f>
        <v/>
      </c>
      <c r="G251" s="32" t="str">
        <f>IFERROR(""&amp;_xlfn.XLOOKUP(FT_RF_264[[#This Row],[Código]],BD_Cod[SKU],BD_Cod[Familia Calidad]),"")</f>
        <v/>
      </c>
      <c r="J251" s="33">
        <v>1000</v>
      </c>
      <c r="L251" s="30" t="s">
        <v>244</v>
      </c>
      <c r="O251" s="30" t="s">
        <v>894</v>
      </c>
      <c r="P251" s="29" t="s">
        <v>894</v>
      </c>
      <c r="Q251" s="37">
        <f>1-FT_RF_264[[#This Row],[% Defectos]]</f>
        <v>1</v>
      </c>
      <c r="R251" s="38">
        <v>0</v>
      </c>
      <c r="S251" s="39">
        <f>+IFERROR((FT_RF_264[[#This Row],[Inmadura]]/FT_RF_264[[#This Row],[Muestra]]),"0")</f>
        <v>0</v>
      </c>
      <c r="T251" s="38">
        <v>0</v>
      </c>
      <c r="U251" s="39">
        <f>+IFERROR((FT_RF_264[[#This Row],[Partidas]]/FT_RF_264[[#This Row],[Muestra]]),"0")</f>
        <v>0</v>
      </c>
      <c r="V251" s="38">
        <v>0</v>
      </c>
      <c r="W251" s="39">
        <f>+IFERROR((FT_RF_264[[#This Row],[Daño Insecto]]/FT_RF_264[[#This Row],[Muestra]]),"0")</f>
        <v>0</v>
      </c>
      <c r="X251" s="38">
        <v>0</v>
      </c>
      <c r="Y251" s="39">
        <f>+IFERROR((FT_RF_264[[#This Row],[Sobremadura]]/FT_RF_264[[#This Row],[Muestra]]),"0")</f>
        <v>0</v>
      </c>
      <c r="Z251" s="38">
        <v>0</v>
      </c>
      <c r="AA251" s="39">
        <f>+IFERROR((FT_RF_264[[#This Row],[Deforme]]/FT_RF_264[[#This Row],[Muestra]]),"0")</f>
        <v>0</v>
      </c>
      <c r="AB251" s="27"/>
      <c r="AC251" s="38">
        <v>0</v>
      </c>
      <c r="AD251" s="39">
        <f>+IFERROR((FT_RF_264[[#This Row],[Valor Extra 1]]/FT_RF_264[[#This Row],[Muestra]]),"0")</f>
        <v>0</v>
      </c>
      <c r="AF251" s="38">
        <v>0</v>
      </c>
      <c r="AG251" s="39">
        <f>+IFERROR((FT_RF_264[[#This Row],[Valor Extra 2]]/FT_RF_264[[#This Row],[Muestra]]),"0")</f>
        <v>0</v>
      </c>
      <c r="AH251" s="40">
        <v>0</v>
      </c>
      <c r="AI251" s="39">
        <f>+IFERROR((FT_RF_264[[#This Row],[Hongos]]/FT_RF_264[[#This Row],[Muestra]]),"0")</f>
        <v>0</v>
      </c>
      <c r="AJ251" s="38">
        <v>0</v>
      </c>
      <c r="AK251" s="39">
        <f>+IFERROR((FT_RF_264[[#This Row],[Block]]/FT_RF_264[[#This Row],[Muestra]]),"0")</f>
        <v>0</v>
      </c>
      <c r="AL251" s="41">
        <v>0</v>
      </c>
      <c r="AM251" s="42">
        <v>0</v>
      </c>
      <c r="AN251" s="38">
        <v>0</v>
      </c>
      <c r="AO251" s="39">
        <f>+IFERROR((FT_RF_264[[#This Row],[Fuera de calibre &lt;12mm]]/FT_RF_264[[#This Row],[Muestra]]),"0")</f>
        <v>0</v>
      </c>
      <c r="AP251" s="38">
        <v>0</v>
      </c>
      <c r="AQ251" s="39">
        <f>+IFERROR((FT_RF_264[[#This Row],[Calibre &lt;25]]/FT_RF_264[[#This Row],[Muestra]]),"0")</f>
        <v>0</v>
      </c>
      <c r="AR251" s="38">
        <v>0</v>
      </c>
      <c r="AS251" s="39">
        <f>+IFERROR((FT_RF_264[[#This Row],[Calibre &gt;12]]/FT_RF_264[[#This Row],[Muestra]]),"0")</f>
        <v>0</v>
      </c>
      <c r="AT251" s="38">
        <v>0</v>
      </c>
      <c r="AU251" s="39">
        <f>+IFERROR((FT_RF_264[[#This Row],[Calibre &lt;14]]/FT_RF_264[[#This Row],[Muestra]]),"0")</f>
        <v>0</v>
      </c>
      <c r="AV251" s="38">
        <v>0</v>
      </c>
      <c r="AW251" s="39">
        <f>+IFERROR((FT_RF_264[[#This Row],[Calibre &gt;14]]/FT_RF_264[[#This Row],[Muestra]]),"0")</f>
        <v>0</v>
      </c>
      <c r="AX251" s="38">
        <v>0</v>
      </c>
      <c r="AY251" s="39">
        <f>+IFERROR((FT_RF_264[[#This Row],[Calibre &lt;10]]/FT_RF_264[[#This Row],[Muestra]]),"0")</f>
        <v>0</v>
      </c>
      <c r="AZ251" s="38">
        <v>0</v>
      </c>
      <c r="BA251" s="39">
        <f>+IFERROR((FT_RF_264[[#This Row],[Calibre &gt;13]]/FT_RF_264[[#This Row],[Muestra]]),"0")</f>
        <v>0</v>
      </c>
      <c r="BB251" s="41"/>
      <c r="BG251" s="42"/>
      <c r="BH251" s="43">
        <v>0</v>
      </c>
      <c r="BI251" s="29" t="s">
        <v>894</v>
      </c>
      <c r="BJ251" s="29" t="s">
        <v>894</v>
      </c>
      <c r="BK25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5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51" s="45">
        <f>1-FT_RF_264[[#This Row],[% Defectos]]</f>
        <v>1</v>
      </c>
      <c r="BO251" s="60"/>
      <c r="BP251" s="12">
        <f>SUM(FT_RF_264[[#This Row],[Hoja (Un.)]:[Larvas Caja]])</f>
        <v>0</v>
      </c>
      <c r="BQ251" s="12">
        <f>SUM(FT_RF_264[[#This Row],[Vidrios]:[Plástico]])</f>
        <v>0</v>
      </c>
      <c r="BR251" s="12" t="str">
        <f>IF(ISBLANK(FT_RF_264[[#This Row],[Descripción del producto]]),"",FT_RF_264[[#This Row],[Descripción del producto]])</f>
        <v/>
      </c>
      <c r="BS251" s="29" t="str">
        <f>IF(ISBLANK(FT_RF_264[[#This Row],[N° de Lote]]),"",FT_RF_264[[#This Row],[N° de Lote]])</f>
        <v/>
      </c>
      <c r="BT251" s="29" t="str">
        <f>IF(ISBLANK(FT_RF_264[[#This Row],[N° de Pallet]]),"",FT_RF_264[[#This Row],[N° de Pallet]])</f>
        <v/>
      </c>
    </row>
    <row r="252" spans="2:72">
      <c r="B252" s="29">
        <f>+_xlfn.ISOWEEKNUM(FT_RF_264[[#This Row],[Fecha]])</f>
        <v>52</v>
      </c>
      <c r="E252" s="31"/>
      <c r="F252" s="12" t="str">
        <f>IFERROR(""&amp;_xlfn.XLOOKUP(FT_RF_264[[#This Row],[Código]],BD_Cod[SKU],BD_Cod[Descripción]),"")</f>
        <v/>
      </c>
      <c r="G252" s="32" t="str">
        <f>IFERROR(""&amp;_xlfn.XLOOKUP(FT_RF_264[[#This Row],[Código]],BD_Cod[SKU],BD_Cod[Familia Calidad]),"")</f>
        <v/>
      </c>
      <c r="J252" s="33">
        <v>1000</v>
      </c>
      <c r="L252" s="30" t="s">
        <v>244</v>
      </c>
      <c r="O252" s="30" t="s">
        <v>894</v>
      </c>
      <c r="P252" s="29" t="s">
        <v>894</v>
      </c>
      <c r="Q252" s="37">
        <f>1-FT_RF_264[[#This Row],[% Defectos]]</f>
        <v>1</v>
      </c>
      <c r="R252" s="38">
        <v>0</v>
      </c>
      <c r="S252" s="39">
        <f>+IFERROR((FT_RF_264[[#This Row],[Inmadura]]/FT_RF_264[[#This Row],[Muestra]]),"0")</f>
        <v>0</v>
      </c>
      <c r="T252" s="38">
        <v>0</v>
      </c>
      <c r="U252" s="39">
        <f>+IFERROR((FT_RF_264[[#This Row],[Partidas]]/FT_RF_264[[#This Row],[Muestra]]),"0")</f>
        <v>0</v>
      </c>
      <c r="V252" s="38">
        <v>0</v>
      </c>
      <c r="W252" s="39">
        <f>+IFERROR((FT_RF_264[[#This Row],[Daño Insecto]]/FT_RF_264[[#This Row],[Muestra]]),"0")</f>
        <v>0</v>
      </c>
      <c r="X252" s="38">
        <v>0</v>
      </c>
      <c r="Y252" s="39">
        <f>+IFERROR((FT_RF_264[[#This Row],[Sobremadura]]/FT_RF_264[[#This Row],[Muestra]]),"0")</f>
        <v>0</v>
      </c>
      <c r="Z252" s="38">
        <v>0</v>
      </c>
      <c r="AA252" s="39">
        <f>+IFERROR((FT_RF_264[[#This Row],[Deforme]]/FT_RF_264[[#This Row],[Muestra]]),"0")</f>
        <v>0</v>
      </c>
      <c r="AB252" s="27"/>
      <c r="AC252" s="38">
        <v>0</v>
      </c>
      <c r="AD252" s="39">
        <f>+IFERROR((FT_RF_264[[#This Row],[Valor Extra 1]]/FT_RF_264[[#This Row],[Muestra]]),"0")</f>
        <v>0</v>
      </c>
      <c r="AF252" s="38">
        <v>0</v>
      </c>
      <c r="AG252" s="39">
        <f>+IFERROR((FT_RF_264[[#This Row],[Valor Extra 2]]/FT_RF_264[[#This Row],[Muestra]]),"0")</f>
        <v>0</v>
      </c>
      <c r="AH252" s="40">
        <v>0</v>
      </c>
      <c r="AI252" s="39">
        <f>+IFERROR((FT_RF_264[[#This Row],[Hongos]]/FT_RF_264[[#This Row],[Muestra]]),"0")</f>
        <v>0</v>
      </c>
      <c r="AJ252" s="38">
        <v>0</v>
      </c>
      <c r="AK252" s="39">
        <f>+IFERROR((FT_RF_264[[#This Row],[Block]]/FT_RF_264[[#This Row],[Muestra]]),"0")</f>
        <v>0</v>
      </c>
      <c r="AL252" s="41">
        <v>0</v>
      </c>
      <c r="AM252" s="42">
        <v>0</v>
      </c>
      <c r="AN252" s="38">
        <v>0</v>
      </c>
      <c r="AO252" s="39">
        <f>+IFERROR((FT_RF_264[[#This Row],[Fuera de calibre &lt;12mm]]/FT_RF_264[[#This Row],[Muestra]]),"0")</f>
        <v>0</v>
      </c>
      <c r="AP252" s="38">
        <v>0</v>
      </c>
      <c r="AQ252" s="39">
        <f>+IFERROR((FT_RF_264[[#This Row],[Calibre &lt;25]]/FT_RF_264[[#This Row],[Muestra]]),"0")</f>
        <v>0</v>
      </c>
      <c r="AR252" s="38">
        <v>0</v>
      </c>
      <c r="AS252" s="39">
        <f>+IFERROR((FT_RF_264[[#This Row],[Calibre &gt;12]]/FT_RF_264[[#This Row],[Muestra]]),"0")</f>
        <v>0</v>
      </c>
      <c r="AT252" s="38">
        <v>0</v>
      </c>
      <c r="AU252" s="39">
        <f>+IFERROR((FT_RF_264[[#This Row],[Calibre &lt;14]]/FT_RF_264[[#This Row],[Muestra]]),"0")</f>
        <v>0</v>
      </c>
      <c r="AV252" s="38">
        <v>0</v>
      </c>
      <c r="AW252" s="39">
        <f>+IFERROR((FT_RF_264[[#This Row],[Calibre &gt;14]]/FT_RF_264[[#This Row],[Muestra]]),"0")</f>
        <v>0</v>
      </c>
      <c r="AX252" s="38">
        <v>0</v>
      </c>
      <c r="AY252" s="39">
        <f>+IFERROR((FT_RF_264[[#This Row],[Calibre &lt;10]]/FT_RF_264[[#This Row],[Muestra]]),"0")</f>
        <v>0</v>
      </c>
      <c r="AZ252" s="38">
        <v>0</v>
      </c>
      <c r="BA252" s="39">
        <f>+IFERROR((FT_RF_264[[#This Row],[Calibre &gt;13]]/FT_RF_264[[#This Row],[Muestra]]),"0")</f>
        <v>0</v>
      </c>
      <c r="BB252" s="41"/>
      <c r="BG252" s="42"/>
      <c r="BH252" s="43">
        <v>0</v>
      </c>
      <c r="BI252" s="29" t="s">
        <v>894</v>
      </c>
      <c r="BJ252" s="29" t="s">
        <v>894</v>
      </c>
      <c r="BK25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5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52" s="45">
        <f>1-FT_RF_264[[#This Row],[% Defectos]]</f>
        <v>1</v>
      </c>
      <c r="BO252" s="60"/>
      <c r="BP252" s="12">
        <f>SUM(FT_RF_264[[#This Row],[Hoja (Un.)]:[Larvas Caja]])</f>
        <v>0</v>
      </c>
      <c r="BQ252" s="12">
        <f>SUM(FT_RF_264[[#This Row],[Vidrios]:[Plástico]])</f>
        <v>0</v>
      </c>
      <c r="BR252" s="12" t="str">
        <f>IF(ISBLANK(FT_RF_264[[#This Row],[Descripción del producto]]),"",FT_RF_264[[#This Row],[Descripción del producto]])</f>
        <v/>
      </c>
      <c r="BS252" s="29" t="str">
        <f>IF(ISBLANK(FT_RF_264[[#This Row],[N° de Lote]]),"",FT_RF_264[[#This Row],[N° de Lote]])</f>
        <v/>
      </c>
      <c r="BT252" s="29" t="str">
        <f>IF(ISBLANK(FT_RF_264[[#This Row],[N° de Pallet]]),"",FT_RF_264[[#This Row],[N° de Pallet]])</f>
        <v/>
      </c>
    </row>
    <row r="253" spans="2:72">
      <c r="B253" s="29">
        <f>+_xlfn.ISOWEEKNUM(FT_RF_264[[#This Row],[Fecha]])</f>
        <v>52</v>
      </c>
      <c r="E253" s="31"/>
      <c r="F253" s="12" t="str">
        <f>IFERROR(""&amp;_xlfn.XLOOKUP(FT_RF_264[[#This Row],[Código]],BD_Cod[SKU],BD_Cod[Descripción]),"")</f>
        <v/>
      </c>
      <c r="G253" s="32" t="str">
        <f>IFERROR(""&amp;_xlfn.XLOOKUP(FT_RF_264[[#This Row],[Código]],BD_Cod[SKU],BD_Cod[Familia Calidad]),"")</f>
        <v/>
      </c>
      <c r="J253" s="33">
        <v>1000</v>
      </c>
      <c r="L253" s="30" t="s">
        <v>244</v>
      </c>
      <c r="O253" s="30" t="s">
        <v>894</v>
      </c>
      <c r="P253" s="29" t="s">
        <v>894</v>
      </c>
      <c r="Q253" s="37">
        <f>1-FT_RF_264[[#This Row],[% Defectos]]</f>
        <v>1</v>
      </c>
      <c r="R253" s="38">
        <v>0</v>
      </c>
      <c r="S253" s="39">
        <f>+IFERROR((FT_RF_264[[#This Row],[Inmadura]]/FT_RF_264[[#This Row],[Muestra]]),"0")</f>
        <v>0</v>
      </c>
      <c r="T253" s="38">
        <v>0</v>
      </c>
      <c r="U253" s="39">
        <f>+IFERROR((FT_RF_264[[#This Row],[Partidas]]/FT_RF_264[[#This Row],[Muestra]]),"0")</f>
        <v>0</v>
      </c>
      <c r="V253" s="38">
        <v>0</v>
      </c>
      <c r="W253" s="39">
        <f>+IFERROR((FT_RF_264[[#This Row],[Daño Insecto]]/FT_RF_264[[#This Row],[Muestra]]),"0")</f>
        <v>0</v>
      </c>
      <c r="X253" s="38">
        <v>0</v>
      </c>
      <c r="Y253" s="39">
        <f>+IFERROR((FT_RF_264[[#This Row],[Sobremadura]]/FT_RF_264[[#This Row],[Muestra]]),"0")</f>
        <v>0</v>
      </c>
      <c r="Z253" s="38">
        <v>0</v>
      </c>
      <c r="AA253" s="39">
        <f>+IFERROR((FT_RF_264[[#This Row],[Deforme]]/FT_RF_264[[#This Row],[Muestra]]),"0")</f>
        <v>0</v>
      </c>
      <c r="AB253" s="27"/>
      <c r="AC253" s="38">
        <v>0</v>
      </c>
      <c r="AD253" s="39">
        <f>+IFERROR((FT_RF_264[[#This Row],[Valor Extra 1]]/FT_RF_264[[#This Row],[Muestra]]),"0")</f>
        <v>0</v>
      </c>
      <c r="AF253" s="38">
        <v>0</v>
      </c>
      <c r="AG253" s="39">
        <f>+IFERROR((FT_RF_264[[#This Row],[Valor Extra 2]]/FT_RF_264[[#This Row],[Muestra]]),"0")</f>
        <v>0</v>
      </c>
      <c r="AH253" s="40">
        <v>0</v>
      </c>
      <c r="AI253" s="39">
        <f>+IFERROR((FT_RF_264[[#This Row],[Hongos]]/FT_RF_264[[#This Row],[Muestra]]),"0")</f>
        <v>0</v>
      </c>
      <c r="AJ253" s="38">
        <v>0</v>
      </c>
      <c r="AK253" s="39">
        <f>+IFERROR((FT_RF_264[[#This Row],[Block]]/FT_RF_264[[#This Row],[Muestra]]),"0")</f>
        <v>0</v>
      </c>
      <c r="AL253" s="41">
        <v>0</v>
      </c>
      <c r="AM253" s="42">
        <v>0</v>
      </c>
      <c r="AN253" s="38">
        <v>0</v>
      </c>
      <c r="AO253" s="39">
        <f>+IFERROR((FT_RF_264[[#This Row],[Fuera de calibre &lt;12mm]]/FT_RF_264[[#This Row],[Muestra]]),"0")</f>
        <v>0</v>
      </c>
      <c r="AP253" s="38">
        <v>0</v>
      </c>
      <c r="AQ253" s="39">
        <f>+IFERROR((FT_RF_264[[#This Row],[Calibre &lt;25]]/FT_RF_264[[#This Row],[Muestra]]),"0")</f>
        <v>0</v>
      </c>
      <c r="AR253" s="38">
        <v>0</v>
      </c>
      <c r="AS253" s="39">
        <f>+IFERROR((FT_RF_264[[#This Row],[Calibre &gt;12]]/FT_RF_264[[#This Row],[Muestra]]),"0")</f>
        <v>0</v>
      </c>
      <c r="AT253" s="38">
        <v>0</v>
      </c>
      <c r="AU253" s="39">
        <f>+IFERROR((FT_RF_264[[#This Row],[Calibre &lt;14]]/FT_RF_264[[#This Row],[Muestra]]),"0")</f>
        <v>0</v>
      </c>
      <c r="AV253" s="38">
        <v>0</v>
      </c>
      <c r="AW253" s="39">
        <f>+IFERROR((FT_RF_264[[#This Row],[Calibre &gt;14]]/FT_RF_264[[#This Row],[Muestra]]),"0")</f>
        <v>0</v>
      </c>
      <c r="AX253" s="38">
        <v>0</v>
      </c>
      <c r="AY253" s="39">
        <f>+IFERROR((FT_RF_264[[#This Row],[Calibre &lt;10]]/FT_RF_264[[#This Row],[Muestra]]),"0")</f>
        <v>0</v>
      </c>
      <c r="AZ253" s="38">
        <v>0</v>
      </c>
      <c r="BA253" s="39">
        <f>+IFERROR((FT_RF_264[[#This Row],[Calibre &gt;13]]/FT_RF_264[[#This Row],[Muestra]]),"0")</f>
        <v>0</v>
      </c>
      <c r="BB253" s="41"/>
      <c r="BG253" s="42"/>
      <c r="BH253" s="43">
        <v>0</v>
      </c>
      <c r="BI253" s="29" t="s">
        <v>894</v>
      </c>
      <c r="BJ253" s="29" t="s">
        <v>894</v>
      </c>
      <c r="BK25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5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53" s="45">
        <f>1-FT_RF_264[[#This Row],[% Defectos]]</f>
        <v>1</v>
      </c>
      <c r="BO253" s="60"/>
      <c r="BP253" s="12">
        <f>SUM(FT_RF_264[[#This Row],[Hoja (Un.)]:[Larvas Caja]])</f>
        <v>0</v>
      </c>
      <c r="BQ253" s="12">
        <f>SUM(FT_RF_264[[#This Row],[Vidrios]:[Plástico]])</f>
        <v>0</v>
      </c>
      <c r="BR253" s="12" t="str">
        <f>IF(ISBLANK(FT_RF_264[[#This Row],[Descripción del producto]]),"",FT_RF_264[[#This Row],[Descripción del producto]])</f>
        <v/>
      </c>
      <c r="BS253" s="29" t="str">
        <f>IF(ISBLANK(FT_RF_264[[#This Row],[N° de Lote]]),"",FT_RF_264[[#This Row],[N° de Lote]])</f>
        <v/>
      </c>
      <c r="BT253" s="29" t="str">
        <f>IF(ISBLANK(FT_RF_264[[#This Row],[N° de Pallet]]),"",FT_RF_264[[#This Row],[N° de Pallet]])</f>
        <v/>
      </c>
    </row>
    <row r="254" spans="2:72">
      <c r="B254" s="29">
        <f>+_xlfn.ISOWEEKNUM(FT_RF_264[[#This Row],[Fecha]])</f>
        <v>52</v>
      </c>
      <c r="E254" s="31"/>
      <c r="F254" s="12" t="str">
        <f>IFERROR(""&amp;_xlfn.XLOOKUP(FT_RF_264[[#This Row],[Código]],BD_Cod[SKU],BD_Cod[Descripción]),"")</f>
        <v/>
      </c>
      <c r="G254" s="32" t="str">
        <f>IFERROR(""&amp;_xlfn.XLOOKUP(FT_RF_264[[#This Row],[Código]],BD_Cod[SKU],BD_Cod[Familia Calidad]),"")</f>
        <v/>
      </c>
      <c r="J254" s="33">
        <v>1000</v>
      </c>
      <c r="L254" s="30" t="s">
        <v>244</v>
      </c>
      <c r="O254" s="30" t="s">
        <v>894</v>
      </c>
      <c r="P254" s="29" t="s">
        <v>894</v>
      </c>
      <c r="Q254" s="37">
        <f>1-FT_RF_264[[#This Row],[% Defectos]]</f>
        <v>1</v>
      </c>
      <c r="R254" s="38">
        <v>0</v>
      </c>
      <c r="S254" s="39">
        <f>+IFERROR((FT_RF_264[[#This Row],[Inmadura]]/FT_RF_264[[#This Row],[Muestra]]),"0")</f>
        <v>0</v>
      </c>
      <c r="T254" s="38">
        <v>0</v>
      </c>
      <c r="U254" s="39">
        <f>+IFERROR((FT_RF_264[[#This Row],[Partidas]]/FT_RF_264[[#This Row],[Muestra]]),"0")</f>
        <v>0</v>
      </c>
      <c r="V254" s="38">
        <v>0</v>
      </c>
      <c r="W254" s="39">
        <f>+IFERROR((FT_RF_264[[#This Row],[Daño Insecto]]/FT_RF_264[[#This Row],[Muestra]]),"0")</f>
        <v>0</v>
      </c>
      <c r="X254" s="38">
        <v>0</v>
      </c>
      <c r="Y254" s="39">
        <f>+IFERROR((FT_RF_264[[#This Row],[Sobremadura]]/FT_RF_264[[#This Row],[Muestra]]),"0")</f>
        <v>0</v>
      </c>
      <c r="Z254" s="38">
        <v>0</v>
      </c>
      <c r="AA254" s="39">
        <f>+IFERROR((FT_RF_264[[#This Row],[Deforme]]/FT_RF_264[[#This Row],[Muestra]]),"0")</f>
        <v>0</v>
      </c>
      <c r="AB254" s="27"/>
      <c r="AC254" s="38">
        <v>0</v>
      </c>
      <c r="AD254" s="39">
        <f>+IFERROR((FT_RF_264[[#This Row],[Valor Extra 1]]/FT_RF_264[[#This Row],[Muestra]]),"0")</f>
        <v>0</v>
      </c>
      <c r="AF254" s="38">
        <v>0</v>
      </c>
      <c r="AG254" s="39">
        <f>+IFERROR((FT_RF_264[[#This Row],[Valor Extra 2]]/FT_RF_264[[#This Row],[Muestra]]),"0")</f>
        <v>0</v>
      </c>
      <c r="AH254" s="40">
        <v>0</v>
      </c>
      <c r="AI254" s="39">
        <f>+IFERROR((FT_RF_264[[#This Row],[Hongos]]/FT_RF_264[[#This Row],[Muestra]]),"0")</f>
        <v>0</v>
      </c>
      <c r="AJ254" s="38">
        <v>0</v>
      </c>
      <c r="AK254" s="39">
        <f>+IFERROR((FT_RF_264[[#This Row],[Block]]/FT_RF_264[[#This Row],[Muestra]]),"0")</f>
        <v>0</v>
      </c>
      <c r="AL254" s="41">
        <v>0</v>
      </c>
      <c r="AM254" s="42">
        <v>0</v>
      </c>
      <c r="AN254" s="38">
        <v>0</v>
      </c>
      <c r="AO254" s="39">
        <f>+IFERROR((FT_RF_264[[#This Row],[Fuera de calibre &lt;12mm]]/FT_RF_264[[#This Row],[Muestra]]),"0")</f>
        <v>0</v>
      </c>
      <c r="AP254" s="38">
        <v>0</v>
      </c>
      <c r="AQ254" s="39">
        <f>+IFERROR((FT_RF_264[[#This Row],[Calibre &lt;25]]/FT_RF_264[[#This Row],[Muestra]]),"0")</f>
        <v>0</v>
      </c>
      <c r="AR254" s="38">
        <v>0</v>
      </c>
      <c r="AS254" s="39">
        <f>+IFERROR((FT_RF_264[[#This Row],[Calibre &gt;12]]/FT_RF_264[[#This Row],[Muestra]]),"0")</f>
        <v>0</v>
      </c>
      <c r="AT254" s="38">
        <v>0</v>
      </c>
      <c r="AU254" s="39">
        <f>+IFERROR((FT_RF_264[[#This Row],[Calibre &lt;14]]/FT_RF_264[[#This Row],[Muestra]]),"0")</f>
        <v>0</v>
      </c>
      <c r="AV254" s="38">
        <v>0</v>
      </c>
      <c r="AW254" s="39">
        <f>+IFERROR((FT_RF_264[[#This Row],[Calibre &gt;14]]/FT_RF_264[[#This Row],[Muestra]]),"0")</f>
        <v>0</v>
      </c>
      <c r="AX254" s="38">
        <v>0</v>
      </c>
      <c r="AY254" s="39">
        <f>+IFERROR((FT_RF_264[[#This Row],[Calibre &lt;10]]/FT_RF_264[[#This Row],[Muestra]]),"0")</f>
        <v>0</v>
      </c>
      <c r="AZ254" s="38">
        <v>0</v>
      </c>
      <c r="BA254" s="39">
        <f>+IFERROR((FT_RF_264[[#This Row],[Calibre &gt;13]]/FT_RF_264[[#This Row],[Muestra]]),"0")</f>
        <v>0</v>
      </c>
      <c r="BB254" s="41"/>
      <c r="BG254" s="42"/>
      <c r="BH254" s="43">
        <v>0</v>
      </c>
      <c r="BI254" s="29" t="s">
        <v>894</v>
      </c>
      <c r="BJ254" s="29" t="s">
        <v>894</v>
      </c>
      <c r="BK25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5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54" s="45">
        <f>1-FT_RF_264[[#This Row],[% Defectos]]</f>
        <v>1</v>
      </c>
      <c r="BO254" s="60"/>
      <c r="BP254" s="12">
        <f>SUM(FT_RF_264[[#This Row],[Hoja (Un.)]:[Larvas Caja]])</f>
        <v>0</v>
      </c>
      <c r="BQ254" s="12">
        <f>SUM(FT_RF_264[[#This Row],[Vidrios]:[Plástico]])</f>
        <v>0</v>
      </c>
      <c r="BR254" s="12" t="str">
        <f>IF(ISBLANK(FT_RF_264[[#This Row],[Descripción del producto]]),"",FT_RF_264[[#This Row],[Descripción del producto]])</f>
        <v/>
      </c>
      <c r="BS254" s="29" t="str">
        <f>IF(ISBLANK(FT_RF_264[[#This Row],[N° de Lote]]),"",FT_RF_264[[#This Row],[N° de Lote]])</f>
        <v/>
      </c>
      <c r="BT254" s="29" t="str">
        <f>IF(ISBLANK(FT_RF_264[[#This Row],[N° de Pallet]]),"",FT_RF_264[[#This Row],[N° de Pallet]])</f>
        <v/>
      </c>
    </row>
    <row r="255" spans="2:72">
      <c r="B255" s="29">
        <f>+_xlfn.ISOWEEKNUM(FT_RF_264[[#This Row],[Fecha]])</f>
        <v>52</v>
      </c>
      <c r="E255" s="31"/>
      <c r="F255" s="12" t="str">
        <f>IFERROR(""&amp;_xlfn.XLOOKUP(FT_RF_264[[#This Row],[Código]],BD_Cod[SKU],BD_Cod[Descripción]),"")</f>
        <v/>
      </c>
      <c r="G255" s="32" t="str">
        <f>IFERROR(""&amp;_xlfn.XLOOKUP(FT_RF_264[[#This Row],[Código]],BD_Cod[SKU],BD_Cod[Familia Calidad]),"")</f>
        <v/>
      </c>
      <c r="J255" s="33">
        <v>1000</v>
      </c>
      <c r="L255" s="30" t="s">
        <v>244</v>
      </c>
      <c r="O255" s="30" t="s">
        <v>894</v>
      </c>
      <c r="P255" s="29" t="s">
        <v>894</v>
      </c>
      <c r="Q255" s="37">
        <f>1-FT_RF_264[[#This Row],[% Defectos]]</f>
        <v>1</v>
      </c>
      <c r="R255" s="38">
        <v>0</v>
      </c>
      <c r="S255" s="39">
        <f>+IFERROR((FT_RF_264[[#This Row],[Inmadura]]/FT_RF_264[[#This Row],[Muestra]]),"0")</f>
        <v>0</v>
      </c>
      <c r="T255" s="38">
        <v>0</v>
      </c>
      <c r="U255" s="39">
        <f>+IFERROR((FT_RF_264[[#This Row],[Partidas]]/FT_RF_264[[#This Row],[Muestra]]),"0")</f>
        <v>0</v>
      </c>
      <c r="V255" s="38">
        <v>0</v>
      </c>
      <c r="W255" s="39">
        <f>+IFERROR((FT_RF_264[[#This Row],[Daño Insecto]]/FT_RF_264[[#This Row],[Muestra]]),"0")</f>
        <v>0</v>
      </c>
      <c r="X255" s="38">
        <v>0</v>
      </c>
      <c r="Y255" s="39">
        <f>+IFERROR((FT_RF_264[[#This Row],[Sobremadura]]/FT_RF_264[[#This Row],[Muestra]]),"0")</f>
        <v>0</v>
      </c>
      <c r="Z255" s="38">
        <v>0</v>
      </c>
      <c r="AA255" s="39">
        <f>+IFERROR((FT_RF_264[[#This Row],[Deforme]]/FT_RF_264[[#This Row],[Muestra]]),"0")</f>
        <v>0</v>
      </c>
      <c r="AB255" s="27"/>
      <c r="AC255" s="38">
        <v>0</v>
      </c>
      <c r="AD255" s="39">
        <f>+IFERROR((FT_RF_264[[#This Row],[Valor Extra 1]]/FT_RF_264[[#This Row],[Muestra]]),"0")</f>
        <v>0</v>
      </c>
      <c r="AF255" s="38">
        <v>0</v>
      </c>
      <c r="AG255" s="39">
        <f>+IFERROR((FT_RF_264[[#This Row],[Valor Extra 2]]/FT_RF_264[[#This Row],[Muestra]]),"0")</f>
        <v>0</v>
      </c>
      <c r="AH255" s="40">
        <v>0</v>
      </c>
      <c r="AI255" s="39">
        <f>+IFERROR((FT_RF_264[[#This Row],[Hongos]]/FT_RF_264[[#This Row],[Muestra]]),"0")</f>
        <v>0</v>
      </c>
      <c r="AJ255" s="38">
        <v>0</v>
      </c>
      <c r="AK255" s="39">
        <f>+IFERROR((FT_RF_264[[#This Row],[Block]]/FT_RF_264[[#This Row],[Muestra]]),"0")</f>
        <v>0</v>
      </c>
      <c r="AL255" s="41">
        <v>0</v>
      </c>
      <c r="AM255" s="42">
        <v>0</v>
      </c>
      <c r="AN255" s="38">
        <v>0</v>
      </c>
      <c r="AO255" s="39">
        <f>+IFERROR((FT_RF_264[[#This Row],[Fuera de calibre &lt;12mm]]/FT_RF_264[[#This Row],[Muestra]]),"0")</f>
        <v>0</v>
      </c>
      <c r="AP255" s="38">
        <v>0</v>
      </c>
      <c r="AQ255" s="39">
        <f>+IFERROR((FT_RF_264[[#This Row],[Calibre &lt;25]]/FT_RF_264[[#This Row],[Muestra]]),"0")</f>
        <v>0</v>
      </c>
      <c r="AR255" s="38">
        <v>0</v>
      </c>
      <c r="AS255" s="39">
        <f>+IFERROR((FT_RF_264[[#This Row],[Calibre &gt;12]]/FT_RF_264[[#This Row],[Muestra]]),"0")</f>
        <v>0</v>
      </c>
      <c r="AT255" s="38">
        <v>0</v>
      </c>
      <c r="AU255" s="39">
        <f>+IFERROR((FT_RF_264[[#This Row],[Calibre &lt;14]]/FT_RF_264[[#This Row],[Muestra]]),"0")</f>
        <v>0</v>
      </c>
      <c r="AV255" s="38">
        <v>0</v>
      </c>
      <c r="AW255" s="39">
        <f>+IFERROR((FT_RF_264[[#This Row],[Calibre &gt;14]]/FT_RF_264[[#This Row],[Muestra]]),"0")</f>
        <v>0</v>
      </c>
      <c r="AX255" s="38">
        <v>0</v>
      </c>
      <c r="AY255" s="39">
        <f>+IFERROR((FT_RF_264[[#This Row],[Calibre &lt;10]]/FT_RF_264[[#This Row],[Muestra]]),"0")</f>
        <v>0</v>
      </c>
      <c r="AZ255" s="38">
        <v>0</v>
      </c>
      <c r="BA255" s="39">
        <f>+IFERROR((FT_RF_264[[#This Row],[Calibre &gt;13]]/FT_RF_264[[#This Row],[Muestra]]),"0")</f>
        <v>0</v>
      </c>
      <c r="BB255" s="41"/>
      <c r="BG255" s="42"/>
      <c r="BH255" s="43">
        <v>0</v>
      </c>
      <c r="BI255" s="29" t="s">
        <v>894</v>
      </c>
      <c r="BJ255" s="29" t="s">
        <v>894</v>
      </c>
      <c r="BK25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5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55" s="45">
        <f>1-FT_RF_264[[#This Row],[% Defectos]]</f>
        <v>1</v>
      </c>
      <c r="BO255" s="60"/>
      <c r="BP255" s="12">
        <f>SUM(FT_RF_264[[#This Row],[Hoja (Un.)]:[Larvas Caja]])</f>
        <v>0</v>
      </c>
      <c r="BQ255" s="12">
        <f>SUM(FT_RF_264[[#This Row],[Vidrios]:[Plástico]])</f>
        <v>0</v>
      </c>
      <c r="BR255" s="12" t="str">
        <f>IF(ISBLANK(FT_RF_264[[#This Row],[Descripción del producto]]),"",FT_RF_264[[#This Row],[Descripción del producto]])</f>
        <v/>
      </c>
      <c r="BS255" s="29" t="str">
        <f>IF(ISBLANK(FT_RF_264[[#This Row],[N° de Lote]]),"",FT_RF_264[[#This Row],[N° de Lote]])</f>
        <v/>
      </c>
      <c r="BT255" s="29" t="str">
        <f>IF(ISBLANK(FT_RF_264[[#This Row],[N° de Pallet]]),"",FT_RF_264[[#This Row],[N° de Pallet]])</f>
        <v/>
      </c>
    </row>
    <row r="256" spans="2:72">
      <c r="B256" s="29">
        <f>+_xlfn.ISOWEEKNUM(FT_RF_264[[#This Row],[Fecha]])</f>
        <v>52</v>
      </c>
      <c r="E256" s="31"/>
      <c r="F256" s="12" t="str">
        <f>IFERROR(""&amp;_xlfn.XLOOKUP(FT_RF_264[[#This Row],[Código]],BD_Cod[SKU],BD_Cod[Descripción]),"")</f>
        <v/>
      </c>
      <c r="G256" s="32" t="str">
        <f>IFERROR(""&amp;_xlfn.XLOOKUP(FT_RF_264[[#This Row],[Código]],BD_Cod[SKU],BD_Cod[Familia Calidad]),"")</f>
        <v/>
      </c>
      <c r="J256" s="33">
        <v>1000</v>
      </c>
      <c r="L256" s="30" t="s">
        <v>244</v>
      </c>
      <c r="O256" s="30" t="s">
        <v>894</v>
      </c>
      <c r="P256" s="29" t="s">
        <v>894</v>
      </c>
      <c r="Q256" s="37">
        <f>1-FT_RF_264[[#This Row],[% Defectos]]</f>
        <v>1</v>
      </c>
      <c r="R256" s="38">
        <v>0</v>
      </c>
      <c r="S256" s="39">
        <f>+IFERROR((FT_RF_264[[#This Row],[Inmadura]]/FT_RF_264[[#This Row],[Muestra]]),"0")</f>
        <v>0</v>
      </c>
      <c r="T256" s="38">
        <v>0</v>
      </c>
      <c r="U256" s="39">
        <f>+IFERROR((FT_RF_264[[#This Row],[Partidas]]/FT_RF_264[[#This Row],[Muestra]]),"0")</f>
        <v>0</v>
      </c>
      <c r="V256" s="38">
        <v>0</v>
      </c>
      <c r="W256" s="39">
        <f>+IFERROR((FT_RF_264[[#This Row],[Daño Insecto]]/FT_RF_264[[#This Row],[Muestra]]),"0")</f>
        <v>0</v>
      </c>
      <c r="X256" s="38">
        <v>0</v>
      </c>
      <c r="Y256" s="39">
        <f>+IFERROR((FT_RF_264[[#This Row],[Sobremadura]]/FT_RF_264[[#This Row],[Muestra]]),"0")</f>
        <v>0</v>
      </c>
      <c r="Z256" s="38">
        <v>0</v>
      </c>
      <c r="AA256" s="39">
        <f>+IFERROR((FT_RF_264[[#This Row],[Deforme]]/FT_RF_264[[#This Row],[Muestra]]),"0")</f>
        <v>0</v>
      </c>
      <c r="AB256" s="27"/>
      <c r="AC256" s="38">
        <v>0</v>
      </c>
      <c r="AD256" s="39">
        <f>+IFERROR((FT_RF_264[[#This Row],[Valor Extra 1]]/FT_RF_264[[#This Row],[Muestra]]),"0")</f>
        <v>0</v>
      </c>
      <c r="AF256" s="38">
        <v>0</v>
      </c>
      <c r="AG256" s="39">
        <f>+IFERROR((FT_RF_264[[#This Row],[Valor Extra 2]]/FT_RF_264[[#This Row],[Muestra]]),"0")</f>
        <v>0</v>
      </c>
      <c r="AH256" s="40">
        <v>0</v>
      </c>
      <c r="AI256" s="39">
        <f>+IFERROR((FT_RF_264[[#This Row],[Hongos]]/FT_RF_264[[#This Row],[Muestra]]),"0")</f>
        <v>0</v>
      </c>
      <c r="AJ256" s="38">
        <v>0</v>
      </c>
      <c r="AK256" s="39">
        <f>+IFERROR((FT_RF_264[[#This Row],[Block]]/FT_RF_264[[#This Row],[Muestra]]),"0")</f>
        <v>0</v>
      </c>
      <c r="AL256" s="41">
        <v>0</v>
      </c>
      <c r="AM256" s="42">
        <v>0</v>
      </c>
      <c r="AN256" s="38">
        <v>0</v>
      </c>
      <c r="AO256" s="39">
        <f>+IFERROR((FT_RF_264[[#This Row],[Fuera de calibre &lt;12mm]]/FT_RF_264[[#This Row],[Muestra]]),"0")</f>
        <v>0</v>
      </c>
      <c r="AP256" s="38">
        <v>0</v>
      </c>
      <c r="AQ256" s="39">
        <f>+IFERROR((FT_RF_264[[#This Row],[Calibre &lt;25]]/FT_RF_264[[#This Row],[Muestra]]),"0")</f>
        <v>0</v>
      </c>
      <c r="AR256" s="38">
        <v>0</v>
      </c>
      <c r="AS256" s="39">
        <f>+IFERROR((FT_RF_264[[#This Row],[Calibre &gt;12]]/FT_RF_264[[#This Row],[Muestra]]),"0")</f>
        <v>0</v>
      </c>
      <c r="AT256" s="38">
        <v>0</v>
      </c>
      <c r="AU256" s="39">
        <f>+IFERROR((FT_RF_264[[#This Row],[Calibre &lt;14]]/FT_RF_264[[#This Row],[Muestra]]),"0")</f>
        <v>0</v>
      </c>
      <c r="AV256" s="38">
        <v>0</v>
      </c>
      <c r="AW256" s="39">
        <f>+IFERROR((FT_RF_264[[#This Row],[Calibre &gt;14]]/FT_RF_264[[#This Row],[Muestra]]),"0")</f>
        <v>0</v>
      </c>
      <c r="AX256" s="38">
        <v>0</v>
      </c>
      <c r="AY256" s="39">
        <f>+IFERROR((FT_RF_264[[#This Row],[Calibre &lt;10]]/FT_RF_264[[#This Row],[Muestra]]),"0")</f>
        <v>0</v>
      </c>
      <c r="AZ256" s="38">
        <v>0</v>
      </c>
      <c r="BA256" s="39">
        <f>+IFERROR((FT_RF_264[[#This Row],[Calibre &gt;13]]/FT_RF_264[[#This Row],[Muestra]]),"0")</f>
        <v>0</v>
      </c>
      <c r="BB256" s="41"/>
      <c r="BG256" s="42"/>
      <c r="BH256" s="43">
        <v>0</v>
      </c>
      <c r="BI256" s="29" t="s">
        <v>894</v>
      </c>
      <c r="BJ256" s="29" t="s">
        <v>894</v>
      </c>
      <c r="BK25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5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56" s="45">
        <f>1-FT_RF_264[[#This Row],[% Defectos]]</f>
        <v>1</v>
      </c>
      <c r="BO256" s="60"/>
      <c r="BP256" s="12">
        <f>SUM(FT_RF_264[[#This Row],[Hoja (Un.)]:[Larvas Caja]])</f>
        <v>0</v>
      </c>
      <c r="BQ256" s="12">
        <f>SUM(FT_RF_264[[#This Row],[Vidrios]:[Plástico]])</f>
        <v>0</v>
      </c>
      <c r="BR256" s="12" t="str">
        <f>IF(ISBLANK(FT_RF_264[[#This Row],[Descripción del producto]]),"",FT_RF_264[[#This Row],[Descripción del producto]])</f>
        <v/>
      </c>
      <c r="BS256" s="29" t="str">
        <f>IF(ISBLANK(FT_RF_264[[#This Row],[N° de Lote]]),"",FT_RF_264[[#This Row],[N° de Lote]])</f>
        <v/>
      </c>
      <c r="BT256" s="29" t="str">
        <f>IF(ISBLANK(FT_RF_264[[#This Row],[N° de Pallet]]),"",FT_RF_264[[#This Row],[N° de Pallet]])</f>
        <v/>
      </c>
    </row>
    <row r="257" spans="2:72">
      <c r="B257" s="29">
        <f>+_xlfn.ISOWEEKNUM(FT_RF_264[[#This Row],[Fecha]])</f>
        <v>52</v>
      </c>
      <c r="E257" s="31"/>
      <c r="F257" s="12" t="str">
        <f>IFERROR(""&amp;_xlfn.XLOOKUP(FT_RF_264[[#This Row],[Código]],BD_Cod[SKU],BD_Cod[Descripción]),"")</f>
        <v/>
      </c>
      <c r="G257" s="32" t="str">
        <f>IFERROR(""&amp;_xlfn.XLOOKUP(FT_RF_264[[#This Row],[Código]],BD_Cod[SKU],BD_Cod[Familia Calidad]),"")</f>
        <v/>
      </c>
      <c r="J257" s="33">
        <v>1000</v>
      </c>
      <c r="L257" s="30" t="s">
        <v>244</v>
      </c>
      <c r="O257" s="30" t="s">
        <v>894</v>
      </c>
      <c r="P257" s="29" t="s">
        <v>894</v>
      </c>
      <c r="Q257" s="37">
        <f>1-FT_RF_264[[#This Row],[% Defectos]]</f>
        <v>1</v>
      </c>
      <c r="R257" s="38">
        <v>0</v>
      </c>
      <c r="S257" s="39">
        <f>+IFERROR((FT_RF_264[[#This Row],[Inmadura]]/FT_RF_264[[#This Row],[Muestra]]),"0")</f>
        <v>0</v>
      </c>
      <c r="T257" s="38">
        <v>0</v>
      </c>
      <c r="U257" s="39">
        <f>+IFERROR((FT_RF_264[[#This Row],[Partidas]]/FT_RF_264[[#This Row],[Muestra]]),"0")</f>
        <v>0</v>
      </c>
      <c r="V257" s="38">
        <v>0</v>
      </c>
      <c r="W257" s="39">
        <f>+IFERROR((FT_RF_264[[#This Row],[Daño Insecto]]/FT_RF_264[[#This Row],[Muestra]]),"0")</f>
        <v>0</v>
      </c>
      <c r="X257" s="38">
        <v>0</v>
      </c>
      <c r="Y257" s="39">
        <f>+IFERROR((FT_RF_264[[#This Row],[Sobremadura]]/FT_RF_264[[#This Row],[Muestra]]),"0")</f>
        <v>0</v>
      </c>
      <c r="Z257" s="38">
        <v>0</v>
      </c>
      <c r="AA257" s="39">
        <f>+IFERROR((FT_RF_264[[#This Row],[Deforme]]/FT_RF_264[[#This Row],[Muestra]]),"0")</f>
        <v>0</v>
      </c>
      <c r="AB257" s="27"/>
      <c r="AC257" s="38">
        <v>0</v>
      </c>
      <c r="AD257" s="39">
        <f>+IFERROR((FT_RF_264[[#This Row],[Valor Extra 1]]/FT_RF_264[[#This Row],[Muestra]]),"0")</f>
        <v>0</v>
      </c>
      <c r="AF257" s="38">
        <v>0</v>
      </c>
      <c r="AG257" s="39">
        <f>+IFERROR((FT_RF_264[[#This Row],[Valor Extra 2]]/FT_RF_264[[#This Row],[Muestra]]),"0")</f>
        <v>0</v>
      </c>
      <c r="AH257" s="40">
        <v>0</v>
      </c>
      <c r="AI257" s="39">
        <f>+IFERROR((FT_RF_264[[#This Row],[Hongos]]/FT_RF_264[[#This Row],[Muestra]]),"0")</f>
        <v>0</v>
      </c>
      <c r="AJ257" s="38">
        <v>0</v>
      </c>
      <c r="AK257" s="39">
        <f>+IFERROR((FT_RF_264[[#This Row],[Block]]/FT_RF_264[[#This Row],[Muestra]]),"0")</f>
        <v>0</v>
      </c>
      <c r="AL257" s="41">
        <v>0</v>
      </c>
      <c r="AM257" s="42">
        <v>0</v>
      </c>
      <c r="AN257" s="38">
        <v>0</v>
      </c>
      <c r="AO257" s="39">
        <f>+IFERROR((FT_RF_264[[#This Row],[Fuera de calibre &lt;12mm]]/FT_RF_264[[#This Row],[Muestra]]),"0")</f>
        <v>0</v>
      </c>
      <c r="AP257" s="38">
        <v>0</v>
      </c>
      <c r="AQ257" s="39">
        <f>+IFERROR((FT_RF_264[[#This Row],[Calibre &lt;25]]/FT_RF_264[[#This Row],[Muestra]]),"0")</f>
        <v>0</v>
      </c>
      <c r="AR257" s="38">
        <v>0</v>
      </c>
      <c r="AS257" s="39">
        <f>+IFERROR((FT_RF_264[[#This Row],[Calibre &gt;12]]/FT_RF_264[[#This Row],[Muestra]]),"0")</f>
        <v>0</v>
      </c>
      <c r="AT257" s="38">
        <v>0</v>
      </c>
      <c r="AU257" s="39">
        <f>+IFERROR((FT_RF_264[[#This Row],[Calibre &lt;14]]/FT_RF_264[[#This Row],[Muestra]]),"0")</f>
        <v>0</v>
      </c>
      <c r="AV257" s="38">
        <v>0</v>
      </c>
      <c r="AW257" s="39">
        <f>+IFERROR((FT_RF_264[[#This Row],[Calibre &gt;14]]/FT_RF_264[[#This Row],[Muestra]]),"0")</f>
        <v>0</v>
      </c>
      <c r="AX257" s="38">
        <v>0</v>
      </c>
      <c r="AY257" s="39">
        <f>+IFERROR((FT_RF_264[[#This Row],[Calibre &lt;10]]/FT_RF_264[[#This Row],[Muestra]]),"0")</f>
        <v>0</v>
      </c>
      <c r="AZ257" s="38">
        <v>0</v>
      </c>
      <c r="BA257" s="39">
        <f>+IFERROR((FT_RF_264[[#This Row],[Calibre &gt;13]]/FT_RF_264[[#This Row],[Muestra]]),"0")</f>
        <v>0</v>
      </c>
      <c r="BB257" s="41"/>
      <c r="BG257" s="42"/>
      <c r="BH257" s="43">
        <v>0</v>
      </c>
      <c r="BI257" s="29" t="s">
        <v>894</v>
      </c>
      <c r="BJ257" s="29" t="s">
        <v>894</v>
      </c>
      <c r="BK25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5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57" s="45">
        <f>1-FT_RF_264[[#This Row],[% Defectos]]</f>
        <v>1</v>
      </c>
      <c r="BO257" s="60"/>
      <c r="BP257" s="12">
        <f>SUM(FT_RF_264[[#This Row],[Hoja (Un.)]:[Larvas Caja]])</f>
        <v>0</v>
      </c>
      <c r="BQ257" s="12">
        <f>SUM(FT_RF_264[[#This Row],[Vidrios]:[Plástico]])</f>
        <v>0</v>
      </c>
      <c r="BR257" s="12" t="str">
        <f>IF(ISBLANK(FT_RF_264[[#This Row],[Descripción del producto]]),"",FT_RF_264[[#This Row],[Descripción del producto]])</f>
        <v/>
      </c>
      <c r="BS257" s="29" t="str">
        <f>IF(ISBLANK(FT_RF_264[[#This Row],[N° de Lote]]),"",FT_RF_264[[#This Row],[N° de Lote]])</f>
        <v/>
      </c>
      <c r="BT257" s="29" t="str">
        <f>IF(ISBLANK(FT_RF_264[[#This Row],[N° de Pallet]]),"",FT_RF_264[[#This Row],[N° de Pallet]])</f>
        <v/>
      </c>
    </row>
    <row r="258" spans="2:72">
      <c r="B258" s="29">
        <f>+_xlfn.ISOWEEKNUM(FT_RF_264[[#This Row],[Fecha]])</f>
        <v>52</v>
      </c>
      <c r="E258" s="31"/>
      <c r="F258" s="12" t="str">
        <f>IFERROR(""&amp;_xlfn.XLOOKUP(FT_RF_264[[#This Row],[Código]],BD_Cod[SKU],BD_Cod[Descripción]),"")</f>
        <v/>
      </c>
      <c r="G258" s="32" t="str">
        <f>IFERROR(""&amp;_xlfn.XLOOKUP(FT_RF_264[[#This Row],[Código]],BD_Cod[SKU],BD_Cod[Familia Calidad]),"")</f>
        <v/>
      </c>
      <c r="J258" s="33">
        <v>1000</v>
      </c>
      <c r="L258" s="30" t="s">
        <v>244</v>
      </c>
      <c r="O258" s="30" t="s">
        <v>894</v>
      </c>
      <c r="P258" s="29" t="s">
        <v>894</v>
      </c>
      <c r="Q258" s="37">
        <f>1-FT_RF_264[[#This Row],[% Defectos]]</f>
        <v>1</v>
      </c>
      <c r="R258" s="38">
        <v>0</v>
      </c>
      <c r="S258" s="39">
        <f>+IFERROR((FT_RF_264[[#This Row],[Inmadura]]/FT_RF_264[[#This Row],[Muestra]]),"0")</f>
        <v>0</v>
      </c>
      <c r="T258" s="38">
        <v>0</v>
      </c>
      <c r="U258" s="39">
        <f>+IFERROR((FT_RF_264[[#This Row],[Partidas]]/FT_RF_264[[#This Row],[Muestra]]),"0")</f>
        <v>0</v>
      </c>
      <c r="V258" s="38">
        <v>0</v>
      </c>
      <c r="W258" s="39">
        <f>+IFERROR((FT_RF_264[[#This Row],[Daño Insecto]]/FT_RF_264[[#This Row],[Muestra]]),"0")</f>
        <v>0</v>
      </c>
      <c r="X258" s="38">
        <v>0</v>
      </c>
      <c r="Y258" s="39">
        <f>+IFERROR((FT_RF_264[[#This Row],[Sobremadura]]/FT_RF_264[[#This Row],[Muestra]]),"0")</f>
        <v>0</v>
      </c>
      <c r="Z258" s="38">
        <v>0</v>
      </c>
      <c r="AA258" s="39">
        <f>+IFERROR((FT_RF_264[[#This Row],[Deforme]]/FT_RF_264[[#This Row],[Muestra]]),"0")</f>
        <v>0</v>
      </c>
      <c r="AB258" s="27"/>
      <c r="AC258" s="38">
        <v>0</v>
      </c>
      <c r="AD258" s="39">
        <f>+IFERROR((FT_RF_264[[#This Row],[Valor Extra 1]]/FT_RF_264[[#This Row],[Muestra]]),"0")</f>
        <v>0</v>
      </c>
      <c r="AF258" s="38">
        <v>0</v>
      </c>
      <c r="AG258" s="39">
        <f>+IFERROR((FT_RF_264[[#This Row],[Valor Extra 2]]/FT_RF_264[[#This Row],[Muestra]]),"0")</f>
        <v>0</v>
      </c>
      <c r="AH258" s="40">
        <v>0</v>
      </c>
      <c r="AI258" s="39">
        <f>+IFERROR((FT_RF_264[[#This Row],[Hongos]]/FT_RF_264[[#This Row],[Muestra]]),"0")</f>
        <v>0</v>
      </c>
      <c r="AJ258" s="38">
        <v>0</v>
      </c>
      <c r="AK258" s="39">
        <f>+IFERROR((FT_RF_264[[#This Row],[Block]]/FT_RF_264[[#This Row],[Muestra]]),"0")</f>
        <v>0</v>
      </c>
      <c r="AL258" s="41">
        <v>0</v>
      </c>
      <c r="AM258" s="42">
        <v>0</v>
      </c>
      <c r="AN258" s="38">
        <v>0</v>
      </c>
      <c r="AO258" s="39">
        <f>+IFERROR((FT_RF_264[[#This Row],[Fuera de calibre &lt;12mm]]/FT_RF_264[[#This Row],[Muestra]]),"0")</f>
        <v>0</v>
      </c>
      <c r="AP258" s="38">
        <v>0</v>
      </c>
      <c r="AQ258" s="39">
        <f>+IFERROR((FT_RF_264[[#This Row],[Calibre &lt;25]]/FT_RF_264[[#This Row],[Muestra]]),"0")</f>
        <v>0</v>
      </c>
      <c r="AR258" s="38">
        <v>0</v>
      </c>
      <c r="AS258" s="39">
        <f>+IFERROR((FT_RF_264[[#This Row],[Calibre &gt;12]]/FT_RF_264[[#This Row],[Muestra]]),"0")</f>
        <v>0</v>
      </c>
      <c r="AT258" s="38">
        <v>0</v>
      </c>
      <c r="AU258" s="39">
        <f>+IFERROR((FT_RF_264[[#This Row],[Calibre &lt;14]]/FT_RF_264[[#This Row],[Muestra]]),"0")</f>
        <v>0</v>
      </c>
      <c r="AV258" s="38">
        <v>0</v>
      </c>
      <c r="AW258" s="39">
        <f>+IFERROR((FT_RF_264[[#This Row],[Calibre &gt;14]]/FT_RF_264[[#This Row],[Muestra]]),"0")</f>
        <v>0</v>
      </c>
      <c r="AX258" s="38">
        <v>0</v>
      </c>
      <c r="AY258" s="39">
        <f>+IFERROR((FT_RF_264[[#This Row],[Calibre &lt;10]]/FT_RF_264[[#This Row],[Muestra]]),"0")</f>
        <v>0</v>
      </c>
      <c r="AZ258" s="38">
        <v>0</v>
      </c>
      <c r="BA258" s="39">
        <f>+IFERROR((FT_RF_264[[#This Row],[Calibre &gt;13]]/FT_RF_264[[#This Row],[Muestra]]),"0")</f>
        <v>0</v>
      </c>
      <c r="BB258" s="41"/>
      <c r="BG258" s="42"/>
      <c r="BH258" s="43">
        <v>0</v>
      </c>
      <c r="BI258" s="29" t="s">
        <v>894</v>
      </c>
      <c r="BJ258" s="29" t="s">
        <v>894</v>
      </c>
      <c r="BK25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5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58" s="45">
        <f>1-FT_RF_264[[#This Row],[% Defectos]]</f>
        <v>1</v>
      </c>
      <c r="BO258" s="60"/>
      <c r="BP258" s="12">
        <f>SUM(FT_RF_264[[#This Row],[Hoja (Un.)]:[Larvas Caja]])</f>
        <v>0</v>
      </c>
      <c r="BQ258" s="12">
        <f>SUM(FT_RF_264[[#This Row],[Vidrios]:[Plástico]])</f>
        <v>0</v>
      </c>
      <c r="BR258" s="12" t="str">
        <f>IF(ISBLANK(FT_RF_264[[#This Row],[Descripción del producto]]),"",FT_RF_264[[#This Row],[Descripción del producto]])</f>
        <v/>
      </c>
      <c r="BS258" s="29" t="str">
        <f>IF(ISBLANK(FT_RF_264[[#This Row],[N° de Lote]]),"",FT_RF_264[[#This Row],[N° de Lote]])</f>
        <v/>
      </c>
      <c r="BT258" s="29" t="str">
        <f>IF(ISBLANK(FT_RF_264[[#This Row],[N° de Pallet]]),"",FT_RF_264[[#This Row],[N° de Pallet]])</f>
        <v/>
      </c>
    </row>
    <row r="259" spans="2:72">
      <c r="B259" s="29">
        <f>+_xlfn.ISOWEEKNUM(FT_RF_264[[#This Row],[Fecha]])</f>
        <v>52</v>
      </c>
      <c r="E259" s="31"/>
      <c r="F259" s="12" t="str">
        <f>IFERROR(""&amp;_xlfn.XLOOKUP(FT_RF_264[[#This Row],[Código]],BD_Cod[SKU],BD_Cod[Descripción]),"")</f>
        <v/>
      </c>
      <c r="G259" s="32" t="str">
        <f>IFERROR(""&amp;_xlfn.XLOOKUP(FT_RF_264[[#This Row],[Código]],BD_Cod[SKU],BD_Cod[Familia Calidad]),"")</f>
        <v/>
      </c>
      <c r="J259" s="33">
        <v>1000</v>
      </c>
      <c r="L259" s="30" t="s">
        <v>244</v>
      </c>
      <c r="O259" s="30" t="s">
        <v>894</v>
      </c>
      <c r="P259" s="29" t="s">
        <v>894</v>
      </c>
      <c r="Q259" s="37">
        <f>1-FT_RF_264[[#This Row],[% Defectos]]</f>
        <v>1</v>
      </c>
      <c r="R259" s="38">
        <v>0</v>
      </c>
      <c r="S259" s="39">
        <f>+IFERROR((FT_RF_264[[#This Row],[Inmadura]]/FT_RF_264[[#This Row],[Muestra]]),"0")</f>
        <v>0</v>
      </c>
      <c r="T259" s="38">
        <v>0</v>
      </c>
      <c r="U259" s="39">
        <f>+IFERROR((FT_RF_264[[#This Row],[Partidas]]/FT_RF_264[[#This Row],[Muestra]]),"0")</f>
        <v>0</v>
      </c>
      <c r="V259" s="38">
        <v>0</v>
      </c>
      <c r="W259" s="39">
        <f>+IFERROR((FT_RF_264[[#This Row],[Daño Insecto]]/FT_RF_264[[#This Row],[Muestra]]),"0")</f>
        <v>0</v>
      </c>
      <c r="X259" s="38">
        <v>0</v>
      </c>
      <c r="Y259" s="39">
        <f>+IFERROR((FT_RF_264[[#This Row],[Sobremadura]]/FT_RF_264[[#This Row],[Muestra]]),"0")</f>
        <v>0</v>
      </c>
      <c r="Z259" s="38">
        <v>0</v>
      </c>
      <c r="AA259" s="39">
        <f>+IFERROR((FT_RF_264[[#This Row],[Deforme]]/FT_RF_264[[#This Row],[Muestra]]),"0")</f>
        <v>0</v>
      </c>
      <c r="AB259" s="27"/>
      <c r="AC259" s="38">
        <v>0</v>
      </c>
      <c r="AD259" s="39">
        <f>+IFERROR((FT_RF_264[[#This Row],[Valor Extra 1]]/FT_RF_264[[#This Row],[Muestra]]),"0")</f>
        <v>0</v>
      </c>
      <c r="AF259" s="38">
        <v>0</v>
      </c>
      <c r="AG259" s="39">
        <f>+IFERROR((FT_RF_264[[#This Row],[Valor Extra 2]]/FT_RF_264[[#This Row],[Muestra]]),"0")</f>
        <v>0</v>
      </c>
      <c r="AH259" s="40">
        <v>0</v>
      </c>
      <c r="AI259" s="39">
        <f>+IFERROR((FT_RF_264[[#This Row],[Hongos]]/FT_RF_264[[#This Row],[Muestra]]),"0")</f>
        <v>0</v>
      </c>
      <c r="AJ259" s="38">
        <v>0</v>
      </c>
      <c r="AK259" s="39">
        <f>+IFERROR((FT_RF_264[[#This Row],[Block]]/FT_RF_264[[#This Row],[Muestra]]),"0")</f>
        <v>0</v>
      </c>
      <c r="AL259" s="41">
        <v>0</v>
      </c>
      <c r="AM259" s="42">
        <v>0</v>
      </c>
      <c r="AN259" s="38">
        <v>0</v>
      </c>
      <c r="AO259" s="39">
        <f>+IFERROR((FT_RF_264[[#This Row],[Fuera de calibre &lt;12mm]]/FT_RF_264[[#This Row],[Muestra]]),"0")</f>
        <v>0</v>
      </c>
      <c r="AP259" s="38">
        <v>0</v>
      </c>
      <c r="AQ259" s="39">
        <f>+IFERROR((FT_RF_264[[#This Row],[Calibre &lt;25]]/FT_RF_264[[#This Row],[Muestra]]),"0")</f>
        <v>0</v>
      </c>
      <c r="AR259" s="38">
        <v>0</v>
      </c>
      <c r="AS259" s="39">
        <f>+IFERROR((FT_RF_264[[#This Row],[Calibre &gt;12]]/FT_RF_264[[#This Row],[Muestra]]),"0")</f>
        <v>0</v>
      </c>
      <c r="AT259" s="38">
        <v>0</v>
      </c>
      <c r="AU259" s="39">
        <f>+IFERROR((FT_RF_264[[#This Row],[Calibre &lt;14]]/FT_RF_264[[#This Row],[Muestra]]),"0")</f>
        <v>0</v>
      </c>
      <c r="AV259" s="38">
        <v>0</v>
      </c>
      <c r="AW259" s="39">
        <f>+IFERROR((FT_RF_264[[#This Row],[Calibre &gt;14]]/FT_RF_264[[#This Row],[Muestra]]),"0")</f>
        <v>0</v>
      </c>
      <c r="AX259" s="38">
        <v>0</v>
      </c>
      <c r="AY259" s="39">
        <f>+IFERROR((FT_RF_264[[#This Row],[Calibre &lt;10]]/FT_RF_264[[#This Row],[Muestra]]),"0")</f>
        <v>0</v>
      </c>
      <c r="AZ259" s="38">
        <v>0</v>
      </c>
      <c r="BA259" s="39">
        <f>+IFERROR((FT_RF_264[[#This Row],[Calibre &gt;13]]/FT_RF_264[[#This Row],[Muestra]]),"0")</f>
        <v>0</v>
      </c>
      <c r="BB259" s="41"/>
      <c r="BG259" s="42"/>
      <c r="BH259" s="43">
        <v>0</v>
      </c>
      <c r="BI259" s="29" t="s">
        <v>894</v>
      </c>
      <c r="BJ259" s="29" t="s">
        <v>894</v>
      </c>
      <c r="BK25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5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59" s="45">
        <f>1-FT_RF_264[[#This Row],[% Defectos]]</f>
        <v>1</v>
      </c>
      <c r="BO259" s="60"/>
      <c r="BP259" s="12">
        <f>SUM(FT_RF_264[[#This Row],[Hoja (Un.)]:[Larvas Caja]])</f>
        <v>0</v>
      </c>
      <c r="BQ259" s="12">
        <f>SUM(FT_RF_264[[#This Row],[Vidrios]:[Plástico]])</f>
        <v>0</v>
      </c>
      <c r="BR259" s="12" t="str">
        <f>IF(ISBLANK(FT_RF_264[[#This Row],[Descripción del producto]]),"",FT_RF_264[[#This Row],[Descripción del producto]])</f>
        <v/>
      </c>
      <c r="BS259" s="29" t="str">
        <f>IF(ISBLANK(FT_RF_264[[#This Row],[N° de Lote]]),"",FT_RF_264[[#This Row],[N° de Lote]])</f>
        <v/>
      </c>
      <c r="BT259" s="29" t="str">
        <f>IF(ISBLANK(FT_RF_264[[#This Row],[N° de Pallet]]),"",FT_RF_264[[#This Row],[N° de Pallet]])</f>
        <v/>
      </c>
    </row>
    <row r="260" spans="2:72">
      <c r="B260" s="29">
        <f>+_xlfn.ISOWEEKNUM(FT_RF_264[[#This Row],[Fecha]])</f>
        <v>52</v>
      </c>
      <c r="E260" s="31"/>
      <c r="F260" s="12" t="str">
        <f>IFERROR(""&amp;_xlfn.XLOOKUP(FT_RF_264[[#This Row],[Código]],BD_Cod[SKU],BD_Cod[Descripción]),"")</f>
        <v/>
      </c>
      <c r="G260" s="32" t="str">
        <f>IFERROR(""&amp;_xlfn.XLOOKUP(FT_RF_264[[#This Row],[Código]],BD_Cod[SKU],BD_Cod[Familia Calidad]),"")</f>
        <v/>
      </c>
      <c r="J260" s="33">
        <v>1000</v>
      </c>
      <c r="L260" s="30" t="s">
        <v>244</v>
      </c>
      <c r="O260" s="30" t="s">
        <v>894</v>
      </c>
      <c r="P260" s="29" t="s">
        <v>894</v>
      </c>
      <c r="Q260" s="37">
        <f>1-FT_RF_264[[#This Row],[% Defectos]]</f>
        <v>1</v>
      </c>
      <c r="R260" s="38">
        <v>0</v>
      </c>
      <c r="S260" s="39">
        <f>+IFERROR((FT_RF_264[[#This Row],[Inmadura]]/FT_RF_264[[#This Row],[Muestra]]),"0")</f>
        <v>0</v>
      </c>
      <c r="T260" s="38">
        <v>0</v>
      </c>
      <c r="U260" s="39">
        <f>+IFERROR((FT_RF_264[[#This Row],[Partidas]]/FT_RF_264[[#This Row],[Muestra]]),"0")</f>
        <v>0</v>
      </c>
      <c r="V260" s="38">
        <v>0</v>
      </c>
      <c r="W260" s="39">
        <f>+IFERROR((FT_RF_264[[#This Row],[Daño Insecto]]/FT_RF_264[[#This Row],[Muestra]]),"0")</f>
        <v>0</v>
      </c>
      <c r="X260" s="38">
        <v>0</v>
      </c>
      <c r="Y260" s="39">
        <f>+IFERROR((FT_RF_264[[#This Row],[Sobremadura]]/FT_RF_264[[#This Row],[Muestra]]),"0")</f>
        <v>0</v>
      </c>
      <c r="Z260" s="38">
        <v>0</v>
      </c>
      <c r="AA260" s="39">
        <f>+IFERROR((FT_RF_264[[#This Row],[Deforme]]/FT_RF_264[[#This Row],[Muestra]]),"0")</f>
        <v>0</v>
      </c>
      <c r="AB260" s="27"/>
      <c r="AC260" s="38">
        <v>0</v>
      </c>
      <c r="AD260" s="39">
        <f>+IFERROR((FT_RF_264[[#This Row],[Valor Extra 1]]/FT_RF_264[[#This Row],[Muestra]]),"0")</f>
        <v>0</v>
      </c>
      <c r="AF260" s="38">
        <v>0</v>
      </c>
      <c r="AG260" s="39">
        <f>+IFERROR((FT_RF_264[[#This Row],[Valor Extra 2]]/FT_RF_264[[#This Row],[Muestra]]),"0")</f>
        <v>0</v>
      </c>
      <c r="AH260" s="40">
        <v>0</v>
      </c>
      <c r="AI260" s="39">
        <f>+IFERROR((FT_RF_264[[#This Row],[Hongos]]/FT_RF_264[[#This Row],[Muestra]]),"0")</f>
        <v>0</v>
      </c>
      <c r="AJ260" s="38">
        <v>0</v>
      </c>
      <c r="AK260" s="39">
        <f>+IFERROR((FT_RF_264[[#This Row],[Block]]/FT_RF_264[[#This Row],[Muestra]]),"0")</f>
        <v>0</v>
      </c>
      <c r="AL260" s="41">
        <v>0</v>
      </c>
      <c r="AM260" s="42">
        <v>0</v>
      </c>
      <c r="AN260" s="38">
        <v>0</v>
      </c>
      <c r="AO260" s="39">
        <f>+IFERROR((FT_RF_264[[#This Row],[Fuera de calibre &lt;12mm]]/FT_RF_264[[#This Row],[Muestra]]),"0")</f>
        <v>0</v>
      </c>
      <c r="AP260" s="38">
        <v>0</v>
      </c>
      <c r="AQ260" s="39">
        <f>+IFERROR((FT_RF_264[[#This Row],[Calibre &lt;25]]/FT_RF_264[[#This Row],[Muestra]]),"0")</f>
        <v>0</v>
      </c>
      <c r="AR260" s="38">
        <v>0</v>
      </c>
      <c r="AS260" s="39">
        <f>+IFERROR((FT_RF_264[[#This Row],[Calibre &gt;12]]/FT_RF_264[[#This Row],[Muestra]]),"0")</f>
        <v>0</v>
      </c>
      <c r="AT260" s="38">
        <v>0</v>
      </c>
      <c r="AU260" s="39">
        <f>+IFERROR((FT_RF_264[[#This Row],[Calibre &lt;14]]/FT_RF_264[[#This Row],[Muestra]]),"0")</f>
        <v>0</v>
      </c>
      <c r="AV260" s="38">
        <v>0</v>
      </c>
      <c r="AW260" s="39">
        <f>+IFERROR((FT_RF_264[[#This Row],[Calibre &gt;14]]/FT_RF_264[[#This Row],[Muestra]]),"0")</f>
        <v>0</v>
      </c>
      <c r="AX260" s="38">
        <v>0</v>
      </c>
      <c r="AY260" s="39">
        <f>+IFERROR((FT_RF_264[[#This Row],[Calibre &lt;10]]/FT_RF_264[[#This Row],[Muestra]]),"0")</f>
        <v>0</v>
      </c>
      <c r="AZ260" s="38">
        <v>0</v>
      </c>
      <c r="BA260" s="39">
        <f>+IFERROR((FT_RF_264[[#This Row],[Calibre &gt;13]]/FT_RF_264[[#This Row],[Muestra]]),"0")</f>
        <v>0</v>
      </c>
      <c r="BB260" s="41"/>
      <c r="BG260" s="42"/>
      <c r="BH260" s="43">
        <v>0</v>
      </c>
      <c r="BI260" s="29" t="s">
        <v>894</v>
      </c>
      <c r="BJ260" s="29" t="s">
        <v>894</v>
      </c>
      <c r="BK26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6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60" s="45">
        <f>1-FT_RF_264[[#This Row],[% Defectos]]</f>
        <v>1</v>
      </c>
      <c r="BO260" s="60"/>
      <c r="BP260" s="12">
        <f>SUM(FT_RF_264[[#This Row],[Hoja (Un.)]:[Larvas Caja]])</f>
        <v>0</v>
      </c>
      <c r="BQ260" s="12">
        <f>SUM(FT_RF_264[[#This Row],[Vidrios]:[Plástico]])</f>
        <v>0</v>
      </c>
      <c r="BR260" s="12" t="str">
        <f>IF(ISBLANK(FT_RF_264[[#This Row],[Descripción del producto]]),"",FT_RF_264[[#This Row],[Descripción del producto]])</f>
        <v/>
      </c>
      <c r="BS260" s="29" t="str">
        <f>IF(ISBLANK(FT_RF_264[[#This Row],[N° de Lote]]),"",FT_RF_264[[#This Row],[N° de Lote]])</f>
        <v/>
      </c>
      <c r="BT260" s="29" t="str">
        <f>IF(ISBLANK(FT_RF_264[[#This Row],[N° de Pallet]]),"",FT_RF_264[[#This Row],[N° de Pallet]])</f>
        <v/>
      </c>
    </row>
    <row r="261" spans="2:72">
      <c r="B261" s="29">
        <f>+_xlfn.ISOWEEKNUM(FT_RF_264[[#This Row],[Fecha]])</f>
        <v>52</v>
      </c>
      <c r="E261" s="31"/>
      <c r="F261" s="12" t="str">
        <f>IFERROR(""&amp;_xlfn.XLOOKUP(FT_RF_264[[#This Row],[Código]],BD_Cod[SKU],BD_Cod[Descripción]),"")</f>
        <v/>
      </c>
      <c r="G261" s="32" t="str">
        <f>IFERROR(""&amp;_xlfn.XLOOKUP(FT_RF_264[[#This Row],[Código]],BD_Cod[SKU],BD_Cod[Familia Calidad]),"")</f>
        <v/>
      </c>
      <c r="J261" s="33">
        <v>1000</v>
      </c>
      <c r="L261" s="30" t="s">
        <v>244</v>
      </c>
      <c r="O261" s="30" t="s">
        <v>894</v>
      </c>
      <c r="P261" s="29" t="s">
        <v>894</v>
      </c>
      <c r="Q261" s="37">
        <f>1-FT_RF_264[[#This Row],[% Defectos]]</f>
        <v>1</v>
      </c>
      <c r="R261" s="38">
        <v>0</v>
      </c>
      <c r="S261" s="39">
        <f>+IFERROR((FT_RF_264[[#This Row],[Inmadura]]/FT_RF_264[[#This Row],[Muestra]]),"0")</f>
        <v>0</v>
      </c>
      <c r="T261" s="38">
        <v>0</v>
      </c>
      <c r="U261" s="39">
        <f>+IFERROR((FT_RF_264[[#This Row],[Partidas]]/FT_RF_264[[#This Row],[Muestra]]),"0")</f>
        <v>0</v>
      </c>
      <c r="V261" s="38">
        <v>0</v>
      </c>
      <c r="W261" s="39">
        <f>+IFERROR((FT_RF_264[[#This Row],[Daño Insecto]]/FT_RF_264[[#This Row],[Muestra]]),"0")</f>
        <v>0</v>
      </c>
      <c r="X261" s="38">
        <v>0</v>
      </c>
      <c r="Y261" s="39">
        <f>+IFERROR((FT_RF_264[[#This Row],[Sobremadura]]/FT_RF_264[[#This Row],[Muestra]]),"0")</f>
        <v>0</v>
      </c>
      <c r="Z261" s="38">
        <v>0</v>
      </c>
      <c r="AA261" s="39">
        <f>+IFERROR((FT_RF_264[[#This Row],[Deforme]]/FT_RF_264[[#This Row],[Muestra]]),"0")</f>
        <v>0</v>
      </c>
      <c r="AB261" s="27"/>
      <c r="AC261" s="38">
        <v>0</v>
      </c>
      <c r="AD261" s="39">
        <f>+IFERROR((FT_RF_264[[#This Row],[Valor Extra 1]]/FT_RF_264[[#This Row],[Muestra]]),"0")</f>
        <v>0</v>
      </c>
      <c r="AF261" s="38">
        <v>0</v>
      </c>
      <c r="AG261" s="39">
        <f>+IFERROR((FT_RF_264[[#This Row],[Valor Extra 2]]/FT_RF_264[[#This Row],[Muestra]]),"0")</f>
        <v>0</v>
      </c>
      <c r="AH261" s="40">
        <v>0</v>
      </c>
      <c r="AI261" s="39">
        <f>+IFERROR((FT_RF_264[[#This Row],[Hongos]]/FT_RF_264[[#This Row],[Muestra]]),"0")</f>
        <v>0</v>
      </c>
      <c r="AJ261" s="38">
        <v>0</v>
      </c>
      <c r="AK261" s="39">
        <f>+IFERROR((FT_RF_264[[#This Row],[Block]]/FT_RF_264[[#This Row],[Muestra]]),"0")</f>
        <v>0</v>
      </c>
      <c r="AL261" s="41">
        <v>0</v>
      </c>
      <c r="AM261" s="42">
        <v>0</v>
      </c>
      <c r="AN261" s="38">
        <v>0</v>
      </c>
      <c r="AO261" s="39">
        <f>+IFERROR((FT_RF_264[[#This Row],[Fuera de calibre &lt;12mm]]/FT_RF_264[[#This Row],[Muestra]]),"0")</f>
        <v>0</v>
      </c>
      <c r="AP261" s="38">
        <v>0</v>
      </c>
      <c r="AQ261" s="39">
        <f>+IFERROR((FT_RF_264[[#This Row],[Calibre &lt;25]]/FT_RF_264[[#This Row],[Muestra]]),"0")</f>
        <v>0</v>
      </c>
      <c r="AR261" s="38">
        <v>0</v>
      </c>
      <c r="AS261" s="39">
        <f>+IFERROR((FT_RF_264[[#This Row],[Calibre &gt;12]]/FT_RF_264[[#This Row],[Muestra]]),"0")</f>
        <v>0</v>
      </c>
      <c r="AT261" s="38">
        <v>0</v>
      </c>
      <c r="AU261" s="39">
        <f>+IFERROR((FT_RF_264[[#This Row],[Calibre &lt;14]]/FT_RF_264[[#This Row],[Muestra]]),"0")</f>
        <v>0</v>
      </c>
      <c r="AV261" s="38">
        <v>0</v>
      </c>
      <c r="AW261" s="39">
        <f>+IFERROR((FT_RF_264[[#This Row],[Calibre &gt;14]]/FT_RF_264[[#This Row],[Muestra]]),"0")</f>
        <v>0</v>
      </c>
      <c r="AX261" s="38">
        <v>0</v>
      </c>
      <c r="AY261" s="39">
        <f>+IFERROR((FT_RF_264[[#This Row],[Calibre &lt;10]]/FT_RF_264[[#This Row],[Muestra]]),"0")</f>
        <v>0</v>
      </c>
      <c r="AZ261" s="38">
        <v>0</v>
      </c>
      <c r="BA261" s="39">
        <f>+IFERROR((FT_RF_264[[#This Row],[Calibre &gt;13]]/FT_RF_264[[#This Row],[Muestra]]),"0")</f>
        <v>0</v>
      </c>
      <c r="BB261" s="41"/>
      <c r="BG261" s="42"/>
      <c r="BH261" s="43">
        <v>0</v>
      </c>
      <c r="BI261" s="29" t="s">
        <v>894</v>
      </c>
      <c r="BJ261" s="29" t="s">
        <v>894</v>
      </c>
      <c r="BK26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6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61" s="45">
        <f>1-FT_RF_264[[#This Row],[% Defectos]]</f>
        <v>1</v>
      </c>
      <c r="BO261" s="60"/>
      <c r="BP261" s="12">
        <f>SUM(FT_RF_264[[#This Row],[Hoja (Un.)]:[Larvas Caja]])</f>
        <v>0</v>
      </c>
      <c r="BQ261" s="12">
        <f>SUM(FT_RF_264[[#This Row],[Vidrios]:[Plástico]])</f>
        <v>0</v>
      </c>
      <c r="BR261" s="12" t="str">
        <f>IF(ISBLANK(FT_RF_264[[#This Row],[Descripción del producto]]),"",FT_RF_264[[#This Row],[Descripción del producto]])</f>
        <v/>
      </c>
      <c r="BS261" s="29" t="str">
        <f>IF(ISBLANK(FT_RF_264[[#This Row],[N° de Lote]]),"",FT_RF_264[[#This Row],[N° de Lote]])</f>
        <v/>
      </c>
      <c r="BT261" s="29" t="str">
        <f>IF(ISBLANK(FT_RF_264[[#This Row],[N° de Pallet]]),"",FT_RF_264[[#This Row],[N° de Pallet]])</f>
        <v/>
      </c>
    </row>
    <row r="262" spans="2:72">
      <c r="B262" s="29">
        <f>+_xlfn.ISOWEEKNUM(FT_RF_264[[#This Row],[Fecha]])</f>
        <v>52</v>
      </c>
      <c r="E262" s="31"/>
      <c r="F262" s="12" t="str">
        <f>IFERROR(""&amp;_xlfn.XLOOKUP(FT_RF_264[[#This Row],[Código]],BD_Cod[SKU],BD_Cod[Descripción]),"")</f>
        <v/>
      </c>
      <c r="G262" s="32" t="str">
        <f>IFERROR(""&amp;_xlfn.XLOOKUP(FT_RF_264[[#This Row],[Código]],BD_Cod[SKU],BD_Cod[Familia Calidad]),"")</f>
        <v/>
      </c>
      <c r="J262" s="33">
        <v>1000</v>
      </c>
      <c r="L262" s="30" t="s">
        <v>244</v>
      </c>
      <c r="O262" s="30" t="s">
        <v>894</v>
      </c>
      <c r="P262" s="29" t="s">
        <v>894</v>
      </c>
      <c r="Q262" s="37">
        <f>1-FT_RF_264[[#This Row],[% Defectos]]</f>
        <v>1</v>
      </c>
      <c r="R262" s="38">
        <v>0</v>
      </c>
      <c r="S262" s="39">
        <f>+IFERROR((FT_RF_264[[#This Row],[Inmadura]]/FT_RF_264[[#This Row],[Muestra]]),"0")</f>
        <v>0</v>
      </c>
      <c r="T262" s="38">
        <v>0</v>
      </c>
      <c r="U262" s="39">
        <f>+IFERROR((FT_RF_264[[#This Row],[Partidas]]/FT_RF_264[[#This Row],[Muestra]]),"0")</f>
        <v>0</v>
      </c>
      <c r="V262" s="38">
        <v>0</v>
      </c>
      <c r="W262" s="39">
        <f>+IFERROR((FT_RF_264[[#This Row],[Daño Insecto]]/FT_RF_264[[#This Row],[Muestra]]),"0")</f>
        <v>0</v>
      </c>
      <c r="X262" s="38">
        <v>0</v>
      </c>
      <c r="Y262" s="39">
        <f>+IFERROR((FT_RF_264[[#This Row],[Sobremadura]]/FT_RF_264[[#This Row],[Muestra]]),"0")</f>
        <v>0</v>
      </c>
      <c r="Z262" s="38">
        <v>0</v>
      </c>
      <c r="AA262" s="39">
        <f>+IFERROR((FT_RF_264[[#This Row],[Deforme]]/FT_RF_264[[#This Row],[Muestra]]),"0")</f>
        <v>0</v>
      </c>
      <c r="AB262" s="27"/>
      <c r="AC262" s="38">
        <v>0</v>
      </c>
      <c r="AD262" s="39">
        <f>+IFERROR((FT_RF_264[[#This Row],[Valor Extra 1]]/FT_RF_264[[#This Row],[Muestra]]),"0")</f>
        <v>0</v>
      </c>
      <c r="AF262" s="38">
        <v>0</v>
      </c>
      <c r="AG262" s="39">
        <f>+IFERROR((FT_RF_264[[#This Row],[Valor Extra 2]]/FT_RF_264[[#This Row],[Muestra]]),"0")</f>
        <v>0</v>
      </c>
      <c r="AH262" s="40">
        <v>0</v>
      </c>
      <c r="AI262" s="39">
        <f>+IFERROR((FT_RF_264[[#This Row],[Hongos]]/FT_RF_264[[#This Row],[Muestra]]),"0")</f>
        <v>0</v>
      </c>
      <c r="AJ262" s="38">
        <v>0</v>
      </c>
      <c r="AK262" s="39">
        <f>+IFERROR((FT_RF_264[[#This Row],[Block]]/FT_RF_264[[#This Row],[Muestra]]),"0")</f>
        <v>0</v>
      </c>
      <c r="AL262" s="41">
        <v>0</v>
      </c>
      <c r="AM262" s="42">
        <v>0</v>
      </c>
      <c r="AN262" s="38">
        <v>0</v>
      </c>
      <c r="AO262" s="39">
        <f>+IFERROR((FT_RF_264[[#This Row],[Fuera de calibre &lt;12mm]]/FT_RF_264[[#This Row],[Muestra]]),"0")</f>
        <v>0</v>
      </c>
      <c r="AP262" s="38">
        <v>0</v>
      </c>
      <c r="AQ262" s="39">
        <f>+IFERROR((FT_RF_264[[#This Row],[Calibre &lt;25]]/FT_RF_264[[#This Row],[Muestra]]),"0")</f>
        <v>0</v>
      </c>
      <c r="AR262" s="38">
        <v>0</v>
      </c>
      <c r="AS262" s="39">
        <f>+IFERROR((FT_RF_264[[#This Row],[Calibre &gt;12]]/FT_RF_264[[#This Row],[Muestra]]),"0")</f>
        <v>0</v>
      </c>
      <c r="AT262" s="38">
        <v>0</v>
      </c>
      <c r="AU262" s="39">
        <f>+IFERROR((FT_RF_264[[#This Row],[Calibre &lt;14]]/FT_RF_264[[#This Row],[Muestra]]),"0")</f>
        <v>0</v>
      </c>
      <c r="AV262" s="38">
        <v>0</v>
      </c>
      <c r="AW262" s="39">
        <f>+IFERROR((FT_RF_264[[#This Row],[Calibre &gt;14]]/FT_RF_264[[#This Row],[Muestra]]),"0")</f>
        <v>0</v>
      </c>
      <c r="AX262" s="38">
        <v>0</v>
      </c>
      <c r="AY262" s="39">
        <f>+IFERROR((FT_RF_264[[#This Row],[Calibre &lt;10]]/FT_RF_264[[#This Row],[Muestra]]),"0")</f>
        <v>0</v>
      </c>
      <c r="AZ262" s="38">
        <v>0</v>
      </c>
      <c r="BA262" s="39">
        <f>+IFERROR((FT_RF_264[[#This Row],[Calibre &gt;13]]/FT_RF_264[[#This Row],[Muestra]]),"0")</f>
        <v>0</v>
      </c>
      <c r="BB262" s="41"/>
      <c r="BG262" s="42"/>
      <c r="BH262" s="43">
        <v>0</v>
      </c>
      <c r="BI262" s="29" t="s">
        <v>894</v>
      </c>
      <c r="BJ262" s="29" t="s">
        <v>894</v>
      </c>
      <c r="BK26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6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62" s="45">
        <f>1-FT_RF_264[[#This Row],[% Defectos]]</f>
        <v>1</v>
      </c>
      <c r="BO262" s="60"/>
      <c r="BP262" s="12">
        <f>SUM(FT_RF_264[[#This Row],[Hoja (Un.)]:[Larvas Caja]])</f>
        <v>0</v>
      </c>
      <c r="BQ262" s="12">
        <f>SUM(FT_RF_264[[#This Row],[Vidrios]:[Plástico]])</f>
        <v>0</v>
      </c>
      <c r="BR262" s="12" t="str">
        <f>IF(ISBLANK(FT_RF_264[[#This Row],[Descripción del producto]]),"",FT_RF_264[[#This Row],[Descripción del producto]])</f>
        <v/>
      </c>
      <c r="BS262" s="29" t="str">
        <f>IF(ISBLANK(FT_RF_264[[#This Row],[N° de Lote]]),"",FT_RF_264[[#This Row],[N° de Lote]])</f>
        <v/>
      </c>
      <c r="BT262" s="29" t="str">
        <f>IF(ISBLANK(FT_RF_264[[#This Row],[N° de Pallet]]),"",FT_RF_264[[#This Row],[N° de Pallet]])</f>
        <v/>
      </c>
    </row>
    <row r="263" spans="2:72">
      <c r="B263" s="29">
        <f>+_xlfn.ISOWEEKNUM(FT_RF_264[[#This Row],[Fecha]])</f>
        <v>52</v>
      </c>
      <c r="E263" s="31"/>
      <c r="F263" s="12" t="str">
        <f>IFERROR(""&amp;_xlfn.XLOOKUP(FT_RF_264[[#This Row],[Código]],BD_Cod[SKU],BD_Cod[Descripción]),"")</f>
        <v/>
      </c>
      <c r="G263" s="32" t="str">
        <f>IFERROR(""&amp;_xlfn.XLOOKUP(FT_RF_264[[#This Row],[Código]],BD_Cod[SKU],BD_Cod[Familia Calidad]),"")</f>
        <v/>
      </c>
      <c r="J263" s="33">
        <v>1000</v>
      </c>
      <c r="L263" s="30" t="s">
        <v>244</v>
      </c>
      <c r="O263" s="30" t="s">
        <v>894</v>
      </c>
      <c r="P263" s="29" t="s">
        <v>894</v>
      </c>
      <c r="Q263" s="37">
        <f>1-FT_RF_264[[#This Row],[% Defectos]]</f>
        <v>1</v>
      </c>
      <c r="R263" s="38">
        <v>0</v>
      </c>
      <c r="S263" s="39">
        <f>+IFERROR((FT_RF_264[[#This Row],[Inmadura]]/FT_RF_264[[#This Row],[Muestra]]),"0")</f>
        <v>0</v>
      </c>
      <c r="T263" s="38">
        <v>0</v>
      </c>
      <c r="U263" s="39">
        <f>+IFERROR((FT_RF_264[[#This Row],[Partidas]]/FT_RF_264[[#This Row],[Muestra]]),"0")</f>
        <v>0</v>
      </c>
      <c r="V263" s="38">
        <v>0</v>
      </c>
      <c r="W263" s="39">
        <f>+IFERROR((FT_RF_264[[#This Row],[Daño Insecto]]/FT_RF_264[[#This Row],[Muestra]]),"0")</f>
        <v>0</v>
      </c>
      <c r="X263" s="38">
        <v>0</v>
      </c>
      <c r="Y263" s="39">
        <f>+IFERROR((FT_RF_264[[#This Row],[Sobremadura]]/FT_RF_264[[#This Row],[Muestra]]),"0")</f>
        <v>0</v>
      </c>
      <c r="Z263" s="38">
        <v>0</v>
      </c>
      <c r="AA263" s="39">
        <f>+IFERROR((FT_RF_264[[#This Row],[Deforme]]/FT_RF_264[[#This Row],[Muestra]]),"0")</f>
        <v>0</v>
      </c>
      <c r="AB263" s="27"/>
      <c r="AC263" s="38">
        <v>0</v>
      </c>
      <c r="AD263" s="39">
        <f>+IFERROR((FT_RF_264[[#This Row],[Valor Extra 1]]/FT_RF_264[[#This Row],[Muestra]]),"0")</f>
        <v>0</v>
      </c>
      <c r="AF263" s="38">
        <v>0</v>
      </c>
      <c r="AG263" s="39">
        <f>+IFERROR((FT_RF_264[[#This Row],[Valor Extra 2]]/FT_RF_264[[#This Row],[Muestra]]),"0")</f>
        <v>0</v>
      </c>
      <c r="AH263" s="40">
        <v>0</v>
      </c>
      <c r="AI263" s="39">
        <f>+IFERROR((FT_RF_264[[#This Row],[Hongos]]/FT_RF_264[[#This Row],[Muestra]]),"0")</f>
        <v>0</v>
      </c>
      <c r="AJ263" s="38">
        <v>0</v>
      </c>
      <c r="AK263" s="39">
        <f>+IFERROR((FT_RF_264[[#This Row],[Block]]/FT_RF_264[[#This Row],[Muestra]]),"0")</f>
        <v>0</v>
      </c>
      <c r="AL263" s="41">
        <v>0</v>
      </c>
      <c r="AM263" s="42">
        <v>0</v>
      </c>
      <c r="AN263" s="38">
        <v>0</v>
      </c>
      <c r="AO263" s="39">
        <f>+IFERROR((FT_RF_264[[#This Row],[Fuera de calibre &lt;12mm]]/FT_RF_264[[#This Row],[Muestra]]),"0")</f>
        <v>0</v>
      </c>
      <c r="AP263" s="38">
        <v>0</v>
      </c>
      <c r="AQ263" s="39">
        <f>+IFERROR((FT_RF_264[[#This Row],[Calibre &lt;25]]/FT_RF_264[[#This Row],[Muestra]]),"0")</f>
        <v>0</v>
      </c>
      <c r="AR263" s="38">
        <v>0</v>
      </c>
      <c r="AS263" s="39">
        <f>+IFERROR((FT_RF_264[[#This Row],[Calibre &gt;12]]/FT_RF_264[[#This Row],[Muestra]]),"0")</f>
        <v>0</v>
      </c>
      <c r="AT263" s="38">
        <v>0</v>
      </c>
      <c r="AU263" s="39">
        <f>+IFERROR((FT_RF_264[[#This Row],[Calibre &lt;14]]/FT_RF_264[[#This Row],[Muestra]]),"0")</f>
        <v>0</v>
      </c>
      <c r="AV263" s="38">
        <v>0</v>
      </c>
      <c r="AW263" s="39">
        <f>+IFERROR((FT_RF_264[[#This Row],[Calibre &gt;14]]/FT_RF_264[[#This Row],[Muestra]]),"0")</f>
        <v>0</v>
      </c>
      <c r="AX263" s="38">
        <v>0</v>
      </c>
      <c r="AY263" s="39">
        <f>+IFERROR((FT_RF_264[[#This Row],[Calibre &lt;10]]/FT_RF_264[[#This Row],[Muestra]]),"0")</f>
        <v>0</v>
      </c>
      <c r="AZ263" s="38">
        <v>0</v>
      </c>
      <c r="BA263" s="39">
        <f>+IFERROR((FT_RF_264[[#This Row],[Calibre &gt;13]]/FT_RF_264[[#This Row],[Muestra]]),"0")</f>
        <v>0</v>
      </c>
      <c r="BB263" s="41"/>
      <c r="BG263" s="42"/>
      <c r="BH263" s="43">
        <v>0</v>
      </c>
      <c r="BI263" s="29" t="s">
        <v>894</v>
      </c>
      <c r="BJ263" s="29" t="s">
        <v>894</v>
      </c>
      <c r="BK26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6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63" s="45">
        <f>1-FT_RF_264[[#This Row],[% Defectos]]</f>
        <v>1</v>
      </c>
      <c r="BO263" s="60"/>
      <c r="BP263" s="12">
        <f>SUM(FT_RF_264[[#This Row],[Hoja (Un.)]:[Larvas Caja]])</f>
        <v>0</v>
      </c>
      <c r="BQ263" s="12">
        <f>SUM(FT_RF_264[[#This Row],[Vidrios]:[Plástico]])</f>
        <v>0</v>
      </c>
      <c r="BR263" s="12" t="str">
        <f>IF(ISBLANK(FT_RF_264[[#This Row],[Descripción del producto]]),"",FT_RF_264[[#This Row],[Descripción del producto]])</f>
        <v/>
      </c>
      <c r="BS263" s="29" t="str">
        <f>IF(ISBLANK(FT_RF_264[[#This Row],[N° de Lote]]),"",FT_RF_264[[#This Row],[N° de Lote]])</f>
        <v/>
      </c>
      <c r="BT263" s="29" t="str">
        <f>IF(ISBLANK(FT_RF_264[[#This Row],[N° de Pallet]]),"",FT_RF_264[[#This Row],[N° de Pallet]])</f>
        <v/>
      </c>
    </row>
    <row r="264" spans="2:72">
      <c r="B264" s="29">
        <f>+_xlfn.ISOWEEKNUM(FT_RF_264[[#This Row],[Fecha]])</f>
        <v>52</v>
      </c>
      <c r="E264" s="31"/>
      <c r="F264" s="12" t="str">
        <f>IFERROR(""&amp;_xlfn.XLOOKUP(FT_RF_264[[#This Row],[Código]],BD_Cod[SKU],BD_Cod[Descripción]),"")</f>
        <v/>
      </c>
      <c r="G264" s="32" t="str">
        <f>IFERROR(""&amp;_xlfn.XLOOKUP(FT_RF_264[[#This Row],[Código]],BD_Cod[SKU],BD_Cod[Familia Calidad]),"")</f>
        <v/>
      </c>
      <c r="J264" s="33">
        <v>1000</v>
      </c>
      <c r="L264" s="30" t="s">
        <v>244</v>
      </c>
      <c r="O264" s="30" t="s">
        <v>894</v>
      </c>
      <c r="P264" s="29" t="s">
        <v>894</v>
      </c>
      <c r="Q264" s="37">
        <f>1-FT_RF_264[[#This Row],[% Defectos]]</f>
        <v>1</v>
      </c>
      <c r="R264" s="38">
        <v>0</v>
      </c>
      <c r="S264" s="39">
        <f>+IFERROR((FT_RF_264[[#This Row],[Inmadura]]/FT_RF_264[[#This Row],[Muestra]]),"0")</f>
        <v>0</v>
      </c>
      <c r="T264" s="38">
        <v>0</v>
      </c>
      <c r="U264" s="39">
        <f>+IFERROR((FT_RF_264[[#This Row],[Partidas]]/FT_RF_264[[#This Row],[Muestra]]),"0")</f>
        <v>0</v>
      </c>
      <c r="V264" s="38">
        <v>0</v>
      </c>
      <c r="W264" s="39">
        <f>+IFERROR((FT_RF_264[[#This Row],[Daño Insecto]]/FT_RF_264[[#This Row],[Muestra]]),"0")</f>
        <v>0</v>
      </c>
      <c r="X264" s="38">
        <v>0</v>
      </c>
      <c r="Y264" s="39">
        <f>+IFERROR((FT_RF_264[[#This Row],[Sobremadura]]/FT_RF_264[[#This Row],[Muestra]]),"0")</f>
        <v>0</v>
      </c>
      <c r="Z264" s="38">
        <v>0</v>
      </c>
      <c r="AA264" s="39">
        <f>+IFERROR((FT_RF_264[[#This Row],[Deforme]]/FT_RF_264[[#This Row],[Muestra]]),"0")</f>
        <v>0</v>
      </c>
      <c r="AB264" s="27"/>
      <c r="AC264" s="38">
        <v>0</v>
      </c>
      <c r="AD264" s="39">
        <f>+IFERROR((FT_RF_264[[#This Row],[Valor Extra 1]]/FT_RF_264[[#This Row],[Muestra]]),"0")</f>
        <v>0</v>
      </c>
      <c r="AF264" s="38">
        <v>0</v>
      </c>
      <c r="AG264" s="39">
        <f>+IFERROR((FT_RF_264[[#This Row],[Valor Extra 2]]/FT_RF_264[[#This Row],[Muestra]]),"0")</f>
        <v>0</v>
      </c>
      <c r="AH264" s="40">
        <v>0</v>
      </c>
      <c r="AI264" s="39">
        <f>+IFERROR((FT_RF_264[[#This Row],[Hongos]]/FT_RF_264[[#This Row],[Muestra]]),"0")</f>
        <v>0</v>
      </c>
      <c r="AJ264" s="38">
        <v>0</v>
      </c>
      <c r="AK264" s="39">
        <f>+IFERROR((FT_RF_264[[#This Row],[Block]]/FT_RF_264[[#This Row],[Muestra]]),"0")</f>
        <v>0</v>
      </c>
      <c r="AL264" s="41">
        <v>0</v>
      </c>
      <c r="AM264" s="42">
        <v>0</v>
      </c>
      <c r="AN264" s="38">
        <v>0</v>
      </c>
      <c r="AO264" s="39">
        <f>+IFERROR((FT_RF_264[[#This Row],[Fuera de calibre &lt;12mm]]/FT_RF_264[[#This Row],[Muestra]]),"0")</f>
        <v>0</v>
      </c>
      <c r="AP264" s="38">
        <v>0</v>
      </c>
      <c r="AQ264" s="39">
        <f>+IFERROR((FT_RF_264[[#This Row],[Calibre &lt;25]]/FT_RF_264[[#This Row],[Muestra]]),"0")</f>
        <v>0</v>
      </c>
      <c r="AR264" s="38">
        <v>0</v>
      </c>
      <c r="AS264" s="39">
        <f>+IFERROR((FT_RF_264[[#This Row],[Calibre &gt;12]]/FT_RF_264[[#This Row],[Muestra]]),"0")</f>
        <v>0</v>
      </c>
      <c r="AT264" s="38">
        <v>0</v>
      </c>
      <c r="AU264" s="39">
        <f>+IFERROR((FT_RF_264[[#This Row],[Calibre &lt;14]]/FT_RF_264[[#This Row],[Muestra]]),"0")</f>
        <v>0</v>
      </c>
      <c r="AV264" s="38">
        <v>0</v>
      </c>
      <c r="AW264" s="39">
        <f>+IFERROR((FT_RF_264[[#This Row],[Calibre &gt;14]]/FT_RF_264[[#This Row],[Muestra]]),"0")</f>
        <v>0</v>
      </c>
      <c r="AX264" s="38">
        <v>0</v>
      </c>
      <c r="AY264" s="39">
        <f>+IFERROR((FT_RF_264[[#This Row],[Calibre &lt;10]]/FT_RF_264[[#This Row],[Muestra]]),"0")</f>
        <v>0</v>
      </c>
      <c r="AZ264" s="38">
        <v>0</v>
      </c>
      <c r="BA264" s="39">
        <f>+IFERROR((FT_RF_264[[#This Row],[Calibre &gt;13]]/FT_RF_264[[#This Row],[Muestra]]),"0")</f>
        <v>0</v>
      </c>
      <c r="BB264" s="41"/>
      <c r="BG264" s="42"/>
      <c r="BH264" s="43">
        <v>0</v>
      </c>
      <c r="BI264" s="29" t="s">
        <v>894</v>
      </c>
      <c r="BJ264" s="29" t="s">
        <v>894</v>
      </c>
      <c r="BK26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6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64" s="45">
        <f>1-FT_RF_264[[#This Row],[% Defectos]]</f>
        <v>1</v>
      </c>
      <c r="BO264" s="60"/>
      <c r="BP264" s="12">
        <f>SUM(FT_RF_264[[#This Row],[Hoja (Un.)]:[Larvas Caja]])</f>
        <v>0</v>
      </c>
      <c r="BQ264" s="12">
        <f>SUM(FT_RF_264[[#This Row],[Vidrios]:[Plástico]])</f>
        <v>0</v>
      </c>
      <c r="BR264" s="12" t="str">
        <f>IF(ISBLANK(FT_RF_264[[#This Row],[Descripción del producto]]),"",FT_RF_264[[#This Row],[Descripción del producto]])</f>
        <v/>
      </c>
      <c r="BS264" s="29" t="str">
        <f>IF(ISBLANK(FT_RF_264[[#This Row],[N° de Lote]]),"",FT_RF_264[[#This Row],[N° de Lote]])</f>
        <v/>
      </c>
      <c r="BT264" s="29" t="str">
        <f>IF(ISBLANK(FT_RF_264[[#This Row],[N° de Pallet]]),"",FT_RF_264[[#This Row],[N° de Pallet]])</f>
        <v/>
      </c>
    </row>
    <row r="265" spans="2:72">
      <c r="B265" s="29">
        <f>+_xlfn.ISOWEEKNUM(FT_RF_264[[#This Row],[Fecha]])</f>
        <v>52</v>
      </c>
      <c r="E265" s="31"/>
      <c r="F265" s="12" t="str">
        <f>IFERROR(""&amp;_xlfn.XLOOKUP(FT_RF_264[[#This Row],[Código]],BD_Cod[SKU],BD_Cod[Descripción]),"")</f>
        <v/>
      </c>
      <c r="G265" s="32" t="str">
        <f>IFERROR(""&amp;_xlfn.XLOOKUP(FT_RF_264[[#This Row],[Código]],BD_Cod[SKU],BD_Cod[Familia Calidad]),"")</f>
        <v/>
      </c>
      <c r="J265" s="33">
        <v>1000</v>
      </c>
      <c r="L265" s="30" t="s">
        <v>244</v>
      </c>
      <c r="O265" s="30" t="s">
        <v>894</v>
      </c>
      <c r="P265" s="29" t="s">
        <v>894</v>
      </c>
      <c r="Q265" s="37">
        <f>1-FT_RF_264[[#This Row],[% Defectos]]</f>
        <v>1</v>
      </c>
      <c r="R265" s="38">
        <v>0</v>
      </c>
      <c r="S265" s="39">
        <f>+IFERROR((FT_RF_264[[#This Row],[Inmadura]]/FT_RF_264[[#This Row],[Muestra]]),"0")</f>
        <v>0</v>
      </c>
      <c r="T265" s="38">
        <v>0</v>
      </c>
      <c r="U265" s="39">
        <f>+IFERROR((FT_RF_264[[#This Row],[Partidas]]/FT_RF_264[[#This Row],[Muestra]]),"0")</f>
        <v>0</v>
      </c>
      <c r="V265" s="38">
        <v>0</v>
      </c>
      <c r="W265" s="39">
        <f>+IFERROR((FT_RF_264[[#This Row],[Daño Insecto]]/FT_RF_264[[#This Row],[Muestra]]),"0")</f>
        <v>0</v>
      </c>
      <c r="X265" s="38">
        <v>0</v>
      </c>
      <c r="Y265" s="39">
        <f>+IFERROR((FT_RF_264[[#This Row],[Sobremadura]]/FT_RF_264[[#This Row],[Muestra]]),"0")</f>
        <v>0</v>
      </c>
      <c r="Z265" s="38">
        <v>0</v>
      </c>
      <c r="AA265" s="39">
        <f>+IFERROR((FT_RF_264[[#This Row],[Deforme]]/FT_RF_264[[#This Row],[Muestra]]),"0")</f>
        <v>0</v>
      </c>
      <c r="AB265" s="27"/>
      <c r="AC265" s="38">
        <v>0</v>
      </c>
      <c r="AD265" s="39">
        <f>+IFERROR((FT_RF_264[[#This Row],[Valor Extra 1]]/FT_RF_264[[#This Row],[Muestra]]),"0")</f>
        <v>0</v>
      </c>
      <c r="AF265" s="38">
        <v>0</v>
      </c>
      <c r="AG265" s="39">
        <f>+IFERROR((FT_RF_264[[#This Row],[Valor Extra 2]]/FT_RF_264[[#This Row],[Muestra]]),"0")</f>
        <v>0</v>
      </c>
      <c r="AH265" s="40">
        <v>0</v>
      </c>
      <c r="AI265" s="39">
        <f>+IFERROR((FT_RF_264[[#This Row],[Hongos]]/FT_RF_264[[#This Row],[Muestra]]),"0")</f>
        <v>0</v>
      </c>
      <c r="AJ265" s="38">
        <v>0</v>
      </c>
      <c r="AK265" s="39">
        <f>+IFERROR((FT_RF_264[[#This Row],[Block]]/FT_RF_264[[#This Row],[Muestra]]),"0")</f>
        <v>0</v>
      </c>
      <c r="AL265" s="41">
        <v>0</v>
      </c>
      <c r="AM265" s="42">
        <v>0</v>
      </c>
      <c r="AN265" s="38">
        <v>0</v>
      </c>
      <c r="AO265" s="39">
        <f>+IFERROR((FT_RF_264[[#This Row],[Fuera de calibre &lt;12mm]]/FT_RF_264[[#This Row],[Muestra]]),"0")</f>
        <v>0</v>
      </c>
      <c r="AP265" s="38">
        <v>0</v>
      </c>
      <c r="AQ265" s="39">
        <f>+IFERROR((FT_RF_264[[#This Row],[Calibre &lt;25]]/FT_RF_264[[#This Row],[Muestra]]),"0")</f>
        <v>0</v>
      </c>
      <c r="AR265" s="38">
        <v>0</v>
      </c>
      <c r="AS265" s="39">
        <f>+IFERROR((FT_RF_264[[#This Row],[Calibre &gt;12]]/FT_RF_264[[#This Row],[Muestra]]),"0")</f>
        <v>0</v>
      </c>
      <c r="AT265" s="38">
        <v>0</v>
      </c>
      <c r="AU265" s="39">
        <f>+IFERROR((FT_RF_264[[#This Row],[Calibre &lt;14]]/FT_RF_264[[#This Row],[Muestra]]),"0")</f>
        <v>0</v>
      </c>
      <c r="AV265" s="38">
        <v>0</v>
      </c>
      <c r="AW265" s="39">
        <f>+IFERROR((FT_RF_264[[#This Row],[Calibre &gt;14]]/FT_RF_264[[#This Row],[Muestra]]),"0")</f>
        <v>0</v>
      </c>
      <c r="AX265" s="38">
        <v>0</v>
      </c>
      <c r="AY265" s="39">
        <f>+IFERROR((FT_RF_264[[#This Row],[Calibre &lt;10]]/FT_RF_264[[#This Row],[Muestra]]),"0")</f>
        <v>0</v>
      </c>
      <c r="AZ265" s="38">
        <v>0</v>
      </c>
      <c r="BA265" s="39">
        <f>+IFERROR((FT_RF_264[[#This Row],[Calibre &gt;13]]/FT_RF_264[[#This Row],[Muestra]]),"0")</f>
        <v>0</v>
      </c>
      <c r="BB265" s="41"/>
      <c r="BG265" s="42"/>
      <c r="BH265" s="43">
        <v>0</v>
      </c>
      <c r="BI265" s="29" t="s">
        <v>894</v>
      </c>
      <c r="BJ265" s="29" t="s">
        <v>894</v>
      </c>
      <c r="BK26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6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65" s="45">
        <f>1-FT_RF_264[[#This Row],[% Defectos]]</f>
        <v>1</v>
      </c>
      <c r="BO265" s="60"/>
      <c r="BP265" s="12">
        <f>SUM(FT_RF_264[[#This Row],[Hoja (Un.)]:[Larvas Caja]])</f>
        <v>0</v>
      </c>
      <c r="BQ265" s="12">
        <f>SUM(FT_RF_264[[#This Row],[Vidrios]:[Plástico]])</f>
        <v>0</v>
      </c>
      <c r="BR265" s="12" t="str">
        <f>IF(ISBLANK(FT_RF_264[[#This Row],[Descripción del producto]]),"",FT_RF_264[[#This Row],[Descripción del producto]])</f>
        <v/>
      </c>
      <c r="BS265" s="29" t="str">
        <f>IF(ISBLANK(FT_RF_264[[#This Row],[N° de Lote]]),"",FT_RF_264[[#This Row],[N° de Lote]])</f>
        <v/>
      </c>
      <c r="BT265" s="29" t="str">
        <f>IF(ISBLANK(FT_RF_264[[#This Row],[N° de Pallet]]),"",FT_RF_264[[#This Row],[N° de Pallet]])</f>
        <v/>
      </c>
    </row>
    <row r="266" spans="2:72">
      <c r="B266" s="29">
        <f>+_xlfn.ISOWEEKNUM(FT_RF_264[[#This Row],[Fecha]])</f>
        <v>52</v>
      </c>
      <c r="E266" s="31"/>
      <c r="F266" s="12" t="str">
        <f>IFERROR(""&amp;_xlfn.XLOOKUP(FT_RF_264[[#This Row],[Código]],BD_Cod[SKU],BD_Cod[Descripción]),"")</f>
        <v/>
      </c>
      <c r="G266" s="32" t="str">
        <f>IFERROR(""&amp;_xlfn.XLOOKUP(FT_RF_264[[#This Row],[Código]],BD_Cod[SKU],BD_Cod[Familia Calidad]),"")</f>
        <v/>
      </c>
      <c r="J266" s="33">
        <v>1000</v>
      </c>
      <c r="L266" s="30" t="s">
        <v>244</v>
      </c>
      <c r="O266" s="30" t="s">
        <v>894</v>
      </c>
      <c r="P266" s="29" t="s">
        <v>894</v>
      </c>
      <c r="Q266" s="37">
        <f>1-FT_RF_264[[#This Row],[% Defectos]]</f>
        <v>1</v>
      </c>
      <c r="R266" s="38">
        <v>0</v>
      </c>
      <c r="S266" s="39">
        <f>+IFERROR((FT_RF_264[[#This Row],[Inmadura]]/FT_RF_264[[#This Row],[Muestra]]),"0")</f>
        <v>0</v>
      </c>
      <c r="T266" s="38">
        <v>0</v>
      </c>
      <c r="U266" s="39">
        <f>+IFERROR((FT_RF_264[[#This Row],[Partidas]]/FT_RF_264[[#This Row],[Muestra]]),"0")</f>
        <v>0</v>
      </c>
      <c r="V266" s="38">
        <v>0</v>
      </c>
      <c r="W266" s="39">
        <f>+IFERROR((FT_RF_264[[#This Row],[Daño Insecto]]/FT_RF_264[[#This Row],[Muestra]]),"0")</f>
        <v>0</v>
      </c>
      <c r="X266" s="38">
        <v>0</v>
      </c>
      <c r="Y266" s="39">
        <f>+IFERROR((FT_RF_264[[#This Row],[Sobremadura]]/FT_RF_264[[#This Row],[Muestra]]),"0")</f>
        <v>0</v>
      </c>
      <c r="Z266" s="38">
        <v>0</v>
      </c>
      <c r="AA266" s="39">
        <f>+IFERROR((FT_RF_264[[#This Row],[Deforme]]/FT_RF_264[[#This Row],[Muestra]]),"0")</f>
        <v>0</v>
      </c>
      <c r="AB266" s="27"/>
      <c r="AC266" s="38">
        <v>0</v>
      </c>
      <c r="AD266" s="39">
        <f>+IFERROR((FT_RF_264[[#This Row],[Valor Extra 1]]/FT_RF_264[[#This Row],[Muestra]]),"0")</f>
        <v>0</v>
      </c>
      <c r="AF266" s="38">
        <v>0</v>
      </c>
      <c r="AG266" s="39">
        <f>+IFERROR((FT_RF_264[[#This Row],[Valor Extra 2]]/FT_RF_264[[#This Row],[Muestra]]),"0")</f>
        <v>0</v>
      </c>
      <c r="AH266" s="40">
        <v>0</v>
      </c>
      <c r="AI266" s="39">
        <f>+IFERROR((FT_RF_264[[#This Row],[Hongos]]/FT_RF_264[[#This Row],[Muestra]]),"0")</f>
        <v>0</v>
      </c>
      <c r="AJ266" s="38">
        <v>0</v>
      </c>
      <c r="AK266" s="39">
        <f>+IFERROR((FT_RF_264[[#This Row],[Block]]/FT_RF_264[[#This Row],[Muestra]]),"0")</f>
        <v>0</v>
      </c>
      <c r="AL266" s="41">
        <v>0</v>
      </c>
      <c r="AM266" s="42">
        <v>0</v>
      </c>
      <c r="AN266" s="38">
        <v>0</v>
      </c>
      <c r="AO266" s="39">
        <f>+IFERROR((FT_RF_264[[#This Row],[Fuera de calibre &lt;12mm]]/FT_RF_264[[#This Row],[Muestra]]),"0")</f>
        <v>0</v>
      </c>
      <c r="AP266" s="38">
        <v>0</v>
      </c>
      <c r="AQ266" s="39">
        <f>+IFERROR((FT_RF_264[[#This Row],[Calibre &lt;25]]/FT_RF_264[[#This Row],[Muestra]]),"0")</f>
        <v>0</v>
      </c>
      <c r="AR266" s="38">
        <v>0</v>
      </c>
      <c r="AS266" s="39">
        <f>+IFERROR((FT_RF_264[[#This Row],[Calibre &gt;12]]/FT_RF_264[[#This Row],[Muestra]]),"0")</f>
        <v>0</v>
      </c>
      <c r="AT266" s="38">
        <v>0</v>
      </c>
      <c r="AU266" s="39">
        <f>+IFERROR((FT_RF_264[[#This Row],[Calibre &lt;14]]/FT_RF_264[[#This Row],[Muestra]]),"0")</f>
        <v>0</v>
      </c>
      <c r="AV266" s="38">
        <v>0</v>
      </c>
      <c r="AW266" s="39">
        <f>+IFERROR((FT_RF_264[[#This Row],[Calibre &gt;14]]/FT_RF_264[[#This Row],[Muestra]]),"0")</f>
        <v>0</v>
      </c>
      <c r="AX266" s="38">
        <v>0</v>
      </c>
      <c r="AY266" s="39">
        <f>+IFERROR((FT_RF_264[[#This Row],[Calibre &lt;10]]/FT_RF_264[[#This Row],[Muestra]]),"0")</f>
        <v>0</v>
      </c>
      <c r="AZ266" s="38">
        <v>0</v>
      </c>
      <c r="BA266" s="39">
        <f>+IFERROR((FT_RF_264[[#This Row],[Calibre &gt;13]]/FT_RF_264[[#This Row],[Muestra]]),"0")</f>
        <v>0</v>
      </c>
      <c r="BB266" s="41"/>
      <c r="BG266" s="42"/>
      <c r="BH266" s="43">
        <v>0</v>
      </c>
      <c r="BI266" s="29" t="s">
        <v>894</v>
      </c>
      <c r="BJ266" s="29" t="s">
        <v>894</v>
      </c>
      <c r="BK26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6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66" s="45">
        <f>1-FT_RF_264[[#This Row],[% Defectos]]</f>
        <v>1</v>
      </c>
      <c r="BO266" s="60"/>
      <c r="BP266" s="12">
        <f>SUM(FT_RF_264[[#This Row],[Hoja (Un.)]:[Larvas Caja]])</f>
        <v>0</v>
      </c>
      <c r="BQ266" s="12">
        <f>SUM(FT_RF_264[[#This Row],[Vidrios]:[Plástico]])</f>
        <v>0</v>
      </c>
      <c r="BR266" s="12" t="str">
        <f>IF(ISBLANK(FT_RF_264[[#This Row],[Descripción del producto]]),"",FT_RF_264[[#This Row],[Descripción del producto]])</f>
        <v/>
      </c>
      <c r="BS266" s="29" t="str">
        <f>IF(ISBLANK(FT_RF_264[[#This Row],[N° de Lote]]),"",FT_RF_264[[#This Row],[N° de Lote]])</f>
        <v/>
      </c>
      <c r="BT266" s="29" t="str">
        <f>IF(ISBLANK(FT_RF_264[[#This Row],[N° de Pallet]]),"",FT_RF_264[[#This Row],[N° de Pallet]])</f>
        <v/>
      </c>
    </row>
    <row r="267" spans="2:72">
      <c r="B267" s="29">
        <f>+_xlfn.ISOWEEKNUM(FT_RF_264[[#This Row],[Fecha]])</f>
        <v>52</v>
      </c>
      <c r="E267" s="31"/>
      <c r="F267" s="12" t="str">
        <f>IFERROR(""&amp;_xlfn.XLOOKUP(FT_RF_264[[#This Row],[Código]],BD_Cod[SKU],BD_Cod[Descripción]),"")</f>
        <v/>
      </c>
      <c r="G267" s="32" t="str">
        <f>IFERROR(""&amp;_xlfn.XLOOKUP(FT_RF_264[[#This Row],[Código]],BD_Cod[SKU],BD_Cod[Familia Calidad]),"")</f>
        <v/>
      </c>
      <c r="J267" s="33">
        <v>1000</v>
      </c>
      <c r="L267" s="30" t="s">
        <v>244</v>
      </c>
      <c r="O267" s="30" t="s">
        <v>894</v>
      </c>
      <c r="P267" s="29" t="s">
        <v>894</v>
      </c>
      <c r="Q267" s="37">
        <f>1-FT_RF_264[[#This Row],[% Defectos]]</f>
        <v>1</v>
      </c>
      <c r="R267" s="38">
        <v>0</v>
      </c>
      <c r="S267" s="39">
        <f>+IFERROR((FT_RF_264[[#This Row],[Inmadura]]/FT_RF_264[[#This Row],[Muestra]]),"0")</f>
        <v>0</v>
      </c>
      <c r="T267" s="38">
        <v>0</v>
      </c>
      <c r="U267" s="39">
        <f>+IFERROR((FT_RF_264[[#This Row],[Partidas]]/FT_RF_264[[#This Row],[Muestra]]),"0")</f>
        <v>0</v>
      </c>
      <c r="V267" s="38">
        <v>0</v>
      </c>
      <c r="W267" s="39">
        <f>+IFERROR((FT_RF_264[[#This Row],[Daño Insecto]]/FT_RF_264[[#This Row],[Muestra]]),"0")</f>
        <v>0</v>
      </c>
      <c r="X267" s="38">
        <v>0</v>
      </c>
      <c r="Y267" s="39">
        <f>+IFERROR((FT_RF_264[[#This Row],[Sobremadura]]/FT_RF_264[[#This Row],[Muestra]]),"0")</f>
        <v>0</v>
      </c>
      <c r="Z267" s="38">
        <v>0</v>
      </c>
      <c r="AA267" s="39">
        <f>+IFERROR((FT_RF_264[[#This Row],[Deforme]]/FT_RF_264[[#This Row],[Muestra]]),"0")</f>
        <v>0</v>
      </c>
      <c r="AB267" s="27"/>
      <c r="AC267" s="38">
        <v>0</v>
      </c>
      <c r="AD267" s="39">
        <f>+IFERROR((FT_RF_264[[#This Row],[Valor Extra 1]]/FT_RF_264[[#This Row],[Muestra]]),"0")</f>
        <v>0</v>
      </c>
      <c r="AF267" s="38">
        <v>0</v>
      </c>
      <c r="AG267" s="39">
        <f>+IFERROR((FT_RF_264[[#This Row],[Valor Extra 2]]/FT_RF_264[[#This Row],[Muestra]]),"0")</f>
        <v>0</v>
      </c>
      <c r="AH267" s="40">
        <v>0</v>
      </c>
      <c r="AI267" s="39">
        <f>+IFERROR((FT_RF_264[[#This Row],[Hongos]]/FT_RF_264[[#This Row],[Muestra]]),"0")</f>
        <v>0</v>
      </c>
      <c r="AJ267" s="38">
        <v>0</v>
      </c>
      <c r="AK267" s="39">
        <f>+IFERROR((FT_RF_264[[#This Row],[Block]]/FT_RF_264[[#This Row],[Muestra]]),"0")</f>
        <v>0</v>
      </c>
      <c r="AL267" s="41">
        <v>0</v>
      </c>
      <c r="AM267" s="42">
        <v>0</v>
      </c>
      <c r="AN267" s="38">
        <v>0</v>
      </c>
      <c r="AO267" s="39">
        <f>+IFERROR((FT_RF_264[[#This Row],[Fuera de calibre &lt;12mm]]/FT_RF_264[[#This Row],[Muestra]]),"0")</f>
        <v>0</v>
      </c>
      <c r="AP267" s="38">
        <v>0</v>
      </c>
      <c r="AQ267" s="39">
        <f>+IFERROR((FT_RF_264[[#This Row],[Calibre &lt;25]]/FT_RF_264[[#This Row],[Muestra]]),"0")</f>
        <v>0</v>
      </c>
      <c r="AR267" s="38">
        <v>0</v>
      </c>
      <c r="AS267" s="39">
        <f>+IFERROR((FT_RF_264[[#This Row],[Calibre &gt;12]]/FT_RF_264[[#This Row],[Muestra]]),"0")</f>
        <v>0</v>
      </c>
      <c r="AT267" s="38">
        <v>0</v>
      </c>
      <c r="AU267" s="39">
        <f>+IFERROR((FT_RF_264[[#This Row],[Calibre &lt;14]]/FT_RF_264[[#This Row],[Muestra]]),"0")</f>
        <v>0</v>
      </c>
      <c r="AV267" s="38">
        <v>0</v>
      </c>
      <c r="AW267" s="39">
        <f>+IFERROR((FT_RF_264[[#This Row],[Calibre &gt;14]]/FT_RF_264[[#This Row],[Muestra]]),"0")</f>
        <v>0</v>
      </c>
      <c r="AX267" s="38">
        <v>0</v>
      </c>
      <c r="AY267" s="39">
        <f>+IFERROR((FT_RF_264[[#This Row],[Calibre &lt;10]]/FT_RF_264[[#This Row],[Muestra]]),"0")</f>
        <v>0</v>
      </c>
      <c r="AZ267" s="38">
        <v>0</v>
      </c>
      <c r="BA267" s="39">
        <f>+IFERROR((FT_RF_264[[#This Row],[Calibre &gt;13]]/FT_RF_264[[#This Row],[Muestra]]),"0")</f>
        <v>0</v>
      </c>
      <c r="BB267" s="41"/>
      <c r="BG267" s="42"/>
      <c r="BH267" s="43">
        <v>0</v>
      </c>
      <c r="BI267" s="29" t="s">
        <v>894</v>
      </c>
      <c r="BJ267" s="29" t="s">
        <v>894</v>
      </c>
      <c r="BK26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6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67" s="45">
        <f>1-FT_RF_264[[#This Row],[% Defectos]]</f>
        <v>1</v>
      </c>
      <c r="BO267" s="60"/>
      <c r="BP267" s="12">
        <f>SUM(FT_RF_264[[#This Row],[Hoja (Un.)]:[Larvas Caja]])</f>
        <v>0</v>
      </c>
      <c r="BQ267" s="12">
        <f>SUM(FT_RF_264[[#This Row],[Vidrios]:[Plástico]])</f>
        <v>0</v>
      </c>
      <c r="BR267" s="12" t="str">
        <f>IF(ISBLANK(FT_RF_264[[#This Row],[Descripción del producto]]),"",FT_RF_264[[#This Row],[Descripción del producto]])</f>
        <v/>
      </c>
      <c r="BS267" s="29" t="str">
        <f>IF(ISBLANK(FT_RF_264[[#This Row],[N° de Lote]]),"",FT_RF_264[[#This Row],[N° de Lote]])</f>
        <v/>
      </c>
      <c r="BT267" s="29" t="str">
        <f>IF(ISBLANK(FT_RF_264[[#This Row],[N° de Pallet]]),"",FT_RF_264[[#This Row],[N° de Pallet]])</f>
        <v/>
      </c>
    </row>
    <row r="268" spans="2:72">
      <c r="B268" s="29">
        <f>+_xlfn.ISOWEEKNUM(FT_RF_264[[#This Row],[Fecha]])</f>
        <v>52</v>
      </c>
      <c r="E268" s="31"/>
      <c r="F268" s="12" t="str">
        <f>IFERROR(""&amp;_xlfn.XLOOKUP(FT_RF_264[[#This Row],[Código]],BD_Cod[SKU],BD_Cod[Descripción]),"")</f>
        <v/>
      </c>
      <c r="G268" s="32" t="str">
        <f>IFERROR(""&amp;_xlfn.XLOOKUP(FT_RF_264[[#This Row],[Código]],BD_Cod[SKU],BD_Cod[Familia Calidad]),"")</f>
        <v/>
      </c>
      <c r="J268" s="33">
        <v>1000</v>
      </c>
      <c r="L268" s="30" t="s">
        <v>244</v>
      </c>
      <c r="O268" s="30" t="s">
        <v>894</v>
      </c>
      <c r="P268" s="29" t="s">
        <v>894</v>
      </c>
      <c r="Q268" s="37">
        <f>1-FT_RF_264[[#This Row],[% Defectos]]</f>
        <v>1</v>
      </c>
      <c r="R268" s="38">
        <v>0</v>
      </c>
      <c r="S268" s="39">
        <f>+IFERROR((FT_RF_264[[#This Row],[Inmadura]]/FT_RF_264[[#This Row],[Muestra]]),"0")</f>
        <v>0</v>
      </c>
      <c r="T268" s="38">
        <v>0</v>
      </c>
      <c r="U268" s="39">
        <f>+IFERROR((FT_RF_264[[#This Row],[Partidas]]/FT_RF_264[[#This Row],[Muestra]]),"0")</f>
        <v>0</v>
      </c>
      <c r="V268" s="38">
        <v>0</v>
      </c>
      <c r="W268" s="39">
        <f>+IFERROR((FT_RF_264[[#This Row],[Daño Insecto]]/FT_RF_264[[#This Row],[Muestra]]),"0")</f>
        <v>0</v>
      </c>
      <c r="X268" s="38">
        <v>0</v>
      </c>
      <c r="Y268" s="39">
        <f>+IFERROR((FT_RF_264[[#This Row],[Sobremadura]]/FT_RF_264[[#This Row],[Muestra]]),"0")</f>
        <v>0</v>
      </c>
      <c r="Z268" s="38">
        <v>0</v>
      </c>
      <c r="AA268" s="39">
        <f>+IFERROR((FT_RF_264[[#This Row],[Deforme]]/FT_RF_264[[#This Row],[Muestra]]),"0")</f>
        <v>0</v>
      </c>
      <c r="AB268" s="27"/>
      <c r="AC268" s="38">
        <v>0</v>
      </c>
      <c r="AD268" s="39">
        <f>+IFERROR((FT_RF_264[[#This Row],[Valor Extra 1]]/FT_RF_264[[#This Row],[Muestra]]),"0")</f>
        <v>0</v>
      </c>
      <c r="AF268" s="38">
        <v>0</v>
      </c>
      <c r="AG268" s="39">
        <f>+IFERROR((FT_RF_264[[#This Row],[Valor Extra 2]]/FT_RF_264[[#This Row],[Muestra]]),"0")</f>
        <v>0</v>
      </c>
      <c r="AH268" s="40">
        <v>0</v>
      </c>
      <c r="AI268" s="39">
        <f>+IFERROR((FT_RF_264[[#This Row],[Hongos]]/FT_RF_264[[#This Row],[Muestra]]),"0")</f>
        <v>0</v>
      </c>
      <c r="AJ268" s="38">
        <v>0</v>
      </c>
      <c r="AK268" s="39">
        <f>+IFERROR((FT_RF_264[[#This Row],[Block]]/FT_RF_264[[#This Row],[Muestra]]),"0")</f>
        <v>0</v>
      </c>
      <c r="AL268" s="41">
        <v>0</v>
      </c>
      <c r="AM268" s="42">
        <v>0</v>
      </c>
      <c r="AN268" s="38">
        <v>0</v>
      </c>
      <c r="AO268" s="39">
        <f>+IFERROR((FT_RF_264[[#This Row],[Fuera de calibre &lt;12mm]]/FT_RF_264[[#This Row],[Muestra]]),"0")</f>
        <v>0</v>
      </c>
      <c r="AP268" s="38">
        <v>0</v>
      </c>
      <c r="AQ268" s="39">
        <f>+IFERROR((FT_RF_264[[#This Row],[Calibre &lt;25]]/FT_RF_264[[#This Row],[Muestra]]),"0")</f>
        <v>0</v>
      </c>
      <c r="AR268" s="38">
        <v>0</v>
      </c>
      <c r="AS268" s="39">
        <f>+IFERROR((FT_RF_264[[#This Row],[Calibre &gt;12]]/FT_RF_264[[#This Row],[Muestra]]),"0")</f>
        <v>0</v>
      </c>
      <c r="AT268" s="38">
        <v>0</v>
      </c>
      <c r="AU268" s="39">
        <f>+IFERROR((FT_RF_264[[#This Row],[Calibre &lt;14]]/FT_RF_264[[#This Row],[Muestra]]),"0")</f>
        <v>0</v>
      </c>
      <c r="AV268" s="38">
        <v>0</v>
      </c>
      <c r="AW268" s="39">
        <f>+IFERROR((FT_RF_264[[#This Row],[Calibre &gt;14]]/FT_RF_264[[#This Row],[Muestra]]),"0")</f>
        <v>0</v>
      </c>
      <c r="AX268" s="38">
        <v>0</v>
      </c>
      <c r="AY268" s="39">
        <f>+IFERROR((FT_RF_264[[#This Row],[Calibre &lt;10]]/FT_RF_264[[#This Row],[Muestra]]),"0")</f>
        <v>0</v>
      </c>
      <c r="AZ268" s="38">
        <v>0</v>
      </c>
      <c r="BA268" s="39">
        <f>+IFERROR((FT_RF_264[[#This Row],[Calibre &gt;13]]/FT_RF_264[[#This Row],[Muestra]]),"0")</f>
        <v>0</v>
      </c>
      <c r="BB268" s="41"/>
      <c r="BG268" s="42"/>
      <c r="BH268" s="43">
        <v>0</v>
      </c>
      <c r="BI268" s="29" t="s">
        <v>894</v>
      </c>
      <c r="BJ268" s="29" t="s">
        <v>894</v>
      </c>
      <c r="BK26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6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68" s="45">
        <f>1-FT_RF_264[[#This Row],[% Defectos]]</f>
        <v>1</v>
      </c>
      <c r="BO268" s="60"/>
      <c r="BP268" s="12">
        <f>SUM(FT_RF_264[[#This Row],[Hoja (Un.)]:[Larvas Caja]])</f>
        <v>0</v>
      </c>
      <c r="BQ268" s="12">
        <f>SUM(FT_RF_264[[#This Row],[Vidrios]:[Plástico]])</f>
        <v>0</v>
      </c>
      <c r="BR268" s="12" t="str">
        <f>IF(ISBLANK(FT_RF_264[[#This Row],[Descripción del producto]]),"",FT_RF_264[[#This Row],[Descripción del producto]])</f>
        <v/>
      </c>
      <c r="BS268" s="29" t="str">
        <f>IF(ISBLANK(FT_RF_264[[#This Row],[N° de Lote]]),"",FT_RF_264[[#This Row],[N° de Lote]])</f>
        <v/>
      </c>
      <c r="BT268" s="29" t="str">
        <f>IF(ISBLANK(FT_RF_264[[#This Row],[N° de Pallet]]),"",FT_RF_264[[#This Row],[N° de Pallet]])</f>
        <v/>
      </c>
    </row>
    <row r="269" spans="2:72">
      <c r="B269" s="29">
        <f>+_xlfn.ISOWEEKNUM(FT_RF_264[[#This Row],[Fecha]])</f>
        <v>52</v>
      </c>
      <c r="E269" s="31"/>
      <c r="F269" s="12" t="str">
        <f>IFERROR(""&amp;_xlfn.XLOOKUP(FT_RF_264[[#This Row],[Código]],BD_Cod[SKU],BD_Cod[Descripción]),"")</f>
        <v/>
      </c>
      <c r="G269" s="32" t="str">
        <f>IFERROR(""&amp;_xlfn.XLOOKUP(FT_RF_264[[#This Row],[Código]],BD_Cod[SKU],BD_Cod[Familia Calidad]),"")</f>
        <v/>
      </c>
      <c r="J269" s="33">
        <v>1000</v>
      </c>
      <c r="L269" s="30" t="s">
        <v>244</v>
      </c>
      <c r="O269" s="30" t="s">
        <v>894</v>
      </c>
      <c r="P269" s="29" t="s">
        <v>894</v>
      </c>
      <c r="Q269" s="37">
        <f>1-FT_RF_264[[#This Row],[% Defectos]]</f>
        <v>1</v>
      </c>
      <c r="R269" s="38">
        <v>0</v>
      </c>
      <c r="S269" s="39">
        <f>+IFERROR((FT_RF_264[[#This Row],[Inmadura]]/FT_RF_264[[#This Row],[Muestra]]),"0")</f>
        <v>0</v>
      </c>
      <c r="T269" s="38">
        <v>0</v>
      </c>
      <c r="U269" s="39">
        <f>+IFERROR((FT_RF_264[[#This Row],[Partidas]]/FT_RF_264[[#This Row],[Muestra]]),"0")</f>
        <v>0</v>
      </c>
      <c r="V269" s="38">
        <v>0</v>
      </c>
      <c r="W269" s="39">
        <f>+IFERROR((FT_RF_264[[#This Row],[Daño Insecto]]/FT_RF_264[[#This Row],[Muestra]]),"0")</f>
        <v>0</v>
      </c>
      <c r="X269" s="38">
        <v>0</v>
      </c>
      <c r="Y269" s="39">
        <f>+IFERROR((FT_RF_264[[#This Row],[Sobremadura]]/FT_RF_264[[#This Row],[Muestra]]),"0")</f>
        <v>0</v>
      </c>
      <c r="Z269" s="38">
        <v>0</v>
      </c>
      <c r="AA269" s="39">
        <f>+IFERROR((FT_RF_264[[#This Row],[Deforme]]/FT_RF_264[[#This Row],[Muestra]]),"0")</f>
        <v>0</v>
      </c>
      <c r="AB269" s="27"/>
      <c r="AC269" s="38">
        <v>0</v>
      </c>
      <c r="AD269" s="39">
        <f>+IFERROR((FT_RF_264[[#This Row],[Valor Extra 1]]/FT_RF_264[[#This Row],[Muestra]]),"0")</f>
        <v>0</v>
      </c>
      <c r="AF269" s="38">
        <v>0</v>
      </c>
      <c r="AG269" s="39">
        <f>+IFERROR((FT_RF_264[[#This Row],[Valor Extra 2]]/FT_RF_264[[#This Row],[Muestra]]),"0")</f>
        <v>0</v>
      </c>
      <c r="AH269" s="40">
        <v>0</v>
      </c>
      <c r="AI269" s="39">
        <f>+IFERROR((FT_RF_264[[#This Row],[Hongos]]/FT_RF_264[[#This Row],[Muestra]]),"0")</f>
        <v>0</v>
      </c>
      <c r="AJ269" s="38">
        <v>0</v>
      </c>
      <c r="AK269" s="39">
        <f>+IFERROR((FT_RF_264[[#This Row],[Block]]/FT_RF_264[[#This Row],[Muestra]]),"0")</f>
        <v>0</v>
      </c>
      <c r="AL269" s="41">
        <v>0</v>
      </c>
      <c r="AM269" s="42">
        <v>0</v>
      </c>
      <c r="AN269" s="38">
        <v>0</v>
      </c>
      <c r="AO269" s="39">
        <f>+IFERROR((FT_RF_264[[#This Row],[Fuera de calibre &lt;12mm]]/FT_RF_264[[#This Row],[Muestra]]),"0")</f>
        <v>0</v>
      </c>
      <c r="AP269" s="38">
        <v>0</v>
      </c>
      <c r="AQ269" s="39">
        <f>+IFERROR((FT_RF_264[[#This Row],[Calibre &lt;25]]/FT_RF_264[[#This Row],[Muestra]]),"0")</f>
        <v>0</v>
      </c>
      <c r="AR269" s="38">
        <v>0</v>
      </c>
      <c r="AS269" s="39">
        <f>+IFERROR((FT_RF_264[[#This Row],[Calibre &gt;12]]/FT_RF_264[[#This Row],[Muestra]]),"0")</f>
        <v>0</v>
      </c>
      <c r="AT269" s="38">
        <v>0</v>
      </c>
      <c r="AU269" s="39">
        <f>+IFERROR((FT_RF_264[[#This Row],[Calibre &lt;14]]/FT_RF_264[[#This Row],[Muestra]]),"0")</f>
        <v>0</v>
      </c>
      <c r="AV269" s="38">
        <v>0</v>
      </c>
      <c r="AW269" s="39">
        <f>+IFERROR((FT_RF_264[[#This Row],[Calibre &gt;14]]/FT_RF_264[[#This Row],[Muestra]]),"0")</f>
        <v>0</v>
      </c>
      <c r="AX269" s="38">
        <v>0</v>
      </c>
      <c r="AY269" s="39">
        <f>+IFERROR((FT_RF_264[[#This Row],[Calibre &lt;10]]/FT_RF_264[[#This Row],[Muestra]]),"0")</f>
        <v>0</v>
      </c>
      <c r="AZ269" s="38">
        <v>0</v>
      </c>
      <c r="BA269" s="39">
        <f>+IFERROR((FT_RF_264[[#This Row],[Calibre &gt;13]]/FT_RF_264[[#This Row],[Muestra]]),"0")</f>
        <v>0</v>
      </c>
      <c r="BB269" s="41"/>
      <c r="BG269" s="42"/>
      <c r="BH269" s="43">
        <v>0</v>
      </c>
      <c r="BI269" s="29" t="s">
        <v>894</v>
      </c>
      <c r="BJ269" s="29" t="s">
        <v>894</v>
      </c>
      <c r="BK26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6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69" s="45">
        <f>1-FT_RF_264[[#This Row],[% Defectos]]</f>
        <v>1</v>
      </c>
      <c r="BO269" s="60"/>
      <c r="BP269" s="12">
        <f>SUM(FT_RF_264[[#This Row],[Hoja (Un.)]:[Larvas Caja]])</f>
        <v>0</v>
      </c>
      <c r="BQ269" s="12">
        <f>SUM(FT_RF_264[[#This Row],[Vidrios]:[Plástico]])</f>
        <v>0</v>
      </c>
      <c r="BR269" s="12" t="str">
        <f>IF(ISBLANK(FT_RF_264[[#This Row],[Descripción del producto]]),"",FT_RF_264[[#This Row],[Descripción del producto]])</f>
        <v/>
      </c>
      <c r="BS269" s="29" t="str">
        <f>IF(ISBLANK(FT_RF_264[[#This Row],[N° de Lote]]),"",FT_RF_264[[#This Row],[N° de Lote]])</f>
        <v/>
      </c>
      <c r="BT269" s="29" t="str">
        <f>IF(ISBLANK(FT_RF_264[[#This Row],[N° de Pallet]]),"",FT_RF_264[[#This Row],[N° de Pallet]])</f>
        <v/>
      </c>
    </row>
    <row r="270" spans="2:72">
      <c r="B270" s="29">
        <f>+_xlfn.ISOWEEKNUM(FT_RF_264[[#This Row],[Fecha]])</f>
        <v>52</v>
      </c>
      <c r="E270" s="31"/>
      <c r="F270" s="12" t="str">
        <f>IFERROR(""&amp;_xlfn.XLOOKUP(FT_RF_264[[#This Row],[Código]],BD_Cod[SKU],BD_Cod[Descripción]),"")</f>
        <v/>
      </c>
      <c r="G270" s="32" t="str">
        <f>IFERROR(""&amp;_xlfn.XLOOKUP(FT_RF_264[[#This Row],[Código]],BD_Cod[SKU],BD_Cod[Familia Calidad]),"")</f>
        <v/>
      </c>
      <c r="J270" s="33">
        <v>1000</v>
      </c>
      <c r="L270" s="30" t="s">
        <v>244</v>
      </c>
      <c r="O270" s="30" t="s">
        <v>894</v>
      </c>
      <c r="P270" s="29" t="s">
        <v>894</v>
      </c>
      <c r="Q270" s="37">
        <f>1-FT_RF_264[[#This Row],[% Defectos]]</f>
        <v>1</v>
      </c>
      <c r="R270" s="38">
        <v>0</v>
      </c>
      <c r="S270" s="39">
        <f>+IFERROR((FT_RF_264[[#This Row],[Inmadura]]/FT_RF_264[[#This Row],[Muestra]]),"0")</f>
        <v>0</v>
      </c>
      <c r="T270" s="38">
        <v>0</v>
      </c>
      <c r="U270" s="39">
        <f>+IFERROR((FT_RF_264[[#This Row],[Partidas]]/FT_RF_264[[#This Row],[Muestra]]),"0")</f>
        <v>0</v>
      </c>
      <c r="V270" s="38">
        <v>0</v>
      </c>
      <c r="W270" s="39">
        <f>+IFERROR((FT_RF_264[[#This Row],[Daño Insecto]]/FT_RF_264[[#This Row],[Muestra]]),"0")</f>
        <v>0</v>
      </c>
      <c r="X270" s="38">
        <v>0</v>
      </c>
      <c r="Y270" s="39">
        <f>+IFERROR((FT_RF_264[[#This Row],[Sobremadura]]/FT_RF_264[[#This Row],[Muestra]]),"0")</f>
        <v>0</v>
      </c>
      <c r="Z270" s="38">
        <v>0</v>
      </c>
      <c r="AA270" s="39">
        <f>+IFERROR((FT_RF_264[[#This Row],[Deforme]]/FT_RF_264[[#This Row],[Muestra]]),"0")</f>
        <v>0</v>
      </c>
      <c r="AB270" s="27"/>
      <c r="AC270" s="38">
        <v>0</v>
      </c>
      <c r="AD270" s="39">
        <f>+IFERROR((FT_RF_264[[#This Row],[Valor Extra 1]]/FT_RF_264[[#This Row],[Muestra]]),"0")</f>
        <v>0</v>
      </c>
      <c r="AF270" s="38">
        <v>0</v>
      </c>
      <c r="AG270" s="39">
        <f>+IFERROR((FT_RF_264[[#This Row],[Valor Extra 2]]/FT_RF_264[[#This Row],[Muestra]]),"0")</f>
        <v>0</v>
      </c>
      <c r="AH270" s="40">
        <v>0</v>
      </c>
      <c r="AI270" s="39">
        <f>+IFERROR((FT_RF_264[[#This Row],[Hongos]]/FT_RF_264[[#This Row],[Muestra]]),"0")</f>
        <v>0</v>
      </c>
      <c r="AJ270" s="38">
        <v>0</v>
      </c>
      <c r="AK270" s="39">
        <f>+IFERROR((FT_RF_264[[#This Row],[Block]]/FT_RF_264[[#This Row],[Muestra]]),"0")</f>
        <v>0</v>
      </c>
      <c r="AL270" s="41">
        <v>0</v>
      </c>
      <c r="AM270" s="42">
        <v>0</v>
      </c>
      <c r="AN270" s="38">
        <v>0</v>
      </c>
      <c r="AO270" s="39">
        <f>+IFERROR((FT_RF_264[[#This Row],[Fuera de calibre &lt;12mm]]/FT_RF_264[[#This Row],[Muestra]]),"0")</f>
        <v>0</v>
      </c>
      <c r="AP270" s="38">
        <v>0</v>
      </c>
      <c r="AQ270" s="39">
        <f>+IFERROR((FT_RF_264[[#This Row],[Calibre &lt;25]]/FT_RF_264[[#This Row],[Muestra]]),"0")</f>
        <v>0</v>
      </c>
      <c r="AR270" s="38">
        <v>0</v>
      </c>
      <c r="AS270" s="39">
        <f>+IFERROR((FT_RF_264[[#This Row],[Calibre &gt;12]]/FT_RF_264[[#This Row],[Muestra]]),"0")</f>
        <v>0</v>
      </c>
      <c r="AT270" s="38">
        <v>0</v>
      </c>
      <c r="AU270" s="39">
        <f>+IFERROR((FT_RF_264[[#This Row],[Calibre &lt;14]]/FT_RF_264[[#This Row],[Muestra]]),"0")</f>
        <v>0</v>
      </c>
      <c r="AV270" s="38">
        <v>0</v>
      </c>
      <c r="AW270" s="39">
        <f>+IFERROR((FT_RF_264[[#This Row],[Calibre &gt;14]]/FT_RF_264[[#This Row],[Muestra]]),"0")</f>
        <v>0</v>
      </c>
      <c r="AX270" s="38">
        <v>0</v>
      </c>
      <c r="AY270" s="39">
        <f>+IFERROR((FT_RF_264[[#This Row],[Calibre &lt;10]]/FT_RF_264[[#This Row],[Muestra]]),"0")</f>
        <v>0</v>
      </c>
      <c r="AZ270" s="38">
        <v>0</v>
      </c>
      <c r="BA270" s="39">
        <f>+IFERROR((FT_RF_264[[#This Row],[Calibre &gt;13]]/FT_RF_264[[#This Row],[Muestra]]),"0")</f>
        <v>0</v>
      </c>
      <c r="BB270" s="41"/>
      <c r="BG270" s="42"/>
      <c r="BH270" s="43">
        <v>0</v>
      </c>
      <c r="BI270" s="29" t="s">
        <v>894</v>
      </c>
      <c r="BJ270" s="29" t="s">
        <v>894</v>
      </c>
      <c r="BK27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7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70" s="45">
        <f>1-FT_RF_264[[#This Row],[% Defectos]]</f>
        <v>1</v>
      </c>
      <c r="BO270" s="60"/>
      <c r="BP270" s="12">
        <f>SUM(FT_RF_264[[#This Row],[Hoja (Un.)]:[Larvas Caja]])</f>
        <v>0</v>
      </c>
      <c r="BQ270" s="12">
        <f>SUM(FT_RF_264[[#This Row],[Vidrios]:[Plástico]])</f>
        <v>0</v>
      </c>
      <c r="BR270" s="12" t="str">
        <f>IF(ISBLANK(FT_RF_264[[#This Row],[Descripción del producto]]),"",FT_RF_264[[#This Row],[Descripción del producto]])</f>
        <v/>
      </c>
      <c r="BS270" s="29" t="str">
        <f>IF(ISBLANK(FT_RF_264[[#This Row],[N° de Lote]]),"",FT_RF_264[[#This Row],[N° de Lote]])</f>
        <v/>
      </c>
      <c r="BT270" s="29" t="str">
        <f>IF(ISBLANK(FT_RF_264[[#This Row],[N° de Pallet]]),"",FT_RF_264[[#This Row],[N° de Pallet]])</f>
        <v/>
      </c>
    </row>
    <row r="271" spans="2:72">
      <c r="B271" s="29">
        <f>+_xlfn.ISOWEEKNUM(FT_RF_264[[#This Row],[Fecha]])</f>
        <v>52</v>
      </c>
      <c r="E271" s="31"/>
      <c r="F271" s="12" t="str">
        <f>IFERROR(""&amp;_xlfn.XLOOKUP(FT_RF_264[[#This Row],[Código]],BD_Cod[SKU],BD_Cod[Descripción]),"")</f>
        <v/>
      </c>
      <c r="G271" s="32" t="str">
        <f>IFERROR(""&amp;_xlfn.XLOOKUP(FT_RF_264[[#This Row],[Código]],BD_Cod[SKU],BD_Cod[Familia Calidad]),"")</f>
        <v/>
      </c>
      <c r="J271" s="33">
        <v>1000</v>
      </c>
      <c r="L271" s="30" t="s">
        <v>244</v>
      </c>
      <c r="O271" s="30" t="s">
        <v>894</v>
      </c>
      <c r="P271" s="29" t="s">
        <v>894</v>
      </c>
      <c r="Q271" s="37">
        <f>1-FT_RF_264[[#This Row],[% Defectos]]</f>
        <v>1</v>
      </c>
      <c r="R271" s="38">
        <v>0</v>
      </c>
      <c r="S271" s="39">
        <f>+IFERROR((FT_RF_264[[#This Row],[Inmadura]]/FT_RF_264[[#This Row],[Muestra]]),"0")</f>
        <v>0</v>
      </c>
      <c r="T271" s="38">
        <v>0</v>
      </c>
      <c r="U271" s="39">
        <f>+IFERROR((FT_RF_264[[#This Row],[Partidas]]/FT_RF_264[[#This Row],[Muestra]]),"0")</f>
        <v>0</v>
      </c>
      <c r="V271" s="38">
        <v>0</v>
      </c>
      <c r="W271" s="39">
        <f>+IFERROR((FT_RF_264[[#This Row],[Daño Insecto]]/FT_RF_264[[#This Row],[Muestra]]),"0")</f>
        <v>0</v>
      </c>
      <c r="X271" s="38">
        <v>0</v>
      </c>
      <c r="Y271" s="39">
        <f>+IFERROR((FT_RF_264[[#This Row],[Sobremadura]]/FT_RF_264[[#This Row],[Muestra]]),"0")</f>
        <v>0</v>
      </c>
      <c r="Z271" s="38">
        <v>0</v>
      </c>
      <c r="AA271" s="39">
        <f>+IFERROR((FT_RF_264[[#This Row],[Deforme]]/FT_RF_264[[#This Row],[Muestra]]),"0")</f>
        <v>0</v>
      </c>
      <c r="AB271" s="27"/>
      <c r="AC271" s="38">
        <v>0</v>
      </c>
      <c r="AD271" s="39">
        <f>+IFERROR((FT_RF_264[[#This Row],[Valor Extra 1]]/FT_RF_264[[#This Row],[Muestra]]),"0")</f>
        <v>0</v>
      </c>
      <c r="AF271" s="38">
        <v>0</v>
      </c>
      <c r="AG271" s="39">
        <f>+IFERROR((FT_RF_264[[#This Row],[Valor Extra 2]]/FT_RF_264[[#This Row],[Muestra]]),"0")</f>
        <v>0</v>
      </c>
      <c r="AH271" s="40">
        <v>0</v>
      </c>
      <c r="AI271" s="39">
        <f>+IFERROR((FT_RF_264[[#This Row],[Hongos]]/FT_RF_264[[#This Row],[Muestra]]),"0")</f>
        <v>0</v>
      </c>
      <c r="AJ271" s="38">
        <v>0</v>
      </c>
      <c r="AK271" s="39">
        <f>+IFERROR((FT_RF_264[[#This Row],[Block]]/FT_RF_264[[#This Row],[Muestra]]),"0")</f>
        <v>0</v>
      </c>
      <c r="AL271" s="41">
        <v>0</v>
      </c>
      <c r="AM271" s="42">
        <v>0</v>
      </c>
      <c r="AN271" s="38">
        <v>0</v>
      </c>
      <c r="AO271" s="39">
        <f>+IFERROR((FT_RF_264[[#This Row],[Fuera de calibre &lt;12mm]]/FT_RF_264[[#This Row],[Muestra]]),"0")</f>
        <v>0</v>
      </c>
      <c r="AP271" s="38">
        <v>0</v>
      </c>
      <c r="AQ271" s="39">
        <f>+IFERROR((FT_RF_264[[#This Row],[Calibre &lt;25]]/FT_RF_264[[#This Row],[Muestra]]),"0")</f>
        <v>0</v>
      </c>
      <c r="AR271" s="38">
        <v>0</v>
      </c>
      <c r="AS271" s="39">
        <f>+IFERROR((FT_RF_264[[#This Row],[Calibre &gt;12]]/FT_RF_264[[#This Row],[Muestra]]),"0")</f>
        <v>0</v>
      </c>
      <c r="AT271" s="38">
        <v>0</v>
      </c>
      <c r="AU271" s="39">
        <f>+IFERROR((FT_RF_264[[#This Row],[Calibre &lt;14]]/FT_RF_264[[#This Row],[Muestra]]),"0")</f>
        <v>0</v>
      </c>
      <c r="AV271" s="38">
        <v>0</v>
      </c>
      <c r="AW271" s="39">
        <f>+IFERROR((FT_RF_264[[#This Row],[Calibre &gt;14]]/FT_RF_264[[#This Row],[Muestra]]),"0")</f>
        <v>0</v>
      </c>
      <c r="AX271" s="38">
        <v>0</v>
      </c>
      <c r="AY271" s="39">
        <f>+IFERROR((FT_RF_264[[#This Row],[Calibre &lt;10]]/FT_RF_264[[#This Row],[Muestra]]),"0")</f>
        <v>0</v>
      </c>
      <c r="AZ271" s="38">
        <v>0</v>
      </c>
      <c r="BA271" s="39">
        <f>+IFERROR((FT_RF_264[[#This Row],[Calibre &gt;13]]/FT_RF_264[[#This Row],[Muestra]]),"0")</f>
        <v>0</v>
      </c>
      <c r="BB271" s="41"/>
      <c r="BG271" s="42"/>
      <c r="BH271" s="43">
        <v>0</v>
      </c>
      <c r="BI271" s="29" t="s">
        <v>894</v>
      </c>
      <c r="BJ271" s="29" t="s">
        <v>894</v>
      </c>
      <c r="BK27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7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71" s="45">
        <f>1-FT_RF_264[[#This Row],[% Defectos]]</f>
        <v>1</v>
      </c>
      <c r="BO271" s="60"/>
      <c r="BP271" s="12">
        <f>SUM(FT_RF_264[[#This Row],[Hoja (Un.)]:[Larvas Caja]])</f>
        <v>0</v>
      </c>
      <c r="BQ271" s="12">
        <f>SUM(FT_RF_264[[#This Row],[Vidrios]:[Plástico]])</f>
        <v>0</v>
      </c>
      <c r="BR271" s="12" t="str">
        <f>IF(ISBLANK(FT_RF_264[[#This Row],[Descripción del producto]]),"",FT_RF_264[[#This Row],[Descripción del producto]])</f>
        <v/>
      </c>
      <c r="BS271" s="29" t="str">
        <f>IF(ISBLANK(FT_RF_264[[#This Row],[N° de Lote]]),"",FT_RF_264[[#This Row],[N° de Lote]])</f>
        <v/>
      </c>
      <c r="BT271" s="29" t="str">
        <f>IF(ISBLANK(FT_RF_264[[#This Row],[N° de Pallet]]),"",FT_RF_264[[#This Row],[N° de Pallet]])</f>
        <v/>
      </c>
    </row>
    <row r="272" spans="2:72">
      <c r="B272" s="29">
        <f>+_xlfn.ISOWEEKNUM(FT_RF_264[[#This Row],[Fecha]])</f>
        <v>52</v>
      </c>
      <c r="E272" s="31"/>
      <c r="F272" s="12" t="str">
        <f>IFERROR(""&amp;_xlfn.XLOOKUP(FT_RF_264[[#This Row],[Código]],BD_Cod[SKU],BD_Cod[Descripción]),"")</f>
        <v/>
      </c>
      <c r="G272" s="32" t="str">
        <f>IFERROR(""&amp;_xlfn.XLOOKUP(FT_RF_264[[#This Row],[Código]],BD_Cod[SKU],BD_Cod[Familia Calidad]),"")</f>
        <v/>
      </c>
      <c r="J272" s="33">
        <v>1000</v>
      </c>
      <c r="L272" s="30" t="s">
        <v>244</v>
      </c>
      <c r="O272" s="30" t="s">
        <v>894</v>
      </c>
      <c r="P272" s="29" t="s">
        <v>894</v>
      </c>
      <c r="Q272" s="37">
        <f>1-FT_RF_264[[#This Row],[% Defectos]]</f>
        <v>1</v>
      </c>
      <c r="R272" s="38">
        <v>0</v>
      </c>
      <c r="S272" s="39">
        <f>+IFERROR((FT_RF_264[[#This Row],[Inmadura]]/FT_RF_264[[#This Row],[Muestra]]),"0")</f>
        <v>0</v>
      </c>
      <c r="T272" s="38">
        <v>0</v>
      </c>
      <c r="U272" s="39">
        <f>+IFERROR((FT_RF_264[[#This Row],[Partidas]]/FT_RF_264[[#This Row],[Muestra]]),"0")</f>
        <v>0</v>
      </c>
      <c r="V272" s="38">
        <v>0</v>
      </c>
      <c r="W272" s="39">
        <f>+IFERROR((FT_RF_264[[#This Row],[Daño Insecto]]/FT_RF_264[[#This Row],[Muestra]]),"0")</f>
        <v>0</v>
      </c>
      <c r="X272" s="38">
        <v>0</v>
      </c>
      <c r="Y272" s="39">
        <f>+IFERROR((FT_RF_264[[#This Row],[Sobremadura]]/FT_RF_264[[#This Row],[Muestra]]),"0")</f>
        <v>0</v>
      </c>
      <c r="Z272" s="38">
        <v>0</v>
      </c>
      <c r="AA272" s="39">
        <f>+IFERROR((FT_RF_264[[#This Row],[Deforme]]/FT_RF_264[[#This Row],[Muestra]]),"0")</f>
        <v>0</v>
      </c>
      <c r="AB272" s="27"/>
      <c r="AC272" s="38">
        <v>0</v>
      </c>
      <c r="AD272" s="39">
        <f>+IFERROR((FT_RF_264[[#This Row],[Valor Extra 1]]/FT_RF_264[[#This Row],[Muestra]]),"0")</f>
        <v>0</v>
      </c>
      <c r="AF272" s="38">
        <v>0</v>
      </c>
      <c r="AG272" s="39">
        <f>+IFERROR((FT_RF_264[[#This Row],[Valor Extra 2]]/FT_RF_264[[#This Row],[Muestra]]),"0")</f>
        <v>0</v>
      </c>
      <c r="AH272" s="40">
        <v>0</v>
      </c>
      <c r="AI272" s="39">
        <f>+IFERROR((FT_RF_264[[#This Row],[Hongos]]/FT_RF_264[[#This Row],[Muestra]]),"0")</f>
        <v>0</v>
      </c>
      <c r="AJ272" s="38">
        <v>0</v>
      </c>
      <c r="AK272" s="39">
        <f>+IFERROR((FT_RF_264[[#This Row],[Block]]/FT_RF_264[[#This Row],[Muestra]]),"0")</f>
        <v>0</v>
      </c>
      <c r="AL272" s="41">
        <v>0</v>
      </c>
      <c r="AM272" s="42">
        <v>0</v>
      </c>
      <c r="AN272" s="38">
        <v>0</v>
      </c>
      <c r="AO272" s="39">
        <f>+IFERROR((FT_RF_264[[#This Row],[Fuera de calibre &lt;12mm]]/FT_RF_264[[#This Row],[Muestra]]),"0")</f>
        <v>0</v>
      </c>
      <c r="AP272" s="38">
        <v>0</v>
      </c>
      <c r="AQ272" s="39">
        <f>+IFERROR((FT_RF_264[[#This Row],[Calibre &lt;25]]/FT_RF_264[[#This Row],[Muestra]]),"0")</f>
        <v>0</v>
      </c>
      <c r="AR272" s="38">
        <v>0</v>
      </c>
      <c r="AS272" s="39">
        <f>+IFERROR((FT_RF_264[[#This Row],[Calibre &gt;12]]/FT_RF_264[[#This Row],[Muestra]]),"0")</f>
        <v>0</v>
      </c>
      <c r="AT272" s="38">
        <v>0</v>
      </c>
      <c r="AU272" s="39">
        <f>+IFERROR((FT_RF_264[[#This Row],[Calibre &lt;14]]/FT_RF_264[[#This Row],[Muestra]]),"0")</f>
        <v>0</v>
      </c>
      <c r="AV272" s="38">
        <v>0</v>
      </c>
      <c r="AW272" s="39">
        <f>+IFERROR((FT_RF_264[[#This Row],[Calibre &gt;14]]/FT_RF_264[[#This Row],[Muestra]]),"0")</f>
        <v>0</v>
      </c>
      <c r="AX272" s="38">
        <v>0</v>
      </c>
      <c r="AY272" s="39">
        <f>+IFERROR((FT_RF_264[[#This Row],[Calibre &lt;10]]/FT_RF_264[[#This Row],[Muestra]]),"0")</f>
        <v>0</v>
      </c>
      <c r="AZ272" s="38">
        <v>0</v>
      </c>
      <c r="BA272" s="39">
        <f>+IFERROR((FT_RF_264[[#This Row],[Calibre &gt;13]]/FT_RF_264[[#This Row],[Muestra]]),"0")</f>
        <v>0</v>
      </c>
      <c r="BB272" s="41"/>
      <c r="BG272" s="42"/>
      <c r="BH272" s="43">
        <v>0</v>
      </c>
      <c r="BI272" s="29" t="s">
        <v>894</v>
      </c>
      <c r="BJ272" s="29" t="s">
        <v>894</v>
      </c>
      <c r="BK27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7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72" s="45">
        <f>1-FT_RF_264[[#This Row],[% Defectos]]</f>
        <v>1</v>
      </c>
      <c r="BO272" s="60"/>
      <c r="BP272" s="12">
        <f>SUM(FT_RF_264[[#This Row],[Hoja (Un.)]:[Larvas Caja]])</f>
        <v>0</v>
      </c>
      <c r="BQ272" s="12">
        <f>SUM(FT_RF_264[[#This Row],[Vidrios]:[Plástico]])</f>
        <v>0</v>
      </c>
      <c r="BR272" s="12" t="str">
        <f>IF(ISBLANK(FT_RF_264[[#This Row],[Descripción del producto]]),"",FT_RF_264[[#This Row],[Descripción del producto]])</f>
        <v/>
      </c>
      <c r="BS272" s="29" t="str">
        <f>IF(ISBLANK(FT_RF_264[[#This Row],[N° de Lote]]),"",FT_RF_264[[#This Row],[N° de Lote]])</f>
        <v/>
      </c>
      <c r="BT272" s="29" t="str">
        <f>IF(ISBLANK(FT_RF_264[[#This Row],[N° de Pallet]]),"",FT_RF_264[[#This Row],[N° de Pallet]])</f>
        <v/>
      </c>
    </row>
    <row r="273" spans="2:72">
      <c r="B273" s="29">
        <f>+_xlfn.ISOWEEKNUM(FT_RF_264[[#This Row],[Fecha]])</f>
        <v>52</v>
      </c>
      <c r="E273" s="31"/>
      <c r="F273" s="12" t="str">
        <f>IFERROR(""&amp;_xlfn.XLOOKUP(FT_RF_264[[#This Row],[Código]],BD_Cod[SKU],BD_Cod[Descripción]),"")</f>
        <v/>
      </c>
      <c r="G273" s="32" t="str">
        <f>IFERROR(""&amp;_xlfn.XLOOKUP(FT_RF_264[[#This Row],[Código]],BD_Cod[SKU],BD_Cod[Familia Calidad]),"")</f>
        <v/>
      </c>
      <c r="J273" s="33">
        <v>1000</v>
      </c>
      <c r="L273" s="30" t="s">
        <v>244</v>
      </c>
      <c r="O273" s="30" t="s">
        <v>894</v>
      </c>
      <c r="P273" s="29" t="s">
        <v>894</v>
      </c>
      <c r="Q273" s="37">
        <f>1-FT_RF_264[[#This Row],[% Defectos]]</f>
        <v>1</v>
      </c>
      <c r="R273" s="38">
        <v>0</v>
      </c>
      <c r="S273" s="39">
        <f>+IFERROR((FT_RF_264[[#This Row],[Inmadura]]/FT_RF_264[[#This Row],[Muestra]]),"0")</f>
        <v>0</v>
      </c>
      <c r="T273" s="38">
        <v>0</v>
      </c>
      <c r="U273" s="39">
        <f>+IFERROR((FT_RF_264[[#This Row],[Partidas]]/FT_RF_264[[#This Row],[Muestra]]),"0")</f>
        <v>0</v>
      </c>
      <c r="V273" s="38">
        <v>0</v>
      </c>
      <c r="W273" s="39">
        <f>+IFERROR((FT_RF_264[[#This Row],[Daño Insecto]]/FT_RF_264[[#This Row],[Muestra]]),"0")</f>
        <v>0</v>
      </c>
      <c r="X273" s="38">
        <v>0</v>
      </c>
      <c r="Y273" s="39">
        <f>+IFERROR((FT_RF_264[[#This Row],[Sobremadura]]/FT_RF_264[[#This Row],[Muestra]]),"0")</f>
        <v>0</v>
      </c>
      <c r="Z273" s="38">
        <v>0</v>
      </c>
      <c r="AA273" s="39">
        <f>+IFERROR((FT_RF_264[[#This Row],[Deforme]]/FT_RF_264[[#This Row],[Muestra]]),"0")</f>
        <v>0</v>
      </c>
      <c r="AB273" s="27"/>
      <c r="AC273" s="38">
        <v>0</v>
      </c>
      <c r="AD273" s="39">
        <f>+IFERROR((FT_RF_264[[#This Row],[Valor Extra 1]]/FT_RF_264[[#This Row],[Muestra]]),"0")</f>
        <v>0</v>
      </c>
      <c r="AF273" s="38">
        <v>0</v>
      </c>
      <c r="AG273" s="39">
        <f>+IFERROR((FT_RF_264[[#This Row],[Valor Extra 2]]/FT_RF_264[[#This Row],[Muestra]]),"0")</f>
        <v>0</v>
      </c>
      <c r="AH273" s="40">
        <v>0</v>
      </c>
      <c r="AI273" s="39">
        <f>+IFERROR((FT_RF_264[[#This Row],[Hongos]]/FT_RF_264[[#This Row],[Muestra]]),"0")</f>
        <v>0</v>
      </c>
      <c r="AJ273" s="38">
        <v>0</v>
      </c>
      <c r="AK273" s="39">
        <f>+IFERROR((FT_RF_264[[#This Row],[Block]]/FT_RF_264[[#This Row],[Muestra]]),"0")</f>
        <v>0</v>
      </c>
      <c r="AL273" s="41">
        <v>0</v>
      </c>
      <c r="AM273" s="42">
        <v>0</v>
      </c>
      <c r="AN273" s="38">
        <v>0</v>
      </c>
      <c r="AO273" s="39">
        <f>+IFERROR((FT_RF_264[[#This Row],[Fuera de calibre &lt;12mm]]/FT_RF_264[[#This Row],[Muestra]]),"0")</f>
        <v>0</v>
      </c>
      <c r="AP273" s="38">
        <v>0</v>
      </c>
      <c r="AQ273" s="39">
        <f>+IFERROR((FT_RF_264[[#This Row],[Calibre &lt;25]]/FT_RF_264[[#This Row],[Muestra]]),"0")</f>
        <v>0</v>
      </c>
      <c r="AR273" s="38">
        <v>0</v>
      </c>
      <c r="AS273" s="39">
        <f>+IFERROR((FT_RF_264[[#This Row],[Calibre &gt;12]]/FT_RF_264[[#This Row],[Muestra]]),"0")</f>
        <v>0</v>
      </c>
      <c r="AT273" s="38">
        <v>0</v>
      </c>
      <c r="AU273" s="39">
        <f>+IFERROR((FT_RF_264[[#This Row],[Calibre &lt;14]]/FT_RF_264[[#This Row],[Muestra]]),"0")</f>
        <v>0</v>
      </c>
      <c r="AV273" s="38">
        <v>0</v>
      </c>
      <c r="AW273" s="39">
        <f>+IFERROR((FT_RF_264[[#This Row],[Calibre &gt;14]]/FT_RF_264[[#This Row],[Muestra]]),"0")</f>
        <v>0</v>
      </c>
      <c r="AX273" s="38">
        <v>0</v>
      </c>
      <c r="AY273" s="39">
        <f>+IFERROR((FT_RF_264[[#This Row],[Calibre &lt;10]]/FT_RF_264[[#This Row],[Muestra]]),"0")</f>
        <v>0</v>
      </c>
      <c r="AZ273" s="38">
        <v>0</v>
      </c>
      <c r="BA273" s="39">
        <f>+IFERROR((FT_RF_264[[#This Row],[Calibre &gt;13]]/FT_RF_264[[#This Row],[Muestra]]),"0")</f>
        <v>0</v>
      </c>
      <c r="BB273" s="41"/>
      <c r="BG273" s="42"/>
      <c r="BH273" s="43">
        <v>0</v>
      </c>
      <c r="BI273" s="29" t="s">
        <v>894</v>
      </c>
      <c r="BJ273" s="29" t="s">
        <v>894</v>
      </c>
      <c r="BK27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7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73" s="45">
        <f>1-FT_RF_264[[#This Row],[% Defectos]]</f>
        <v>1</v>
      </c>
      <c r="BO273" s="60"/>
      <c r="BP273" s="12">
        <f>SUM(FT_RF_264[[#This Row],[Hoja (Un.)]:[Larvas Caja]])</f>
        <v>0</v>
      </c>
      <c r="BQ273" s="12">
        <f>SUM(FT_RF_264[[#This Row],[Vidrios]:[Plástico]])</f>
        <v>0</v>
      </c>
      <c r="BR273" s="12" t="str">
        <f>IF(ISBLANK(FT_RF_264[[#This Row],[Descripción del producto]]),"",FT_RF_264[[#This Row],[Descripción del producto]])</f>
        <v/>
      </c>
      <c r="BS273" s="29" t="str">
        <f>IF(ISBLANK(FT_RF_264[[#This Row],[N° de Lote]]),"",FT_RF_264[[#This Row],[N° de Lote]])</f>
        <v/>
      </c>
      <c r="BT273" s="29" t="str">
        <f>IF(ISBLANK(FT_RF_264[[#This Row],[N° de Pallet]]),"",FT_RF_264[[#This Row],[N° de Pallet]])</f>
        <v/>
      </c>
    </row>
    <row r="274" spans="2:72">
      <c r="B274" s="29">
        <f>+_xlfn.ISOWEEKNUM(FT_RF_264[[#This Row],[Fecha]])</f>
        <v>52</v>
      </c>
      <c r="E274" s="31"/>
      <c r="F274" s="12" t="str">
        <f>IFERROR(""&amp;_xlfn.XLOOKUP(FT_RF_264[[#This Row],[Código]],BD_Cod[SKU],BD_Cod[Descripción]),"")</f>
        <v/>
      </c>
      <c r="G274" s="32" t="str">
        <f>IFERROR(""&amp;_xlfn.XLOOKUP(FT_RF_264[[#This Row],[Código]],BD_Cod[SKU],BD_Cod[Familia Calidad]),"")</f>
        <v/>
      </c>
      <c r="J274" s="33">
        <v>1000</v>
      </c>
      <c r="L274" s="30" t="s">
        <v>244</v>
      </c>
      <c r="O274" s="30" t="s">
        <v>894</v>
      </c>
      <c r="P274" s="29" t="s">
        <v>894</v>
      </c>
      <c r="Q274" s="37">
        <f>1-FT_RF_264[[#This Row],[% Defectos]]</f>
        <v>1</v>
      </c>
      <c r="R274" s="38">
        <v>0</v>
      </c>
      <c r="S274" s="39">
        <f>+IFERROR((FT_RF_264[[#This Row],[Inmadura]]/FT_RF_264[[#This Row],[Muestra]]),"0")</f>
        <v>0</v>
      </c>
      <c r="T274" s="38">
        <v>0</v>
      </c>
      <c r="U274" s="39">
        <f>+IFERROR((FT_RF_264[[#This Row],[Partidas]]/FT_RF_264[[#This Row],[Muestra]]),"0")</f>
        <v>0</v>
      </c>
      <c r="V274" s="38">
        <v>0</v>
      </c>
      <c r="W274" s="39">
        <f>+IFERROR((FT_RF_264[[#This Row],[Daño Insecto]]/FT_RF_264[[#This Row],[Muestra]]),"0")</f>
        <v>0</v>
      </c>
      <c r="X274" s="38">
        <v>0</v>
      </c>
      <c r="Y274" s="39">
        <f>+IFERROR((FT_RF_264[[#This Row],[Sobremadura]]/FT_RF_264[[#This Row],[Muestra]]),"0")</f>
        <v>0</v>
      </c>
      <c r="Z274" s="38">
        <v>0</v>
      </c>
      <c r="AA274" s="39">
        <f>+IFERROR((FT_RF_264[[#This Row],[Deforme]]/FT_RF_264[[#This Row],[Muestra]]),"0")</f>
        <v>0</v>
      </c>
      <c r="AB274" s="27"/>
      <c r="AC274" s="38">
        <v>0</v>
      </c>
      <c r="AD274" s="39">
        <f>+IFERROR((FT_RF_264[[#This Row],[Valor Extra 1]]/FT_RF_264[[#This Row],[Muestra]]),"0")</f>
        <v>0</v>
      </c>
      <c r="AF274" s="38">
        <v>0</v>
      </c>
      <c r="AG274" s="39">
        <f>+IFERROR((FT_RF_264[[#This Row],[Valor Extra 2]]/FT_RF_264[[#This Row],[Muestra]]),"0")</f>
        <v>0</v>
      </c>
      <c r="AH274" s="40">
        <v>0</v>
      </c>
      <c r="AI274" s="39">
        <f>+IFERROR((FT_RF_264[[#This Row],[Hongos]]/FT_RF_264[[#This Row],[Muestra]]),"0")</f>
        <v>0</v>
      </c>
      <c r="AJ274" s="38">
        <v>0</v>
      </c>
      <c r="AK274" s="39">
        <f>+IFERROR((FT_RF_264[[#This Row],[Block]]/FT_RF_264[[#This Row],[Muestra]]),"0")</f>
        <v>0</v>
      </c>
      <c r="AL274" s="41">
        <v>0</v>
      </c>
      <c r="AM274" s="42">
        <v>0</v>
      </c>
      <c r="AN274" s="38">
        <v>0</v>
      </c>
      <c r="AO274" s="39">
        <f>+IFERROR((FT_RF_264[[#This Row],[Fuera de calibre &lt;12mm]]/FT_RF_264[[#This Row],[Muestra]]),"0")</f>
        <v>0</v>
      </c>
      <c r="AP274" s="38">
        <v>0</v>
      </c>
      <c r="AQ274" s="39">
        <f>+IFERROR((FT_RF_264[[#This Row],[Calibre &lt;25]]/FT_RF_264[[#This Row],[Muestra]]),"0")</f>
        <v>0</v>
      </c>
      <c r="AR274" s="38">
        <v>0</v>
      </c>
      <c r="AS274" s="39">
        <f>+IFERROR((FT_RF_264[[#This Row],[Calibre &gt;12]]/FT_RF_264[[#This Row],[Muestra]]),"0")</f>
        <v>0</v>
      </c>
      <c r="AT274" s="38">
        <v>0</v>
      </c>
      <c r="AU274" s="39">
        <f>+IFERROR((FT_RF_264[[#This Row],[Calibre &lt;14]]/FT_RF_264[[#This Row],[Muestra]]),"0")</f>
        <v>0</v>
      </c>
      <c r="AV274" s="38">
        <v>0</v>
      </c>
      <c r="AW274" s="39">
        <f>+IFERROR((FT_RF_264[[#This Row],[Calibre &gt;14]]/FT_RF_264[[#This Row],[Muestra]]),"0")</f>
        <v>0</v>
      </c>
      <c r="AX274" s="38">
        <v>0</v>
      </c>
      <c r="AY274" s="39">
        <f>+IFERROR((FT_RF_264[[#This Row],[Calibre &lt;10]]/FT_RF_264[[#This Row],[Muestra]]),"0")</f>
        <v>0</v>
      </c>
      <c r="AZ274" s="38">
        <v>0</v>
      </c>
      <c r="BA274" s="39">
        <f>+IFERROR((FT_RF_264[[#This Row],[Calibre &gt;13]]/FT_RF_264[[#This Row],[Muestra]]),"0")</f>
        <v>0</v>
      </c>
      <c r="BB274" s="41"/>
      <c r="BG274" s="42"/>
      <c r="BH274" s="43">
        <v>0</v>
      </c>
      <c r="BI274" s="29" t="s">
        <v>894</v>
      </c>
      <c r="BJ274" s="29" t="s">
        <v>894</v>
      </c>
      <c r="BK27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7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74" s="45">
        <f>1-FT_RF_264[[#This Row],[% Defectos]]</f>
        <v>1</v>
      </c>
      <c r="BO274" s="60"/>
      <c r="BP274" s="12">
        <f>SUM(FT_RF_264[[#This Row],[Hoja (Un.)]:[Larvas Caja]])</f>
        <v>0</v>
      </c>
      <c r="BQ274" s="12">
        <f>SUM(FT_RF_264[[#This Row],[Vidrios]:[Plástico]])</f>
        <v>0</v>
      </c>
      <c r="BR274" s="12" t="str">
        <f>IF(ISBLANK(FT_RF_264[[#This Row],[Descripción del producto]]),"",FT_RF_264[[#This Row],[Descripción del producto]])</f>
        <v/>
      </c>
      <c r="BS274" s="29" t="str">
        <f>IF(ISBLANK(FT_RF_264[[#This Row],[N° de Lote]]),"",FT_RF_264[[#This Row],[N° de Lote]])</f>
        <v/>
      </c>
      <c r="BT274" s="29" t="str">
        <f>IF(ISBLANK(FT_RF_264[[#This Row],[N° de Pallet]]),"",FT_RF_264[[#This Row],[N° de Pallet]])</f>
        <v/>
      </c>
    </row>
    <row r="275" spans="2:72">
      <c r="B275" s="29">
        <f>+_xlfn.ISOWEEKNUM(FT_RF_264[[#This Row],[Fecha]])</f>
        <v>52</v>
      </c>
      <c r="E275" s="31"/>
      <c r="F275" s="12" t="str">
        <f>IFERROR(""&amp;_xlfn.XLOOKUP(FT_RF_264[[#This Row],[Código]],BD_Cod[SKU],BD_Cod[Descripción]),"")</f>
        <v/>
      </c>
      <c r="G275" s="32" t="str">
        <f>IFERROR(""&amp;_xlfn.XLOOKUP(FT_RF_264[[#This Row],[Código]],BD_Cod[SKU],BD_Cod[Familia Calidad]),"")</f>
        <v/>
      </c>
      <c r="J275" s="33">
        <v>1000</v>
      </c>
      <c r="L275" s="30" t="s">
        <v>244</v>
      </c>
      <c r="O275" s="30" t="s">
        <v>894</v>
      </c>
      <c r="P275" s="29" t="s">
        <v>894</v>
      </c>
      <c r="Q275" s="37">
        <f>1-FT_RF_264[[#This Row],[% Defectos]]</f>
        <v>1</v>
      </c>
      <c r="R275" s="38">
        <v>0</v>
      </c>
      <c r="S275" s="39">
        <f>+IFERROR((FT_RF_264[[#This Row],[Inmadura]]/FT_RF_264[[#This Row],[Muestra]]),"0")</f>
        <v>0</v>
      </c>
      <c r="T275" s="38">
        <v>0</v>
      </c>
      <c r="U275" s="39">
        <f>+IFERROR((FT_RF_264[[#This Row],[Partidas]]/FT_RF_264[[#This Row],[Muestra]]),"0")</f>
        <v>0</v>
      </c>
      <c r="V275" s="38">
        <v>0</v>
      </c>
      <c r="W275" s="39">
        <f>+IFERROR((FT_RF_264[[#This Row],[Daño Insecto]]/FT_RF_264[[#This Row],[Muestra]]),"0")</f>
        <v>0</v>
      </c>
      <c r="X275" s="38">
        <v>0</v>
      </c>
      <c r="Y275" s="39">
        <f>+IFERROR((FT_RF_264[[#This Row],[Sobremadura]]/FT_RF_264[[#This Row],[Muestra]]),"0")</f>
        <v>0</v>
      </c>
      <c r="Z275" s="38">
        <v>0</v>
      </c>
      <c r="AA275" s="39">
        <f>+IFERROR((FT_RF_264[[#This Row],[Deforme]]/FT_RF_264[[#This Row],[Muestra]]),"0")</f>
        <v>0</v>
      </c>
      <c r="AB275" s="27"/>
      <c r="AC275" s="38">
        <v>0</v>
      </c>
      <c r="AD275" s="39">
        <f>+IFERROR((FT_RF_264[[#This Row],[Valor Extra 1]]/FT_RF_264[[#This Row],[Muestra]]),"0")</f>
        <v>0</v>
      </c>
      <c r="AF275" s="38">
        <v>0</v>
      </c>
      <c r="AG275" s="39">
        <f>+IFERROR((FT_RF_264[[#This Row],[Valor Extra 2]]/FT_RF_264[[#This Row],[Muestra]]),"0")</f>
        <v>0</v>
      </c>
      <c r="AH275" s="40">
        <v>0</v>
      </c>
      <c r="AI275" s="39">
        <f>+IFERROR((FT_RF_264[[#This Row],[Hongos]]/FT_RF_264[[#This Row],[Muestra]]),"0")</f>
        <v>0</v>
      </c>
      <c r="AJ275" s="38">
        <v>0</v>
      </c>
      <c r="AK275" s="39">
        <f>+IFERROR((FT_RF_264[[#This Row],[Block]]/FT_RF_264[[#This Row],[Muestra]]),"0")</f>
        <v>0</v>
      </c>
      <c r="AL275" s="41">
        <v>0</v>
      </c>
      <c r="AM275" s="42">
        <v>0</v>
      </c>
      <c r="AN275" s="38">
        <v>0</v>
      </c>
      <c r="AO275" s="39">
        <f>+IFERROR((FT_RF_264[[#This Row],[Fuera de calibre &lt;12mm]]/FT_RF_264[[#This Row],[Muestra]]),"0")</f>
        <v>0</v>
      </c>
      <c r="AP275" s="38">
        <v>0</v>
      </c>
      <c r="AQ275" s="39">
        <f>+IFERROR((FT_RF_264[[#This Row],[Calibre &lt;25]]/FT_RF_264[[#This Row],[Muestra]]),"0")</f>
        <v>0</v>
      </c>
      <c r="AR275" s="38">
        <v>0</v>
      </c>
      <c r="AS275" s="39">
        <f>+IFERROR((FT_RF_264[[#This Row],[Calibre &gt;12]]/FT_RF_264[[#This Row],[Muestra]]),"0")</f>
        <v>0</v>
      </c>
      <c r="AT275" s="38">
        <v>0</v>
      </c>
      <c r="AU275" s="39">
        <f>+IFERROR((FT_RF_264[[#This Row],[Calibre &lt;14]]/FT_RF_264[[#This Row],[Muestra]]),"0")</f>
        <v>0</v>
      </c>
      <c r="AV275" s="38">
        <v>0</v>
      </c>
      <c r="AW275" s="39">
        <f>+IFERROR((FT_RF_264[[#This Row],[Calibre &gt;14]]/FT_RF_264[[#This Row],[Muestra]]),"0")</f>
        <v>0</v>
      </c>
      <c r="AX275" s="38">
        <v>0</v>
      </c>
      <c r="AY275" s="39">
        <f>+IFERROR((FT_RF_264[[#This Row],[Calibre &lt;10]]/FT_RF_264[[#This Row],[Muestra]]),"0")</f>
        <v>0</v>
      </c>
      <c r="AZ275" s="38">
        <v>0</v>
      </c>
      <c r="BA275" s="39">
        <f>+IFERROR((FT_RF_264[[#This Row],[Calibre &gt;13]]/FT_RF_264[[#This Row],[Muestra]]),"0")</f>
        <v>0</v>
      </c>
      <c r="BB275" s="41"/>
      <c r="BG275" s="42"/>
      <c r="BH275" s="43">
        <v>0</v>
      </c>
      <c r="BI275" s="29" t="s">
        <v>894</v>
      </c>
      <c r="BJ275" s="29" t="s">
        <v>894</v>
      </c>
      <c r="BK27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7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75" s="45">
        <f>1-FT_RF_264[[#This Row],[% Defectos]]</f>
        <v>1</v>
      </c>
      <c r="BO275" s="60"/>
      <c r="BP275" s="12">
        <f>SUM(FT_RF_264[[#This Row],[Hoja (Un.)]:[Larvas Caja]])</f>
        <v>0</v>
      </c>
      <c r="BQ275" s="12">
        <f>SUM(FT_RF_264[[#This Row],[Vidrios]:[Plástico]])</f>
        <v>0</v>
      </c>
      <c r="BR275" s="12" t="str">
        <f>IF(ISBLANK(FT_RF_264[[#This Row],[Descripción del producto]]),"",FT_RF_264[[#This Row],[Descripción del producto]])</f>
        <v/>
      </c>
      <c r="BS275" s="29" t="str">
        <f>IF(ISBLANK(FT_RF_264[[#This Row],[N° de Lote]]),"",FT_RF_264[[#This Row],[N° de Lote]])</f>
        <v/>
      </c>
      <c r="BT275" s="29" t="str">
        <f>IF(ISBLANK(FT_RF_264[[#This Row],[N° de Pallet]]),"",FT_RF_264[[#This Row],[N° de Pallet]])</f>
        <v/>
      </c>
    </row>
    <row r="276" spans="2:72">
      <c r="B276" s="29">
        <f>+_xlfn.ISOWEEKNUM(FT_RF_264[[#This Row],[Fecha]])</f>
        <v>52</v>
      </c>
      <c r="E276" s="31"/>
      <c r="F276" s="12" t="str">
        <f>IFERROR(""&amp;_xlfn.XLOOKUP(FT_RF_264[[#This Row],[Código]],BD_Cod[SKU],BD_Cod[Descripción]),"")</f>
        <v/>
      </c>
      <c r="G276" s="32" t="str">
        <f>IFERROR(""&amp;_xlfn.XLOOKUP(FT_RF_264[[#This Row],[Código]],BD_Cod[SKU],BD_Cod[Familia Calidad]),"")</f>
        <v/>
      </c>
      <c r="J276" s="33">
        <v>1000</v>
      </c>
      <c r="L276" s="30" t="s">
        <v>244</v>
      </c>
      <c r="O276" s="30" t="s">
        <v>894</v>
      </c>
      <c r="P276" s="29" t="s">
        <v>894</v>
      </c>
      <c r="Q276" s="37">
        <f>1-FT_RF_264[[#This Row],[% Defectos]]</f>
        <v>1</v>
      </c>
      <c r="R276" s="38">
        <v>0</v>
      </c>
      <c r="S276" s="39">
        <f>+IFERROR((FT_RF_264[[#This Row],[Inmadura]]/FT_RF_264[[#This Row],[Muestra]]),"0")</f>
        <v>0</v>
      </c>
      <c r="T276" s="38">
        <v>0</v>
      </c>
      <c r="U276" s="39">
        <f>+IFERROR((FT_RF_264[[#This Row],[Partidas]]/FT_RF_264[[#This Row],[Muestra]]),"0")</f>
        <v>0</v>
      </c>
      <c r="V276" s="38">
        <v>0</v>
      </c>
      <c r="W276" s="39">
        <f>+IFERROR((FT_RF_264[[#This Row],[Daño Insecto]]/FT_RF_264[[#This Row],[Muestra]]),"0")</f>
        <v>0</v>
      </c>
      <c r="X276" s="38">
        <v>0</v>
      </c>
      <c r="Y276" s="39">
        <f>+IFERROR((FT_RF_264[[#This Row],[Sobremadura]]/FT_RF_264[[#This Row],[Muestra]]),"0")</f>
        <v>0</v>
      </c>
      <c r="Z276" s="38">
        <v>0</v>
      </c>
      <c r="AA276" s="39">
        <f>+IFERROR((FT_RF_264[[#This Row],[Deforme]]/FT_RF_264[[#This Row],[Muestra]]),"0")</f>
        <v>0</v>
      </c>
      <c r="AB276" s="27"/>
      <c r="AC276" s="38">
        <v>0</v>
      </c>
      <c r="AD276" s="39">
        <f>+IFERROR((FT_RF_264[[#This Row],[Valor Extra 1]]/FT_RF_264[[#This Row],[Muestra]]),"0")</f>
        <v>0</v>
      </c>
      <c r="AF276" s="38">
        <v>0</v>
      </c>
      <c r="AG276" s="39">
        <f>+IFERROR((FT_RF_264[[#This Row],[Valor Extra 2]]/FT_RF_264[[#This Row],[Muestra]]),"0")</f>
        <v>0</v>
      </c>
      <c r="AH276" s="40">
        <v>0</v>
      </c>
      <c r="AI276" s="39">
        <f>+IFERROR((FT_RF_264[[#This Row],[Hongos]]/FT_RF_264[[#This Row],[Muestra]]),"0")</f>
        <v>0</v>
      </c>
      <c r="AJ276" s="38">
        <v>0</v>
      </c>
      <c r="AK276" s="39">
        <f>+IFERROR((FT_RF_264[[#This Row],[Block]]/FT_RF_264[[#This Row],[Muestra]]),"0")</f>
        <v>0</v>
      </c>
      <c r="AL276" s="41">
        <v>0</v>
      </c>
      <c r="AM276" s="42">
        <v>0</v>
      </c>
      <c r="AN276" s="38">
        <v>0</v>
      </c>
      <c r="AO276" s="39">
        <f>+IFERROR((FT_RF_264[[#This Row],[Fuera de calibre &lt;12mm]]/FT_RF_264[[#This Row],[Muestra]]),"0")</f>
        <v>0</v>
      </c>
      <c r="AP276" s="38">
        <v>0</v>
      </c>
      <c r="AQ276" s="39">
        <f>+IFERROR((FT_RF_264[[#This Row],[Calibre &lt;25]]/FT_RF_264[[#This Row],[Muestra]]),"0")</f>
        <v>0</v>
      </c>
      <c r="AR276" s="38">
        <v>0</v>
      </c>
      <c r="AS276" s="39">
        <f>+IFERROR((FT_RF_264[[#This Row],[Calibre &gt;12]]/FT_RF_264[[#This Row],[Muestra]]),"0")</f>
        <v>0</v>
      </c>
      <c r="AT276" s="38">
        <v>0</v>
      </c>
      <c r="AU276" s="39">
        <f>+IFERROR((FT_RF_264[[#This Row],[Calibre &lt;14]]/FT_RF_264[[#This Row],[Muestra]]),"0")</f>
        <v>0</v>
      </c>
      <c r="AV276" s="38">
        <v>0</v>
      </c>
      <c r="AW276" s="39">
        <f>+IFERROR((FT_RF_264[[#This Row],[Calibre &gt;14]]/FT_RF_264[[#This Row],[Muestra]]),"0")</f>
        <v>0</v>
      </c>
      <c r="AX276" s="38">
        <v>0</v>
      </c>
      <c r="AY276" s="39">
        <f>+IFERROR((FT_RF_264[[#This Row],[Calibre &lt;10]]/FT_RF_264[[#This Row],[Muestra]]),"0")</f>
        <v>0</v>
      </c>
      <c r="AZ276" s="38">
        <v>0</v>
      </c>
      <c r="BA276" s="39">
        <f>+IFERROR((FT_RF_264[[#This Row],[Calibre &gt;13]]/FT_RF_264[[#This Row],[Muestra]]),"0")</f>
        <v>0</v>
      </c>
      <c r="BB276" s="41"/>
      <c r="BG276" s="42"/>
      <c r="BH276" s="43">
        <v>0</v>
      </c>
      <c r="BI276" s="29" t="s">
        <v>894</v>
      </c>
      <c r="BJ276" s="29" t="s">
        <v>894</v>
      </c>
      <c r="BK27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7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76" s="45">
        <f>1-FT_RF_264[[#This Row],[% Defectos]]</f>
        <v>1</v>
      </c>
      <c r="BO276" s="60"/>
      <c r="BP276" s="12">
        <f>SUM(FT_RF_264[[#This Row],[Hoja (Un.)]:[Larvas Caja]])</f>
        <v>0</v>
      </c>
      <c r="BQ276" s="12">
        <f>SUM(FT_RF_264[[#This Row],[Vidrios]:[Plástico]])</f>
        <v>0</v>
      </c>
      <c r="BR276" s="12" t="str">
        <f>IF(ISBLANK(FT_RF_264[[#This Row],[Descripción del producto]]),"",FT_RF_264[[#This Row],[Descripción del producto]])</f>
        <v/>
      </c>
      <c r="BS276" s="29" t="str">
        <f>IF(ISBLANK(FT_RF_264[[#This Row],[N° de Lote]]),"",FT_RF_264[[#This Row],[N° de Lote]])</f>
        <v/>
      </c>
      <c r="BT276" s="29" t="str">
        <f>IF(ISBLANK(FT_RF_264[[#This Row],[N° de Pallet]]),"",FT_RF_264[[#This Row],[N° de Pallet]])</f>
        <v/>
      </c>
    </row>
    <row r="277" spans="2:72">
      <c r="B277" s="29">
        <f>+_xlfn.ISOWEEKNUM(FT_RF_264[[#This Row],[Fecha]])</f>
        <v>52</v>
      </c>
      <c r="E277" s="31"/>
      <c r="F277" s="12" t="str">
        <f>IFERROR(""&amp;_xlfn.XLOOKUP(FT_RF_264[[#This Row],[Código]],BD_Cod[SKU],BD_Cod[Descripción]),"")</f>
        <v/>
      </c>
      <c r="G277" s="32" t="str">
        <f>IFERROR(""&amp;_xlfn.XLOOKUP(FT_RF_264[[#This Row],[Código]],BD_Cod[SKU],BD_Cod[Familia Calidad]),"")</f>
        <v/>
      </c>
      <c r="J277" s="33">
        <v>1000</v>
      </c>
      <c r="L277" s="30" t="s">
        <v>244</v>
      </c>
      <c r="O277" s="30" t="s">
        <v>894</v>
      </c>
      <c r="P277" s="29" t="s">
        <v>894</v>
      </c>
      <c r="Q277" s="37">
        <f>1-FT_RF_264[[#This Row],[% Defectos]]</f>
        <v>1</v>
      </c>
      <c r="R277" s="38">
        <v>0</v>
      </c>
      <c r="S277" s="39">
        <f>+IFERROR((FT_RF_264[[#This Row],[Inmadura]]/FT_RF_264[[#This Row],[Muestra]]),"0")</f>
        <v>0</v>
      </c>
      <c r="T277" s="38">
        <v>0</v>
      </c>
      <c r="U277" s="39">
        <f>+IFERROR((FT_RF_264[[#This Row],[Partidas]]/FT_RF_264[[#This Row],[Muestra]]),"0")</f>
        <v>0</v>
      </c>
      <c r="V277" s="38">
        <v>0</v>
      </c>
      <c r="W277" s="39">
        <f>+IFERROR((FT_RF_264[[#This Row],[Daño Insecto]]/FT_RF_264[[#This Row],[Muestra]]),"0")</f>
        <v>0</v>
      </c>
      <c r="X277" s="38">
        <v>0</v>
      </c>
      <c r="Y277" s="39">
        <f>+IFERROR((FT_RF_264[[#This Row],[Sobremadura]]/FT_RF_264[[#This Row],[Muestra]]),"0")</f>
        <v>0</v>
      </c>
      <c r="Z277" s="38">
        <v>0</v>
      </c>
      <c r="AA277" s="39">
        <f>+IFERROR((FT_RF_264[[#This Row],[Deforme]]/FT_RF_264[[#This Row],[Muestra]]),"0")</f>
        <v>0</v>
      </c>
      <c r="AB277" s="27"/>
      <c r="AC277" s="38">
        <v>0</v>
      </c>
      <c r="AD277" s="39">
        <f>+IFERROR((FT_RF_264[[#This Row],[Valor Extra 1]]/FT_RF_264[[#This Row],[Muestra]]),"0")</f>
        <v>0</v>
      </c>
      <c r="AF277" s="38">
        <v>0</v>
      </c>
      <c r="AG277" s="39">
        <f>+IFERROR((FT_RF_264[[#This Row],[Valor Extra 2]]/FT_RF_264[[#This Row],[Muestra]]),"0")</f>
        <v>0</v>
      </c>
      <c r="AH277" s="40">
        <v>0</v>
      </c>
      <c r="AI277" s="39">
        <f>+IFERROR((FT_RF_264[[#This Row],[Hongos]]/FT_RF_264[[#This Row],[Muestra]]),"0")</f>
        <v>0</v>
      </c>
      <c r="AJ277" s="38">
        <v>0</v>
      </c>
      <c r="AK277" s="39">
        <f>+IFERROR((FT_RF_264[[#This Row],[Block]]/FT_RF_264[[#This Row],[Muestra]]),"0")</f>
        <v>0</v>
      </c>
      <c r="AL277" s="41">
        <v>0</v>
      </c>
      <c r="AM277" s="42">
        <v>0</v>
      </c>
      <c r="AN277" s="38">
        <v>0</v>
      </c>
      <c r="AO277" s="39">
        <f>+IFERROR((FT_RF_264[[#This Row],[Fuera de calibre &lt;12mm]]/FT_RF_264[[#This Row],[Muestra]]),"0")</f>
        <v>0</v>
      </c>
      <c r="AP277" s="38">
        <v>0</v>
      </c>
      <c r="AQ277" s="39">
        <f>+IFERROR((FT_RF_264[[#This Row],[Calibre &lt;25]]/FT_RF_264[[#This Row],[Muestra]]),"0")</f>
        <v>0</v>
      </c>
      <c r="AR277" s="38">
        <v>0</v>
      </c>
      <c r="AS277" s="39">
        <f>+IFERROR((FT_RF_264[[#This Row],[Calibre &gt;12]]/FT_RF_264[[#This Row],[Muestra]]),"0")</f>
        <v>0</v>
      </c>
      <c r="AT277" s="38">
        <v>0</v>
      </c>
      <c r="AU277" s="39">
        <f>+IFERROR((FT_RF_264[[#This Row],[Calibre &lt;14]]/FT_RF_264[[#This Row],[Muestra]]),"0")</f>
        <v>0</v>
      </c>
      <c r="AV277" s="38">
        <v>0</v>
      </c>
      <c r="AW277" s="39">
        <f>+IFERROR((FT_RF_264[[#This Row],[Calibre &gt;14]]/FT_RF_264[[#This Row],[Muestra]]),"0")</f>
        <v>0</v>
      </c>
      <c r="AX277" s="38">
        <v>0</v>
      </c>
      <c r="AY277" s="39">
        <f>+IFERROR((FT_RF_264[[#This Row],[Calibre &lt;10]]/FT_RF_264[[#This Row],[Muestra]]),"0")</f>
        <v>0</v>
      </c>
      <c r="AZ277" s="38">
        <v>0</v>
      </c>
      <c r="BA277" s="39">
        <f>+IFERROR((FT_RF_264[[#This Row],[Calibre &gt;13]]/FT_RF_264[[#This Row],[Muestra]]),"0")</f>
        <v>0</v>
      </c>
      <c r="BB277" s="41"/>
      <c r="BG277" s="42"/>
      <c r="BH277" s="43">
        <v>0</v>
      </c>
      <c r="BI277" s="29" t="s">
        <v>894</v>
      </c>
      <c r="BJ277" s="29" t="s">
        <v>894</v>
      </c>
      <c r="BK27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7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77" s="45">
        <f>1-FT_RF_264[[#This Row],[% Defectos]]</f>
        <v>1</v>
      </c>
      <c r="BO277" s="60"/>
      <c r="BP277" s="12">
        <f>SUM(FT_RF_264[[#This Row],[Hoja (Un.)]:[Larvas Caja]])</f>
        <v>0</v>
      </c>
      <c r="BQ277" s="12">
        <f>SUM(FT_RF_264[[#This Row],[Vidrios]:[Plástico]])</f>
        <v>0</v>
      </c>
      <c r="BR277" s="12" t="str">
        <f>IF(ISBLANK(FT_RF_264[[#This Row],[Descripción del producto]]),"",FT_RF_264[[#This Row],[Descripción del producto]])</f>
        <v/>
      </c>
      <c r="BS277" s="29" t="str">
        <f>IF(ISBLANK(FT_RF_264[[#This Row],[N° de Lote]]),"",FT_RF_264[[#This Row],[N° de Lote]])</f>
        <v/>
      </c>
      <c r="BT277" s="29" t="str">
        <f>IF(ISBLANK(FT_RF_264[[#This Row],[N° de Pallet]]),"",FT_RF_264[[#This Row],[N° de Pallet]])</f>
        <v/>
      </c>
    </row>
    <row r="278" spans="2:72">
      <c r="B278" s="29">
        <f>+_xlfn.ISOWEEKNUM(FT_RF_264[[#This Row],[Fecha]])</f>
        <v>52</v>
      </c>
      <c r="E278" s="31"/>
      <c r="F278" s="12" t="str">
        <f>IFERROR(""&amp;_xlfn.XLOOKUP(FT_RF_264[[#This Row],[Código]],BD_Cod[SKU],BD_Cod[Descripción]),"")</f>
        <v/>
      </c>
      <c r="G278" s="32" t="str">
        <f>IFERROR(""&amp;_xlfn.XLOOKUP(FT_RF_264[[#This Row],[Código]],BD_Cod[SKU],BD_Cod[Familia Calidad]),"")</f>
        <v/>
      </c>
      <c r="J278" s="33">
        <v>1000</v>
      </c>
      <c r="L278" s="30" t="s">
        <v>244</v>
      </c>
      <c r="O278" s="30" t="s">
        <v>894</v>
      </c>
      <c r="P278" s="29" t="s">
        <v>894</v>
      </c>
      <c r="Q278" s="37">
        <f>1-FT_RF_264[[#This Row],[% Defectos]]</f>
        <v>1</v>
      </c>
      <c r="R278" s="38">
        <v>0</v>
      </c>
      <c r="S278" s="39">
        <f>+IFERROR((FT_RF_264[[#This Row],[Inmadura]]/FT_RF_264[[#This Row],[Muestra]]),"0")</f>
        <v>0</v>
      </c>
      <c r="T278" s="38">
        <v>0</v>
      </c>
      <c r="U278" s="39">
        <f>+IFERROR((FT_RF_264[[#This Row],[Partidas]]/FT_RF_264[[#This Row],[Muestra]]),"0")</f>
        <v>0</v>
      </c>
      <c r="V278" s="38">
        <v>0</v>
      </c>
      <c r="W278" s="39">
        <f>+IFERROR((FT_RF_264[[#This Row],[Daño Insecto]]/FT_RF_264[[#This Row],[Muestra]]),"0")</f>
        <v>0</v>
      </c>
      <c r="X278" s="38">
        <v>0</v>
      </c>
      <c r="Y278" s="39">
        <f>+IFERROR((FT_RF_264[[#This Row],[Sobremadura]]/FT_RF_264[[#This Row],[Muestra]]),"0")</f>
        <v>0</v>
      </c>
      <c r="Z278" s="38">
        <v>0</v>
      </c>
      <c r="AA278" s="39">
        <f>+IFERROR((FT_RF_264[[#This Row],[Deforme]]/FT_RF_264[[#This Row],[Muestra]]),"0")</f>
        <v>0</v>
      </c>
      <c r="AB278" s="27"/>
      <c r="AC278" s="38">
        <v>0</v>
      </c>
      <c r="AD278" s="39">
        <f>+IFERROR((FT_RF_264[[#This Row],[Valor Extra 1]]/FT_RF_264[[#This Row],[Muestra]]),"0")</f>
        <v>0</v>
      </c>
      <c r="AF278" s="38">
        <v>0</v>
      </c>
      <c r="AG278" s="39">
        <f>+IFERROR((FT_RF_264[[#This Row],[Valor Extra 2]]/FT_RF_264[[#This Row],[Muestra]]),"0")</f>
        <v>0</v>
      </c>
      <c r="AH278" s="40">
        <v>0</v>
      </c>
      <c r="AI278" s="39">
        <f>+IFERROR((FT_RF_264[[#This Row],[Hongos]]/FT_RF_264[[#This Row],[Muestra]]),"0")</f>
        <v>0</v>
      </c>
      <c r="AJ278" s="38">
        <v>0</v>
      </c>
      <c r="AK278" s="39">
        <f>+IFERROR((FT_RF_264[[#This Row],[Block]]/FT_RF_264[[#This Row],[Muestra]]),"0")</f>
        <v>0</v>
      </c>
      <c r="AL278" s="41">
        <v>0</v>
      </c>
      <c r="AM278" s="42">
        <v>0</v>
      </c>
      <c r="AN278" s="38">
        <v>0</v>
      </c>
      <c r="AO278" s="39">
        <f>+IFERROR((FT_RF_264[[#This Row],[Fuera de calibre &lt;12mm]]/FT_RF_264[[#This Row],[Muestra]]),"0")</f>
        <v>0</v>
      </c>
      <c r="AP278" s="38">
        <v>0</v>
      </c>
      <c r="AQ278" s="39">
        <f>+IFERROR((FT_RF_264[[#This Row],[Calibre &lt;25]]/FT_RF_264[[#This Row],[Muestra]]),"0")</f>
        <v>0</v>
      </c>
      <c r="AR278" s="38">
        <v>0</v>
      </c>
      <c r="AS278" s="39">
        <f>+IFERROR((FT_RF_264[[#This Row],[Calibre &gt;12]]/FT_RF_264[[#This Row],[Muestra]]),"0")</f>
        <v>0</v>
      </c>
      <c r="AT278" s="38">
        <v>0</v>
      </c>
      <c r="AU278" s="39">
        <f>+IFERROR((FT_RF_264[[#This Row],[Calibre &lt;14]]/FT_RF_264[[#This Row],[Muestra]]),"0")</f>
        <v>0</v>
      </c>
      <c r="AV278" s="38">
        <v>0</v>
      </c>
      <c r="AW278" s="39">
        <f>+IFERROR((FT_RF_264[[#This Row],[Calibre &gt;14]]/FT_RF_264[[#This Row],[Muestra]]),"0")</f>
        <v>0</v>
      </c>
      <c r="AX278" s="38">
        <v>0</v>
      </c>
      <c r="AY278" s="39">
        <f>+IFERROR((FT_RF_264[[#This Row],[Calibre &lt;10]]/FT_RF_264[[#This Row],[Muestra]]),"0")</f>
        <v>0</v>
      </c>
      <c r="AZ278" s="38">
        <v>0</v>
      </c>
      <c r="BA278" s="39">
        <f>+IFERROR((FT_RF_264[[#This Row],[Calibre &gt;13]]/FT_RF_264[[#This Row],[Muestra]]),"0")</f>
        <v>0</v>
      </c>
      <c r="BB278" s="41"/>
      <c r="BG278" s="42"/>
      <c r="BH278" s="43">
        <v>0</v>
      </c>
      <c r="BI278" s="29" t="s">
        <v>894</v>
      </c>
      <c r="BJ278" s="29" t="s">
        <v>894</v>
      </c>
      <c r="BK27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7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78" s="45">
        <f>1-FT_RF_264[[#This Row],[% Defectos]]</f>
        <v>1</v>
      </c>
      <c r="BO278" s="60"/>
      <c r="BP278" s="12">
        <f>SUM(FT_RF_264[[#This Row],[Hoja (Un.)]:[Larvas Caja]])</f>
        <v>0</v>
      </c>
      <c r="BQ278" s="12">
        <f>SUM(FT_RF_264[[#This Row],[Vidrios]:[Plástico]])</f>
        <v>0</v>
      </c>
      <c r="BR278" s="12" t="str">
        <f>IF(ISBLANK(FT_RF_264[[#This Row],[Descripción del producto]]),"",FT_RF_264[[#This Row],[Descripción del producto]])</f>
        <v/>
      </c>
      <c r="BS278" s="29" t="str">
        <f>IF(ISBLANK(FT_RF_264[[#This Row],[N° de Lote]]),"",FT_RF_264[[#This Row],[N° de Lote]])</f>
        <v/>
      </c>
      <c r="BT278" s="29" t="str">
        <f>IF(ISBLANK(FT_RF_264[[#This Row],[N° de Pallet]]),"",FT_RF_264[[#This Row],[N° de Pallet]])</f>
        <v/>
      </c>
    </row>
    <row r="279" spans="2:72">
      <c r="B279" s="29">
        <f>+_xlfn.ISOWEEKNUM(FT_RF_264[[#This Row],[Fecha]])</f>
        <v>52</v>
      </c>
      <c r="E279" s="31"/>
      <c r="F279" s="12" t="str">
        <f>IFERROR(""&amp;_xlfn.XLOOKUP(FT_RF_264[[#This Row],[Código]],BD_Cod[SKU],BD_Cod[Descripción]),"")</f>
        <v/>
      </c>
      <c r="G279" s="32" t="str">
        <f>IFERROR(""&amp;_xlfn.XLOOKUP(FT_RF_264[[#This Row],[Código]],BD_Cod[SKU],BD_Cod[Familia Calidad]),"")</f>
        <v/>
      </c>
      <c r="J279" s="33">
        <v>1000</v>
      </c>
      <c r="L279" s="30" t="s">
        <v>244</v>
      </c>
      <c r="O279" s="30" t="s">
        <v>894</v>
      </c>
      <c r="P279" s="29" t="s">
        <v>894</v>
      </c>
      <c r="Q279" s="37">
        <f>1-FT_RF_264[[#This Row],[% Defectos]]</f>
        <v>1</v>
      </c>
      <c r="R279" s="38">
        <v>0</v>
      </c>
      <c r="S279" s="39">
        <f>+IFERROR((FT_RF_264[[#This Row],[Inmadura]]/FT_RF_264[[#This Row],[Muestra]]),"0")</f>
        <v>0</v>
      </c>
      <c r="T279" s="38">
        <v>0</v>
      </c>
      <c r="U279" s="39">
        <f>+IFERROR((FT_RF_264[[#This Row],[Partidas]]/FT_RF_264[[#This Row],[Muestra]]),"0")</f>
        <v>0</v>
      </c>
      <c r="V279" s="38">
        <v>0</v>
      </c>
      <c r="W279" s="39">
        <f>+IFERROR((FT_RF_264[[#This Row],[Daño Insecto]]/FT_RF_264[[#This Row],[Muestra]]),"0")</f>
        <v>0</v>
      </c>
      <c r="X279" s="38">
        <v>0</v>
      </c>
      <c r="Y279" s="39">
        <f>+IFERROR((FT_RF_264[[#This Row],[Sobremadura]]/FT_RF_264[[#This Row],[Muestra]]),"0")</f>
        <v>0</v>
      </c>
      <c r="Z279" s="38">
        <v>0</v>
      </c>
      <c r="AA279" s="39">
        <f>+IFERROR((FT_RF_264[[#This Row],[Deforme]]/FT_RF_264[[#This Row],[Muestra]]),"0")</f>
        <v>0</v>
      </c>
      <c r="AB279" s="27"/>
      <c r="AC279" s="38">
        <v>0</v>
      </c>
      <c r="AD279" s="39">
        <f>+IFERROR((FT_RF_264[[#This Row],[Valor Extra 1]]/FT_RF_264[[#This Row],[Muestra]]),"0")</f>
        <v>0</v>
      </c>
      <c r="AF279" s="38">
        <v>0</v>
      </c>
      <c r="AG279" s="39">
        <f>+IFERROR((FT_RF_264[[#This Row],[Valor Extra 2]]/FT_RF_264[[#This Row],[Muestra]]),"0")</f>
        <v>0</v>
      </c>
      <c r="AH279" s="40">
        <v>0</v>
      </c>
      <c r="AI279" s="39">
        <f>+IFERROR((FT_RF_264[[#This Row],[Hongos]]/FT_RF_264[[#This Row],[Muestra]]),"0")</f>
        <v>0</v>
      </c>
      <c r="AJ279" s="38">
        <v>0</v>
      </c>
      <c r="AK279" s="39">
        <f>+IFERROR((FT_RF_264[[#This Row],[Block]]/FT_RF_264[[#This Row],[Muestra]]),"0")</f>
        <v>0</v>
      </c>
      <c r="AL279" s="41">
        <v>0</v>
      </c>
      <c r="AM279" s="42">
        <v>0</v>
      </c>
      <c r="AN279" s="38">
        <v>0</v>
      </c>
      <c r="AO279" s="39">
        <f>+IFERROR((FT_RF_264[[#This Row],[Fuera de calibre &lt;12mm]]/FT_RF_264[[#This Row],[Muestra]]),"0")</f>
        <v>0</v>
      </c>
      <c r="AP279" s="38">
        <v>0</v>
      </c>
      <c r="AQ279" s="39">
        <f>+IFERROR((FT_RF_264[[#This Row],[Calibre &lt;25]]/FT_RF_264[[#This Row],[Muestra]]),"0")</f>
        <v>0</v>
      </c>
      <c r="AR279" s="38">
        <v>0</v>
      </c>
      <c r="AS279" s="39">
        <f>+IFERROR((FT_RF_264[[#This Row],[Calibre &gt;12]]/FT_RF_264[[#This Row],[Muestra]]),"0")</f>
        <v>0</v>
      </c>
      <c r="AT279" s="38">
        <v>0</v>
      </c>
      <c r="AU279" s="39">
        <f>+IFERROR((FT_RF_264[[#This Row],[Calibre &lt;14]]/FT_RF_264[[#This Row],[Muestra]]),"0")</f>
        <v>0</v>
      </c>
      <c r="AV279" s="38">
        <v>0</v>
      </c>
      <c r="AW279" s="39">
        <f>+IFERROR((FT_RF_264[[#This Row],[Calibre &gt;14]]/FT_RF_264[[#This Row],[Muestra]]),"0")</f>
        <v>0</v>
      </c>
      <c r="AX279" s="38">
        <v>0</v>
      </c>
      <c r="AY279" s="39">
        <f>+IFERROR((FT_RF_264[[#This Row],[Calibre &lt;10]]/FT_RF_264[[#This Row],[Muestra]]),"0")</f>
        <v>0</v>
      </c>
      <c r="AZ279" s="38">
        <v>0</v>
      </c>
      <c r="BA279" s="39">
        <f>+IFERROR((FT_RF_264[[#This Row],[Calibre &gt;13]]/FT_RF_264[[#This Row],[Muestra]]),"0")</f>
        <v>0</v>
      </c>
      <c r="BB279" s="41"/>
      <c r="BG279" s="42"/>
      <c r="BH279" s="43">
        <v>0</v>
      </c>
      <c r="BI279" s="29" t="s">
        <v>894</v>
      </c>
      <c r="BJ279" s="29" t="s">
        <v>894</v>
      </c>
      <c r="BK27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7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79" s="45">
        <f>1-FT_RF_264[[#This Row],[% Defectos]]</f>
        <v>1</v>
      </c>
      <c r="BO279" s="60"/>
      <c r="BP279" s="12">
        <f>SUM(FT_RF_264[[#This Row],[Hoja (Un.)]:[Larvas Caja]])</f>
        <v>0</v>
      </c>
      <c r="BQ279" s="12">
        <f>SUM(FT_RF_264[[#This Row],[Vidrios]:[Plástico]])</f>
        <v>0</v>
      </c>
      <c r="BR279" s="12" t="str">
        <f>IF(ISBLANK(FT_RF_264[[#This Row],[Descripción del producto]]),"",FT_RF_264[[#This Row],[Descripción del producto]])</f>
        <v/>
      </c>
      <c r="BS279" s="29" t="str">
        <f>IF(ISBLANK(FT_RF_264[[#This Row],[N° de Lote]]),"",FT_RF_264[[#This Row],[N° de Lote]])</f>
        <v/>
      </c>
      <c r="BT279" s="29" t="str">
        <f>IF(ISBLANK(FT_RF_264[[#This Row],[N° de Pallet]]),"",FT_RF_264[[#This Row],[N° de Pallet]])</f>
        <v/>
      </c>
    </row>
    <row r="280" spans="2:72">
      <c r="B280" s="29">
        <f>+_xlfn.ISOWEEKNUM(FT_RF_264[[#This Row],[Fecha]])</f>
        <v>52</v>
      </c>
      <c r="E280" s="31"/>
      <c r="F280" s="12" t="str">
        <f>IFERROR(""&amp;_xlfn.XLOOKUP(FT_RF_264[[#This Row],[Código]],BD_Cod[SKU],BD_Cod[Descripción]),"")</f>
        <v/>
      </c>
      <c r="G280" s="32" t="str">
        <f>IFERROR(""&amp;_xlfn.XLOOKUP(FT_RF_264[[#This Row],[Código]],BD_Cod[SKU],BD_Cod[Familia Calidad]),"")</f>
        <v/>
      </c>
      <c r="J280" s="33">
        <v>1000</v>
      </c>
      <c r="L280" s="30" t="s">
        <v>244</v>
      </c>
      <c r="O280" s="30" t="s">
        <v>894</v>
      </c>
      <c r="P280" s="29" t="s">
        <v>894</v>
      </c>
      <c r="Q280" s="37">
        <f>1-FT_RF_264[[#This Row],[% Defectos]]</f>
        <v>1</v>
      </c>
      <c r="R280" s="38">
        <v>0</v>
      </c>
      <c r="S280" s="39">
        <f>+IFERROR((FT_RF_264[[#This Row],[Inmadura]]/FT_RF_264[[#This Row],[Muestra]]),"0")</f>
        <v>0</v>
      </c>
      <c r="T280" s="38">
        <v>0</v>
      </c>
      <c r="U280" s="39">
        <f>+IFERROR((FT_RF_264[[#This Row],[Partidas]]/FT_RF_264[[#This Row],[Muestra]]),"0")</f>
        <v>0</v>
      </c>
      <c r="V280" s="38">
        <v>0</v>
      </c>
      <c r="W280" s="39">
        <f>+IFERROR((FT_RF_264[[#This Row],[Daño Insecto]]/FT_RF_264[[#This Row],[Muestra]]),"0")</f>
        <v>0</v>
      </c>
      <c r="X280" s="38">
        <v>0</v>
      </c>
      <c r="Y280" s="39">
        <f>+IFERROR((FT_RF_264[[#This Row],[Sobremadura]]/FT_RF_264[[#This Row],[Muestra]]),"0")</f>
        <v>0</v>
      </c>
      <c r="Z280" s="38">
        <v>0</v>
      </c>
      <c r="AA280" s="39">
        <f>+IFERROR((FT_RF_264[[#This Row],[Deforme]]/FT_RF_264[[#This Row],[Muestra]]),"0")</f>
        <v>0</v>
      </c>
      <c r="AB280" s="27"/>
      <c r="AC280" s="38">
        <v>0</v>
      </c>
      <c r="AD280" s="39">
        <f>+IFERROR((FT_RF_264[[#This Row],[Valor Extra 1]]/FT_RF_264[[#This Row],[Muestra]]),"0")</f>
        <v>0</v>
      </c>
      <c r="AF280" s="38">
        <v>0</v>
      </c>
      <c r="AG280" s="39">
        <f>+IFERROR((FT_RF_264[[#This Row],[Valor Extra 2]]/FT_RF_264[[#This Row],[Muestra]]),"0")</f>
        <v>0</v>
      </c>
      <c r="AH280" s="40">
        <v>0</v>
      </c>
      <c r="AI280" s="39">
        <f>+IFERROR((FT_RF_264[[#This Row],[Hongos]]/FT_RF_264[[#This Row],[Muestra]]),"0")</f>
        <v>0</v>
      </c>
      <c r="AJ280" s="38">
        <v>0</v>
      </c>
      <c r="AK280" s="39">
        <f>+IFERROR((FT_RF_264[[#This Row],[Block]]/FT_RF_264[[#This Row],[Muestra]]),"0")</f>
        <v>0</v>
      </c>
      <c r="AL280" s="41">
        <v>0</v>
      </c>
      <c r="AM280" s="42">
        <v>0</v>
      </c>
      <c r="AN280" s="38">
        <v>0</v>
      </c>
      <c r="AO280" s="39">
        <f>+IFERROR((FT_RF_264[[#This Row],[Fuera de calibre &lt;12mm]]/FT_RF_264[[#This Row],[Muestra]]),"0")</f>
        <v>0</v>
      </c>
      <c r="AP280" s="38">
        <v>0</v>
      </c>
      <c r="AQ280" s="39">
        <f>+IFERROR((FT_RF_264[[#This Row],[Calibre &lt;25]]/FT_RF_264[[#This Row],[Muestra]]),"0")</f>
        <v>0</v>
      </c>
      <c r="AR280" s="38">
        <v>0</v>
      </c>
      <c r="AS280" s="39">
        <f>+IFERROR((FT_RF_264[[#This Row],[Calibre &gt;12]]/FT_RF_264[[#This Row],[Muestra]]),"0")</f>
        <v>0</v>
      </c>
      <c r="AT280" s="38">
        <v>0</v>
      </c>
      <c r="AU280" s="39">
        <f>+IFERROR((FT_RF_264[[#This Row],[Calibre &lt;14]]/FT_RF_264[[#This Row],[Muestra]]),"0")</f>
        <v>0</v>
      </c>
      <c r="AV280" s="38">
        <v>0</v>
      </c>
      <c r="AW280" s="39">
        <f>+IFERROR((FT_RF_264[[#This Row],[Calibre &gt;14]]/FT_RF_264[[#This Row],[Muestra]]),"0")</f>
        <v>0</v>
      </c>
      <c r="AX280" s="38">
        <v>0</v>
      </c>
      <c r="AY280" s="39">
        <f>+IFERROR((FT_RF_264[[#This Row],[Calibre &lt;10]]/FT_RF_264[[#This Row],[Muestra]]),"0")</f>
        <v>0</v>
      </c>
      <c r="AZ280" s="38">
        <v>0</v>
      </c>
      <c r="BA280" s="39">
        <f>+IFERROR((FT_RF_264[[#This Row],[Calibre &gt;13]]/FT_RF_264[[#This Row],[Muestra]]),"0")</f>
        <v>0</v>
      </c>
      <c r="BB280" s="41"/>
      <c r="BG280" s="42"/>
      <c r="BH280" s="43">
        <v>0</v>
      </c>
      <c r="BI280" s="29" t="s">
        <v>894</v>
      </c>
      <c r="BJ280" s="29" t="s">
        <v>894</v>
      </c>
      <c r="BK28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8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80" s="45">
        <f>1-FT_RF_264[[#This Row],[% Defectos]]</f>
        <v>1</v>
      </c>
      <c r="BO280" s="60"/>
      <c r="BP280" s="12">
        <f>SUM(FT_RF_264[[#This Row],[Hoja (Un.)]:[Larvas Caja]])</f>
        <v>0</v>
      </c>
      <c r="BQ280" s="12">
        <f>SUM(FT_RF_264[[#This Row],[Vidrios]:[Plástico]])</f>
        <v>0</v>
      </c>
      <c r="BR280" s="12" t="str">
        <f>IF(ISBLANK(FT_RF_264[[#This Row],[Descripción del producto]]),"",FT_RF_264[[#This Row],[Descripción del producto]])</f>
        <v/>
      </c>
      <c r="BS280" s="29" t="str">
        <f>IF(ISBLANK(FT_RF_264[[#This Row],[N° de Lote]]),"",FT_RF_264[[#This Row],[N° de Lote]])</f>
        <v/>
      </c>
      <c r="BT280" s="29" t="str">
        <f>IF(ISBLANK(FT_RF_264[[#This Row],[N° de Pallet]]),"",FT_RF_264[[#This Row],[N° de Pallet]])</f>
        <v/>
      </c>
    </row>
    <row r="281" spans="2:72">
      <c r="B281" s="29">
        <f>+_xlfn.ISOWEEKNUM(FT_RF_264[[#This Row],[Fecha]])</f>
        <v>52</v>
      </c>
      <c r="E281" s="31"/>
      <c r="F281" s="12" t="str">
        <f>IFERROR(""&amp;_xlfn.XLOOKUP(FT_RF_264[[#This Row],[Código]],BD_Cod[SKU],BD_Cod[Descripción]),"")</f>
        <v/>
      </c>
      <c r="G281" s="32" t="str">
        <f>IFERROR(""&amp;_xlfn.XLOOKUP(FT_RF_264[[#This Row],[Código]],BD_Cod[SKU],BD_Cod[Familia Calidad]),"")</f>
        <v/>
      </c>
      <c r="J281" s="33">
        <v>1000</v>
      </c>
      <c r="L281" s="30" t="s">
        <v>244</v>
      </c>
      <c r="O281" s="30" t="s">
        <v>894</v>
      </c>
      <c r="P281" s="29" t="s">
        <v>894</v>
      </c>
      <c r="Q281" s="37">
        <f>1-FT_RF_264[[#This Row],[% Defectos]]</f>
        <v>1</v>
      </c>
      <c r="R281" s="38">
        <v>0</v>
      </c>
      <c r="S281" s="39">
        <f>+IFERROR((FT_RF_264[[#This Row],[Inmadura]]/FT_RF_264[[#This Row],[Muestra]]),"0")</f>
        <v>0</v>
      </c>
      <c r="T281" s="38">
        <v>0</v>
      </c>
      <c r="U281" s="39">
        <f>+IFERROR((FT_RF_264[[#This Row],[Partidas]]/FT_RF_264[[#This Row],[Muestra]]),"0")</f>
        <v>0</v>
      </c>
      <c r="V281" s="38">
        <v>0</v>
      </c>
      <c r="W281" s="39">
        <f>+IFERROR((FT_RF_264[[#This Row],[Daño Insecto]]/FT_RF_264[[#This Row],[Muestra]]),"0")</f>
        <v>0</v>
      </c>
      <c r="X281" s="38">
        <v>0</v>
      </c>
      <c r="Y281" s="39">
        <f>+IFERROR((FT_RF_264[[#This Row],[Sobremadura]]/FT_RF_264[[#This Row],[Muestra]]),"0")</f>
        <v>0</v>
      </c>
      <c r="Z281" s="38">
        <v>0</v>
      </c>
      <c r="AA281" s="39">
        <f>+IFERROR((FT_RF_264[[#This Row],[Deforme]]/FT_RF_264[[#This Row],[Muestra]]),"0")</f>
        <v>0</v>
      </c>
      <c r="AB281" s="27"/>
      <c r="AC281" s="38">
        <v>0</v>
      </c>
      <c r="AD281" s="39">
        <f>+IFERROR((FT_RF_264[[#This Row],[Valor Extra 1]]/FT_RF_264[[#This Row],[Muestra]]),"0")</f>
        <v>0</v>
      </c>
      <c r="AF281" s="38">
        <v>0</v>
      </c>
      <c r="AG281" s="39">
        <f>+IFERROR((FT_RF_264[[#This Row],[Valor Extra 2]]/FT_RF_264[[#This Row],[Muestra]]),"0")</f>
        <v>0</v>
      </c>
      <c r="AH281" s="40">
        <v>0</v>
      </c>
      <c r="AI281" s="39">
        <f>+IFERROR((FT_RF_264[[#This Row],[Hongos]]/FT_RF_264[[#This Row],[Muestra]]),"0")</f>
        <v>0</v>
      </c>
      <c r="AJ281" s="38">
        <v>0</v>
      </c>
      <c r="AK281" s="39">
        <f>+IFERROR((FT_RF_264[[#This Row],[Block]]/FT_RF_264[[#This Row],[Muestra]]),"0")</f>
        <v>0</v>
      </c>
      <c r="AL281" s="41">
        <v>0</v>
      </c>
      <c r="AM281" s="42">
        <v>0</v>
      </c>
      <c r="AN281" s="38">
        <v>0</v>
      </c>
      <c r="AO281" s="39">
        <f>+IFERROR((FT_RF_264[[#This Row],[Fuera de calibre &lt;12mm]]/FT_RF_264[[#This Row],[Muestra]]),"0")</f>
        <v>0</v>
      </c>
      <c r="AP281" s="38">
        <v>0</v>
      </c>
      <c r="AQ281" s="39">
        <f>+IFERROR((FT_RF_264[[#This Row],[Calibre &lt;25]]/FT_RF_264[[#This Row],[Muestra]]),"0")</f>
        <v>0</v>
      </c>
      <c r="AR281" s="38">
        <v>0</v>
      </c>
      <c r="AS281" s="39">
        <f>+IFERROR((FT_RF_264[[#This Row],[Calibre &gt;12]]/FT_RF_264[[#This Row],[Muestra]]),"0")</f>
        <v>0</v>
      </c>
      <c r="AT281" s="38">
        <v>0</v>
      </c>
      <c r="AU281" s="39">
        <f>+IFERROR((FT_RF_264[[#This Row],[Calibre &lt;14]]/FT_RF_264[[#This Row],[Muestra]]),"0")</f>
        <v>0</v>
      </c>
      <c r="AV281" s="38">
        <v>0</v>
      </c>
      <c r="AW281" s="39">
        <f>+IFERROR((FT_RF_264[[#This Row],[Calibre &gt;14]]/FT_RF_264[[#This Row],[Muestra]]),"0")</f>
        <v>0</v>
      </c>
      <c r="AX281" s="38">
        <v>0</v>
      </c>
      <c r="AY281" s="39">
        <f>+IFERROR((FT_RF_264[[#This Row],[Calibre &lt;10]]/FT_RF_264[[#This Row],[Muestra]]),"0")</f>
        <v>0</v>
      </c>
      <c r="AZ281" s="38">
        <v>0</v>
      </c>
      <c r="BA281" s="39">
        <f>+IFERROR((FT_RF_264[[#This Row],[Calibre &gt;13]]/FT_RF_264[[#This Row],[Muestra]]),"0")</f>
        <v>0</v>
      </c>
      <c r="BB281" s="41"/>
      <c r="BG281" s="42"/>
      <c r="BH281" s="43">
        <v>0</v>
      </c>
      <c r="BI281" s="29" t="s">
        <v>894</v>
      </c>
      <c r="BJ281" s="29" t="s">
        <v>894</v>
      </c>
      <c r="BK28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8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81" s="45">
        <f>1-FT_RF_264[[#This Row],[% Defectos]]</f>
        <v>1</v>
      </c>
      <c r="BO281" s="60"/>
      <c r="BP281" s="12">
        <f>SUM(FT_RF_264[[#This Row],[Hoja (Un.)]:[Larvas Caja]])</f>
        <v>0</v>
      </c>
      <c r="BQ281" s="12">
        <f>SUM(FT_RF_264[[#This Row],[Vidrios]:[Plástico]])</f>
        <v>0</v>
      </c>
      <c r="BR281" s="12" t="str">
        <f>IF(ISBLANK(FT_RF_264[[#This Row],[Descripción del producto]]),"",FT_RF_264[[#This Row],[Descripción del producto]])</f>
        <v/>
      </c>
      <c r="BS281" s="29" t="str">
        <f>IF(ISBLANK(FT_RF_264[[#This Row],[N° de Lote]]),"",FT_RF_264[[#This Row],[N° de Lote]])</f>
        <v/>
      </c>
      <c r="BT281" s="29" t="str">
        <f>IF(ISBLANK(FT_RF_264[[#This Row],[N° de Pallet]]),"",FT_RF_264[[#This Row],[N° de Pallet]])</f>
        <v/>
      </c>
    </row>
    <row r="282" spans="2:72">
      <c r="B282" s="29">
        <f>+_xlfn.ISOWEEKNUM(FT_RF_264[[#This Row],[Fecha]])</f>
        <v>52</v>
      </c>
      <c r="E282" s="31"/>
      <c r="F282" s="12" t="str">
        <f>IFERROR(""&amp;_xlfn.XLOOKUP(FT_RF_264[[#This Row],[Código]],BD_Cod[SKU],BD_Cod[Descripción]),"")</f>
        <v/>
      </c>
      <c r="G282" s="32" t="str">
        <f>IFERROR(""&amp;_xlfn.XLOOKUP(FT_RF_264[[#This Row],[Código]],BD_Cod[SKU],BD_Cod[Familia Calidad]),"")</f>
        <v/>
      </c>
      <c r="J282" s="33">
        <v>1000</v>
      </c>
      <c r="L282" s="30" t="s">
        <v>244</v>
      </c>
      <c r="O282" s="30" t="s">
        <v>894</v>
      </c>
      <c r="P282" s="29" t="s">
        <v>894</v>
      </c>
      <c r="Q282" s="37">
        <f>1-FT_RF_264[[#This Row],[% Defectos]]</f>
        <v>1</v>
      </c>
      <c r="R282" s="38">
        <v>0</v>
      </c>
      <c r="S282" s="39">
        <f>+IFERROR((FT_RF_264[[#This Row],[Inmadura]]/FT_RF_264[[#This Row],[Muestra]]),"0")</f>
        <v>0</v>
      </c>
      <c r="T282" s="38">
        <v>0</v>
      </c>
      <c r="U282" s="39">
        <f>+IFERROR((FT_RF_264[[#This Row],[Partidas]]/FT_RF_264[[#This Row],[Muestra]]),"0")</f>
        <v>0</v>
      </c>
      <c r="V282" s="38">
        <v>0</v>
      </c>
      <c r="W282" s="39">
        <f>+IFERROR((FT_RF_264[[#This Row],[Daño Insecto]]/FT_RF_264[[#This Row],[Muestra]]),"0")</f>
        <v>0</v>
      </c>
      <c r="X282" s="38">
        <v>0</v>
      </c>
      <c r="Y282" s="39">
        <f>+IFERROR((FT_RF_264[[#This Row],[Sobremadura]]/FT_RF_264[[#This Row],[Muestra]]),"0")</f>
        <v>0</v>
      </c>
      <c r="Z282" s="38">
        <v>0</v>
      </c>
      <c r="AA282" s="39">
        <f>+IFERROR((FT_RF_264[[#This Row],[Deforme]]/FT_RF_264[[#This Row],[Muestra]]),"0")</f>
        <v>0</v>
      </c>
      <c r="AB282" s="27"/>
      <c r="AC282" s="38">
        <v>0</v>
      </c>
      <c r="AD282" s="39">
        <f>+IFERROR((FT_RF_264[[#This Row],[Valor Extra 1]]/FT_RF_264[[#This Row],[Muestra]]),"0")</f>
        <v>0</v>
      </c>
      <c r="AF282" s="38">
        <v>0</v>
      </c>
      <c r="AG282" s="39">
        <f>+IFERROR((FT_RF_264[[#This Row],[Valor Extra 2]]/FT_RF_264[[#This Row],[Muestra]]),"0")</f>
        <v>0</v>
      </c>
      <c r="AH282" s="40">
        <v>0</v>
      </c>
      <c r="AI282" s="39">
        <f>+IFERROR((FT_RF_264[[#This Row],[Hongos]]/FT_RF_264[[#This Row],[Muestra]]),"0")</f>
        <v>0</v>
      </c>
      <c r="AJ282" s="38">
        <v>0</v>
      </c>
      <c r="AK282" s="39">
        <f>+IFERROR((FT_RF_264[[#This Row],[Block]]/FT_RF_264[[#This Row],[Muestra]]),"0")</f>
        <v>0</v>
      </c>
      <c r="AL282" s="41">
        <v>0</v>
      </c>
      <c r="AM282" s="42">
        <v>0</v>
      </c>
      <c r="AN282" s="38">
        <v>0</v>
      </c>
      <c r="AO282" s="39">
        <f>+IFERROR((FT_RF_264[[#This Row],[Fuera de calibre &lt;12mm]]/FT_RF_264[[#This Row],[Muestra]]),"0")</f>
        <v>0</v>
      </c>
      <c r="AP282" s="38">
        <v>0</v>
      </c>
      <c r="AQ282" s="39">
        <f>+IFERROR((FT_RF_264[[#This Row],[Calibre &lt;25]]/FT_RF_264[[#This Row],[Muestra]]),"0")</f>
        <v>0</v>
      </c>
      <c r="AR282" s="38">
        <v>0</v>
      </c>
      <c r="AS282" s="39">
        <f>+IFERROR((FT_RF_264[[#This Row],[Calibre &gt;12]]/FT_RF_264[[#This Row],[Muestra]]),"0")</f>
        <v>0</v>
      </c>
      <c r="AT282" s="38">
        <v>0</v>
      </c>
      <c r="AU282" s="39">
        <f>+IFERROR((FT_RF_264[[#This Row],[Calibre &lt;14]]/FT_RF_264[[#This Row],[Muestra]]),"0")</f>
        <v>0</v>
      </c>
      <c r="AV282" s="38">
        <v>0</v>
      </c>
      <c r="AW282" s="39">
        <f>+IFERROR((FT_RF_264[[#This Row],[Calibre &gt;14]]/FT_RF_264[[#This Row],[Muestra]]),"0")</f>
        <v>0</v>
      </c>
      <c r="AX282" s="38">
        <v>0</v>
      </c>
      <c r="AY282" s="39">
        <f>+IFERROR((FT_RF_264[[#This Row],[Calibre &lt;10]]/FT_RF_264[[#This Row],[Muestra]]),"0")</f>
        <v>0</v>
      </c>
      <c r="AZ282" s="38">
        <v>0</v>
      </c>
      <c r="BA282" s="39">
        <f>+IFERROR((FT_RF_264[[#This Row],[Calibre &gt;13]]/FT_RF_264[[#This Row],[Muestra]]),"0")</f>
        <v>0</v>
      </c>
      <c r="BB282" s="41"/>
      <c r="BG282" s="42"/>
      <c r="BH282" s="43">
        <v>0</v>
      </c>
      <c r="BI282" s="29" t="s">
        <v>894</v>
      </c>
      <c r="BJ282" s="29" t="s">
        <v>894</v>
      </c>
      <c r="BK28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8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82" s="45">
        <f>1-FT_RF_264[[#This Row],[% Defectos]]</f>
        <v>1</v>
      </c>
      <c r="BO282" s="60"/>
      <c r="BP282" s="12">
        <f>SUM(FT_RF_264[[#This Row],[Hoja (Un.)]:[Larvas Caja]])</f>
        <v>0</v>
      </c>
      <c r="BQ282" s="12">
        <f>SUM(FT_RF_264[[#This Row],[Vidrios]:[Plástico]])</f>
        <v>0</v>
      </c>
      <c r="BR282" s="12" t="str">
        <f>IF(ISBLANK(FT_RF_264[[#This Row],[Descripción del producto]]),"",FT_RF_264[[#This Row],[Descripción del producto]])</f>
        <v/>
      </c>
      <c r="BS282" s="29" t="str">
        <f>IF(ISBLANK(FT_RF_264[[#This Row],[N° de Lote]]),"",FT_RF_264[[#This Row],[N° de Lote]])</f>
        <v/>
      </c>
      <c r="BT282" s="29" t="str">
        <f>IF(ISBLANK(FT_RF_264[[#This Row],[N° de Pallet]]),"",FT_RF_264[[#This Row],[N° de Pallet]])</f>
        <v/>
      </c>
    </row>
    <row r="283" spans="2:72">
      <c r="B283" s="29">
        <f>+_xlfn.ISOWEEKNUM(FT_RF_264[[#This Row],[Fecha]])</f>
        <v>52</v>
      </c>
      <c r="E283" s="31"/>
      <c r="F283" s="12" t="str">
        <f>IFERROR(""&amp;_xlfn.XLOOKUP(FT_RF_264[[#This Row],[Código]],BD_Cod[SKU],BD_Cod[Descripción]),"")</f>
        <v/>
      </c>
      <c r="G283" s="32" t="str">
        <f>IFERROR(""&amp;_xlfn.XLOOKUP(FT_RF_264[[#This Row],[Código]],BD_Cod[SKU],BD_Cod[Familia Calidad]),"")</f>
        <v/>
      </c>
      <c r="J283" s="33">
        <v>1000</v>
      </c>
      <c r="L283" s="30" t="s">
        <v>244</v>
      </c>
      <c r="O283" s="30" t="s">
        <v>894</v>
      </c>
      <c r="P283" s="29" t="s">
        <v>894</v>
      </c>
      <c r="Q283" s="37">
        <f>1-FT_RF_264[[#This Row],[% Defectos]]</f>
        <v>1</v>
      </c>
      <c r="R283" s="38">
        <v>0</v>
      </c>
      <c r="S283" s="39">
        <f>+IFERROR((FT_RF_264[[#This Row],[Inmadura]]/FT_RF_264[[#This Row],[Muestra]]),"0")</f>
        <v>0</v>
      </c>
      <c r="T283" s="38">
        <v>0</v>
      </c>
      <c r="U283" s="39">
        <f>+IFERROR((FT_RF_264[[#This Row],[Partidas]]/FT_RF_264[[#This Row],[Muestra]]),"0")</f>
        <v>0</v>
      </c>
      <c r="V283" s="38">
        <v>0</v>
      </c>
      <c r="W283" s="39">
        <f>+IFERROR((FT_RF_264[[#This Row],[Daño Insecto]]/FT_RF_264[[#This Row],[Muestra]]),"0")</f>
        <v>0</v>
      </c>
      <c r="X283" s="38">
        <v>0</v>
      </c>
      <c r="Y283" s="39">
        <f>+IFERROR((FT_RF_264[[#This Row],[Sobremadura]]/FT_RF_264[[#This Row],[Muestra]]),"0")</f>
        <v>0</v>
      </c>
      <c r="Z283" s="38">
        <v>0</v>
      </c>
      <c r="AA283" s="39">
        <f>+IFERROR((FT_RF_264[[#This Row],[Deforme]]/FT_RF_264[[#This Row],[Muestra]]),"0")</f>
        <v>0</v>
      </c>
      <c r="AB283" s="27"/>
      <c r="AC283" s="38">
        <v>0</v>
      </c>
      <c r="AD283" s="39">
        <f>+IFERROR((FT_RF_264[[#This Row],[Valor Extra 1]]/FT_RF_264[[#This Row],[Muestra]]),"0")</f>
        <v>0</v>
      </c>
      <c r="AF283" s="38">
        <v>0</v>
      </c>
      <c r="AG283" s="39">
        <f>+IFERROR((FT_RF_264[[#This Row],[Valor Extra 2]]/FT_RF_264[[#This Row],[Muestra]]),"0")</f>
        <v>0</v>
      </c>
      <c r="AH283" s="40">
        <v>0</v>
      </c>
      <c r="AI283" s="39">
        <f>+IFERROR((FT_RF_264[[#This Row],[Hongos]]/FT_RF_264[[#This Row],[Muestra]]),"0")</f>
        <v>0</v>
      </c>
      <c r="AJ283" s="38">
        <v>0</v>
      </c>
      <c r="AK283" s="39">
        <f>+IFERROR((FT_RF_264[[#This Row],[Block]]/FT_RF_264[[#This Row],[Muestra]]),"0")</f>
        <v>0</v>
      </c>
      <c r="AL283" s="41">
        <v>0</v>
      </c>
      <c r="AM283" s="42">
        <v>0</v>
      </c>
      <c r="AN283" s="38">
        <v>0</v>
      </c>
      <c r="AO283" s="39">
        <f>+IFERROR((FT_RF_264[[#This Row],[Fuera de calibre &lt;12mm]]/FT_RF_264[[#This Row],[Muestra]]),"0")</f>
        <v>0</v>
      </c>
      <c r="AP283" s="38">
        <v>0</v>
      </c>
      <c r="AQ283" s="39">
        <f>+IFERROR((FT_RF_264[[#This Row],[Calibre &lt;25]]/FT_RF_264[[#This Row],[Muestra]]),"0")</f>
        <v>0</v>
      </c>
      <c r="AR283" s="38">
        <v>0</v>
      </c>
      <c r="AS283" s="39">
        <f>+IFERROR((FT_RF_264[[#This Row],[Calibre &gt;12]]/FT_RF_264[[#This Row],[Muestra]]),"0")</f>
        <v>0</v>
      </c>
      <c r="AT283" s="38">
        <v>0</v>
      </c>
      <c r="AU283" s="39">
        <f>+IFERROR((FT_RF_264[[#This Row],[Calibre &lt;14]]/FT_RF_264[[#This Row],[Muestra]]),"0")</f>
        <v>0</v>
      </c>
      <c r="AV283" s="38">
        <v>0</v>
      </c>
      <c r="AW283" s="39">
        <f>+IFERROR((FT_RF_264[[#This Row],[Calibre &gt;14]]/FT_RF_264[[#This Row],[Muestra]]),"0")</f>
        <v>0</v>
      </c>
      <c r="AX283" s="38">
        <v>0</v>
      </c>
      <c r="AY283" s="39">
        <f>+IFERROR((FT_RF_264[[#This Row],[Calibre &lt;10]]/FT_RF_264[[#This Row],[Muestra]]),"0")</f>
        <v>0</v>
      </c>
      <c r="AZ283" s="38">
        <v>0</v>
      </c>
      <c r="BA283" s="39">
        <f>+IFERROR((FT_RF_264[[#This Row],[Calibre &gt;13]]/FT_RF_264[[#This Row],[Muestra]]),"0")</f>
        <v>0</v>
      </c>
      <c r="BB283" s="41"/>
      <c r="BG283" s="42"/>
      <c r="BH283" s="43">
        <v>0</v>
      </c>
      <c r="BI283" s="29" t="s">
        <v>894</v>
      </c>
      <c r="BJ283" s="29" t="s">
        <v>894</v>
      </c>
      <c r="BK28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8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83" s="45">
        <f>1-FT_RF_264[[#This Row],[% Defectos]]</f>
        <v>1</v>
      </c>
      <c r="BO283" s="60"/>
      <c r="BP283" s="12">
        <f>SUM(FT_RF_264[[#This Row],[Hoja (Un.)]:[Larvas Caja]])</f>
        <v>0</v>
      </c>
      <c r="BQ283" s="12">
        <f>SUM(FT_RF_264[[#This Row],[Vidrios]:[Plástico]])</f>
        <v>0</v>
      </c>
      <c r="BR283" s="12" t="str">
        <f>IF(ISBLANK(FT_RF_264[[#This Row],[Descripción del producto]]),"",FT_RF_264[[#This Row],[Descripción del producto]])</f>
        <v/>
      </c>
      <c r="BS283" s="29" t="str">
        <f>IF(ISBLANK(FT_RF_264[[#This Row],[N° de Lote]]),"",FT_RF_264[[#This Row],[N° de Lote]])</f>
        <v/>
      </c>
      <c r="BT283" s="29" t="str">
        <f>IF(ISBLANK(FT_RF_264[[#This Row],[N° de Pallet]]),"",FT_RF_264[[#This Row],[N° de Pallet]])</f>
        <v/>
      </c>
    </row>
    <row r="284" spans="2:72">
      <c r="B284" s="29">
        <f>+_xlfn.ISOWEEKNUM(FT_RF_264[[#This Row],[Fecha]])</f>
        <v>52</v>
      </c>
      <c r="E284" s="31"/>
      <c r="F284" s="12" t="str">
        <f>IFERROR(""&amp;_xlfn.XLOOKUP(FT_RF_264[[#This Row],[Código]],BD_Cod[SKU],BD_Cod[Descripción]),"")</f>
        <v/>
      </c>
      <c r="G284" s="32" t="str">
        <f>IFERROR(""&amp;_xlfn.XLOOKUP(FT_RF_264[[#This Row],[Código]],BD_Cod[SKU],BD_Cod[Familia Calidad]),"")</f>
        <v/>
      </c>
      <c r="J284" s="33">
        <v>1000</v>
      </c>
      <c r="L284" s="30" t="s">
        <v>244</v>
      </c>
      <c r="O284" s="30" t="s">
        <v>894</v>
      </c>
      <c r="P284" s="29" t="s">
        <v>894</v>
      </c>
      <c r="Q284" s="37">
        <f>1-FT_RF_264[[#This Row],[% Defectos]]</f>
        <v>1</v>
      </c>
      <c r="R284" s="38">
        <v>0</v>
      </c>
      <c r="S284" s="39">
        <f>+IFERROR((FT_RF_264[[#This Row],[Inmadura]]/FT_RF_264[[#This Row],[Muestra]]),"0")</f>
        <v>0</v>
      </c>
      <c r="T284" s="38">
        <v>0</v>
      </c>
      <c r="U284" s="39">
        <f>+IFERROR((FT_RF_264[[#This Row],[Partidas]]/FT_RF_264[[#This Row],[Muestra]]),"0")</f>
        <v>0</v>
      </c>
      <c r="V284" s="38">
        <v>0</v>
      </c>
      <c r="W284" s="39">
        <f>+IFERROR((FT_RF_264[[#This Row],[Daño Insecto]]/FT_RF_264[[#This Row],[Muestra]]),"0")</f>
        <v>0</v>
      </c>
      <c r="X284" s="38">
        <v>0</v>
      </c>
      <c r="Y284" s="39">
        <f>+IFERROR((FT_RF_264[[#This Row],[Sobremadura]]/FT_RF_264[[#This Row],[Muestra]]),"0")</f>
        <v>0</v>
      </c>
      <c r="Z284" s="38">
        <v>0</v>
      </c>
      <c r="AA284" s="39">
        <f>+IFERROR((FT_RF_264[[#This Row],[Deforme]]/FT_RF_264[[#This Row],[Muestra]]),"0")</f>
        <v>0</v>
      </c>
      <c r="AB284" s="27"/>
      <c r="AC284" s="38">
        <v>0</v>
      </c>
      <c r="AD284" s="39">
        <f>+IFERROR((FT_RF_264[[#This Row],[Valor Extra 1]]/FT_RF_264[[#This Row],[Muestra]]),"0")</f>
        <v>0</v>
      </c>
      <c r="AF284" s="38">
        <v>0</v>
      </c>
      <c r="AG284" s="39">
        <f>+IFERROR((FT_RF_264[[#This Row],[Valor Extra 2]]/FT_RF_264[[#This Row],[Muestra]]),"0")</f>
        <v>0</v>
      </c>
      <c r="AH284" s="40">
        <v>0</v>
      </c>
      <c r="AI284" s="39">
        <f>+IFERROR((FT_RF_264[[#This Row],[Hongos]]/FT_RF_264[[#This Row],[Muestra]]),"0")</f>
        <v>0</v>
      </c>
      <c r="AJ284" s="38">
        <v>0</v>
      </c>
      <c r="AK284" s="39">
        <f>+IFERROR((FT_RF_264[[#This Row],[Block]]/FT_RF_264[[#This Row],[Muestra]]),"0")</f>
        <v>0</v>
      </c>
      <c r="AL284" s="41">
        <v>0</v>
      </c>
      <c r="AM284" s="42">
        <v>0</v>
      </c>
      <c r="AN284" s="38">
        <v>0</v>
      </c>
      <c r="AO284" s="39">
        <f>+IFERROR((FT_RF_264[[#This Row],[Fuera de calibre &lt;12mm]]/FT_RF_264[[#This Row],[Muestra]]),"0")</f>
        <v>0</v>
      </c>
      <c r="AP284" s="38">
        <v>0</v>
      </c>
      <c r="AQ284" s="39">
        <f>+IFERROR((FT_RF_264[[#This Row],[Calibre &lt;25]]/FT_RF_264[[#This Row],[Muestra]]),"0")</f>
        <v>0</v>
      </c>
      <c r="AR284" s="38">
        <v>0</v>
      </c>
      <c r="AS284" s="39">
        <f>+IFERROR((FT_RF_264[[#This Row],[Calibre &gt;12]]/FT_RF_264[[#This Row],[Muestra]]),"0")</f>
        <v>0</v>
      </c>
      <c r="AT284" s="38">
        <v>0</v>
      </c>
      <c r="AU284" s="39">
        <f>+IFERROR((FT_RF_264[[#This Row],[Calibre &lt;14]]/FT_RF_264[[#This Row],[Muestra]]),"0")</f>
        <v>0</v>
      </c>
      <c r="AV284" s="38">
        <v>0</v>
      </c>
      <c r="AW284" s="39">
        <f>+IFERROR((FT_RF_264[[#This Row],[Calibre &gt;14]]/FT_RF_264[[#This Row],[Muestra]]),"0")</f>
        <v>0</v>
      </c>
      <c r="AX284" s="38">
        <v>0</v>
      </c>
      <c r="AY284" s="39">
        <f>+IFERROR((FT_RF_264[[#This Row],[Calibre &lt;10]]/FT_RF_264[[#This Row],[Muestra]]),"0")</f>
        <v>0</v>
      </c>
      <c r="AZ284" s="38">
        <v>0</v>
      </c>
      <c r="BA284" s="39">
        <f>+IFERROR((FT_RF_264[[#This Row],[Calibre &gt;13]]/FT_RF_264[[#This Row],[Muestra]]),"0")</f>
        <v>0</v>
      </c>
      <c r="BB284" s="41"/>
      <c r="BG284" s="42"/>
      <c r="BH284" s="43">
        <v>0</v>
      </c>
      <c r="BI284" s="29" t="s">
        <v>894</v>
      </c>
      <c r="BJ284" s="29" t="s">
        <v>894</v>
      </c>
      <c r="BK28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8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84" s="45">
        <f>1-FT_RF_264[[#This Row],[% Defectos]]</f>
        <v>1</v>
      </c>
      <c r="BO284" s="60"/>
      <c r="BP284" s="12">
        <f>SUM(FT_RF_264[[#This Row],[Hoja (Un.)]:[Larvas Caja]])</f>
        <v>0</v>
      </c>
      <c r="BQ284" s="12">
        <f>SUM(FT_RF_264[[#This Row],[Vidrios]:[Plástico]])</f>
        <v>0</v>
      </c>
      <c r="BR284" s="12" t="str">
        <f>IF(ISBLANK(FT_RF_264[[#This Row],[Descripción del producto]]),"",FT_RF_264[[#This Row],[Descripción del producto]])</f>
        <v/>
      </c>
      <c r="BS284" s="29" t="str">
        <f>IF(ISBLANK(FT_RF_264[[#This Row],[N° de Lote]]),"",FT_RF_264[[#This Row],[N° de Lote]])</f>
        <v/>
      </c>
      <c r="BT284" s="29" t="str">
        <f>IF(ISBLANK(FT_RF_264[[#This Row],[N° de Pallet]]),"",FT_RF_264[[#This Row],[N° de Pallet]])</f>
        <v/>
      </c>
    </row>
    <row r="285" spans="2:72">
      <c r="B285" s="29">
        <f>+_xlfn.ISOWEEKNUM(FT_RF_264[[#This Row],[Fecha]])</f>
        <v>52</v>
      </c>
      <c r="E285" s="31"/>
      <c r="F285" s="12" t="str">
        <f>IFERROR(""&amp;_xlfn.XLOOKUP(FT_RF_264[[#This Row],[Código]],BD_Cod[SKU],BD_Cod[Descripción]),"")</f>
        <v/>
      </c>
      <c r="G285" s="32" t="str">
        <f>IFERROR(""&amp;_xlfn.XLOOKUP(FT_RF_264[[#This Row],[Código]],BD_Cod[SKU],BD_Cod[Familia Calidad]),"")</f>
        <v/>
      </c>
      <c r="J285" s="33">
        <v>1000</v>
      </c>
      <c r="L285" s="30" t="s">
        <v>244</v>
      </c>
      <c r="O285" s="30" t="s">
        <v>894</v>
      </c>
      <c r="P285" s="29" t="s">
        <v>894</v>
      </c>
      <c r="Q285" s="37">
        <f>1-FT_RF_264[[#This Row],[% Defectos]]</f>
        <v>1</v>
      </c>
      <c r="R285" s="38">
        <v>0</v>
      </c>
      <c r="S285" s="39">
        <f>+IFERROR((FT_RF_264[[#This Row],[Inmadura]]/FT_RF_264[[#This Row],[Muestra]]),"0")</f>
        <v>0</v>
      </c>
      <c r="T285" s="38">
        <v>0</v>
      </c>
      <c r="U285" s="39">
        <f>+IFERROR((FT_RF_264[[#This Row],[Partidas]]/FT_RF_264[[#This Row],[Muestra]]),"0")</f>
        <v>0</v>
      </c>
      <c r="V285" s="38">
        <v>0</v>
      </c>
      <c r="W285" s="39">
        <f>+IFERROR((FT_RF_264[[#This Row],[Daño Insecto]]/FT_RF_264[[#This Row],[Muestra]]),"0")</f>
        <v>0</v>
      </c>
      <c r="X285" s="38">
        <v>0</v>
      </c>
      <c r="Y285" s="39">
        <f>+IFERROR((FT_RF_264[[#This Row],[Sobremadura]]/FT_RF_264[[#This Row],[Muestra]]),"0")</f>
        <v>0</v>
      </c>
      <c r="Z285" s="38">
        <v>0</v>
      </c>
      <c r="AA285" s="39">
        <f>+IFERROR((FT_RF_264[[#This Row],[Deforme]]/FT_RF_264[[#This Row],[Muestra]]),"0")</f>
        <v>0</v>
      </c>
      <c r="AB285" s="27"/>
      <c r="AC285" s="38">
        <v>0</v>
      </c>
      <c r="AD285" s="39">
        <f>+IFERROR((FT_RF_264[[#This Row],[Valor Extra 1]]/FT_RF_264[[#This Row],[Muestra]]),"0")</f>
        <v>0</v>
      </c>
      <c r="AF285" s="38">
        <v>0</v>
      </c>
      <c r="AG285" s="39">
        <f>+IFERROR((FT_RF_264[[#This Row],[Valor Extra 2]]/FT_RF_264[[#This Row],[Muestra]]),"0")</f>
        <v>0</v>
      </c>
      <c r="AH285" s="40">
        <v>0</v>
      </c>
      <c r="AI285" s="39">
        <f>+IFERROR((FT_RF_264[[#This Row],[Hongos]]/FT_RF_264[[#This Row],[Muestra]]),"0")</f>
        <v>0</v>
      </c>
      <c r="AJ285" s="38">
        <v>0</v>
      </c>
      <c r="AK285" s="39">
        <f>+IFERROR((FT_RF_264[[#This Row],[Block]]/FT_RF_264[[#This Row],[Muestra]]),"0")</f>
        <v>0</v>
      </c>
      <c r="AL285" s="41">
        <v>0</v>
      </c>
      <c r="AM285" s="42">
        <v>0</v>
      </c>
      <c r="AN285" s="38">
        <v>0</v>
      </c>
      <c r="AO285" s="39">
        <f>+IFERROR((FT_RF_264[[#This Row],[Fuera de calibre &lt;12mm]]/FT_RF_264[[#This Row],[Muestra]]),"0")</f>
        <v>0</v>
      </c>
      <c r="AP285" s="38">
        <v>0</v>
      </c>
      <c r="AQ285" s="39">
        <f>+IFERROR((FT_RF_264[[#This Row],[Calibre &lt;25]]/FT_RF_264[[#This Row],[Muestra]]),"0")</f>
        <v>0</v>
      </c>
      <c r="AR285" s="38">
        <v>0</v>
      </c>
      <c r="AS285" s="39">
        <f>+IFERROR((FT_RF_264[[#This Row],[Calibre &gt;12]]/FT_RF_264[[#This Row],[Muestra]]),"0")</f>
        <v>0</v>
      </c>
      <c r="AT285" s="38">
        <v>0</v>
      </c>
      <c r="AU285" s="39">
        <f>+IFERROR((FT_RF_264[[#This Row],[Calibre &lt;14]]/FT_RF_264[[#This Row],[Muestra]]),"0")</f>
        <v>0</v>
      </c>
      <c r="AV285" s="38">
        <v>0</v>
      </c>
      <c r="AW285" s="39">
        <f>+IFERROR((FT_RF_264[[#This Row],[Calibre &gt;14]]/FT_RF_264[[#This Row],[Muestra]]),"0")</f>
        <v>0</v>
      </c>
      <c r="AX285" s="38">
        <v>0</v>
      </c>
      <c r="AY285" s="39">
        <f>+IFERROR((FT_RF_264[[#This Row],[Calibre &lt;10]]/FT_RF_264[[#This Row],[Muestra]]),"0")</f>
        <v>0</v>
      </c>
      <c r="AZ285" s="38">
        <v>0</v>
      </c>
      <c r="BA285" s="39">
        <f>+IFERROR((FT_RF_264[[#This Row],[Calibre &gt;13]]/FT_RF_264[[#This Row],[Muestra]]),"0")</f>
        <v>0</v>
      </c>
      <c r="BB285" s="41"/>
      <c r="BG285" s="42"/>
      <c r="BH285" s="43">
        <v>0</v>
      </c>
      <c r="BI285" s="29" t="s">
        <v>894</v>
      </c>
      <c r="BJ285" s="29" t="s">
        <v>894</v>
      </c>
      <c r="BK28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8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85" s="45">
        <f>1-FT_RF_264[[#This Row],[% Defectos]]</f>
        <v>1</v>
      </c>
      <c r="BO285" s="60"/>
      <c r="BP285" s="12">
        <f>SUM(FT_RF_264[[#This Row],[Hoja (Un.)]:[Larvas Caja]])</f>
        <v>0</v>
      </c>
      <c r="BQ285" s="12">
        <f>SUM(FT_RF_264[[#This Row],[Vidrios]:[Plástico]])</f>
        <v>0</v>
      </c>
      <c r="BR285" s="12" t="str">
        <f>IF(ISBLANK(FT_RF_264[[#This Row],[Descripción del producto]]),"",FT_RF_264[[#This Row],[Descripción del producto]])</f>
        <v/>
      </c>
      <c r="BS285" s="29" t="str">
        <f>IF(ISBLANK(FT_RF_264[[#This Row],[N° de Lote]]),"",FT_RF_264[[#This Row],[N° de Lote]])</f>
        <v/>
      </c>
      <c r="BT285" s="29" t="str">
        <f>IF(ISBLANK(FT_RF_264[[#This Row],[N° de Pallet]]),"",FT_RF_264[[#This Row],[N° de Pallet]])</f>
        <v/>
      </c>
    </row>
    <row r="286" spans="2:72">
      <c r="B286" s="29">
        <f>+_xlfn.ISOWEEKNUM(FT_RF_264[[#This Row],[Fecha]])</f>
        <v>52</v>
      </c>
      <c r="E286" s="31"/>
      <c r="F286" s="12" t="str">
        <f>IFERROR(""&amp;_xlfn.XLOOKUP(FT_RF_264[[#This Row],[Código]],BD_Cod[SKU],BD_Cod[Descripción]),"")</f>
        <v/>
      </c>
      <c r="G286" s="32" t="str">
        <f>IFERROR(""&amp;_xlfn.XLOOKUP(FT_RF_264[[#This Row],[Código]],BD_Cod[SKU],BD_Cod[Familia Calidad]),"")</f>
        <v/>
      </c>
      <c r="J286" s="33">
        <v>1000</v>
      </c>
      <c r="L286" s="30" t="s">
        <v>244</v>
      </c>
      <c r="O286" s="30" t="s">
        <v>894</v>
      </c>
      <c r="P286" s="29" t="s">
        <v>894</v>
      </c>
      <c r="Q286" s="37">
        <f>1-FT_RF_264[[#This Row],[% Defectos]]</f>
        <v>1</v>
      </c>
      <c r="R286" s="38">
        <v>0</v>
      </c>
      <c r="S286" s="39">
        <f>+IFERROR((FT_RF_264[[#This Row],[Inmadura]]/FT_RF_264[[#This Row],[Muestra]]),"0")</f>
        <v>0</v>
      </c>
      <c r="T286" s="38">
        <v>0</v>
      </c>
      <c r="U286" s="39">
        <f>+IFERROR((FT_RF_264[[#This Row],[Partidas]]/FT_RF_264[[#This Row],[Muestra]]),"0")</f>
        <v>0</v>
      </c>
      <c r="V286" s="38">
        <v>0</v>
      </c>
      <c r="W286" s="39">
        <f>+IFERROR((FT_RF_264[[#This Row],[Daño Insecto]]/FT_RF_264[[#This Row],[Muestra]]),"0")</f>
        <v>0</v>
      </c>
      <c r="X286" s="38">
        <v>0</v>
      </c>
      <c r="Y286" s="39">
        <f>+IFERROR((FT_RF_264[[#This Row],[Sobremadura]]/FT_RF_264[[#This Row],[Muestra]]),"0")</f>
        <v>0</v>
      </c>
      <c r="Z286" s="38">
        <v>0</v>
      </c>
      <c r="AA286" s="39">
        <f>+IFERROR((FT_RF_264[[#This Row],[Deforme]]/FT_RF_264[[#This Row],[Muestra]]),"0")</f>
        <v>0</v>
      </c>
      <c r="AB286" s="27"/>
      <c r="AC286" s="38">
        <v>0</v>
      </c>
      <c r="AD286" s="39">
        <f>+IFERROR((FT_RF_264[[#This Row],[Valor Extra 1]]/FT_RF_264[[#This Row],[Muestra]]),"0")</f>
        <v>0</v>
      </c>
      <c r="AF286" s="38">
        <v>0</v>
      </c>
      <c r="AG286" s="39">
        <f>+IFERROR((FT_RF_264[[#This Row],[Valor Extra 2]]/FT_RF_264[[#This Row],[Muestra]]),"0")</f>
        <v>0</v>
      </c>
      <c r="AH286" s="40">
        <v>0</v>
      </c>
      <c r="AI286" s="39">
        <f>+IFERROR((FT_RF_264[[#This Row],[Hongos]]/FT_RF_264[[#This Row],[Muestra]]),"0")</f>
        <v>0</v>
      </c>
      <c r="AJ286" s="38">
        <v>0</v>
      </c>
      <c r="AK286" s="39">
        <f>+IFERROR((FT_RF_264[[#This Row],[Block]]/FT_RF_264[[#This Row],[Muestra]]),"0")</f>
        <v>0</v>
      </c>
      <c r="AL286" s="41">
        <v>0</v>
      </c>
      <c r="AM286" s="42">
        <v>0</v>
      </c>
      <c r="AN286" s="38">
        <v>0</v>
      </c>
      <c r="AO286" s="39">
        <f>+IFERROR((FT_RF_264[[#This Row],[Fuera de calibre &lt;12mm]]/FT_RF_264[[#This Row],[Muestra]]),"0")</f>
        <v>0</v>
      </c>
      <c r="AP286" s="38">
        <v>0</v>
      </c>
      <c r="AQ286" s="39">
        <f>+IFERROR((FT_RF_264[[#This Row],[Calibre &lt;25]]/FT_RF_264[[#This Row],[Muestra]]),"0")</f>
        <v>0</v>
      </c>
      <c r="AR286" s="38">
        <v>0</v>
      </c>
      <c r="AS286" s="39">
        <f>+IFERROR((FT_RF_264[[#This Row],[Calibre &gt;12]]/FT_RF_264[[#This Row],[Muestra]]),"0")</f>
        <v>0</v>
      </c>
      <c r="AT286" s="38">
        <v>0</v>
      </c>
      <c r="AU286" s="39">
        <f>+IFERROR((FT_RF_264[[#This Row],[Calibre &lt;14]]/FT_RF_264[[#This Row],[Muestra]]),"0")</f>
        <v>0</v>
      </c>
      <c r="AV286" s="38">
        <v>0</v>
      </c>
      <c r="AW286" s="39">
        <f>+IFERROR((FT_RF_264[[#This Row],[Calibre &gt;14]]/FT_RF_264[[#This Row],[Muestra]]),"0")</f>
        <v>0</v>
      </c>
      <c r="AX286" s="38">
        <v>0</v>
      </c>
      <c r="AY286" s="39">
        <f>+IFERROR((FT_RF_264[[#This Row],[Calibre &lt;10]]/FT_RF_264[[#This Row],[Muestra]]),"0")</f>
        <v>0</v>
      </c>
      <c r="AZ286" s="38">
        <v>0</v>
      </c>
      <c r="BA286" s="39">
        <f>+IFERROR((FT_RF_264[[#This Row],[Calibre &gt;13]]/FT_RF_264[[#This Row],[Muestra]]),"0")</f>
        <v>0</v>
      </c>
      <c r="BB286" s="41"/>
      <c r="BG286" s="42"/>
      <c r="BH286" s="43">
        <v>0</v>
      </c>
      <c r="BI286" s="29" t="s">
        <v>894</v>
      </c>
      <c r="BJ286" s="29" t="s">
        <v>894</v>
      </c>
      <c r="BK28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8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86" s="45">
        <f>1-FT_RF_264[[#This Row],[% Defectos]]</f>
        <v>1</v>
      </c>
      <c r="BO286" s="60"/>
      <c r="BP286" s="12">
        <f>SUM(FT_RF_264[[#This Row],[Hoja (Un.)]:[Larvas Caja]])</f>
        <v>0</v>
      </c>
      <c r="BQ286" s="12">
        <f>SUM(FT_RF_264[[#This Row],[Vidrios]:[Plástico]])</f>
        <v>0</v>
      </c>
      <c r="BR286" s="12" t="str">
        <f>IF(ISBLANK(FT_RF_264[[#This Row],[Descripción del producto]]),"",FT_RF_264[[#This Row],[Descripción del producto]])</f>
        <v/>
      </c>
      <c r="BS286" s="29" t="str">
        <f>IF(ISBLANK(FT_RF_264[[#This Row],[N° de Lote]]),"",FT_RF_264[[#This Row],[N° de Lote]])</f>
        <v/>
      </c>
      <c r="BT286" s="29" t="str">
        <f>IF(ISBLANK(FT_RF_264[[#This Row],[N° de Pallet]]),"",FT_RF_264[[#This Row],[N° de Pallet]])</f>
        <v/>
      </c>
    </row>
    <row r="287" spans="2:72">
      <c r="B287" s="29">
        <f>+_xlfn.ISOWEEKNUM(FT_RF_264[[#This Row],[Fecha]])</f>
        <v>52</v>
      </c>
      <c r="E287" s="31"/>
      <c r="F287" s="12" t="str">
        <f>IFERROR(""&amp;_xlfn.XLOOKUP(FT_RF_264[[#This Row],[Código]],BD_Cod[SKU],BD_Cod[Descripción]),"")</f>
        <v/>
      </c>
      <c r="G287" s="32" t="str">
        <f>IFERROR(""&amp;_xlfn.XLOOKUP(FT_RF_264[[#This Row],[Código]],BD_Cod[SKU],BD_Cod[Familia Calidad]),"")</f>
        <v/>
      </c>
      <c r="J287" s="33">
        <v>1000</v>
      </c>
      <c r="L287" s="30" t="s">
        <v>244</v>
      </c>
      <c r="O287" s="30" t="s">
        <v>894</v>
      </c>
      <c r="P287" s="29" t="s">
        <v>894</v>
      </c>
      <c r="Q287" s="37">
        <f>1-FT_RF_264[[#This Row],[% Defectos]]</f>
        <v>1</v>
      </c>
      <c r="R287" s="38">
        <v>0</v>
      </c>
      <c r="S287" s="39">
        <f>+IFERROR((FT_RF_264[[#This Row],[Inmadura]]/FT_RF_264[[#This Row],[Muestra]]),"0")</f>
        <v>0</v>
      </c>
      <c r="T287" s="38">
        <v>0</v>
      </c>
      <c r="U287" s="39">
        <f>+IFERROR((FT_RF_264[[#This Row],[Partidas]]/FT_RF_264[[#This Row],[Muestra]]),"0")</f>
        <v>0</v>
      </c>
      <c r="V287" s="38">
        <v>0</v>
      </c>
      <c r="W287" s="39">
        <f>+IFERROR((FT_RF_264[[#This Row],[Daño Insecto]]/FT_RF_264[[#This Row],[Muestra]]),"0")</f>
        <v>0</v>
      </c>
      <c r="X287" s="38">
        <v>0</v>
      </c>
      <c r="Y287" s="39">
        <f>+IFERROR((FT_RF_264[[#This Row],[Sobremadura]]/FT_RF_264[[#This Row],[Muestra]]),"0")</f>
        <v>0</v>
      </c>
      <c r="Z287" s="38">
        <v>0</v>
      </c>
      <c r="AA287" s="39">
        <f>+IFERROR((FT_RF_264[[#This Row],[Deforme]]/FT_RF_264[[#This Row],[Muestra]]),"0")</f>
        <v>0</v>
      </c>
      <c r="AB287" s="27"/>
      <c r="AC287" s="38">
        <v>0</v>
      </c>
      <c r="AD287" s="39">
        <f>+IFERROR((FT_RF_264[[#This Row],[Valor Extra 1]]/FT_RF_264[[#This Row],[Muestra]]),"0")</f>
        <v>0</v>
      </c>
      <c r="AF287" s="38">
        <v>0</v>
      </c>
      <c r="AG287" s="39">
        <f>+IFERROR((FT_RF_264[[#This Row],[Valor Extra 2]]/FT_RF_264[[#This Row],[Muestra]]),"0")</f>
        <v>0</v>
      </c>
      <c r="AH287" s="40">
        <v>0</v>
      </c>
      <c r="AI287" s="39">
        <f>+IFERROR((FT_RF_264[[#This Row],[Hongos]]/FT_RF_264[[#This Row],[Muestra]]),"0")</f>
        <v>0</v>
      </c>
      <c r="AJ287" s="38">
        <v>0</v>
      </c>
      <c r="AK287" s="39">
        <f>+IFERROR((FT_RF_264[[#This Row],[Block]]/FT_RF_264[[#This Row],[Muestra]]),"0")</f>
        <v>0</v>
      </c>
      <c r="AL287" s="41">
        <v>0</v>
      </c>
      <c r="AM287" s="42">
        <v>0</v>
      </c>
      <c r="AN287" s="38">
        <v>0</v>
      </c>
      <c r="AO287" s="39">
        <f>+IFERROR((FT_RF_264[[#This Row],[Fuera de calibre &lt;12mm]]/FT_RF_264[[#This Row],[Muestra]]),"0")</f>
        <v>0</v>
      </c>
      <c r="AP287" s="38">
        <v>0</v>
      </c>
      <c r="AQ287" s="39">
        <f>+IFERROR((FT_RF_264[[#This Row],[Calibre &lt;25]]/FT_RF_264[[#This Row],[Muestra]]),"0")</f>
        <v>0</v>
      </c>
      <c r="AR287" s="38">
        <v>0</v>
      </c>
      <c r="AS287" s="39">
        <f>+IFERROR((FT_RF_264[[#This Row],[Calibre &gt;12]]/FT_RF_264[[#This Row],[Muestra]]),"0")</f>
        <v>0</v>
      </c>
      <c r="AT287" s="38">
        <v>0</v>
      </c>
      <c r="AU287" s="39">
        <f>+IFERROR((FT_RF_264[[#This Row],[Calibre &lt;14]]/FT_RF_264[[#This Row],[Muestra]]),"0")</f>
        <v>0</v>
      </c>
      <c r="AV287" s="38">
        <v>0</v>
      </c>
      <c r="AW287" s="39">
        <f>+IFERROR((FT_RF_264[[#This Row],[Calibre &gt;14]]/FT_RF_264[[#This Row],[Muestra]]),"0")</f>
        <v>0</v>
      </c>
      <c r="AX287" s="38">
        <v>0</v>
      </c>
      <c r="AY287" s="39">
        <f>+IFERROR((FT_RF_264[[#This Row],[Calibre &lt;10]]/FT_RF_264[[#This Row],[Muestra]]),"0")</f>
        <v>0</v>
      </c>
      <c r="AZ287" s="38">
        <v>0</v>
      </c>
      <c r="BA287" s="39">
        <f>+IFERROR((FT_RF_264[[#This Row],[Calibre &gt;13]]/FT_RF_264[[#This Row],[Muestra]]),"0")</f>
        <v>0</v>
      </c>
      <c r="BB287" s="41"/>
      <c r="BG287" s="42"/>
      <c r="BH287" s="43">
        <v>0</v>
      </c>
      <c r="BI287" s="29" t="s">
        <v>894</v>
      </c>
      <c r="BJ287" s="29" t="s">
        <v>894</v>
      </c>
      <c r="BK28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8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87" s="45">
        <f>1-FT_RF_264[[#This Row],[% Defectos]]</f>
        <v>1</v>
      </c>
      <c r="BO287" s="60"/>
      <c r="BP287" s="12">
        <f>SUM(FT_RF_264[[#This Row],[Hoja (Un.)]:[Larvas Caja]])</f>
        <v>0</v>
      </c>
      <c r="BQ287" s="12">
        <f>SUM(FT_RF_264[[#This Row],[Vidrios]:[Plástico]])</f>
        <v>0</v>
      </c>
      <c r="BR287" s="12" t="str">
        <f>IF(ISBLANK(FT_RF_264[[#This Row],[Descripción del producto]]),"",FT_RF_264[[#This Row],[Descripción del producto]])</f>
        <v/>
      </c>
      <c r="BS287" s="29" t="str">
        <f>IF(ISBLANK(FT_RF_264[[#This Row],[N° de Lote]]),"",FT_RF_264[[#This Row],[N° de Lote]])</f>
        <v/>
      </c>
      <c r="BT287" s="29" t="str">
        <f>IF(ISBLANK(FT_RF_264[[#This Row],[N° de Pallet]]),"",FT_RF_264[[#This Row],[N° de Pallet]])</f>
        <v/>
      </c>
    </row>
    <row r="288" spans="2:72">
      <c r="B288" s="29">
        <f>+_xlfn.ISOWEEKNUM(FT_RF_264[[#This Row],[Fecha]])</f>
        <v>52</v>
      </c>
      <c r="E288" s="31"/>
      <c r="F288" s="12" t="str">
        <f>IFERROR(""&amp;_xlfn.XLOOKUP(FT_RF_264[[#This Row],[Código]],BD_Cod[SKU],BD_Cod[Descripción]),"")</f>
        <v/>
      </c>
      <c r="G288" s="32" t="str">
        <f>IFERROR(""&amp;_xlfn.XLOOKUP(FT_RF_264[[#This Row],[Código]],BD_Cod[SKU],BD_Cod[Familia Calidad]),"")</f>
        <v/>
      </c>
      <c r="J288" s="33">
        <v>1000</v>
      </c>
      <c r="L288" s="30" t="s">
        <v>244</v>
      </c>
      <c r="O288" s="30" t="s">
        <v>894</v>
      </c>
      <c r="P288" s="29" t="s">
        <v>894</v>
      </c>
      <c r="Q288" s="37">
        <f>1-FT_RF_264[[#This Row],[% Defectos]]</f>
        <v>1</v>
      </c>
      <c r="R288" s="38">
        <v>0</v>
      </c>
      <c r="S288" s="39">
        <f>+IFERROR((FT_RF_264[[#This Row],[Inmadura]]/FT_RF_264[[#This Row],[Muestra]]),"0")</f>
        <v>0</v>
      </c>
      <c r="T288" s="38">
        <v>0</v>
      </c>
      <c r="U288" s="39">
        <f>+IFERROR((FT_RF_264[[#This Row],[Partidas]]/FT_RF_264[[#This Row],[Muestra]]),"0")</f>
        <v>0</v>
      </c>
      <c r="V288" s="38">
        <v>0</v>
      </c>
      <c r="W288" s="39">
        <f>+IFERROR((FT_RF_264[[#This Row],[Daño Insecto]]/FT_RF_264[[#This Row],[Muestra]]),"0")</f>
        <v>0</v>
      </c>
      <c r="X288" s="38">
        <v>0</v>
      </c>
      <c r="Y288" s="39">
        <f>+IFERROR((FT_RF_264[[#This Row],[Sobremadura]]/FT_RF_264[[#This Row],[Muestra]]),"0")</f>
        <v>0</v>
      </c>
      <c r="Z288" s="38">
        <v>0</v>
      </c>
      <c r="AA288" s="39">
        <f>+IFERROR((FT_RF_264[[#This Row],[Deforme]]/FT_RF_264[[#This Row],[Muestra]]),"0")</f>
        <v>0</v>
      </c>
      <c r="AB288" s="27"/>
      <c r="AC288" s="38">
        <v>0</v>
      </c>
      <c r="AD288" s="39">
        <f>+IFERROR((FT_RF_264[[#This Row],[Valor Extra 1]]/FT_RF_264[[#This Row],[Muestra]]),"0")</f>
        <v>0</v>
      </c>
      <c r="AF288" s="38">
        <v>0</v>
      </c>
      <c r="AG288" s="39">
        <f>+IFERROR((FT_RF_264[[#This Row],[Valor Extra 2]]/FT_RF_264[[#This Row],[Muestra]]),"0")</f>
        <v>0</v>
      </c>
      <c r="AH288" s="40">
        <v>0</v>
      </c>
      <c r="AI288" s="39">
        <f>+IFERROR((FT_RF_264[[#This Row],[Hongos]]/FT_RF_264[[#This Row],[Muestra]]),"0")</f>
        <v>0</v>
      </c>
      <c r="AJ288" s="38">
        <v>0</v>
      </c>
      <c r="AK288" s="39">
        <f>+IFERROR((FT_RF_264[[#This Row],[Block]]/FT_RF_264[[#This Row],[Muestra]]),"0")</f>
        <v>0</v>
      </c>
      <c r="AL288" s="41">
        <v>0</v>
      </c>
      <c r="AM288" s="42">
        <v>0</v>
      </c>
      <c r="AN288" s="38">
        <v>0</v>
      </c>
      <c r="AO288" s="39">
        <f>+IFERROR((FT_RF_264[[#This Row],[Fuera de calibre &lt;12mm]]/FT_RF_264[[#This Row],[Muestra]]),"0")</f>
        <v>0</v>
      </c>
      <c r="AP288" s="38">
        <v>0</v>
      </c>
      <c r="AQ288" s="39">
        <f>+IFERROR((FT_RF_264[[#This Row],[Calibre &lt;25]]/FT_RF_264[[#This Row],[Muestra]]),"0")</f>
        <v>0</v>
      </c>
      <c r="AR288" s="38">
        <v>0</v>
      </c>
      <c r="AS288" s="39">
        <f>+IFERROR((FT_RF_264[[#This Row],[Calibre &gt;12]]/FT_RF_264[[#This Row],[Muestra]]),"0")</f>
        <v>0</v>
      </c>
      <c r="AT288" s="38">
        <v>0</v>
      </c>
      <c r="AU288" s="39">
        <f>+IFERROR((FT_RF_264[[#This Row],[Calibre &lt;14]]/FT_RF_264[[#This Row],[Muestra]]),"0")</f>
        <v>0</v>
      </c>
      <c r="AV288" s="38">
        <v>0</v>
      </c>
      <c r="AW288" s="39">
        <f>+IFERROR((FT_RF_264[[#This Row],[Calibre &gt;14]]/FT_RF_264[[#This Row],[Muestra]]),"0")</f>
        <v>0</v>
      </c>
      <c r="AX288" s="38">
        <v>0</v>
      </c>
      <c r="AY288" s="39">
        <f>+IFERROR((FT_RF_264[[#This Row],[Calibre &lt;10]]/FT_RF_264[[#This Row],[Muestra]]),"0")</f>
        <v>0</v>
      </c>
      <c r="AZ288" s="38">
        <v>0</v>
      </c>
      <c r="BA288" s="39">
        <f>+IFERROR((FT_RF_264[[#This Row],[Calibre &gt;13]]/FT_RF_264[[#This Row],[Muestra]]),"0")</f>
        <v>0</v>
      </c>
      <c r="BB288" s="41"/>
      <c r="BG288" s="42"/>
      <c r="BH288" s="43">
        <v>0</v>
      </c>
      <c r="BI288" s="29" t="s">
        <v>894</v>
      </c>
      <c r="BJ288" s="29" t="s">
        <v>894</v>
      </c>
      <c r="BK28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8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88" s="45">
        <f>1-FT_RF_264[[#This Row],[% Defectos]]</f>
        <v>1</v>
      </c>
      <c r="BO288" s="60"/>
      <c r="BP288" s="12">
        <f>SUM(FT_RF_264[[#This Row],[Hoja (Un.)]:[Larvas Caja]])</f>
        <v>0</v>
      </c>
      <c r="BQ288" s="12">
        <f>SUM(FT_RF_264[[#This Row],[Vidrios]:[Plástico]])</f>
        <v>0</v>
      </c>
      <c r="BR288" s="12" t="str">
        <f>IF(ISBLANK(FT_RF_264[[#This Row],[Descripción del producto]]),"",FT_RF_264[[#This Row],[Descripción del producto]])</f>
        <v/>
      </c>
      <c r="BS288" s="29" t="str">
        <f>IF(ISBLANK(FT_RF_264[[#This Row],[N° de Lote]]),"",FT_RF_264[[#This Row],[N° de Lote]])</f>
        <v/>
      </c>
      <c r="BT288" s="29" t="str">
        <f>IF(ISBLANK(FT_RF_264[[#This Row],[N° de Pallet]]),"",FT_RF_264[[#This Row],[N° de Pallet]])</f>
        <v/>
      </c>
    </row>
    <row r="289" spans="2:72">
      <c r="B289" s="29">
        <f>+_xlfn.ISOWEEKNUM(FT_RF_264[[#This Row],[Fecha]])</f>
        <v>52</v>
      </c>
      <c r="E289" s="31"/>
      <c r="F289" s="12" t="str">
        <f>IFERROR(""&amp;_xlfn.XLOOKUP(FT_RF_264[[#This Row],[Código]],BD_Cod[SKU],BD_Cod[Descripción]),"")</f>
        <v/>
      </c>
      <c r="G289" s="32" t="str">
        <f>IFERROR(""&amp;_xlfn.XLOOKUP(FT_RF_264[[#This Row],[Código]],BD_Cod[SKU],BD_Cod[Familia Calidad]),"")</f>
        <v/>
      </c>
      <c r="J289" s="33">
        <v>1000</v>
      </c>
      <c r="L289" s="30" t="s">
        <v>244</v>
      </c>
      <c r="O289" s="30" t="s">
        <v>894</v>
      </c>
      <c r="P289" s="29" t="s">
        <v>894</v>
      </c>
      <c r="Q289" s="37">
        <f>1-FT_RF_264[[#This Row],[% Defectos]]</f>
        <v>1</v>
      </c>
      <c r="R289" s="38">
        <v>0</v>
      </c>
      <c r="S289" s="39">
        <f>+IFERROR((FT_RF_264[[#This Row],[Inmadura]]/FT_RF_264[[#This Row],[Muestra]]),"0")</f>
        <v>0</v>
      </c>
      <c r="T289" s="38">
        <v>0</v>
      </c>
      <c r="U289" s="39">
        <f>+IFERROR((FT_RF_264[[#This Row],[Partidas]]/FT_RF_264[[#This Row],[Muestra]]),"0")</f>
        <v>0</v>
      </c>
      <c r="V289" s="38">
        <v>0</v>
      </c>
      <c r="W289" s="39">
        <f>+IFERROR((FT_RF_264[[#This Row],[Daño Insecto]]/FT_RF_264[[#This Row],[Muestra]]),"0")</f>
        <v>0</v>
      </c>
      <c r="X289" s="38">
        <v>0</v>
      </c>
      <c r="Y289" s="39">
        <f>+IFERROR((FT_RF_264[[#This Row],[Sobremadura]]/FT_RF_264[[#This Row],[Muestra]]),"0")</f>
        <v>0</v>
      </c>
      <c r="Z289" s="38">
        <v>0</v>
      </c>
      <c r="AA289" s="39">
        <f>+IFERROR((FT_RF_264[[#This Row],[Deforme]]/FT_RF_264[[#This Row],[Muestra]]),"0")</f>
        <v>0</v>
      </c>
      <c r="AB289" s="27"/>
      <c r="AC289" s="38">
        <v>0</v>
      </c>
      <c r="AD289" s="39">
        <f>+IFERROR((FT_RF_264[[#This Row],[Valor Extra 1]]/FT_RF_264[[#This Row],[Muestra]]),"0")</f>
        <v>0</v>
      </c>
      <c r="AF289" s="38">
        <v>0</v>
      </c>
      <c r="AG289" s="39">
        <f>+IFERROR((FT_RF_264[[#This Row],[Valor Extra 2]]/FT_RF_264[[#This Row],[Muestra]]),"0")</f>
        <v>0</v>
      </c>
      <c r="AH289" s="40">
        <v>0</v>
      </c>
      <c r="AI289" s="39">
        <f>+IFERROR((FT_RF_264[[#This Row],[Hongos]]/FT_RF_264[[#This Row],[Muestra]]),"0")</f>
        <v>0</v>
      </c>
      <c r="AJ289" s="38">
        <v>0</v>
      </c>
      <c r="AK289" s="39">
        <f>+IFERROR((FT_RF_264[[#This Row],[Block]]/FT_RF_264[[#This Row],[Muestra]]),"0")</f>
        <v>0</v>
      </c>
      <c r="AL289" s="41">
        <v>0</v>
      </c>
      <c r="AM289" s="42">
        <v>0</v>
      </c>
      <c r="AN289" s="38">
        <v>0</v>
      </c>
      <c r="AO289" s="39">
        <f>+IFERROR((FT_RF_264[[#This Row],[Fuera de calibre &lt;12mm]]/FT_RF_264[[#This Row],[Muestra]]),"0")</f>
        <v>0</v>
      </c>
      <c r="AP289" s="38">
        <v>0</v>
      </c>
      <c r="AQ289" s="39">
        <f>+IFERROR((FT_RF_264[[#This Row],[Calibre &lt;25]]/FT_RF_264[[#This Row],[Muestra]]),"0")</f>
        <v>0</v>
      </c>
      <c r="AR289" s="38">
        <v>0</v>
      </c>
      <c r="AS289" s="39">
        <f>+IFERROR((FT_RF_264[[#This Row],[Calibre &gt;12]]/FT_RF_264[[#This Row],[Muestra]]),"0")</f>
        <v>0</v>
      </c>
      <c r="AT289" s="38">
        <v>0</v>
      </c>
      <c r="AU289" s="39">
        <f>+IFERROR((FT_RF_264[[#This Row],[Calibre &lt;14]]/FT_RF_264[[#This Row],[Muestra]]),"0")</f>
        <v>0</v>
      </c>
      <c r="AV289" s="38">
        <v>0</v>
      </c>
      <c r="AW289" s="39">
        <f>+IFERROR((FT_RF_264[[#This Row],[Calibre &gt;14]]/FT_RF_264[[#This Row],[Muestra]]),"0")</f>
        <v>0</v>
      </c>
      <c r="AX289" s="38">
        <v>0</v>
      </c>
      <c r="AY289" s="39">
        <f>+IFERROR((FT_RF_264[[#This Row],[Calibre &lt;10]]/FT_RF_264[[#This Row],[Muestra]]),"0")</f>
        <v>0</v>
      </c>
      <c r="AZ289" s="38">
        <v>0</v>
      </c>
      <c r="BA289" s="39">
        <f>+IFERROR((FT_RF_264[[#This Row],[Calibre &gt;13]]/FT_RF_264[[#This Row],[Muestra]]),"0")</f>
        <v>0</v>
      </c>
      <c r="BB289" s="41"/>
      <c r="BG289" s="42"/>
      <c r="BH289" s="43">
        <v>0</v>
      </c>
      <c r="BI289" s="29" t="s">
        <v>894</v>
      </c>
      <c r="BJ289" s="29" t="s">
        <v>894</v>
      </c>
      <c r="BK28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8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89" s="45">
        <f>1-FT_RF_264[[#This Row],[% Defectos]]</f>
        <v>1</v>
      </c>
      <c r="BO289" s="60"/>
      <c r="BP289" s="12">
        <f>SUM(FT_RF_264[[#This Row],[Hoja (Un.)]:[Larvas Caja]])</f>
        <v>0</v>
      </c>
      <c r="BQ289" s="12">
        <f>SUM(FT_RF_264[[#This Row],[Vidrios]:[Plástico]])</f>
        <v>0</v>
      </c>
      <c r="BR289" s="12" t="str">
        <f>IF(ISBLANK(FT_RF_264[[#This Row],[Descripción del producto]]),"",FT_RF_264[[#This Row],[Descripción del producto]])</f>
        <v/>
      </c>
      <c r="BS289" s="29" t="str">
        <f>IF(ISBLANK(FT_RF_264[[#This Row],[N° de Lote]]),"",FT_RF_264[[#This Row],[N° de Lote]])</f>
        <v/>
      </c>
      <c r="BT289" s="29" t="str">
        <f>IF(ISBLANK(FT_RF_264[[#This Row],[N° de Pallet]]),"",FT_RF_264[[#This Row],[N° de Pallet]])</f>
        <v/>
      </c>
    </row>
    <row r="290" spans="2:72">
      <c r="B290" s="29">
        <f>+_xlfn.ISOWEEKNUM(FT_RF_264[[#This Row],[Fecha]])</f>
        <v>52</v>
      </c>
      <c r="E290" s="31"/>
      <c r="F290" s="12" t="str">
        <f>IFERROR(""&amp;_xlfn.XLOOKUP(FT_RF_264[[#This Row],[Código]],BD_Cod[SKU],BD_Cod[Descripción]),"")</f>
        <v/>
      </c>
      <c r="G290" s="32" t="str">
        <f>IFERROR(""&amp;_xlfn.XLOOKUP(FT_RF_264[[#This Row],[Código]],BD_Cod[SKU],BD_Cod[Familia Calidad]),"")</f>
        <v/>
      </c>
      <c r="J290" s="33">
        <v>1000</v>
      </c>
      <c r="L290" s="30" t="s">
        <v>244</v>
      </c>
      <c r="O290" s="30" t="s">
        <v>894</v>
      </c>
      <c r="P290" s="29" t="s">
        <v>894</v>
      </c>
      <c r="Q290" s="37">
        <f>1-FT_RF_264[[#This Row],[% Defectos]]</f>
        <v>1</v>
      </c>
      <c r="R290" s="38">
        <v>0</v>
      </c>
      <c r="S290" s="39">
        <f>+IFERROR((FT_RF_264[[#This Row],[Inmadura]]/FT_RF_264[[#This Row],[Muestra]]),"0")</f>
        <v>0</v>
      </c>
      <c r="T290" s="38">
        <v>0</v>
      </c>
      <c r="U290" s="39">
        <f>+IFERROR((FT_RF_264[[#This Row],[Partidas]]/FT_RF_264[[#This Row],[Muestra]]),"0")</f>
        <v>0</v>
      </c>
      <c r="V290" s="38">
        <v>0</v>
      </c>
      <c r="W290" s="39">
        <f>+IFERROR((FT_RF_264[[#This Row],[Daño Insecto]]/FT_RF_264[[#This Row],[Muestra]]),"0")</f>
        <v>0</v>
      </c>
      <c r="X290" s="38">
        <v>0</v>
      </c>
      <c r="Y290" s="39">
        <f>+IFERROR((FT_RF_264[[#This Row],[Sobremadura]]/FT_RF_264[[#This Row],[Muestra]]),"0")</f>
        <v>0</v>
      </c>
      <c r="Z290" s="38">
        <v>0</v>
      </c>
      <c r="AA290" s="39">
        <f>+IFERROR((FT_RF_264[[#This Row],[Deforme]]/FT_RF_264[[#This Row],[Muestra]]),"0")</f>
        <v>0</v>
      </c>
      <c r="AB290" s="27"/>
      <c r="AC290" s="38">
        <v>0</v>
      </c>
      <c r="AD290" s="39">
        <f>+IFERROR((FT_RF_264[[#This Row],[Valor Extra 1]]/FT_RF_264[[#This Row],[Muestra]]),"0")</f>
        <v>0</v>
      </c>
      <c r="AF290" s="38">
        <v>0</v>
      </c>
      <c r="AG290" s="39">
        <f>+IFERROR((FT_RF_264[[#This Row],[Valor Extra 2]]/FT_RF_264[[#This Row],[Muestra]]),"0")</f>
        <v>0</v>
      </c>
      <c r="AH290" s="40">
        <v>0</v>
      </c>
      <c r="AI290" s="39">
        <f>+IFERROR((FT_RF_264[[#This Row],[Hongos]]/FT_RF_264[[#This Row],[Muestra]]),"0")</f>
        <v>0</v>
      </c>
      <c r="AJ290" s="38">
        <v>0</v>
      </c>
      <c r="AK290" s="39">
        <f>+IFERROR((FT_RF_264[[#This Row],[Block]]/FT_RF_264[[#This Row],[Muestra]]),"0")</f>
        <v>0</v>
      </c>
      <c r="AL290" s="41">
        <v>0</v>
      </c>
      <c r="AM290" s="42">
        <v>0</v>
      </c>
      <c r="AN290" s="38">
        <v>0</v>
      </c>
      <c r="AO290" s="39">
        <f>+IFERROR((FT_RF_264[[#This Row],[Fuera de calibre &lt;12mm]]/FT_RF_264[[#This Row],[Muestra]]),"0")</f>
        <v>0</v>
      </c>
      <c r="AP290" s="38">
        <v>0</v>
      </c>
      <c r="AQ290" s="39">
        <f>+IFERROR((FT_RF_264[[#This Row],[Calibre &lt;25]]/FT_RF_264[[#This Row],[Muestra]]),"0")</f>
        <v>0</v>
      </c>
      <c r="AR290" s="38">
        <v>0</v>
      </c>
      <c r="AS290" s="39">
        <f>+IFERROR((FT_RF_264[[#This Row],[Calibre &gt;12]]/FT_RF_264[[#This Row],[Muestra]]),"0")</f>
        <v>0</v>
      </c>
      <c r="AT290" s="38">
        <v>0</v>
      </c>
      <c r="AU290" s="39">
        <f>+IFERROR((FT_RF_264[[#This Row],[Calibre &lt;14]]/FT_RF_264[[#This Row],[Muestra]]),"0")</f>
        <v>0</v>
      </c>
      <c r="AV290" s="38">
        <v>0</v>
      </c>
      <c r="AW290" s="39">
        <f>+IFERROR((FT_RF_264[[#This Row],[Calibre &gt;14]]/FT_RF_264[[#This Row],[Muestra]]),"0")</f>
        <v>0</v>
      </c>
      <c r="AX290" s="38">
        <v>0</v>
      </c>
      <c r="AY290" s="39">
        <f>+IFERROR((FT_RF_264[[#This Row],[Calibre &lt;10]]/FT_RF_264[[#This Row],[Muestra]]),"0")</f>
        <v>0</v>
      </c>
      <c r="AZ290" s="38">
        <v>0</v>
      </c>
      <c r="BA290" s="39">
        <f>+IFERROR((FT_RF_264[[#This Row],[Calibre &gt;13]]/FT_RF_264[[#This Row],[Muestra]]),"0")</f>
        <v>0</v>
      </c>
      <c r="BB290" s="41"/>
      <c r="BG290" s="42"/>
      <c r="BH290" s="43">
        <v>0</v>
      </c>
      <c r="BI290" s="29" t="s">
        <v>894</v>
      </c>
      <c r="BJ290" s="29" t="s">
        <v>894</v>
      </c>
      <c r="BK29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9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90" s="45">
        <f>1-FT_RF_264[[#This Row],[% Defectos]]</f>
        <v>1</v>
      </c>
      <c r="BO290" s="60"/>
      <c r="BP290" s="12">
        <f>SUM(FT_RF_264[[#This Row],[Hoja (Un.)]:[Larvas Caja]])</f>
        <v>0</v>
      </c>
      <c r="BQ290" s="12">
        <f>SUM(FT_RF_264[[#This Row],[Vidrios]:[Plástico]])</f>
        <v>0</v>
      </c>
      <c r="BR290" s="12" t="str">
        <f>IF(ISBLANK(FT_RF_264[[#This Row],[Descripción del producto]]),"",FT_RF_264[[#This Row],[Descripción del producto]])</f>
        <v/>
      </c>
      <c r="BS290" s="29" t="str">
        <f>IF(ISBLANK(FT_RF_264[[#This Row],[N° de Lote]]),"",FT_RF_264[[#This Row],[N° de Lote]])</f>
        <v/>
      </c>
      <c r="BT290" s="29" t="str">
        <f>IF(ISBLANK(FT_RF_264[[#This Row],[N° de Pallet]]),"",FT_RF_264[[#This Row],[N° de Pallet]])</f>
        <v/>
      </c>
    </row>
    <row r="291" spans="2:72">
      <c r="B291" s="29">
        <f>+_xlfn.ISOWEEKNUM(FT_RF_264[[#This Row],[Fecha]])</f>
        <v>52</v>
      </c>
      <c r="E291" s="31"/>
      <c r="F291" s="12" t="str">
        <f>IFERROR(""&amp;_xlfn.XLOOKUP(FT_RF_264[[#This Row],[Código]],BD_Cod[SKU],BD_Cod[Descripción]),"")</f>
        <v/>
      </c>
      <c r="G291" s="32" t="str">
        <f>IFERROR(""&amp;_xlfn.XLOOKUP(FT_RF_264[[#This Row],[Código]],BD_Cod[SKU],BD_Cod[Familia Calidad]),"")</f>
        <v/>
      </c>
      <c r="J291" s="33">
        <v>1000</v>
      </c>
      <c r="L291" s="30" t="s">
        <v>244</v>
      </c>
      <c r="O291" s="30" t="s">
        <v>894</v>
      </c>
      <c r="P291" s="29" t="s">
        <v>894</v>
      </c>
      <c r="Q291" s="37">
        <f>1-FT_RF_264[[#This Row],[% Defectos]]</f>
        <v>1</v>
      </c>
      <c r="R291" s="38">
        <v>0</v>
      </c>
      <c r="S291" s="39">
        <f>+IFERROR((FT_RF_264[[#This Row],[Inmadura]]/FT_RF_264[[#This Row],[Muestra]]),"0")</f>
        <v>0</v>
      </c>
      <c r="T291" s="38">
        <v>0</v>
      </c>
      <c r="U291" s="39">
        <f>+IFERROR((FT_RF_264[[#This Row],[Partidas]]/FT_RF_264[[#This Row],[Muestra]]),"0")</f>
        <v>0</v>
      </c>
      <c r="V291" s="38">
        <v>0</v>
      </c>
      <c r="W291" s="39">
        <f>+IFERROR((FT_RF_264[[#This Row],[Daño Insecto]]/FT_RF_264[[#This Row],[Muestra]]),"0")</f>
        <v>0</v>
      </c>
      <c r="X291" s="38">
        <v>0</v>
      </c>
      <c r="Y291" s="39">
        <f>+IFERROR((FT_RF_264[[#This Row],[Sobremadura]]/FT_RF_264[[#This Row],[Muestra]]),"0")</f>
        <v>0</v>
      </c>
      <c r="Z291" s="38">
        <v>0</v>
      </c>
      <c r="AA291" s="39">
        <f>+IFERROR((FT_RF_264[[#This Row],[Deforme]]/FT_RF_264[[#This Row],[Muestra]]),"0")</f>
        <v>0</v>
      </c>
      <c r="AB291" s="27"/>
      <c r="AC291" s="38">
        <v>0</v>
      </c>
      <c r="AD291" s="39">
        <f>+IFERROR((FT_RF_264[[#This Row],[Valor Extra 1]]/FT_RF_264[[#This Row],[Muestra]]),"0")</f>
        <v>0</v>
      </c>
      <c r="AF291" s="38">
        <v>0</v>
      </c>
      <c r="AG291" s="39">
        <f>+IFERROR((FT_RF_264[[#This Row],[Valor Extra 2]]/FT_RF_264[[#This Row],[Muestra]]),"0")</f>
        <v>0</v>
      </c>
      <c r="AH291" s="40">
        <v>0</v>
      </c>
      <c r="AI291" s="39">
        <f>+IFERROR((FT_RF_264[[#This Row],[Hongos]]/FT_RF_264[[#This Row],[Muestra]]),"0")</f>
        <v>0</v>
      </c>
      <c r="AJ291" s="38">
        <v>0</v>
      </c>
      <c r="AK291" s="39">
        <f>+IFERROR((FT_RF_264[[#This Row],[Block]]/FT_RF_264[[#This Row],[Muestra]]),"0")</f>
        <v>0</v>
      </c>
      <c r="AL291" s="41">
        <v>0</v>
      </c>
      <c r="AM291" s="42">
        <v>0</v>
      </c>
      <c r="AN291" s="38">
        <v>0</v>
      </c>
      <c r="AO291" s="39">
        <f>+IFERROR((FT_RF_264[[#This Row],[Fuera de calibre &lt;12mm]]/FT_RF_264[[#This Row],[Muestra]]),"0")</f>
        <v>0</v>
      </c>
      <c r="AP291" s="38">
        <v>0</v>
      </c>
      <c r="AQ291" s="39">
        <f>+IFERROR((FT_RF_264[[#This Row],[Calibre &lt;25]]/FT_RF_264[[#This Row],[Muestra]]),"0")</f>
        <v>0</v>
      </c>
      <c r="AR291" s="38">
        <v>0</v>
      </c>
      <c r="AS291" s="39">
        <f>+IFERROR((FT_RF_264[[#This Row],[Calibre &gt;12]]/FT_RF_264[[#This Row],[Muestra]]),"0")</f>
        <v>0</v>
      </c>
      <c r="AT291" s="38">
        <v>0</v>
      </c>
      <c r="AU291" s="39">
        <f>+IFERROR((FT_RF_264[[#This Row],[Calibre &lt;14]]/FT_RF_264[[#This Row],[Muestra]]),"0")</f>
        <v>0</v>
      </c>
      <c r="AV291" s="38">
        <v>0</v>
      </c>
      <c r="AW291" s="39">
        <f>+IFERROR((FT_RF_264[[#This Row],[Calibre &gt;14]]/FT_RF_264[[#This Row],[Muestra]]),"0")</f>
        <v>0</v>
      </c>
      <c r="AX291" s="38">
        <v>0</v>
      </c>
      <c r="AY291" s="39">
        <f>+IFERROR((FT_RF_264[[#This Row],[Calibre &lt;10]]/FT_RF_264[[#This Row],[Muestra]]),"0")</f>
        <v>0</v>
      </c>
      <c r="AZ291" s="38">
        <v>0</v>
      </c>
      <c r="BA291" s="39">
        <f>+IFERROR((FT_RF_264[[#This Row],[Calibre &gt;13]]/FT_RF_264[[#This Row],[Muestra]]),"0")</f>
        <v>0</v>
      </c>
      <c r="BB291" s="41"/>
      <c r="BG291" s="42"/>
      <c r="BH291" s="43">
        <v>0</v>
      </c>
      <c r="BI291" s="29" t="s">
        <v>894</v>
      </c>
      <c r="BJ291" s="29" t="s">
        <v>894</v>
      </c>
      <c r="BK29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9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91" s="45">
        <f>1-FT_RF_264[[#This Row],[% Defectos]]</f>
        <v>1</v>
      </c>
      <c r="BO291" s="60"/>
      <c r="BP291" s="12">
        <f>SUM(FT_RF_264[[#This Row],[Hoja (Un.)]:[Larvas Caja]])</f>
        <v>0</v>
      </c>
      <c r="BQ291" s="12">
        <f>SUM(FT_RF_264[[#This Row],[Vidrios]:[Plástico]])</f>
        <v>0</v>
      </c>
      <c r="BR291" s="12" t="str">
        <f>IF(ISBLANK(FT_RF_264[[#This Row],[Descripción del producto]]),"",FT_RF_264[[#This Row],[Descripción del producto]])</f>
        <v/>
      </c>
      <c r="BS291" s="29" t="str">
        <f>IF(ISBLANK(FT_RF_264[[#This Row],[N° de Lote]]),"",FT_RF_264[[#This Row],[N° de Lote]])</f>
        <v/>
      </c>
      <c r="BT291" s="29" t="str">
        <f>IF(ISBLANK(FT_RF_264[[#This Row],[N° de Pallet]]),"",FT_RF_264[[#This Row],[N° de Pallet]])</f>
        <v/>
      </c>
    </row>
    <row r="292" spans="2:72">
      <c r="B292" s="29">
        <f>+_xlfn.ISOWEEKNUM(FT_RF_264[[#This Row],[Fecha]])</f>
        <v>52</v>
      </c>
      <c r="E292" s="31"/>
      <c r="F292" s="12" t="str">
        <f>IFERROR(""&amp;_xlfn.XLOOKUP(FT_RF_264[[#This Row],[Código]],BD_Cod[SKU],BD_Cod[Descripción]),"")</f>
        <v/>
      </c>
      <c r="G292" s="32" t="str">
        <f>IFERROR(""&amp;_xlfn.XLOOKUP(FT_RF_264[[#This Row],[Código]],BD_Cod[SKU],BD_Cod[Familia Calidad]),"")</f>
        <v/>
      </c>
      <c r="J292" s="33">
        <v>1000</v>
      </c>
      <c r="L292" s="30" t="s">
        <v>244</v>
      </c>
      <c r="O292" s="30" t="s">
        <v>894</v>
      </c>
      <c r="P292" s="29" t="s">
        <v>894</v>
      </c>
      <c r="Q292" s="37">
        <f>1-FT_RF_264[[#This Row],[% Defectos]]</f>
        <v>1</v>
      </c>
      <c r="R292" s="38">
        <v>0</v>
      </c>
      <c r="S292" s="39">
        <f>+IFERROR((FT_RF_264[[#This Row],[Inmadura]]/FT_RF_264[[#This Row],[Muestra]]),"0")</f>
        <v>0</v>
      </c>
      <c r="T292" s="38">
        <v>0</v>
      </c>
      <c r="U292" s="39">
        <f>+IFERROR((FT_RF_264[[#This Row],[Partidas]]/FT_RF_264[[#This Row],[Muestra]]),"0")</f>
        <v>0</v>
      </c>
      <c r="V292" s="38">
        <v>0</v>
      </c>
      <c r="W292" s="39">
        <f>+IFERROR((FT_RF_264[[#This Row],[Daño Insecto]]/FT_RF_264[[#This Row],[Muestra]]),"0")</f>
        <v>0</v>
      </c>
      <c r="X292" s="38">
        <v>0</v>
      </c>
      <c r="Y292" s="39">
        <f>+IFERROR((FT_RF_264[[#This Row],[Sobremadura]]/FT_RF_264[[#This Row],[Muestra]]),"0")</f>
        <v>0</v>
      </c>
      <c r="Z292" s="38">
        <v>0</v>
      </c>
      <c r="AA292" s="39">
        <f>+IFERROR((FT_RF_264[[#This Row],[Deforme]]/FT_RF_264[[#This Row],[Muestra]]),"0")</f>
        <v>0</v>
      </c>
      <c r="AB292" s="27"/>
      <c r="AC292" s="38">
        <v>0</v>
      </c>
      <c r="AD292" s="39">
        <f>+IFERROR((FT_RF_264[[#This Row],[Valor Extra 1]]/FT_RF_264[[#This Row],[Muestra]]),"0")</f>
        <v>0</v>
      </c>
      <c r="AF292" s="38">
        <v>0</v>
      </c>
      <c r="AG292" s="39">
        <f>+IFERROR((FT_RF_264[[#This Row],[Valor Extra 2]]/FT_RF_264[[#This Row],[Muestra]]),"0")</f>
        <v>0</v>
      </c>
      <c r="AH292" s="40">
        <v>0</v>
      </c>
      <c r="AI292" s="39">
        <f>+IFERROR((FT_RF_264[[#This Row],[Hongos]]/FT_RF_264[[#This Row],[Muestra]]),"0")</f>
        <v>0</v>
      </c>
      <c r="AJ292" s="38">
        <v>0</v>
      </c>
      <c r="AK292" s="39">
        <f>+IFERROR((FT_RF_264[[#This Row],[Block]]/FT_RF_264[[#This Row],[Muestra]]),"0")</f>
        <v>0</v>
      </c>
      <c r="AL292" s="41">
        <v>0</v>
      </c>
      <c r="AM292" s="42">
        <v>0</v>
      </c>
      <c r="AN292" s="38">
        <v>0</v>
      </c>
      <c r="AO292" s="39">
        <f>+IFERROR((FT_RF_264[[#This Row],[Fuera de calibre &lt;12mm]]/FT_RF_264[[#This Row],[Muestra]]),"0")</f>
        <v>0</v>
      </c>
      <c r="AP292" s="38">
        <v>0</v>
      </c>
      <c r="AQ292" s="39">
        <f>+IFERROR((FT_RF_264[[#This Row],[Calibre &lt;25]]/FT_RF_264[[#This Row],[Muestra]]),"0")</f>
        <v>0</v>
      </c>
      <c r="AR292" s="38">
        <v>0</v>
      </c>
      <c r="AS292" s="39">
        <f>+IFERROR((FT_RF_264[[#This Row],[Calibre &gt;12]]/FT_RF_264[[#This Row],[Muestra]]),"0")</f>
        <v>0</v>
      </c>
      <c r="AT292" s="38">
        <v>0</v>
      </c>
      <c r="AU292" s="39">
        <f>+IFERROR((FT_RF_264[[#This Row],[Calibre &lt;14]]/FT_RF_264[[#This Row],[Muestra]]),"0")</f>
        <v>0</v>
      </c>
      <c r="AV292" s="38">
        <v>0</v>
      </c>
      <c r="AW292" s="39">
        <f>+IFERROR((FT_RF_264[[#This Row],[Calibre &gt;14]]/FT_RF_264[[#This Row],[Muestra]]),"0")</f>
        <v>0</v>
      </c>
      <c r="AX292" s="38">
        <v>0</v>
      </c>
      <c r="AY292" s="39">
        <f>+IFERROR((FT_RF_264[[#This Row],[Calibre &lt;10]]/FT_RF_264[[#This Row],[Muestra]]),"0")</f>
        <v>0</v>
      </c>
      <c r="AZ292" s="38">
        <v>0</v>
      </c>
      <c r="BA292" s="39">
        <f>+IFERROR((FT_RF_264[[#This Row],[Calibre &gt;13]]/FT_RF_264[[#This Row],[Muestra]]),"0")</f>
        <v>0</v>
      </c>
      <c r="BB292" s="41"/>
      <c r="BG292" s="42"/>
      <c r="BH292" s="43">
        <v>0</v>
      </c>
      <c r="BI292" s="29" t="s">
        <v>894</v>
      </c>
      <c r="BJ292" s="29" t="s">
        <v>894</v>
      </c>
      <c r="BK29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9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92" s="45">
        <f>1-FT_RF_264[[#This Row],[% Defectos]]</f>
        <v>1</v>
      </c>
      <c r="BO292" s="60"/>
      <c r="BP292" s="12">
        <f>SUM(FT_RF_264[[#This Row],[Hoja (Un.)]:[Larvas Caja]])</f>
        <v>0</v>
      </c>
      <c r="BQ292" s="12">
        <f>SUM(FT_RF_264[[#This Row],[Vidrios]:[Plástico]])</f>
        <v>0</v>
      </c>
      <c r="BR292" s="12" t="str">
        <f>IF(ISBLANK(FT_RF_264[[#This Row],[Descripción del producto]]),"",FT_RF_264[[#This Row],[Descripción del producto]])</f>
        <v/>
      </c>
      <c r="BS292" s="29" t="str">
        <f>IF(ISBLANK(FT_RF_264[[#This Row],[N° de Lote]]),"",FT_RF_264[[#This Row],[N° de Lote]])</f>
        <v/>
      </c>
      <c r="BT292" s="29" t="str">
        <f>IF(ISBLANK(FT_RF_264[[#This Row],[N° de Pallet]]),"",FT_RF_264[[#This Row],[N° de Pallet]])</f>
        <v/>
      </c>
    </row>
    <row r="293" spans="2:72">
      <c r="B293" s="29">
        <f>+_xlfn.ISOWEEKNUM(FT_RF_264[[#This Row],[Fecha]])</f>
        <v>52</v>
      </c>
      <c r="E293" s="31"/>
      <c r="F293" s="12" t="str">
        <f>IFERROR(""&amp;_xlfn.XLOOKUP(FT_RF_264[[#This Row],[Código]],BD_Cod[SKU],BD_Cod[Descripción]),"")</f>
        <v/>
      </c>
      <c r="G293" s="32" t="str">
        <f>IFERROR(""&amp;_xlfn.XLOOKUP(FT_RF_264[[#This Row],[Código]],BD_Cod[SKU],BD_Cod[Familia Calidad]),"")</f>
        <v/>
      </c>
      <c r="J293" s="33">
        <v>1000</v>
      </c>
      <c r="L293" s="30" t="s">
        <v>244</v>
      </c>
      <c r="O293" s="30" t="s">
        <v>894</v>
      </c>
      <c r="P293" s="29" t="s">
        <v>894</v>
      </c>
      <c r="Q293" s="37">
        <f>1-FT_RF_264[[#This Row],[% Defectos]]</f>
        <v>1</v>
      </c>
      <c r="R293" s="38">
        <v>0</v>
      </c>
      <c r="S293" s="39">
        <f>+IFERROR((FT_RF_264[[#This Row],[Inmadura]]/FT_RF_264[[#This Row],[Muestra]]),"0")</f>
        <v>0</v>
      </c>
      <c r="T293" s="38">
        <v>0</v>
      </c>
      <c r="U293" s="39">
        <f>+IFERROR((FT_RF_264[[#This Row],[Partidas]]/FT_RF_264[[#This Row],[Muestra]]),"0")</f>
        <v>0</v>
      </c>
      <c r="V293" s="38">
        <v>0</v>
      </c>
      <c r="W293" s="39">
        <f>+IFERROR((FT_RF_264[[#This Row],[Daño Insecto]]/FT_RF_264[[#This Row],[Muestra]]),"0")</f>
        <v>0</v>
      </c>
      <c r="X293" s="38">
        <v>0</v>
      </c>
      <c r="Y293" s="39">
        <f>+IFERROR((FT_RF_264[[#This Row],[Sobremadura]]/FT_RF_264[[#This Row],[Muestra]]),"0")</f>
        <v>0</v>
      </c>
      <c r="Z293" s="38">
        <v>0</v>
      </c>
      <c r="AA293" s="39">
        <f>+IFERROR((FT_RF_264[[#This Row],[Deforme]]/FT_RF_264[[#This Row],[Muestra]]),"0")</f>
        <v>0</v>
      </c>
      <c r="AB293" s="27"/>
      <c r="AC293" s="38">
        <v>0</v>
      </c>
      <c r="AD293" s="39">
        <f>+IFERROR((FT_RF_264[[#This Row],[Valor Extra 1]]/FT_RF_264[[#This Row],[Muestra]]),"0")</f>
        <v>0</v>
      </c>
      <c r="AF293" s="38">
        <v>0</v>
      </c>
      <c r="AG293" s="39">
        <f>+IFERROR((FT_RF_264[[#This Row],[Valor Extra 2]]/FT_RF_264[[#This Row],[Muestra]]),"0")</f>
        <v>0</v>
      </c>
      <c r="AH293" s="40">
        <v>0</v>
      </c>
      <c r="AI293" s="39">
        <f>+IFERROR((FT_RF_264[[#This Row],[Hongos]]/FT_RF_264[[#This Row],[Muestra]]),"0")</f>
        <v>0</v>
      </c>
      <c r="AJ293" s="38">
        <v>0</v>
      </c>
      <c r="AK293" s="39">
        <f>+IFERROR((FT_RF_264[[#This Row],[Block]]/FT_RF_264[[#This Row],[Muestra]]),"0")</f>
        <v>0</v>
      </c>
      <c r="AL293" s="41">
        <v>0</v>
      </c>
      <c r="AM293" s="42">
        <v>0</v>
      </c>
      <c r="AN293" s="38">
        <v>0</v>
      </c>
      <c r="AO293" s="39">
        <f>+IFERROR((FT_RF_264[[#This Row],[Fuera de calibre &lt;12mm]]/FT_RF_264[[#This Row],[Muestra]]),"0")</f>
        <v>0</v>
      </c>
      <c r="AP293" s="38">
        <v>0</v>
      </c>
      <c r="AQ293" s="39">
        <f>+IFERROR((FT_RF_264[[#This Row],[Calibre &lt;25]]/FT_RF_264[[#This Row],[Muestra]]),"0")</f>
        <v>0</v>
      </c>
      <c r="AR293" s="38">
        <v>0</v>
      </c>
      <c r="AS293" s="39">
        <f>+IFERROR((FT_RF_264[[#This Row],[Calibre &gt;12]]/FT_RF_264[[#This Row],[Muestra]]),"0")</f>
        <v>0</v>
      </c>
      <c r="AT293" s="38">
        <v>0</v>
      </c>
      <c r="AU293" s="39">
        <f>+IFERROR((FT_RF_264[[#This Row],[Calibre &lt;14]]/FT_RF_264[[#This Row],[Muestra]]),"0")</f>
        <v>0</v>
      </c>
      <c r="AV293" s="38">
        <v>0</v>
      </c>
      <c r="AW293" s="39">
        <f>+IFERROR((FT_RF_264[[#This Row],[Calibre &gt;14]]/FT_RF_264[[#This Row],[Muestra]]),"0")</f>
        <v>0</v>
      </c>
      <c r="AX293" s="38">
        <v>0</v>
      </c>
      <c r="AY293" s="39">
        <f>+IFERROR((FT_RF_264[[#This Row],[Calibre &lt;10]]/FT_RF_264[[#This Row],[Muestra]]),"0")</f>
        <v>0</v>
      </c>
      <c r="AZ293" s="38">
        <v>0</v>
      </c>
      <c r="BA293" s="39">
        <f>+IFERROR((FT_RF_264[[#This Row],[Calibre &gt;13]]/FT_RF_264[[#This Row],[Muestra]]),"0")</f>
        <v>0</v>
      </c>
      <c r="BB293" s="41"/>
      <c r="BG293" s="42"/>
      <c r="BH293" s="43">
        <v>0</v>
      </c>
      <c r="BI293" s="29" t="s">
        <v>894</v>
      </c>
      <c r="BJ293" s="29" t="s">
        <v>894</v>
      </c>
      <c r="BK29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9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93" s="45">
        <f>1-FT_RF_264[[#This Row],[% Defectos]]</f>
        <v>1</v>
      </c>
      <c r="BO293" s="60"/>
      <c r="BP293" s="12">
        <f>SUM(FT_RF_264[[#This Row],[Hoja (Un.)]:[Larvas Caja]])</f>
        <v>0</v>
      </c>
      <c r="BQ293" s="12">
        <f>SUM(FT_RF_264[[#This Row],[Vidrios]:[Plástico]])</f>
        <v>0</v>
      </c>
      <c r="BR293" s="12" t="str">
        <f>IF(ISBLANK(FT_RF_264[[#This Row],[Descripción del producto]]),"",FT_RF_264[[#This Row],[Descripción del producto]])</f>
        <v/>
      </c>
      <c r="BS293" s="29" t="str">
        <f>IF(ISBLANK(FT_RF_264[[#This Row],[N° de Lote]]),"",FT_RF_264[[#This Row],[N° de Lote]])</f>
        <v/>
      </c>
      <c r="BT293" s="29" t="str">
        <f>IF(ISBLANK(FT_RF_264[[#This Row],[N° de Pallet]]),"",FT_RF_264[[#This Row],[N° de Pallet]])</f>
        <v/>
      </c>
    </row>
    <row r="294" spans="2:72">
      <c r="B294" s="29">
        <f>+_xlfn.ISOWEEKNUM(FT_RF_264[[#This Row],[Fecha]])</f>
        <v>52</v>
      </c>
      <c r="E294" s="31"/>
      <c r="F294" s="12" t="str">
        <f>IFERROR(""&amp;_xlfn.XLOOKUP(FT_RF_264[[#This Row],[Código]],BD_Cod[SKU],BD_Cod[Descripción]),"")</f>
        <v/>
      </c>
      <c r="G294" s="32" t="str">
        <f>IFERROR(""&amp;_xlfn.XLOOKUP(FT_RF_264[[#This Row],[Código]],BD_Cod[SKU],BD_Cod[Familia Calidad]),"")</f>
        <v/>
      </c>
      <c r="J294" s="33">
        <v>1000</v>
      </c>
      <c r="L294" s="30" t="s">
        <v>244</v>
      </c>
      <c r="O294" s="30" t="s">
        <v>894</v>
      </c>
      <c r="P294" s="29" t="s">
        <v>894</v>
      </c>
      <c r="Q294" s="37">
        <f>1-FT_RF_264[[#This Row],[% Defectos]]</f>
        <v>1</v>
      </c>
      <c r="R294" s="38">
        <v>0</v>
      </c>
      <c r="S294" s="39">
        <f>+IFERROR((FT_RF_264[[#This Row],[Inmadura]]/FT_RF_264[[#This Row],[Muestra]]),"0")</f>
        <v>0</v>
      </c>
      <c r="T294" s="38">
        <v>0</v>
      </c>
      <c r="U294" s="39">
        <f>+IFERROR((FT_RF_264[[#This Row],[Partidas]]/FT_RF_264[[#This Row],[Muestra]]),"0")</f>
        <v>0</v>
      </c>
      <c r="V294" s="38">
        <v>0</v>
      </c>
      <c r="W294" s="39">
        <f>+IFERROR((FT_RF_264[[#This Row],[Daño Insecto]]/FT_RF_264[[#This Row],[Muestra]]),"0")</f>
        <v>0</v>
      </c>
      <c r="X294" s="38">
        <v>0</v>
      </c>
      <c r="Y294" s="39">
        <f>+IFERROR((FT_RF_264[[#This Row],[Sobremadura]]/FT_RF_264[[#This Row],[Muestra]]),"0")</f>
        <v>0</v>
      </c>
      <c r="Z294" s="38">
        <v>0</v>
      </c>
      <c r="AA294" s="39">
        <f>+IFERROR((FT_RF_264[[#This Row],[Deforme]]/FT_RF_264[[#This Row],[Muestra]]),"0")</f>
        <v>0</v>
      </c>
      <c r="AB294" s="27"/>
      <c r="AC294" s="38">
        <v>0</v>
      </c>
      <c r="AD294" s="39">
        <f>+IFERROR((FT_RF_264[[#This Row],[Valor Extra 1]]/FT_RF_264[[#This Row],[Muestra]]),"0")</f>
        <v>0</v>
      </c>
      <c r="AF294" s="38">
        <v>0</v>
      </c>
      <c r="AG294" s="39">
        <f>+IFERROR((FT_RF_264[[#This Row],[Valor Extra 2]]/FT_RF_264[[#This Row],[Muestra]]),"0")</f>
        <v>0</v>
      </c>
      <c r="AH294" s="40">
        <v>0</v>
      </c>
      <c r="AI294" s="39">
        <f>+IFERROR((FT_RF_264[[#This Row],[Hongos]]/FT_RF_264[[#This Row],[Muestra]]),"0")</f>
        <v>0</v>
      </c>
      <c r="AJ294" s="38">
        <v>0</v>
      </c>
      <c r="AK294" s="39">
        <f>+IFERROR((FT_RF_264[[#This Row],[Block]]/FT_RF_264[[#This Row],[Muestra]]),"0")</f>
        <v>0</v>
      </c>
      <c r="AL294" s="41">
        <v>0</v>
      </c>
      <c r="AM294" s="42">
        <v>0</v>
      </c>
      <c r="AN294" s="38">
        <v>0</v>
      </c>
      <c r="AO294" s="39">
        <f>+IFERROR((FT_RF_264[[#This Row],[Fuera de calibre &lt;12mm]]/FT_RF_264[[#This Row],[Muestra]]),"0")</f>
        <v>0</v>
      </c>
      <c r="AP294" s="38">
        <v>0</v>
      </c>
      <c r="AQ294" s="39">
        <f>+IFERROR((FT_RF_264[[#This Row],[Calibre &lt;25]]/FT_RF_264[[#This Row],[Muestra]]),"0")</f>
        <v>0</v>
      </c>
      <c r="AR294" s="38">
        <v>0</v>
      </c>
      <c r="AS294" s="39">
        <f>+IFERROR((FT_RF_264[[#This Row],[Calibre &gt;12]]/FT_RF_264[[#This Row],[Muestra]]),"0")</f>
        <v>0</v>
      </c>
      <c r="AT294" s="38">
        <v>0</v>
      </c>
      <c r="AU294" s="39">
        <f>+IFERROR((FT_RF_264[[#This Row],[Calibre &lt;14]]/FT_RF_264[[#This Row],[Muestra]]),"0")</f>
        <v>0</v>
      </c>
      <c r="AV294" s="38">
        <v>0</v>
      </c>
      <c r="AW294" s="39">
        <f>+IFERROR((FT_RF_264[[#This Row],[Calibre &gt;14]]/FT_RF_264[[#This Row],[Muestra]]),"0")</f>
        <v>0</v>
      </c>
      <c r="AX294" s="38">
        <v>0</v>
      </c>
      <c r="AY294" s="39">
        <f>+IFERROR((FT_RF_264[[#This Row],[Calibre &lt;10]]/FT_RF_264[[#This Row],[Muestra]]),"0")</f>
        <v>0</v>
      </c>
      <c r="AZ294" s="38">
        <v>0</v>
      </c>
      <c r="BA294" s="39">
        <f>+IFERROR((FT_RF_264[[#This Row],[Calibre &gt;13]]/FT_RF_264[[#This Row],[Muestra]]),"0")</f>
        <v>0</v>
      </c>
      <c r="BB294" s="41"/>
      <c r="BG294" s="42"/>
      <c r="BH294" s="43">
        <v>0</v>
      </c>
      <c r="BI294" s="29" t="s">
        <v>894</v>
      </c>
      <c r="BJ294" s="29" t="s">
        <v>894</v>
      </c>
      <c r="BK29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9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94" s="45">
        <f>1-FT_RF_264[[#This Row],[% Defectos]]</f>
        <v>1</v>
      </c>
      <c r="BO294" s="60"/>
      <c r="BP294" s="12">
        <f>SUM(FT_RF_264[[#This Row],[Hoja (Un.)]:[Larvas Caja]])</f>
        <v>0</v>
      </c>
      <c r="BQ294" s="12">
        <f>SUM(FT_RF_264[[#This Row],[Vidrios]:[Plástico]])</f>
        <v>0</v>
      </c>
      <c r="BR294" s="12" t="str">
        <f>IF(ISBLANK(FT_RF_264[[#This Row],[Descripción del producto]]),"",FT_RF_264[[#This Row],[Descripción del producto]])</f>
        <v/>
      </c>
      <c r="BS294" s="29" t="str">
        <f>IF(ISBLANK(FT_RF_264[[#This Row],[N° de Lote]]),"",FT_RF_264[[#This Row],[N° de Lote]])</f>
        <v/>
      </c>
      <c r="BT294" s="29" t="str">
        <f>IF(ISBLANK(FT_RF_264[[#This Row],[N° de Pallet]]),"",FT_RF_264[[#This Row],[N° de Pallet]])</f>
        <v/>
      </c>
    </row>
    <row r="295" spans="2:72">
      <c r="B295" s="29">
        <f>+_xlfn.ISOWEEKNUM(FT_RF_264[[#This Row],[Fecha]])</f>
        <v>52</v>
      </c>
      <c r="E295" s="31"/>
      <c r="F295" s="12" t="str">
        <f>IFERROR(""&amp;_xlfn.XLOOKUP(FT_RF_264[[#This Row],[Código]],BD_Cod[SKU],BD_Cod[Descripción]),"")</f>
        <v/>
      </c>
      <c r="G295" s="32" t="str">
        <f>IFERROR(""&amp;_xlfn.XLOOKUP(FT_RF_264[[#This Row],[Código]],BD_Cod[SKU],BD_Cod[Familia Calidad]),"")</f>
        <v/>
      </c>
      <c r="J295" s="33">
        <v>1000</v>
      </c>
      <c r="L295" s="30" t="s">
        <v>244</v>
      </c>
      <c r="O295" s="30" t="s">
        <v>894</v>
      </c>
      <c r="P295" s="29" t="s">
        <v>894</v>
      </c>
      <c r="Q295" s="37">
        <f>1-FT_RF_264[[#This Row],[% Defectos]]</f>
        <v>1</v>
      </c>
      <c r="R295" s="38">
        <v>0</v>
      </c>
      <c r="S295" s="39">
        <f>+IFERROR((FT_RF_264[[#This Row],[Inmadura]]/FT_RF_264[[#This Row],[Muestra]]),"0")</f>
        <v>0</v>
      </c>
      <c r="T295" s="38">
        <v>0</v>
      </c>
      <c r="U295" s="39">
        <f>+IFERROR((FT_RF_264[[#This Row],[Partidas]]/FT_RF_264[[#This Row],[Muestra]]),"0")</f>
        <v>0</v>
      </c>
      <c r="V295" s="38">
        <v>0</v>
      </c>
      <c r="W295" s="39">
        <f>+IFERROR((FT_RF_264[[#This Row],[Daño Insecto]]/FT_RF_264[[#This Row],[Muestra]]),"0")</f>
        <v>0</v>
      </c>
      <c r="X295" s="38">
        <v>0</v>
      </c>
      <c r="Y295" s="39">
        <f>+IFERROR((FT_RF_264[[#This Row],[Sobremadura]]/FT_RF_264[[#This Row],[Muestra]]),"0")</f>
        <v>0</v>
      </c>
      <c r="Z295" s="38">
        <v>0</v>
      </c>
      <c r="AA295" s="39">
        <f>+IFERROR((FT_RF_264[[#This Row],[Deforme]]/FT_RF_264[[#This Row],[Muestra]]),"0")</f>
        <v>0</v>
      </c>
      <c r="AB295" s="27"/>
      <c r="AC295" s="38">
        <v>0</v>
      </c>
      <c r="AD295" s="39">
        <f>+IFERROR((FT_RF_264[[#This Row],[Valor Extra 1]]/FT_RF_264[[#This Row],[Muestra]]),"0")</f>
        <v>0</v>
      </c>
      <c r="AF295" s="38">
        <v>0</v>
      </c>
      <c r="AG295" s="39">
        <f>+IFERROR((FT_RF_264[[#This Row],[Valor Extra 2]]/FT_RF_264[[#This Row],[Muestra]]),"0")</f>
        <v>0</v>
      </c>
      <c r="AH295" s="40">
        <v>0</v>
      </c>
      <c r="AI295" s="39">
        <f>+IFERROR((FT_RF_264[[#This Row],[Hongos]]/FT_RF_264[[#This Row],[Muestra]]),"0")</f>
        <v>0</v>
      </c>
      <c r="AJ295" s="38">
        <v>0</v>
      </c>
      <c r="AK295" s="39">
        <f>+IFERROR((FT_RF_264[[#This Row],[Block]]/FT_RF_264[[#This Row],[Muestra]]),"0")</f>
        <v>0</v>
      </c>
      <c r="AL295" s="41">
        <v>0</v>
      </c>
      <c r="AM295" s="42">
        <v>0</v>
      </c>
      <c r="AN295" s="38">
        <v>0</v>
      </c>
      <c r="AO295" s="39">
        <f>+IFERROR((FT_RF_264[[#This Row],[Fuera de calibre &lt;12mm]]/FT_RF_264[[#This Row],[Muestra]]),"0")</f>
        <v>0</v>
      </c>
      <c r="AP295" s="38">
        <v>0</v>
      </c>
      <c r="AQ295" s="39">
        <f>+IFERROR((FT_RF_264[[#This Row],[Calibre &lt;25]]/FT_RF_264[[#This Row],[Muestra]]),"0")</f>
        <v>0</v>
      </c>
      <c r="AR295" s="38">
        <v>0</v>
      </c>
      <c r="AS295" s="39">
        <f>+IFERROR((FT_RF_264[[#This Row],[Calibre &gt;12]]/FT_RF_264[[#This Row],[Muestra]]),"0")</f>
        <v>0</v>
      </c>
      <c r="AT295" s="38">
        <v>0</v>
      </c>
      <c r="AU295" s="39">
        <f>+IFERROR((FT_RF_264[[#This Row],[Calibre &lt;14]]/FT_RF_264[[#This Row],[Muestra]]),"0")</f>
        <v>0</v>
      </c>
      <c r="AV295" s="38">
        <v>0</v>
      </c>
      <c r="AW295" s="39">
        <f>+IFERROR((FT_RF_264[[#This Row],[Calibre &gt;14]]/FT_RF_264[[#This Row],[Muestra]]),"0")</f>
        <v>0</v>
      </c>
      <c r="AX295" s="38">
        <v>0</v>
      </c>
      <c r="AY295" s="39">
        <f>+IFERROR((FT_RF_264[[#This Row],[Calibre &lt;10]]/FT_RF_264[[#This Row],[Muestra]]),"0")</f>
        <v>0</v>
      </c>
      <c r="AZ295" s="38">
        <v>0</v>
      </c>
      <c r="BA295" s="39">
        <f>+IFERROR((FT_RF_264[[#This Row],[Calibre &gt;13]]/FT_RF_264[[#This Row],[Muestra]]),"0")</f>
        <v>0</v>
      </c>
      <c r="BB295" s="41"/>
      <c r="BG295" s="42"/>
      <c r="BH295" s="43">
        <v>0</v>
      </c>
      <c r="BI295" s="29" t="s">
        <v>894</v>
      </c>
      <c r="BJ295" s="29" t="s">
        <v>894</v>
      </c>
      <c r="BK29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9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95" s="45">
        <f>1-FT_RF_264[[#This Row],[% Defectos]]</f>
        <v>1</v>
      </c>
      <c r="BO295" s="60"/>
      <c r="BP295" s="12">
        <f>SUM(FT_RF_264[[#This Row],[Hoja (Un.)]:[Larvas Caja]])</f>
        <v>0</v>
      </c>
      <c r="BQ295" s="12">
        <f>SUM(FT_RF_264[[#This Row],[Vidrios]:[Plástico]])</f>
        <v>0</v>
      </c>
      <c r="BR295" s="12" t="str">
        <f>IF(ISBLANK(FT_RF_264[[#This Row],[Descripción del producto]]),"",FT_RF_264[[#This Row],[Descripción del producto]])</f>
        <v/>
      </c>
      <c r="BS295" s="29" t="str">
        <f>IF(ISBLANK(FT_RF_264[[#This Row],[N° de Lote]]),"",FT_RF_264[[#This Row],[N° de Lote]])</f>
        <v/>
      </c>
      <c r="BT295" s="29" t="str">
        <f>IF(ISBLANK(FT_RF_264[[#This Row],[N° de Pallet]]),"",FT_RF_264[[#This Row],[N° de Pallet]])</f>
        <v/>
      </c>
    </row>
    <row r="296" spans="2:72">
      <c r="B296" s="29">
        <f>+_xlfn.ISOWEEKNUM(FT_RF_264[[#This Row],[Fecha]])</f>
        <v>52</v>
      </c>
      <c r="E296" s="31"/>
      <c r="F296" s="12" t="str">
        <f>IFERROR(""&amp;_xlfn.XLOOKUP(FT_RF_264[[#This Row],[Código]],BD_Cod[SKU],BD_Cod[Descripción]),"")</f>
        <v/>
      </c>
      <c r="G296" s="32" t="str">
        <f>IFERROR(""&amp;_xlfn.XLOOKUP(FT_RF_264[[#This Row],[Código]],BD_Cod[SKU],BD_Cod[Familia Calidad]),"")</f>
        <v/>
      </c>
      <c r="J296" s="33">
        <v>1000</v>
      </c>
      <c r="L296" s="30" t="s">
        <v>244</v>
      </c>
      <c r="O296" s="30" t="s">
        <v>894</v>
      </c>
      <c r="P296" s="29" t="s">
        <v>894</v>
      </c>
      <c r="Q296" s="37">
        <f>1-FT_RF_264[[#This Row],[% Defectos]]</f>
        <v>1</v>
      </c>
      <c r="R296" s="38">
        <v>0</v>
      </c>
      <c r="S296" s="39">
        <f>+IFERROR((FT_RF_264[[#This Row],[Inmadura]]/FT_RF_264[[#This Row],[Muestra]]),"0")</f>
        <v>0</v>
      </c>
      <c r="T296" s="38">
        <v>0</v>
      </c>
      <c r="U296" s="39">
        <f>+IFERROR((FT_RF_264[[#This Row],[Partidas]]/FT_RF_264[[#This Row],[Muestra]]),"0")</f>
        <v>0</v>
      </c>
      <c r="V296" s="38">
        <v>0</v>
      </c>
      <c r="W296" s="39">
        <f>+IFERROR((FT_RF_264[[#This Row],[Daño Insecto]]/FT_RF_264[[#This Row],[Muestra]]),"0")</f>
        <v>0</v>
      </c>
      <c r="X296" s="38">
        <v>0</v>
      </c>
      <c r="Y296" s="39">
        <f>+IFERROR((FT_RF_264[[#This Row],[Sobremadura]]/FT_RF_264[[#This Row],[Muestra]]),"0")</f>
        <v>0</v>
      </c>
      <c r="Z296" s="38">
        <v>0</v>
      </c>
      <c r="AA296" s="39">
        <f>+IFERROR((FT_RF_264[[#This Row],[Deforme]]/FT_RF_264[[#This Row],[Muestra]]),"0")</f>
        <v>0</v>
      </c>
      <c r="AB296" s="27"/>
      <c r="AC296" s="38">
        <v>0</v>
      </c>
      <c r="AD296" s="39">
        <f>+IFERROR((FT_RF_264[[#This Row],[Valor Extra 1]]/FT_RF_264[[#This Row],[Muestra]]),"0")</f>
        <v>0</v>
      </c>
      <c r="AF296" s="38">
        <v>0</v>
      </c>
      <c r="AG296" s="39">
        <f>+IFERROR((FT_RF_264[[#This Row],[Valor Extra 2]]/FT_RF_264[[#This Row],[Muestra]]),"0")</f>
        <v>0</v>
      </c>
      <c r="AH296" s="40">
        <v>0</v>
      </c>
      <c r="AI296" s="39">
        <f>+IFERROR((FT_RF_264[[#This Row],[Hongos]]/FT_RF_264[[#This Row],[Muestra]]),"0")</f>
        <v>0</v>
      </c>
      <c r="AJ296" s="38">
        <v>0</v>
      </c>
      <c r="AK296" s="39">
        <f>+IFERROR((FT_RF_264[[#This Row],[Block]]/FT_RF_264[[#This Row],[Muestra]]),"0")</f>
        <v>0</v>
      </c>
      <c r="AL296" s="41">
        <v>0</v>
      </c>
      <c r="AM296" s="42">
        <v>0</v>
      </c>
      <c r="AN296" s="38">
        <v>0</v>
      </c>
      <c r="AO296" s="39">
        <f>+IFERROR((FT_RF_264[[#This Row],[Fuera de calibre &lt;12mm]]/FT_RF_264[[#This Row],[Muestra]]),"0")</f>
        <v>0</v>
      </c>
      <c r="AP296" s="38">
        <v>0</v>
      </c>
      <c r="AQ296" s="39">
        <f>+IFERROR((FT_RF_264[[#This Row],[Calibre &lt;25]]/FT_RF_264[[#This Row],[Muestra]]),"0")</f>
        <v>0</v>
      </c>
      <c r="AR296" s="38">
        <v>0</v>
      </c>
      <c r="AS296" s="39">
        <f>+IFERROR((FT_RF_264[[#This Row],[Calibre &gt;12]]/FT_RF_264[[#This Row],[Muestra]]),"0")</f>
        <v>0</v>
      </c>
      <c r="AT296" s="38">
        <v>0</v>
      </c>
      <c r="AU296" s="39">
        <f>+IFERROR((FT_RF_264[[#This Row],[Calibre &lt;14]]/FT_RF_264[[#This Row],[Muestra]]),"0")</f>
        <v>0</v>
      </c>
      <c r="AV296" s="38">
        <v>0</v>
      </c>
      <c r="AW296" s="39">
        <f>+IFERROR((FT_RF_264[[#This Row],[Calibre &gt;14]]/FT_RF_264[[#This Row],[Muestra]]),"0")</f>
        <v>0</v>
      </c>
      <c r="AX296" s="38">
        <v>0</v>
      </c>
      <c r="AY296" s="39">
        <f>+IFERROR((FT_RF_264[[#This Row],[Calibre &lt;10]]/FT_RF_264[[#This Row],[Muestra]]),"0")</f>
        <v>0</v>
      </c>
      <c r="AZ296" s="38">
        <v>0</v>
      </c>
      <c r="BA296" s="39">
        <f>+IFERROR((FT_RF_264[[#This Row],[Calibre &gt;13]]/FT_RF_264[[#This Row],[Muestra]]),"0")</f>
        <v>0</v>
      </c>
      <c r="BB296" s="41"/>
      <c r="BG296" s="42"/>
      <c r="BH296" s="43">
        <v>0</v>
      </c>
      <c r="BI296" s="29" t="s">
        <v>894</v>
      </c>
      <c r="BJ296" s="29" t="s">
        <v>894</v>
      </c>
      <c r="BK29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9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96" s="45">
        <f>1-FT_RF_264[[#This Row],[% Defectos]]</f>
        <v>1</v>
      </c>
      <c r="BO296" s="60"/>
      <c r="BP296" s="12">
        <f>SUM(FT_RF_264[[#This Row],[Hoja (Un.)]:[Larvas Caja]])</f>
        <v>0</v>
      </c>
      <c r="BQ296" s="12">
        <f>SUM(FT_RF_264[[#This Row],[Vidrios]:[Plástico]])</f>
        <v>0</v>
      </c>
      <c r="BR296" s="12" t="str">
        <f>IF(ISBLANK(FT_RF_264[[#This Row],[Descripción del producto]]),"",FT_RF_264[[#This Row],[Descripción del producto]])</f>
        <v/>
      </c>
      <c r="BS296" s="29" t="str">
        <f>IF(ISBLANK(FT_RF_264[[#This Row],[N° de Lote]]),"",FT_RF_264[[#This Row],[N° de Lote]])</f>
        <v/>
      </c>
      <c r="BT296" s="29" t="str">
        <f>IF(ISBLANK(FT_RF_264[[#This Row],[N° de Pallet]]),"",FT_RF_264[[#This Row],[N° de Pallet]])</f>
        <v/>
      </c>
    </row>
    <row r="297" spans="2:72">
      <c r="B297" s="29">
        <f>+_xlfn.ISOWEEKNUM(FT_RF_264[[#This Row],[Fecha]])</f>
        <v>52</v>
      </c>
      <c r="E297" s="31"/>
      <c r="F297" s="12" t="str">
        <f>IFERROR(""&amp;_xlfn.XLOOKUP(FT_RF_264[[#This Row],[Código]],BD_Cod[SKU],BD_Cod[Descripción]),"")</f>
        <v/>
      </c>
      <c r="G297" s="32" t="str">
        <f>IFERROR(""&amp;_xlfn.XLOOKUP(FT_RF_264[[#This Row],[Código]],BD_Cod[SKU],BD_Cod[Familia Calidad]),"")</f>
        <v/>
      </c>
      <c r="J297" s="33">
        <v>1000</v>
      </c>
      <c r="L297" s="30" t="s">
        <v>244</v>
      </c>
      <c r="O297" s="30" t="s">
        <v>894</v>
      </c>
      <c r="P297" s="29" t="s">
        <v>894</v>
      </c>
      <c r="Q297" s="37">
        <f>1-FT_RF_264[[#This Row],[% Defectos]]</f>
        <v>1</v>
      </c>
      <c r="R297" s="38">
        <v>0</v>
      </c>
      <c r="S297" s="39">
        <f>+IFERROR((FT_RF_264[[#This Row],[Inmadura]]/FT_RF_264[[#This Row],[Muestra]]),"0")</f>
        <v>0</v>
      </c>
      <c r="T297" s="38">
        <v>0</v>
      </c>
      <c r="U297" s="39">
        <f>+IFERROR((FT_RF_264[[#This Row],[Partidas]]/FT_RF_264[[#This Row],[Muestra]]),"0")</f>
        <v>0</v>
      </c>
      <c r="V297" s="38">
        <v>0</v>
      </c>
      <c r="W297" s="39">
        <f>+IFERROR((FT_RF_264[[#This Row],[Daño Insecto]]/FT_RF_264[[#This Row],[Muestra]]),"0")</f>
        <v>0</v>
      </c>
      <c r="X297" s="38">
        <v>0</v>
      </c>
      <c r="Y297" s="39">
        <f>+IFERROR((FT_RF_264[[#This Row],[Sobremadura]]/FT_RF_264[[#This Row],[Muestra]]),"0")</f>
        <v>0</v>
      </c>
      <c r="Z297" s="38">
        <v>0</v>
      </c>
      <c r="AA297" s="39">
        <f>+IFERROR((FT_RF_264[[#This Row],[Deforme]]/FT_RF_264[[#This Row],[Muestra]]),"0")</f>
        <v>0</v>
      </c>
      <c r="AB297" s="27"/>
      <c r="AC297" s="38">
        <v>0</v>
      </c>
      <c r="AD297" s="39">
        <f>+IFERROR((FT_RF_264[[#This Row],[Valor Extra 1]]/FT_RF_264[[#This Row],[Muestra]]),"0")</f>
        <v>0</v>
      </c>
      <c r="AF297" s="38">
        <v>0</v>
      </c>
      <c r="AG297" s="39">
        <f>+IFERROR((FT_RF_264[[#This Row],[Valor Extra 2]]/FT_RF_264[[#This Row],[Muestra]]),"0")</f>
        <v>0</v>
      </c>
      <c r="AH297" s="40">
        <v>0</v>
      </c>
      <c r="AI297" s="39">
        <f>+IFERROR((FT_RF_264[[#This Row],[Hongos]]/FT_RF_264[[#This Row],[Muestra]]),"0")</f>
        <v>0</v>
      </c>
      <c r="AJ297" s="38">
        <v>0</v>
      </c>
      <c r="AK297" s="39">
        <f>+IFERROR((FT_RF_264[[#This Row],[Block]]/FT_RF_264[[#This Row],[Muestra]]),"0")</f>
        <v>0</v>
      </c>
      <c r="AL297" s="41">
        <v>0</v>
      </c>
      <c r="AM297" s="42">
        <v>0</v>
      </c>
      <c r="AN297" s="38">
        <v>0</v>
      </c>
      <c r="AO297" s="39">
        <f>+IFERROR((FT_RF_264[[#This Row],[Fuera de calibre &lt;12mm]]/FT_RF_264[[#This Row],[Muestra]]),"0")</f>
        <v>0</v>
      </c>
      <c r="AP297" s="38">
        <v>0</v>
      </c>
      <c r="AQ297" s="39">
        <f>+IFERROR((FT_RF_264[[#This Row],[Calibre &lt;25]]/FT_RF_264[[#This Row],[Muestra]]),"0")</f>
        <v>0</v>
      </c>
      <c r="AR297" s="38">
        <v>0</v>
      </c>
      <c r="AS297" s="39">
        <f>+IFERROR((FT_RF_264[[#This Row],[Calibre &gt;12]]/FT_RF_264[[#This Row],[Muestra]]),"0")</f>
        <v>0</v>
      </c>
      <c r="AT297" s="38">
        <v>0</v>
      </c>
      <c r="AU297" s="39">
        <f>+IFERROR((FT_RF_264[[#This Row],[Calibre &lt;14]]/FT_RF_264[[#This Row],[Muestra]]),"0")</f>
        <v>0</v>
      </c>
      <c r="AV297" s="38">
        <v>0</v>
      </c>
      <c r="AW297" s="39">
        <f>+IFERROR((FT_RF_264[[#This Row],[Calibre &gt;14]]/FT_RF_264[[#This Row],[Muestra]]),"0")</f>
        <v>0</v>
      </c>
      <c r="AX297" s="38">
        <v>0</v>
      </c>
      <c r="AY297" s="39">
        <f>+IFERROR((FT_RF_264[[#This Row],[Calibre &lt;10]]/FT_RF_264[[#This Row],[Muestra]]),"0")</f>
        <v>0</v>
      </c>
      <c r="AZ297" s="38">
        <v>0</v>
      </c>
      <c r="BA297" s="39">
        <f>+IFERROR((FT_RF_264[[#This Row],[Calibre &gt;13]]/FT_RF_264[[#This Row],[Muestra]]),"0")</f>
        <v>0</v>
      </c>
      <c r="BB297" s="41"/>
      <c r="BG297" s="42"/>
      <c r="BH297" s="43">
        <v>0</v>
      </c>
      <c r="BI297" s="29" t="s">
        <v>894</v>
      </c>
      <c r="BJ297" s="29" t="s">
        <v>894</v>
      </c>
      <c r="BK29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9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97" s="45">
        <f>1-FT_RF_264[[#This Row],[% Defectos]]</f>
        <v>1</v>
      </c>
      <c r="BO297" s="60"/>
      <c r="BP297" s="12">
        <f>SUM(FT_RF_264[[#This Row],[Hoja (Un.)]:[Larvas Caja]])</f>
        <v>0</v>
      </c>
      <c r="BQ297" s="12">
        <f>SUM(FT_RF_264[[#This Row],[Vidrios]:[Plástico]])</f>
        <v>0</v>
      </c>
      <c r="BR297" s="12" t="str">
        <f>IF(ISBLANK(FT_RF_264[[#This Row],[Descripción del producto]]),"",FT_RF_264[[#This Row],[Descripción del producto]])</f>
        <v/>
      </c>
      <c r="BS297" s="29" t="str">
        <f>IF(ISBLANK(FT_RF_264[[#This Row],[N° de Lote]]),"",FT_RF_264[[#This Row],[N° de Lote]])</f>
        <v/>
      </c>
      <c r="BT297" s="29" t="str">
        <f>IF(ISBLANK(FT_RF_264[[#This Row],[N° de Pallet]]),"",FT_RF_264[[#This Row],[N° de Pallet]])</f>
        <v/>
      </c>
    </row>
    <row r="298" spans="2:72">
      <c r="B298" s="29">
        <f>+_xlfn.ISOWEEKNUM(FT_RF_264[[#This Row],[Fecha]])</f>
        <v>52</v>
      </c>
      <c r="E298" s="31"/>
      <c r="F298" s="12" t="str">
        <f>IFERROR(""&amp;_xlfn.XLOOKUP(FT_RF_264[[#This Row],[Código]],BD_Cod[SKU],BD_Cod[Descripción]),"")</f>
        <v/>
      </c>
      <c r="G298" s="32" t="str">
        <f>IFERROR(""&amp;_xlfn.XLOOKUP(FT_RF_264[[#This Row],[Código]],BD_Cod[SKU],BD_Cod[Familia Calidad]),"")</f>
        <v/>
      </c>
      <c r="J298" s="33">
        <v>1000</v>
      </c>
      <c r="L298" s="30" t="s">
        <v>244</v>
      </c>
      <c r="O298" s="30" t="s">
        <v>894</v>
      </c>
      <c r="P298" s="29" t="s">
        <v>894</v>
      </c>
      <c r="Q298" s="37">
        <f>1-FT_RF_264[[#This Row],[% Defectos]]</f>
        <v>1</v>
      </c>
      <c r="R298" s="38">
        <v>0</v>
      </c>
      <c r="S298" s="39">
        <f>+IFERROR((FT_RF_264[[#This Row],[Inmadura]]/FT_RF_264[[#This Row],[Muestra]]),"0")</f>
        <v>0</v>
      </c>
      <c r="T298" s="38">
        <v>0</v>
      </c>
      <c r="U298" s="39">
        <f>+IFERROR((FT_RF_264[[#This Row],[Partidas]]/FT_RF_264[[#This Row],[Muestra]]),"0")</f>
        <v>0</v>
      </c>
      <c r="V298" s="38">
        <v>0</v>
      </c>
      <c r="W298" s="39">
        <f>+IFERROR((FT_RF_264[[#This Row],[Daño Insecto]]/FT_RF_264[[#This Row],[Muestra]]),"0")</f>
        <v>0</v>
      </c>
      <c r="X298" s="38">
        <v>0</v>
      </c>
      <c r="Y298" s="39">
        <f>+IFERROR((FT_RF_264[[#This Row],[Sobremadura]]/FT_RF_264[[#This Row],[Muestra]]),"0")</f>
        <v>0</v>
      </c>
      <c r="Z298" s="38">
        <v>0</v>
      </c>
      <c r="AA298" s="39">
        <f>+IFERROR((FT_RF_264[[#This Row],[Deforme]]/FT_RF_264[[#This Row],[Muestra]]),"0")</f>
        <v>0</v>
      </c>
      <c r="AB298" s="27"/>
      <c r="AC298" s="38">
        <v>0</v>
      </c>
      <c r="AD298" s="39">
        <f>+IFERROR((FT_RF_264[[#This Row],[Valor Extra 1]]/FT_RF_264[[#This Row],[Muestra]]),"0")</f>
        <v>0</v>
      </c>
      <c r="AF298" s="38">
        <v>0</v>
      </c>
      <c r="AG298" s="39">
        <f>+IFERROR((FT_RF_264[[#This Row],[Valor Extra 2]]/FT_RF_264[[#This Row],[Muestra]]),"0")</f>
        <v>0</v>
      </c>
      <c r="AH298" s="40">
        <v>0</v>
      </c>
      <c r="AI298" s="39">
        <f>+IFERROR((FT_RF_264[[#This Row],[Hongos]]/FT_RF_264[[#This Row],[Muestra]]),"0")</f>
        <v>0</v>
      </c>
      <c r="AJ298" s="38">
        <v>0</v>
      </c>
      <c r="AK298" s="39">
        <f>+IFERROR((FT_RF_264[[#This Row],[Block]]/FT_RF_264[[#This Row],[Muestra]]),"0")</f>
        <v>0</v>
      </c>
      <c r="AL298" s="41">
        <v>0</v>
      </c>
      <c r="AM298" s="42">
        <v>0</v>
      </c>
      <c r="AN298" s="38">
        <v>0</v>
      </c>
      <c r="AO298" s="39">
        <f>+IFERROR((FT_RF_264[[#This Row],[Fuera de calibre &lt;12mm]]/FT_RF_264[[#This Row],[Muestra]]),"0")</f>
        <v>0</v>
      </c>
      <c r="AP298" s="38">
        <v>0</v>
      </c>
      <c r="AQ298" s="39">
        <f>+IFERROR((FT_RF_264[[#This Row],[Calibre &lt;25]]/FT_RF_264[[#This Row],[Muestra]]),"0")</f>
        <v>0</v>
      </c>
      <c r="AR298" s="38">
        <v>0</v>
      </c>
      <c r="AS298" s="39">
        <f>+IFERROR((FT_RF_264[[#This Row],[Calibre &gt;12]]/FT_RF_264[[#This Row],[Muestra]]),"0")</f>
        <v>0</v>
      </c>
      <c r="AT298" s="38">
        <v>0</v>
      </c>
      <c r="AU298" s="39">
        <f>+IFERROR((FT_RF_264[[#This Row],[Calibre &lt;14]]/FT_RF_264[[#This Row],[Muestra]]),"0")</f>
        <v>0</v>
      </c>
      <c r="AV298" s="38">
        <v>0</v>
      </c>
      <c r="AW298" s="39">
        <f>+IFERROR((FT_RF_264[[#This Row],[Calibre &gt;14]]/FT_RF_264[[#This Row],[Muestra]]),"0")</f>
        <v>0</v>
      </c>
      <c r="AX298" s="38">
        <v>0</v>
      </c>
      <c r="AY298" s="39">
        <f>+IFERROR((FT_RF_264[[#This Row],[Calibre &lt;10]]/FT_RF_264[[#This Row],[Muestra]]),"0")</f>
        <v>0</v>
      </c>
      <c r="AZ298" s="38">
        <v>0</v>
      </c>
      <c r="BA298" s="39">
        <f>+IFERROR((FT_RF_264[[#This Row],[Calibre &gt;13]]/FT_RF_264[[#This Row],[Muestra]]),"0")</f>
        <v>0</v>
      </c>
      <c r="BB298" s="41"/>
      <c r="BG298" s="42"/>
      <c r="BH298" s="43">
        <v>0</v>
      </c>
      <c r="BI298" s="29" t="s">
        <v>894</v>
      </c>
      <c r="BJ298" s="29" t="s">
        <v>894</v>
      </c>
      <c r="BK29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9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98" s="45">
        <f>1-FT_RF_264[[#This Row],[% Defectos]]</f>
        <v>1</v>
      </c>
      <c r="BO298" s="60"/>
      <c r="BP298" s="12">
        <f>SUM(FT_RF_264[[#This Row],[Hoja (Un.)]:[Larvas Caja]])</f>
        <v>0</v>
      </c>
      <c r="BQ298" s="12">
        <f>SUM(FT_RF_264[[#This Row],[Vidrios]:[Plástico]])</f>
        <v>0</v>
      </c>
      <c r="BR298" s="12" t="str">
        <f>IF(ISBLANK(FT_RF_264[[#This Row],[Descripción del producto]]),"",FT_RF_264[[#This Row],[Descripción del producto]])</f>
        <v/>
      </c>
      <c r="BS298" s="29" t="str">
        <f>IF(ISBLANK(FT_RF_264[[#This Row],[N° de Lote]]),"",FT_RF_264[[#This Row],[N° de Lote]])</f>
        <v/>
      </c>
      <c r="BT298" s="29" t="str">
        <f>IF(ISBLANK(FT_RF_264[[#This Row],[N° de Pallet]]),"",FT_RF_264[[#This Row],[N° de Pallet]])</f>
        <v/>
      </c>
    </row>
    <row r="299" spans="2:72">
      <c r="B299" s="29">
        <f>+_xlfn.ISOWEEKNUM(FT_RF_264[[#This Row],[Fecha]])</f>
        <v>52</v>
      </c>
      <c r="E299" s="31"/>
      <c r="F299" s="12" t="str">
        <f>IFERROR(""&amp;_xlfn.XLOOKUP(FT_RF_264[[#This Row],[Código]],BD_Cod[SKU],BD_Cod[Descripción]),"")</f>
        <v/>
      </c>
      <c r="G299" s="32" t="str">
        <f>IFERROR(""&amp;_xlfn.XLOOKUP(FT_RF_264[[#This Row],[Código]],BD_Cod[SKU],BD_Cod[Familia Calidad]),"")</f>
        <v/>
      </c>
      <c r="J299" s="33">
        <v>1000</v>
      </c>
      <c r="L299" s="30" t="s">
        <v>244</v>
      </c>
      <c r="O299" s="30" t="s">
        <v>894</v>
      </c>
      <c r="P299" s="29" t="s">
        <v>894</v>
      </c>
      <c r="Q299" s="37">
        <f>1-FT_RF_264[[#This Row],[% Defectos]]</f>
        <v>1</v>
      </c>
      <c r="R299" s="38">
        <v>0</v>
      </c>
      <c r="S299" s="39">
        <f>+IFERROR((FT_RF_264[[#This Row],[Inmadura]]/FT_RF_264[[#This Row],[Muestra]]),"0")</f>
        <v>0</v>
      </c>
      <c r="T299" s="38">
        <v>0</v>
      </c>
      <c r="U299" s="39">
        <f>+IFERROR((FT_RF_264[[#This Row],[Partidas]]/FT_RF_264[[#This Row],[Muestra]]),"0")</f>
        <v>0</v>
      </c>
      <c r="V299" s="38">
        <v>0</v>
      </c>
      <c r="W299" s="39">
        <f>+IFERROR((FT_RF_264[[#This Row],[Daño Insecto]]/FT_RF_264[[#This Row],[Muestra]]),"0")</f>
        <v>0</v>
      </c>
      <c r="X299" s="38">
        <v>0</v>
      </c>
      <c r="Y299" s="39">
        <f>+IFERROR((FT_RF_264[[#This Row],[Sobremadura]]/FT_RF_264[[#This Row],[Muestra]]),"0")</f>
        <v>0</v>
      </c>
      <c r="Z299" s="38">
        <v>0</v>
      </c>
      <c r="AA299" s="39">
        <f>+IFERROR((FT_RF_264[[#This Row],[Deforme]]/FT_RF_264[[#This Row],[Muestra]]),"0")</f>
        <v>0</v>
      </c>
      <c r="AB299" s="27"/>
      <c r="AC299" s="38">
        <v>0</v>
      </c>
      <c r="AD299" s="39">
        <f>+IFERROR((FT_RF_264[[#This Row],[Valor Extra 1]]/FT_RF_264[[#This Row],[Muestra]]),"0")</f>
        <v>0</v>
      </c>
      <c r="AF299" s="38">
        <v>0</v>
      </c>
      <c r="AG299" s="39">
        <f>+IFERROR((FT_RF_264[[#This Row],[Valor Extra 2]]/FT_RF_264[[#This Row],[Muestra]]),"0")</f>
        <v>0</v>
      </c>
      <c r="AH299" s="40">
        <v>0</v>
      </c>
      <c r="AI299" s="39">
        <f>+IFERROR((FT_RF_264[[#This Row],[Hongos]]/FT_RF_264[[#This Row],[Muestra]]),"0")</f>
        <v>0</v>
      </c>
      <c r="AJ299" s="38">
        <v>0</v>
      </c>
      <c r="AK299" s="39">
        <f>+IFERROR((FT_RF_264[[#This Row],[Block]]/FT_RF_264[[#This Row],[Muestra]]),"0")</f>
        <v>0</v>
      </c>
      <c r="AL299" s="41">
        <v>0</v>
      </c>
      <c r="AM299" s="42">
        <v>0</v>
      </c>
      <c r="AN299" s="38">
        <v>0</v>
      </c>
      <c r="AO299" s="39">
        <f>+IFERROR((FT_RF_264[[#This Row],[Fuera de calibre &lt;12mm]]/FT_RF_264[[#This Row],[Muestra]]),"0")</f>
        <v>0</v>
      </c>
      <c r="AP299" s="38">
        <v>0</v>
      </c>
      <c r="AQ299" s="39">
        <f>+IFERROR((FT_RF_264[[#This Row],[Calibre &lt;25]]/FT_RF_264[[#This Row],[Muestra]]),"0")</f>
        <v>0</v>
      </c>
      <c r="AR299" s="38">
        <v>0</v>
      </c>
      <c r="AS299" s="39">
        <f>+IFERROR((FT_RF_264[[#This Row],[Calibre &gt;12]]/FT_RF_264[[#This Row],[Muestra]]),"0")</f>
        <v>0</v>
      </c>
      <c r="AT299" s="38">
        <v>0</v>
      </c>
      <c r="AU299" s="39">
        <f>+IFERROR((FT_RF_264[[#This Row],[Calibre &lt;14]]/FT_RF_264[[#This Row],[Muestra]]),"0")</f>
        <v>0</v>
      </c>
      <c r="AV299" s="38">
        <v>0</v>
      </c>
      <c r="AW299" s="39">
        <f>+IFERROR((FT_RF_264[[#This Row],[Calibre &gt;14]]/FT_RF_264[[#This Row],[Muestra]]),"0")</f>
        <v>0</v>
      </c>
      <c r="AX299" s="38">
        <v>0</v>
      </c>
      <c r="AY299" s="39">
        <f>+IFERROR((FT_RF_264[[#This Row],[Calibre &lt;10]]/FT_RF_264[[#This Row],[Muestra]]),"0")</f>
        <v>0</v>
      </c>
      <c r="AZ299" s="38">
        <v>0</v>
      </c>
      <c r="BA299" s="39">
        <f>+IFERROR((FT_RF_264[[#This Row],[Calibre &gt;13]]/FT_RF_264[[#This Row],[Muestra]]),"0")</f>
        <v>0</v>
      </c>
      <c r="BB299" s="41"/>
      <c r="BG299" s="42"/>
      <c r="BH299" s="43">
        <v>0</v>
      </c>
      <c r="BI299" s="29" t="s">
        <v>894</v>
      </c>
      <c r="BJ299" s="29" t="s">
        <v>894</v>
      </c>
      <c r="BK29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29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299" s="45">
        <f>1-FT_RF_264[[#This Row],[% Defectos]]</f>
        <v>1</v>
      </c>
      <c r="BO299" s="60"/>
      <c r="BP299" s="12">
        <f>SUM(FT_RF_264[[#This Row],[Hoja (Un.)]:[Larvas Caja]])</f>
        <v>0</v>
      </c>
      <c r="BQ299" s="12">
        <f>SUM(FT_RF_264[[#This Row],[Vidrios]:[Plástico]])</f>
        <v>0</v>
      </c>
      <c r="BR299" s="12" t="str">
        <f>IF(ISBLANK(FT_RF_264[[#This Row],[Descripción del producto]]),"",FT_RF_264[[#This Row],[Descripción del producto]])</f>
        <v/>
      </c>
      <c r="BS299" s="29" t="str">
        <f>IF(ISBLANK(FT_RF_264[[#This Row],[N° de Lote]]),"",FT_RF_264[[#This Row],[N° de Lote]])</f>
        <v/>
      </c>
      <c r="BT299" s="29" t="str">
        <f>IF(ISBLANK(FT_RF_264[[#This Row],[N° de Pallet]]),"",FT_RF_264[[#This Row],[N° de Pallet]])</f>
        <v/>
      </c>
    </row>
    <row r="300" spans="2:72">
      <c r="B300" s="29">
        <f>+_xlfn.ISOWEEKNUM(FT_RF_264[[#This Row],[Fecha]])</f>
        <v>52</v>
      </c>
      <c r="E300" s="31"/>
      <c r="F300" s="12" t="str">
        <f>IFERROR(""&amp;_xlfn.XLOOKUP(FT_RF_264[[#This Row],[Código]],BD_Cod[SKU],BD_Cod[Descripción]),"")</f>
        <v/>
      </c>
      <c r="G300" s="32" t="str">
        <f>IFERROR(""&amp;_xlfn.XLOOKUP(FT_RF_264[[#This Row],[Código]],BD_Cod[SKU],BD_Cod[Familia Calidad]),"")</f>
        <v/>
      </c>
      <c r="J300" s="33">
        <v>1000</v>
      </c>
      <c r="L300" s="30" t="s">
        <v>244</v>
      </c>
      <c r="O300" s="30" t="s">
        <v>894</v>
      </c>
      <c r="P300" s="29" t="s">
        <v>894</v>
      </c>
      <c r="Q300" s="37">
        <f>1-FT_RF_264[[#This Row],[% Defectos]]</f>
        <v>1</v>
      </c>
      <c r="R300" s="38">
        <v>0</v>
      </c>
      <c r="S300" s="39">
        <f>+IFERROR((FT_RF_264[[#This Row],[Inmadura]]/FT_RF_264[[#This Row],[Muestra]]),"0")</f>
        <v>0</v>
      </c>
      <c r="T300" s="38">
        <v>0</v>
      </c>
      <c r="U300" s="39">
        <f>+IFERROR((FT_RF_264[[#This Row],[Partidas]]/FT_RF_264[[#This Row],[Muestra]]),"0")</f>
        <v>0</v>
      </c>
      <c r="V300" s="38">
        <v>0</v>
      </c>
      <c r="W300" s="39">
        <f>+IFERROR((FT_RF_264[[#This Row],[Daño Insecto]]/FT_RF_264[[#This Row],[Muestra]]),"0")</f>
        <v>0</v>
      </c>
      <c r="X300" s="38">
        <v>0</v>
      </c>
      <c r="Y300" s="39">
        <f>+IFERROR((FT_RF_264[[#This Row],[Sobremadura]]/FT_RF_264[[#This Row],[Muestra]]),"0")</f>
        <v>0</v>
      </c>
      <c r="Z300" s="38">
        <v>0</v>
      </c>
      <c r="AA300" s="39">
        <f>+IFERROR((FT_RF_264[[#This Row],[Deforme]]/FT_RF_264[[#This Row],[Muestra]]),"0")</f>
        <v>0</v>
      </c>
      <c r="AB300" s="27"/>
      <c r="AC300" s="38">
        <v>0</v>
      </c>
      <c r="AD300" s="39">
        <f>+IFERROR((FT_RF_264[[#This Row],[Valor Extra 1]]/FT_RF_264[[#This Row],[Muestra]]),"0")</f>
        <v>0</v>
      </c>
      <c r="AF300" s="38">
        <v>0</v>
      </c>
      <c r="AG300" s="39">
        <f>+IFERROR((FT_RF_264[[#This Row],[Valor Extra 2]]/FT_RF_264[[#This Row],[Muestra]]),"0")</f>
        <v>0</v>
      </c>
      <c r="AH300" s="40">
        <v>0</v>
      </c>
      <c r="AI300" s="39">
        <f>+IFERROR((FT_RF_264[[#This Row],[Hongos]]/FT_RF_264[[#This Row],[Muestra]]),"0")</f>
        <v>0</v>
      </c>
      <c r="AJ300" s="38">
        <v>0</v>
      </c>
      <c r="AK300" s="39">
        <f>+IFERROR((FT_RF_264[[#This Row],[Block]]/FT_RF_264[[#This Row],[Muestra]]),"0")</f>
        <v>0</v>
      </c>
      <c r="AL300" s="41">
        <v>0</v>
      </c>
      <c r="AM300" s="42">
        <v>0</v>
      </c>
      <c r="AN300" s="38">
        <v>0</v>
      </c>
      <c r="AO300" s="39">
        <f>+IFERROR((FT_RF_264[[#This Row],[Fuera de calibre &lt;12mm]]/FT_RF_264[[#This Row],[Muestra]]),"0")</f>
        <v>0</v>
      </c>
      <c r="AP300" s="38">
        <v>0</v>
      </c>
      <c r="AQ300" s="39">
        <f>+IFERROR((FT_RF_264[[#This Row],[Calibre &lt;25]]/FT_RF_264[[#This Row],[Muestra]]),"0")</f>
        <v>0</v>
      </c>
      <c r="AR300" s="38">
        <v>0</v>
      </c>
      <c r="AS300" s="39">
        <f>+IFERROR((FT_RF_264[[#This Row],[Calibre &gt;12]]/FT_RF_264[[#This Row],[Muestra]]),"0")</f>
        <v>0</v>
      </c>
      <c r="AT300" s="38">
        <v>0</v>
      </c>
      <c r="AU300" s="39">
        <f>+IFERROR((FT_RF_264[[#This Row],[Calibre &lt;14]]/FT_RF_264[[#This Row],[Muestra]]),"0")</f>
        <v>0</v>
      </c>
      <c r="AV300" s="38">
        <v>0</v>
      </c>
      <c r="AW300" s="39">
        <f>+IFERROR((FT_RF_264[[#This Row],[Calibre &gt;14]]/FT_RF_264[[#This Row],[Muestra]]),"0")</f>
        <v>0</v>
      </c>
      <c r="AX300" s="38">
        <v>0</v>
      </c>
      <c r="AY300" s="39">
        <f>+IFERROR((FT_RF_264[[#This Row],[Calibre &lt;10]]/FT_RF_264[[#This Row],[Muestra]]),"0")</f>
        <v>0</v>
      </c>
      <c r="AZ300" s="38">
        <v>0</v>
      </c>
      <c r="BA300" s="39">
        <f>+IFERROR((FT_RF_264[[#This Row],[Calibre &gt;13]]/FT_RF_264[[#This Row],[Muestra]]),"0")</f>
        <v>0</v>
      </c>
      <c r="BB300" s="41"/>
      <c r="BG300" s="42"/>
      <c r="BH300" s="43">
        <v>0</v>
      </c>
      <c r="BI300" s="29" t="s">
        <v>894</v>
      </c>
      <c r="BJ300" s="29" t="s">
        <v>894</v>
      </c>
      <c r="BK30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0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00" s="45">
        <f>1-FT_RF_264[[#This Row],[% Defectos]]</f>
        <v>1</v>
      </c>
      <c r="BO300" s="60"/>
      <c r="BP300" s="12">
        <f>SUM(FT_RF_264[[#This Row],[Hoja (Un.)]:[Larvas Caja]])</f>
        <v>0</v>
      </c>
      <c r="BQ300" s="12">
        <f>SUM(FT_RF_264[[#This Row],[Vidrios]:[Plástico]])</f>
        <v>0</v>
      </c>
      <c r="BR300" s="12" t="str">
        <f>IF(ISBLANK(FT_RF_264[[#This Row],[Descripción del producto]]),"",FT_RF_264[[#This Row],[Descripción del producto]])</f>
        <v/>
      </c>
      <c r="BS300" s="29" t="str">
        <f>IF(ISBLANK(FT_RF_264[[#This Row],[N° de Lote]]),"",FT_RF_264[[#This Row],[N° de Lote]])</f>
        <v/>
      </c>
      <c r="BT300" s="29" t="str">
        <f>IF(ISBLANK(FT_RF_264[[#This Row],[N° de Pallet]]),"",FT_RF_264[[#This Row],[N° de Pallet]])</f>
        <v/>
      </c>
    </row>
    <row r="301" spans="2:72">
      <c r="B301" s="29">
        <f>+_xlfn.ISOWEEKNUM(FT_RF_264[[#This Row],[Fecha]])</f>
        <v>52</v>
      </c>
      <c r="E301" s="31"/>
      <c r="F301" s="12" t="str">
        <f>IFERROR(""&amp;_xlfn.XLOOKUP(FT_RF_264[[#This Row],[Código]],BD_Cod[SKU],BD_Cod[Descripción]),"")</f>
        <v/>
      </c>
      <c r="G301" s="32" t="str">
        <f>IFERROR(""&amp;_xlfn.XLOOKUP(FT_RF_264[[#This Row],[Código]],BD_Cod[SKU],BD_Cod[Familia Calidad]),"")</f>
        <v/>
      </c>
      <c r="J301" s="33">
        <v>1000</v>
      </c>
      <c r="L301" s="30" t="s">
        <v>244</v>
      </c>
      <c r="O301" s="30" t="s">
        <v>894</v>
      </c>
      <c r="P301" s="29" t="s">
        <v>894</v>
      </c>
      <c r="Q301" s="37">
        <f>1-FT_RF_264[[#This Row],[% Defectos]]</f>
        <v>1</v>
      </c>
      <c r="R301" s="38">
        <v>0</v>
      </c>
      <c r="S301" s="39">
        <f>+IFERROR((FT_RF_264[[#This Row],[Inmadura]]/FT_RF_264[[#This Row],[Muestra]]),"0")</f>
        <v>0</v>
      </c>
      <c r="T301" s="38">
        <v>0</v>
      </c>
      <c r="U301" s="39">
        <f>+IFERROR((FT_RF_264[[#This Row],[Partidas]]/FT_RF_264[[#This Row],[Muestra]]),"0")</f>
        <v>0</v>
      </c>
      <c r="V301" s="38">
        <v>0</v>
      </c>
      <c r="W301" s="39">
        <f>+IFERROR((FT_RF_264[[#This Row],[Daño Insecto]]/FT_RF_264[[#This Row],[Muestra]]),"0")</f>
        <v>0</v>
      </c>
      <c r="X301" s="38">
        <v>0</v>
      </c>
      <c r="Y301" s="39">
        <f>+IFERROR((FT_RF_264[[#This Row],[Sobremadura]]/FT_RF_264[[#This Row],[Muestra]]),"0")</f>
        <v>0</v>
      </c>
      <c r="Z301" s="38">
        <v>0</v>
      </c>
      <c r="AA301" s="39">
        <f>+IFERROR((FT_RF_264[[#This Row],[Deforme]]/FT_RF_264[[#This Row],[Muestra]]),"0")</f>
        <v>0</v>
      </c>
      <c r="AB301" s="27"/>
      <c r="AC301" s="38">
        <v>0</v>
      </c>
      <c r="AD301" s="39">
        <f>+IFERROR((FT_RF_264[[#This Row],[Valor Extra 1]]/FT_RF_264[[#This Row],[Muestra]]),"0")</f>
        <v>0</v>
      </c>
      <c r="AF301" s="38">
        <v>0</v>
      </c>
      <c r="AG301" s="39">
        <f>+IFERROR((FT_RF_264[[#This Row],[Valor Extra 2]]/FT_RF_264[[#This Row],[Muestra]]),"0")</f>
        <v>0</v>
      </c>
      <c r="AH301" s="40">
        <v>0</v>
      </c>
      <c r="AI301" s="39">
        <f>+IFERROR((FT_RF_264[[#This Row],[Hongos]]/FT_RF_264[[#This Row],[Muestra]]),"0")</f>
        <v>0</v>
      </c>
      <c r="AJ301" s="38">
        <v>0</v>
      </c>
      <c r="AK301" s="39">
        <f>+IFERROR((FT_RF_264[[#This Row],[Block]]/FT_RF_264[[#This Row],[Muestra]]),"0")</f>
        <v>0</v>
      </c>
      <c r="AL301" s="41">
        <v>0</v>
      </c>
      <c r="AM301" s="42">
        <v>0</v>
      </c>
      <c r="AN301" s="38">
        <v>0</v>
      </c>
      <c r="AO301" s="39">
        <f>+IFERROR((FT_RF_264[[#This Row],[Fuera de calibre &lt;12mm]]/FT_RF_264[[#This Row],[Muestra]]),"0")</f>
        <v>0</v>
      </c>
      <c r="AP301" s="38">
        <v>0</v>
      </c>
      <c r="AQ301" s="39">
        <f>+IFERROR((FT_RF_264[[#This Row],[Calibre &lt;25]]/FT_RF_264[[#This Row],[Muestra]]),"0")</f>
        <v>0</v>
      </c>
      <c r="AR301" s="38">
        <v>0</v>
      </c>
      <c r="AS301" s="39">
        <f>+IFERROR((FT_RF_264[[#This Row],[Calibre &gt;12]]/FT_RF_264[[#This Row],[Muestra]]),"0")</f>
        <v>0</v>
      </c>
      <c r="AT301" s="38">
        <v>0</v>
      </c>
      <c r="AU301" s="39">
        <f>+IFERROR((FT_RF_264[[#This Row],[Calibre &lt;14]]/FT_RF_264[[#This Row],[Muestra]]),"0")</f>
        <v>0</v>
      </c>
      <c r="AV301" s="38">
        <v>0</v>
      </c>
      <c r="AW301" s="39">
        <f>+IFERROR((FT_RF_264[[#This Row],[Calibre &gt;14]]/FT_RF_264[[#This Row],[Muestra]]),"0")</f>
        <v>0</v>
      </c>
      <c r="AX301" s="38">
        <v>0</v>
      </c>
      <c r="AY301" s="39">
        <f>+IFERROR((FT_RF_264[[#This Row],[Calibre &lt;10]]/FT_RF_264[[#This Row],[Muestra]]),"0")</f>
        <v>0</v>
      </c>
      <c r="AZ301" s="38">
        <v>0</v>
      </c>
      <c r="BA301" s="39">
        <f>+IFERROR((FT_RF_264[[#This Row],[Calibre &gt;13]]/FT_RF_264[[#This Row],[Muestra]]),"0")</f>
        <v>0</v>
      </c>
      <c r="BB301" s="41"/>
      <c r="BG301" s="42"/>
      <c r="BH301" s="43">
        <v>0</v>
      </c>
      <c r="BI301" s="29" t="s">
        <v>894</v>
      </c>
      <c r="BJ301" s="29" t="s">
        <v>894</v>
      </c>
      <c r="BK30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0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01" s="45">
        <f>1-FT_RF_264[[#This Row],[% Defectos]]</f>
        <v>1</v>
      </c>
      <c r="BO301" s="60"/>
      <c r="BP301" s="12">
        <f>SUM(FT_RF_264[[#This Row],[Hoja (Un.)]:[Larvas Caja]])</f>
        <v>0</v>
      </c>
      <c r="BQ301" s="12">
        <f>SUM(FT_RF_264[[#This Row],[Vidrios]:[Plástico]])</f>
        <v>0</v>
      </c>
      <c r="BR301" s="12" t="str">
        <f>IF(ISBLANK(FT_RF_264[[#This Row],[Descripción del producto]]),"",FT_RF_264[[#This Row],[Descripción del producto]])</f>
        <v/>
      </c>
      <c r="BS301" s="29" t="str">
        <f>IF(ISBLANK(FT_RF_264[[#This Row],[N° de Lote]]),"",FT_RF_264[[#This Row],[N° de Lote]])</f>
        <v/>
      </c>
      <c r="BT301" s="29" t="str">
        <f>IF(ISBLANK(FT_RF_264[[#This Row],[N° de Pallet]]),"",FT_RF_264[[#This Row],[N° de Pallet]])</f>
        <v/>
      </c>
    </row>
    <row r="302" spans="2:72">
      <c r="B302" s="29">
        <f>+_xlfn.ISOWEEKNUM(FT_RF_264[[#This Row],[Fecha]])</f>
        <v>52</v>
      </c>
      <c r="E302" s="31"/>
      <c r="F302" s="12" t="str">
        <f>IFERROR(""&amp;_xlfn.XLOOKUP(FT_RF_264[[#This Row],[Código]],BD_Cod[SKU],BD_Cod[Descripción]),"")</f>
        <v/>
      </c>
      <c r="G302" s="32" t="str">
        <f>IFERROR(""&amp;_xlfn.XLOOKUP(FT_RF_264[[#This Row],[Código]],BD_Cod[SKU],BD_Cod[Familia Calidad]),"")</f>
        <v/>
      </c>
      <c r="J302" s="33">
        <v>1000</v>
      </c>
      <c r="L302" s="30" t="s">
        <v>244</v>
      </c>
      <c r="O302" s="30" t="s">
        <v>894</v>
      </c>
      <c r="P302" s="29" t="s">
        <v>894</v>
      </c>
      <c r="Q302" s="37">
        <f>1-FT_RF_264[[#This Row],[% Defectos]]</f>
        <v>1</v>
      </c>
      <c r="R302" s="38">
        <v>0</v>
      </c>
      <c r="S302" s="39">
        <f>+IFERROR((FT_RF_264[[#This Row],[Inmadura]]/FT_RF_264[[#This Row],[Muestra]]),"0")</f>
        <v>0</v>
      </c>
      <c r="T302" s="38">
        <v>0</v>
      </c>
      <c r="U302" s="39">
        <f>+IFERROR((FT_RF_264[[#This Row],[Partidas]]/FT_RF_264[[#This Row],[Muestra]]),"0")</f>
        <v>0</v>
      </c>
      <c r="V302" s="38">
        <v>0</v>
      </c>
      <c r="W302" s="39">
        <f>+IFERROR((FT_RF_264[[#This Row],[Daño Insecto]]/FT_RF_264[[#This Row],[Muestra]]),"0")</f>
        <v>0</v>
      </c>
      <c r="X302" s="38">
        <v>0</v>
      </c>
      <c r="Y302" s="39">
        <f>+IFERROR((FT_RF_264[[#This Row],[Sobremadura]]/FT_RF_264[[#This Row],[Muestra]]),"0")</f>
        <v>0</v>
      </c>
      <c r="Z302" s="38">
        <v>0</v>
      </c>
      <c r="AA302" s="39">
        <f>+IFERROR((FT_RF_264[[#This Row],[Deforme]]/FT_RF_264[[#This Row],[Muestra]]),"0")</f>
        <v>0</v>
      </c>
      <c r="AB302" s="27"/>
      <c r="AC302" s="38">
        <v>0</v>
      </c>
      <c r="AD302" s="39">
        <f>+IFERROR((FT_RF_264[[#This Row],[Valor Extra 1]]/FT_RF_264[[#This Row],[Muestra]]),"0")</f>
        <v>0</v>
      </c>
      <c r="AF302" s="38">
        <v>0</v>
      </c>
      <c r="AG302" s="39">
        <f>+IFERROR((FT_RF_264[[#This Row],[Valor Extra 2]]/FT_RF_264[[#This Row],[Muestra]]),"0")</f>
        <v>0</v>
      </c>
      <c r="AH302" s="40">
        <v>0</v>
      </c>
      <c r="AI302" s="39">
        <f>+IFERROR((FT_RF_264[[#This Row],[Hongos]]/FT_RF_264[[#This Row],[Muestra]]),"0")</f>
        <v>0</v>
      </c>
      <c r="AJ302" s="38">
        <v>0</v>
      </c>
      <c r="AK302" s="39">
        <f>+IFERROR((FT_RF_264[[#This Row],[Block]]/FT_RF_264[[#This Row],[Muestra]]),"0")</f>
        <v>0</v>
      </c>
      <c r="AL302" s="41">
        <v>0</v>
      </c>
      <c r="AM302" s="42">
        <v>0</v>
      </c>
      <c r="AN302" s="38">
        <v>0</v>
      </c>
      <c r="AO302" s="39">
        <f>+IFERROR((FT_RF_264[[#This Row],[Fuera de calibre &lt;12mm]]/FT_RF_264[[#This Row],[Muestra]]),"0")</f>
        <v>0</v>
      </c>
      <c r="AP302" s="38">
        <v>0</v>
      </c>
      <c r="AQ302" s="39">
        <f>+IFERROR((FT_RF_264[[#This Row],[Calibre &lt;25]]/FT_RF_264[[#This Row],[Muestra]]),"0")</f>
        <v>0</v>
      </c>
      <c r="AR302" s="38">
        <v>0</v>
      </c>
      <c r="AS302" s="39">
        <f>+IFERROR((FT_RF_264[[#This Row],[Calibre &gt;12]]/FT_RF_264[[#This Row],[Muestra]]),"0")</f>
        <v>0</v>
      </c>
      <c r="AT302" s="38">
        <v>0</v>
      </c>
      <c r="AU302" s="39">
        <f>+IFERROR((FT_RF_264[[#This Row],[Calibre &lt;14]]/FT_RF_264[[#This Row],[Muestra]]),"0")</f>
        <v>0</v>
      </c>
      <c r="AV302" s="38">
        <v>0</v>
      </c>
      <c r="AW302" s="39">
        <f>+IFERROR((FT_RF_264[[#This Row],[Calibre &gt;14]]/FT_RF_264[[#This Row],[Muestra]]),"0")</f>
        <v>0</v>
      </c>
      <c r="AX302" s="38">
        <v>0</v>
      </c>
      <c r="AY302" s="39">
        <f>+IFERROR((FT_RF_264[[#This Row],[Calibre &lt;10]]/FT_RF_264[[#This Row],[Muestra]]),"0")</f>
        <v>0</v>
      </c>
      <c r="AZ302" s="38">
        <v>0</v>
      </c>
      <c r="BA302" s="39">
        <f>+IFERROR((FT_RF_264[[#This Row],[Calibre &gt;13]]/FT_RF_264[[#This Row],[Muestra]]),"0")</f>
        <v>0</v>
      </c>
      <c r="BB302" s="41"/>
      <c r="BG302" s="42"/>
      <c r="BH302" s="43">
        <v>0</v>
      </c>
      <c r="BI302" s="29" t="s">
        <v>894</v>
      </c>
      <c r="BJ302" s="29" t="s">
        <v>894</v>
      </c>
      <c r="BK30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0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02" s="45">
        <f>1-FT_RF_264[[#This Row],[% Defectos]]</f>
        <v>1</v>
      </c>
      <c r="BO302" s="60"/>
      <c r="BP302" s="12">
        <f>SUM(FT_RF_264[[#This Row],[Hoja (Un.)]:[Larvas Caja]])</f>
        <v>0</v>
      </c>
      <c r="BQ302" s="12">
        <f>SUM(FT_RF_264[[#This Row],[Vidrios]:[Plástico]])</f>
        <v>0</v>
      </c>
      <c r="BR302" s="12" t="str">
        <f>IF(ISBLANK(FT_RF_264[[#This Row],[Descripción del producto]]),"",FT_RF_264[[#This Row],[Descripción del producto]])</f>
        <v/>
      </c>
      <c r="BS302" s="29" t="str">
        <f>IF(ISBLANK(FT_RF_264[[#This Row],[N° de Lote]]),"",FT_RF_264[[#This Row],[N° de Lote]])</f>
        <v/>
      </c>
      <c r="BT302" s="29" t="str">
        <f>IF(ISBLANK(FT_RF_264[[#This Row],[N° de Pallet]]),"",FT_RF_264[[#This Row],[N° de Pallet]])</f>
        <v/>
      </c>
    </row>
    <row r="303" spans="2:72">
      <c r="B303" s="29">
        <f>+_xlfn.ISOWEEKNUM(FT_RF_264[[#This Row],[Fecha]])</f>
        <v>52</v>
      </c>
      <c r="E303" s="31"/>
      <c r="F303" s="12" t="str">
        <f>IFERROR(""&amp;_xlfn.XLOOKUP(FT_RF_264[[#This Row],[Código]],BD_Cod[SKU],BD_Cod[Descripción]),"")</f>
        <v/>
      </c>
      <c r="G303" s="32" t="str">
        <f>IFERROR(""&amp;_xlfn.XLOOKUP(FT_RF_264[[#This Row],[Código]],BD_Cod[SKU],BD_Cod[Familia Calidad]),"")</f>
        <v/>
      </c>
      <c r="J303" s="33">
        <v>1000</v>
      </c>
      <c r="L303" s="30" t="s">
        <v>244</v>
      </c>
      <c r="O303" s="30" t="s">
        <v>894</v>
      </c>
      <c r="P303" s="29" t="s">
        <v>894</v>
      </c>
      <c r="Q303" s="37">
        <f>1-FT_RF_264[[#This Row],[% Defectos]]</f>
        <v>1</v>
      </c>
      <c r="R303" s="38">
        <v>0</v>
      </c>
      <c r="S303" s="39">
        <f>+IFERROR((FT_RF_264[[#This Row],[Inmadura]]/FT_RF_264[[#This Row],[Muestra]]),"0")</f>
        <v>0</v>
      </c>
      <c r="T303" s="38">
        <v>0</v>
      </c>
      <c r="U303" s="39">
        <f>+IFERROR((FT_RF_264[[#This Row],[Partidas]]/FT_RF_264[[#This Row],[Muestra]]),"0")</f>
        <v>0</v>
      </c>
      <c r="V303" s="38">
        <v>0</v>
      </c>
      <c r="W303" s="39">
        <f>+IFERROR((FT_RF_264[[#This Row],[Daño Insecto]]/FT_RF_264[[#This Row],[Muestra]]),"0")</f>
        <v>0</v>
      </c>
      <c r="X303" s="38">
        <v>0</v>
      </c>
      <c r="Y303" s="39">
        <f>+IFERROR((FT_RF_264[[#This Row],[Sobremadura]]/FT_RF_264[[#This Row],[Muestra]]),"0")</f>
        <v>0</v>
      </c>
      <c r="Z303" s="38">
        <v>0</v>
      </c>
      <c r="AA303" s="39">
        <f>+IFERROR((FT_RF_264[[#This Row],[Deforme]]/FT_RF_264[[#This Row],[Muestra]]),"0")</f>
        <v>0</v>
      </c>
      <c r="AB303" s="27"/>
      <c r="AC303" s="38">
        <v>0</v>
      </c>
      <c r="AD303" s="39">
        <f>+IFERROR((FT_RF_264[[#This Row],[Valor Extra 1]]/FT_RF_264[[#This Row],[Muestra]]),"0")</f>
        <v>0</v>
      </c>
      <c r="AF303" s="38">
        <v>0</v>
      </c>
      <c r="AG303" s="39">
        <f>+IFERROR((FT_RF_264[[#This Row],[Valor Extra 2]]/FT_RF_264[[#This Row],[Muestra]]),"0")</f>
        <v>0</v>
      </c>
      <c r="AH303" s="40">
        <v>0</v>
      </c>
      <c r="AI303" s="39">
        <f>+IFERROR((FT_RF_264[[#This Row],[Hongos]]/FT_RF_264[[#This Row],[Muestra]]),"0")</f>
        <v>0</v>
      </c>
      <c r="AJ303" s="38">
        <v>0</v>
      </c>
      <c r="AK303" s="39">
        <f>+IFERROR((FT_RF_264[[#This Row],[Block]]/FT_RF_264[[#This Row],[Muestra]]),"0")</f>
        <v>0</v>
      </c>
      <c r="AL303" s="41">
        <v>0</v>
      </c>
      <c r="AM303" s="42">
        <v>0</v>
      </c>
      <c r="AN303" s="38">
        <v>0</v>
      </c>
      <c r="AO303" s="39">
        <f>+IFERROR((FT_RF_264[[#This Row],[Fuera de calibre &lt;12mm]]/FT_RF_264[[#This Row],[Muestra]]),"0")</f>
        <v>0</v>
      </c>
      <c r="AP303" s="38">
        <v>0</v>
      </c>
      <c r="AQ303" s="39">
        <f>+IFERROR((FT_RF_264[[#This Row],[Calibre &lt;25]]/FT_RF_264[[#This Row],[Muestra]]),"0")</f>
        <v>0</v>
      </c>
      <c r="AR303" s="38">
        <v>0</v>
      </c>
      <c r="AS303" s="39">
        <f>+IFERROR((FT_RF_264[[#This Row],[Calibre &gt;12]]/FT_RF_264[[#This Row],[Muestra]]),"0")</f>
        <v>0</v>
      </c>
      <c r="AT303" s="38">
        <v>0</v>
      </c>
      <c r="AU303" s="39">
        <f>+IFERROR((FT_RF_264[[#This Row],[Calibre &lt;14]]/FT_RF_264[[#This Row],[Muestra]]),"0")</f>
        <v>0</v>
      </c>
      <c r="AV303" s="38">
        <v>0</v>
      </c>
      <c r="AW303" s="39">
        <f>+IFERROR((FT_RF_264[[#This Row],[Calibre &gt;14]]/FT_RF_264[[#This Row],[Muestra]]),"0")</f>
        <v>0</v>
      </c>
      <c r="AX303" s="38">
        <v>0</v>
      </c>
      <c r="AY303" s="39">
        <f>+IFERROR((FT_RF_264[[#This Row],[Calibre &lt;10]]/FT_RF_264[[#This Row],[Muestra]]),"0")</f>
        <v>0</v>
      </c>
      <c r="AZ303" s="38">
        <v>0</v>
      </c>
      <c r="BA303" s="39">
        <f>+IFERROR((FT_RF_264[[#This Row],[Calibre &gt;13]]/FT_RF_264[[#This Row],[Muestra]]),"0")</f>
        <v>0</v>
      </c>
      <c r="BB303" s="41"/>
      <c r="BG303" s="42"/>
      <c r="BH303" s="43">
        <v>0</v>
      </c>
      <c r="BI303" s="29" t="s">
        <v>894</v>
      </c>
      <c r="BJ303" s="29" t="s">
        <v>894</v>
      </c>
      <c r="BK30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0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03" s="45">
        <f>1-FT_RF_264[[#This Row],[% Defectos]]</f>
        <v>1</v>
      </c>
      <c r="BO303" s="60"/>
      <c r="BP303" s="12">
        <f>SUM(FT_RF_264[[#This Row],[Hoja (Un.)]:[Larvas Caja]])</f>
        <v>0</v>
      </c>
      <c r="BQ303" s="12">
        <f>SUM(FT_RF_264[[#This Row],[Vidrios]:[Plástico]])</f>
        <v>0</v>
      </c>
      <c r="BR303" s="12" t="str">
        <f>IF(ISBLANK(FT_RF_264[[#This Row],[Descripción del producto]]),"",FT_RF_264[[#This Row],[Descripción del producto]])</f>
        <v/>
      </c>
      <c r="BS303" s="29" t="str">
        <f>IF(ISBLANK(FT_RF_264[[#This Row],[N° de Lote]]),"",FT_RF_264[[#This Row],[N° de Lote]])</f>
        <v/>
      </c>
      <c r="BT303" s="29" t="str">
        <f>IF(ISBLANK(FT_RF_264[[#This Row],[N° de Pallet]]),"",FT_RF_264[[#This Row],[N° de Pallet]])</f>
        <v/>
      </c>
    </row>
    <row r="304" spans="2:72">
      <c r="B304" s="29">
        <f>+_xlfn.ISOWEEKNUM(FT_RF_264[[#This Row],[Fecha]])</f>
        <v>52</v>
      </c>
      <c r="E304" s="31"/>
      <c r="F304" s="12" t="str">
        <f>IFERROR(""&amp;_xlfn.XLOOKUP(FT_RF_264[[#This Row],[Código]],BD_Cod[SKU],BD_Cod[Descripción]),"")</f>
        <v/>
      </c>
      <c r="G304" s="32" t="str">
        <f>IFERROR(""&amp;_xlfn.XLOOKUP(FT_RF_264[[#This Row],[Código]],BD_Cod[SKU],BD_Cod[Familia Calidad]),"")</f>
        <v/>
      </c>
      <c r="J304" s="33">
        <v>1000</v>
      </c>
      <c r="L304" s="30" t="s">
        <v>244</v>
      </c>
      <c r="O304" s="30" t="s">
        <v>894</v>
      </c>
      <c r="P304" s="29" t="s">
        <v>894</v>
      </c>
      <c r="Q304" s="37">
        <f>1-FT_RF_264[[#This Row],[% Defectos]]</f>
        <v>1</v>
      </c>
      <c r="R304" s="38">
        <v>0</v>
      </c>
      <c r="S304" s="39">
        <f>+IFERROR((FT_RF_264[[#This Row],[Inmadura]]/FT_RF_264[[#This Row],[Muestra]]),"0")</f>
        <v>0</v>
      </c>
      <c r="T304" s="38">
        <v>0</v>
      </c>
      <c r="U304" s="39">
        <f>+IFERROR((FT_RF_264[[#This Row],[Partidas]]/FT_RF_264[[#This Row],[Muestra]]),"0")</f>
        <v>0</v>
      </c>
      <c r="V304" s="38">
        <v>0</v>
      </c>
      <c r="W304" s="39">
        <f>+IFERROR((FT_RF_264[[#This Row],[Daño Insecto]]/FT_RF_264[[#This Row],[Muestra]]),"0")</f>
        <v>0</v>
      </c>
      <c r="X304" s="38">
        <v>0</v>
      </c>
      <c r="Y304" s="39">
        <f>+IFERROR((FT_RF_264[[#This Row],[Sobremadura]]/FT_RF_264[[#This Row],[Muestra]]),"0")</f>
        <v>0</v>
      </c>
      <c r="Z304" s="38">
        <v>0</v>
      </c>
      <c r="AA304" s="39">
        <f>+IFERROR((FT_RF_264[[#This Row],[Deforme]]/FT_RF_264[[#This Row],[Muestra]]),"0")</f>
        <v>0</v>
      </c>
      <c r="AB304" s="27"/>
      <c r="AC304" s="38">
        <v>0</v>
      </c>
      <c r="AD304" s="39">
        <f>+IFERROR((FT_RF_264[[#This Row],[Valor Extra 1]]/FT_RF_264[[#This Row],[Muestra]]),"0")</f>
        <v>0</v>
      </c>
      <c r="AF304" s="38">
        <v>0</v>
      </c>
      <c r="AG304" s="39">
        <f>+IFERROR((FT_RF_264[[#This Row],[Valor Extra 2]]/FT_RF_264[[#This Row],[Muestra]]),"0")</f>
        <v>0</v>
      </c>
      <c r="AH304" s="40">
        <v>0</v>
      </c>
      <c r="AI304" s="39">
        <f>+IFERROR((FT_RF_264[[#This Row],[Hongos]]/FT_RF_264[[#This Row],[Muestra]]),"0")</f>
        <v>0</v>
      </c>
      <c r="AJ304" s="38">
        <v>0</v>
      </c>
      <c r="AK304" s="39">
        <f>+IFERROR((FT_RF_264[[#This Row],[Block]]/FT_RF_264[[#This Row],[Muestra]]),"0")</f>
        <v>0</v>
      </c>
      <c r="AL304" s="41">
        <v>0</v>
      </c>
      <c r="AM304" s="42">
        <v>0</v>
      </c>
      <c r="AN304" s="38">
        <v>0</v>
      </c>
      <c r="AO304" s="39">
        <f>+IFERROR((FT_RF_264[[#This Row],[Fuera de calibre &lt;12mm]]/FT_RF_264[[#This Row],[Muestra]]),"0")</f>
        <v>0</v>
      </c>
      <c r="AP304" s="38">
        <v>0</v>
      </c>
      <c r="AQ304" s="39">
        <f>+IFERROR((FT_RF_264[[#This Row],[Calibre &lt;25]]/FT_RF_264[[#This Row],[Muestra]]),"0")</f>
        <v>0</v>
      </c>
      <c r="AR304" s="38">
        <v>0</v>
      </c>
      <c r="AS304" s="39">
        <f>+IFERROR((FT_RF_264[[#This Row],[Calibre &gt;12]]/FT_RF_264[[#This Row],[Muestra]]),"0")</f>
        <v>0</v>
      </c>
      <c r="AT304" s="38">
        <v>0</v>
      </c>
      <c r="AU304" s="39">
        <f>+IFERROR((FT_RF_264[[#This Row],[Calibre &lt;14]]/FT_RF_264[[#This Row],[Muestra]]),"0")</f>
        <v>0</v>
      </c>
      <c r="AV304" s="38">
        <v>0</v>
      </c>
      <c r="AW304" s="39">
        <f>+IFERROR((FT_RF_264[[#This Row],[Calibre &gt;14]]/FT_RF_264[[#This Row],[Muestra]]),"0")</f>
        <v>0</v>
      </c>
      <c r="AX304" s="38">
        <v>0</v>
      </c>
      <c r="AY304" s="39">
        <f>+IFERROR((FT_RF_264[[#This Row],[Calibre &lt;10]]/FT_RF_264[[#This Row],[Muestra]]),"0")</f>
        <v>0</v>
      </c>
      <c r="AZ304" s="38">
        <v>0</v>
      </c>
      <c r="BA304" s="39">
        <f>+IFERROR((FT_RF_264[[#This Row],[Calibre &gt;13]]/FT_RF_264[[#This Row],[Muestra]]),"0")</f>
        <v>0</v>
      </c>
      <c r="BB304" s="41"/>
      <c r="BG304" s="42"/>
      <c r="BH304" s="43">
        <v>0</v>
      </c>
      <c r="BI304" s="29" t="s">
        <v>894</v>
      </c>
      <c r="BJ304" s="29" t="s">
        <v>894</v>
      </c>
      <c r="BK30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0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04" s="45">
        <f>1-FT_RF_264[[#This Row],[% Defectos]]</f>
        <v>1</v>
      </c>
      <c r="BO304" s="60"/>
      <c r="BP304" s="12">
        <f>SUM(FT_RF_264[[#This Row],[Hoja (Un.)]:[Larvas Caja]])</f>
        <v>0</v>
      </c>
      <c r="BQ304" s="12">
        <f>SUM(FT_RF_264[[#This Row],[Vidrios]:[Plástico]])</f>
        <v>0</v>
      </c>
      <c r="BR304" s="12" t="str">
        <f>IF(ISBLANK(FT_RF_264[[#This Row],[Descripción del producto]]),"",FT_RF_264[[#This Row],[Descripción del producto]])</f>
        <v/>
      </c>
      <c r="BS304" s="29" t="str">
        <f>IF(ISBLANK(FT_RF_264[[#This Row],[N° de Lote]]),"",FT_RF_264[[#This Row],[N° de Lote]])</f>
        <v/>
      </c>
      <c r="BT304" s="29" t="str">
        <f>IF(ISBLANK(FT_RF_264[[#This Row],[N° de Pallet]]),"",FT_RF_264[[#This Row],[N° de Pallet]])</f>
        <v/>
      </c>
    </row>
    <row r="305" spans="2:72">
      <c r="B305" s="29">
        <f>+_xlfn.ISOWEEKNUM(FT_RF_264[[#This Row],[Fecha]])</f>
        <v>52</v>
      </c>
      <c r="E305" s="31"/>
      <c r="F305" s="12" t="str">
        <f>IFERROR(""&amp;_xlfn.XLOOKUP(FT_RF_264[[#This Row],[Código]],BD_Cod[SKU],BD_Cod[Descripción]),"")</f>
        <v/>
      </c>
      <c r="G305" s="32" t="str">
        <f>IFERROR(""&amp;_xlfn.XLOOKUP(FT_RF_264[[#This Row],[Código]],BD_Cod[SKU],BD_Cod[Familia Calidad]),"")</f>
        <v/>
      </c>
      <c r="J305" s="33">
        <v>1000</v>
      </c>
      <c r="L305" s="30" t="s">
        <v>244</v>
      </c>
      <c r="O305" s="30" t="s">
        <v>894</v>
      </c>
      <c r="P305" s="29" t="s">
        <v>894</v>
      </c>
      <c r="Q305" s="37">
        <f>1-FT_RF_264[[#This Row],[% Defectos]]</f>
        <v>1</v>
      </c>
      <c r="R305" s="38">
        <v>0</v>
      </c>
      <c r="S305" s="39">
        <f>+IFERROR((FT_RF_264[[#This Row],[Inmadura]]/FT_RF_264[[#This Row],[Muestra]]),"0")</f>
        <v>0</v>
      </c>
      <c r="T305" s="38">
        <v>0</v>
      </c>
      <c r="U305" s="39">
        <f>+IFERROR((FT_RF_264[[#This Row],[Partidas]]/FT_RF_264[[#This Row],[Muestra]]),"0")</f>
        <v>0</v>
      </c>
      <c r="V305" s="38">
        <v>0</v>
      </c>
      <c r="W305" s="39">
        <f>+IFERROR((FT_RF_264[[#This Row],[Daño Insecto]]/FT_RF_264[[#This Row],[Muestra]]),"0")</f>
        <v>0</v>
      </c>
      <c r="X305" s="38">
        <v>0</v>
      </c>
      <c r="Y305" s="39">
        <f>+IFERROR((FT_RF_264[[#This Row],[Sobremadura]]/FT_RF_264[[#This Row],[Muestra]]),"0")</f>
        <v>0</v>
      </c>
      <c r="Z305" s="38">
        <v>0</v>
      </c>
      <c r="AA305" s="39">
        <f>+IFERROR((FT_RF_264[[#This Row],[Deforme]]/FT_RF_264[[#This Row],[Muestra]]),"0")</f>
        <v>0</v>
      </c>
      <c r="AB305" s="27"/>
      <c r="AC305" s="38">
        <v>0</v>
      </c>
      <c r="AD305" s="39">
        <f>+IFERROR((FT_RF_264[[#This Row],[Valor Extra 1]]/FT_RF_264[[#This Row],[Muestra]]),"0")</f>
        <v>0</v>
      </c>
      <c r="AF305" s="38">
        <v>0</v>
      </c>
      <c r="AG305" s="39">
        <f>+IFERROR((FT_RF_264[[#This Row],[Valor Extra 2]]/FT_RF_264[[#This Row],[Muestra]]),"0")</f>
        <v>0</v>
      </c>
      <c r="AH305" s="40">
        <v>0</v>
      </c>
      <c r="AI305" s="39">
        <f>+IFERROR((FT_RF_264[[#This Row],[Hongos]]/FT_RF_264[[#This Row],[Muestra]]),"0")</f>
        <v>0</v>
      </c>
      <c r="AJ305" s="38">
        <v>0</v>
      </c>
      <c r="AK305" s="39">
        <f>+IFERROR((FT_RF_264[[#This Row],[Block]]/FT_RF_264[[#This Row],[Muestra]]),"0")</f>
        <v>0</v>
      </c>
      <c r="AL305" s="41">
        <v>0</v>
      </c>
      <c r="AM305" s="42">
        <v>0</v>
      </c>
      <c r="AN305" s="38">
        <v>0</v>
      </c>
      <c r="AO305" s="39">
        <f>+IFERROR((FT_RF_264[[#This Row],[Fuera de calibre &lt;12mm]]/FT_RF_264[[#This Row],[Muestra]]),"0")</f>
        <v>0</v>
      </c>
      <c r="AP305" s="38">
        <v>0</v>
      </c>
      <c r="AQ305" s="39">
        <f>+IFERROR((FT_RF_264[[#This Row],[Calibre &lt;25]]/FT_RF_264[[#This Row],[Muestra]]),"0")</f>
        <v>0</v>
      </c>
      <c r="AR305" s="38">
        <v>0</v>
      </c>
      <c r="AS305" s="39">
        <f>+IFERROR((FT_RF_264[[#This Row],[Calibre &gt;12]]/FT_RF_264[[#This Row],[Muestra]]),"0")</f>
        <v>0</v>
      </c>
      <c r="AT305" s="38">
        <v>0</v>
      </c>
      <c r="AU305" s="39">
        <f>+IFERROR((FT_RF_264[[#This Row],[Calibre &lt;14]]/FT_RF_264[[#This Row],[Muestra]]),"0")</f>
        <v>0</v>
      </c>
      <c r="AV305" s="38">
        <v>0</v>
      </c>
      <c r="AW305" s="39">
        <f>+IFERROR((FT_RF_264[[#This Row],[Calibre &gt;14]]/FT_RF_264[[#This Row],[Muestra]]),"0")</f>
        <v>0</v>
      </c>
      <c r="AX305" s="38">
        <v>0</v>
      </c>
      <c r="AY305" s="39">
        <f>+IFERROR((FT_RF_264[[#This Row],[Calibre &lt;10]]/FT_RF_264[[#This Row],[Muestra]]),"0")</f>
        <v>0</v>
      </c>
      <c r="AZ305" s="38">
        <v>0</v>
      </c>
      <c r="BA305" s="39">
        <f>+IFERROR((FT_RF_264[[#This Row],[Calibre &gt;13]]/FT_RF_264[[#This Row],[Muestra]]),"0")</f>
        <v>0</v>
      </c>
      <c r="BB305" s="41"/>
      <c r="BG305" s="42"/>
      <c r="BH305" s="43">
        <v>0</v>
      </c>
      <c r="BI305" s="29" t="s">
        <v>894</v>
      </c>
      <c r="BJ305" s="29" t="s">
        <v>894</v>
      </c>
      <c r="BK30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0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05" s="45">
        <f>1-FT_RF_264[[#This Row],[% Defectos]]</f>
        <v>1</v>
      </c>
      <c r="BO305" s="60"/>
      <c r="BP305" s="12">
        <f>SUM(FT_RF_264[[#This Row],[Hoja (Un.)]:[Larvas Caja]])</f>
        <v>0</v>
      </c>
      <c r="BQ305" s="12">
        <f>SUM(FT_RF_264[[#This Row],[Vidrios]:[Plástico]])</f>
        <v>0</v>
      </c>
      <c r="BR305" s="12" t="str">
        <f>IF(ISBLANK(FT_RF_264[[#This Row],[Descripción del producto]]),"",FT_RF_264[[#This Row],[Descripción del producto]])</f>
        <v/>
      </c>
      <c r="BS305" s="29" t="str">
        <f>IF(ISBLANK(FT_RF_264[[#This Row],[N° de Lote]]),"",FT_RF_264[[#This Row],[N° de Lote]])</f>
        <v/>
      </c>
      <c r="BT305" s="29" t="str">
        <f>IF(ISBLANK(FT_RF_264[[#This Row],[N° de Pallet]]),"",FT_RF_264[[#This Row],[N° de Pallet]])</f>
        <v/>
      </c>
    </row>
    <row r="306" spans="2:72">
      <c r="B306" s="29">
        <f>+_xlfn.ISOWEEKNUM(FT_RF_264[[#This Row],[Fecha]])</f>
        <v>52</v>
      </c>
      <c r="E306" s="31"/>
      <c r="F306" s="12" t="str">
        <f>IFERROR(""&amp;_xlfn.XLOOKUP(FT_RF_264[[#This Row],[Código]],BD_Cod[SKU],BD_Cod[Descripción]),"")</f>
        <v/>
      </c>
      <c r="G306" s="32" t="str">
        <f>IFERROR(""&amp;_xlfn.XLOOKUP(FT_RF_264[[#This Row],[Código]],BD_Cod[SKU],BD_Cod[Familia Calidad]),"")</f>
        <v/>
      </c>
      <c r="J306" s="33">
        <v>1000</v>
      </c>
      <c r="L306" s="30" t="s">
        <v>244</v>
      </c>
      <c r="O306" s="30" t="s">
        <v>894</v>
      </c>
      <c r="P306" s="29" t="s">
        <v>894</v>
      </c>
      <c r="Q306" s="37">
        <f>1-FT_RF_264[[#This Row],[% Defectos]]</f>
        <v>1</v>
      </c>
      <c r="R306" s="38">
        <v>0</v>
      </c>
      <c r="S306" s="39">
        <f>+IFERROR((FT_RF_264[[#This Row],[Inmadura]]/FT_RF_264[[#This Row],[Muestra]]),"0")</f>
        <v>0</v>
      </c>
      <c r="T306" s="38">
        <v>0</v>
      </c>
      <c r="U306" s="39">
        <f>+IFERROR((FT_RF_264[[#This Row],[Partidas]]/FT_RF_264[[#This Row],[Muestra]]),"0")</f>
        <v>0</v>
      </c>
      <c r="V306" s="38">
        <v>0</v>
      </c>
      <c r="W306" s="39">
        <f>+IFERROR((FT_RF_264[[#This Row],[Daño Insecto]]/FT_RF_264[[#This Row],[Muestra]]),"0")</f>
        <v>0</v>
      </c>
      <c r="X306" s="38">
        <v>0</v>
      </c>
      <c r="Y306" s="39">
        <f>+IFERROR((FT_RF_264[[#This Row],[Sobremadura]]/FT_RF_264[[#This Row],[Muestra]]),"0")</f>
        <v>0</v>
      </c>
      <c r="Z306" s="38">
        <v>0</v>
      </c>
      <c r="AA306" s="39">
        <f>+IFERROR((FT_RF_264[[#This Row],[Deforme]]/FT_RF_264[[#This Row],[Muestra]]),"0")</f>
        <v>0</v>
      </c>
      <c r="AB306" s="27"/>
      <c r="AC306" s="38">
        <v>0</v>
      </c>
      <c r="AD306" s="39">
        <f>+IFERROR((FT_RF_264[[#This Row],[Valor Extra 1]]/FT_RF_264[[#This Row],[Muestra]]),"0")</f>
        <v>0</v>
      </c>
      <c r="AF306" s="38">
        <v>0</v>
      </c>
      <c r="AG306" s="39">
        <f>+IFERROR((FT_RF_264[[#This Row],[Valor Extra 2]]/FT_RF_264[[#This Row],[Muestra]]),"0")</f>
        <v>0</v>
      </c>
      <c r="AH306" s="40">
        <v>0</v>
      </c>
      <c r="AI306" s="39">
        <f>+IFERROR((FT_RF_264[[#This Row],[Hongos]]/FT_RF_264[[#This Row],[Muestra]]),"0")</f>
        <v>0</v>
      </c>
      <c r="AJ306" s="38">
        <v>0</v>
      </c>
      <c r="AK306" s="39">
        <f>+IFERROR((FT_RF_264[[#This Row],[Block]]/FT_RF_264[[#This Row],[Muestra]]),"0")</f>
        <v>0</v>
      </c>
      <c r="AL306" s="41">
        <v>0</v>
      </c>
      <c r="AM306" s="42">
        <v>0</v>
      </c>
      <c r="AN306" s="38">
        <v>0</v>
      </c>
      <c r="AO306" s="39">
        <f>+IFERROR((FT_RF_264[[#This Row],[Fuera de calibre &lt;12mm]]/FT_RF_264[[#This Row],[Muestra]]),"0")</f>
        <v>0</v>
      </c>
      <c r="AP306" s="38">
        <v>0</v>
      </c>
      <c r="AQ306" s="39">
        <f>+IFERROR((FT_RF_264[[#This Row],[Calibre &lt;25]]/FT_RF_264[[#This Row],[Muestra]]),"0")</f>
        <v>0</v>
      </c>
      <c r="AR306" s="38">
        <v>0</v>
      </c>
      <c r="AS306" s="39">
        <f>+IFERROR((FT_RF_264[[#This Row],[Calibre &gt;12]]/FT_RF_264[[#This Row],[Muestra]]),"0")</f>
        <v>0</v>
      </c>
      <c r="AT306" s="38">
        <v>0</v>
      </c>
      <c r="AU306" s="39">
        <f>+IFERROR((FT_RF_264[[#This Row],[Calibre &lt;14]]/FT_RF_264[[#This Row],[Muestra]]),"0")</f>
        <v>0</v>
      </c>
      <c r="AV306" s="38">
        <v>0</v>
      </c>
      <c r="AW306" s="39">
        <f>+IFERROR((FT_RF_264[[#This Row],[Calibre &gt;14]]/FT_RF_264[[#This Row],[Muestra]]),"0")</f>
        <v>0</v>
      </c>
      <c r="AX306" s="38">
        <v>0</v>
      </c>
      <c r="AY306" s="39">
        <f>+IFERROR((FT_RF_264[[#This Row],[Calibre &lt;10]]/FT_RF_264[[#This Row],[Muestra]]),"0")</f>
        <v>0</v>
      </c>
      <c r="AZ306" s="38">
        <v>0</v>
      </c>
      <c r="BA306" s="39">
        <f>+IFERROR((FT_RF_264[[#This Row],[Calibre &gt;13]]/FT_RF_264[[#This Row],[Muestra]]),"0")</f>
        <v>0</v>
      </c>
      <c r="BB306" s="41"/>
      <c r="BG306" s="42"/>
      <c r="BH306" s="43">
        <v>0</v>
      </c>
      <c r="BI306" s="29" t="s">
        <v>894</v>
      </c>
      <c r="BJ306" s="29" t="s">
        <v>894</v>
      </c>
      <c r="BK30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0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06" s="45">
        <f>1-FT_RF_264[[#This Row],[% Defectos]]</f>
        <v>1</v>
      </c>
      <c r="BO306" s="60"/>
      <c r="BP306" s="12">
        <f>SUM(FT_RF_264[[#This Row],[Hoja (Un.)]:[Larvas Caja]])</f>
        <v>0</v>
      </c>
      <c r="BQ306" s="12">
        <f>SUM(FT_RF_264[[#This Row],[Vidrios]:[Plástico]])</f>
        <v>0</v>
      </c>
      <c r="BR306" s="12" t="str">
        <f>IF(ISBLANK(FT_RF_264[[#This Row],[Descripción del producto]]),"",FT_RF_264[[#This Row],[Descripción del producto]])</f>
        <v/>
      </c>
      <c r="BS306" s="29" t="str">
        <f>IF(ISBLANK(FT_RF_264[[#This Row],[N° de Lote]]),"",FT_RF_264[[#This Row],[N° de Lote]])</f>
        <v/>
      </c>
      <c r="BT306" s="29" t="str">
        <f>IF(ISBLANK(FT_RF_264[[#This Row],[N° de Pallet]]),"",FT_RF_264[[#This Row],[N° de Pallet]])</f>
        <v/>
      </c>
    </row>
    <row r="307" spans="2:72">
      <c r="B307" s="29">
        <f>+_xlfn.ISOWEEKNUM(FT_RF_264[[#This Row],[Fecha]])</f>
        <v>52</v>
      </c>
      <c r="E307" s="31"/>
      <c r="F307" s="12" t="str">
        <f>IFERROR(""&amp;_xlfn.XLOOKUP(FT_RF_264[[#This Row],[Código]],BD_Cod[SKU],BD_Cod[Descripción]),"")</f>
        <v/>
      </c>
      <c r="G307" s="32" t="str">
        <f>IFERROR(""&amp;_xlfn.XLOOKUP(FT_RF_264[[#This Row],[Código]],BD_Cod[SKU],BD_Cod[Familia Calidad]),"")</f>
        <v/>
      </c>
      <c r="J307" s="33">
        <v>1000</v>
      </c>
      <c r="L307" s="30" t="s">
        <v>244</v>
      </c>
      <c r="O307" s="30" t="s">
        <v>894</v>
      </c>
      <c r="P307" s="29" t="s">
        <v>894</v>
      </c>
      <c r="Q307" s="37">
        <f>1-FT_RF_264[[#This Row],[% Defectos]]</f>
        <v>1</v>
      </c>
      <c r="R307" s="38">
        <v>0</v>
      </c>
      <c r="S307" s="39">
        <f>+IFERROR((FT_RF_264[[#This Row],[Inmadura]]/FT_RF_264[[#This Row],[Muestra]]),"0")</f>
        <v>0</v>
      </c>
      <c r="T307" s="38">
        <v>0</v>
      </c>
      <c r="U307" s="39">
        <f>+IFERROR((FT_RF_264[[#This Row],[Partidas]]/FT_RF_264[[#This Row],[Muestra]]),"0")</f>
        <v>0</v>
      </c>
      <c r="V307" s="38">
        <v>0</v>
      </c>
      <c r="W307" s="39">
        <f>+IFERROR((FT_RF_264[[#This Row],[Daño Insecto]]/FT_RF_264[[#This Row],[Muestra]]),"0")</f>
        <v>0</v>
      </c>
      <c r="X307" s="38">
        <v>0</v>
      </c>
      <c r="Y307" s="39">
        <f>+IFERROR((FT_RF_264[[#This Row],[Sobremadura]]/FT_RF_264[[#This Row],[Muestra]]),"0")</f>
        <v>0</v>
      </c>
      <c r="Z307" s="38">
        <v>0</v>
      </c>
      <c r="AA307" s="39">
        <f>+IFERROR((FT_RF_264[[#This Row],[Deforme]]/FT_RF_264[[#This Row],[Muestra]]),"0")</f>
        <v>0</v>
      </c>
      <c r="AB307" s="27"/>
      <c r="AC307" s="38">
        <v>0</v>
      </c>
      <c r="AD307" s="39">
        <f>+IFERROR((FT_RF_264[[#This Row],[Valor Extra 1]]/FT_RF_264[[#This Row],[Muestra]]),"0")</f>
        <v>0</v>
      </c>
      <c r="AF307" s="38">
        <v>0</v>
      </c>
      <c r="AG307" s="39">
        <f>+IFERROR((FT_RF_264[[#This Row],[Valor Extra 2]]/FT_RF_264[[#This Row],[Muestra]]),"0")</f>
        <v>0</v>
      </c>
      <c r="AH307" s="40">
        <v>0</v>
      </c>
      <c r="AI307" s="39">
        <f>+IFERROR((FT_RF_264[[#This Row],[Hongos]]/FT_RF_264[[#This Row],[Muestra]]),"0")</f>
        <v>0</v>
      </c>
      <c r="AJ307" s="38">
        <v>0</v>
      </c>
      <c r="AK307" s="39">
        <f>+IFERROR((FT_RF_264[[#This Row],[Block]]/FT_RF_264[[#This Row],[Muestra]]),"0")</f>
        <v>0</v>
      </c>
      <c r="AL307" s="41">
        <v>0</v>
      </c>
      <c r="AM307" s="42">
        <v>0</v>
      </c>
      <c r="AN307" s="38">
        <v>0</v>
      </c>
      <c r="AO307" s="39">
        <f>+IFERROR((FT_RF_264[[#This Row],[Fuera de calibre &lt;12mm]]/FT_RF_264[[#This Row],[Muestra]]),"0")</f>
        <v>0</v>
      </c>
      <c r="AP307" s="38">
        <v>0</v>
      </c>
      <c r="AQ307" s="39">
        <f>+IFERROR((FT_RF_264[[#This Row],[Calibre &lt;25]]/FT_RF_264[[#This Row],[Muestra]]),"0")</f>
        <v>0</v>
      </c>
      <c r="AR307" s="38">
        <v>0</v>
      </c>
      <c r="AS307" s="39">
        <f>+IFERROR((FT_RF_264[[#This Row],[Calibre &gt;12]]/FT_RF_264[[#This Row],[Muestra]]),"0")</f>
        <v>0</v>
      </c>
      <c r="AT307" s="38">
        <v>0</v>
      </c>
      <c r="AU307" s="39">
        <f>+IFERROR((FT_RF_264[[#This Row],[Calibre &lt;14]]/FT_RF_264[[#This Row],[Muestra]]),"0")</f>
        <v>0</v>
      </c>
      <c r="AV307" s="38">
        <v>0</v>
      </c>
      <c r="AW307" s="39">
        <f>+IFERROR((FT_RF_264[[#This Row],[Calibre &gt;14]]/FT_RF_264[[#This Row],[Muestra]]),"0")</f>
        <v>0</v>
      </c>
      <c r="AX307" s="38">
        <v>0</v>
      </c>
      <c r="AY307" s="39">
        <f>+IFERROR((FT_RF_264[[#This Row],[Calibre &lt;10]]/FT_RF_264[[#This Row],[Muestra]]),"0")</f>
        <v>0</v>
      </c>
      <c r="AZ307" s="38">
        <v>0</v>
      </c>
      <c r="BA307" s="39">
        <f>+IFERROR((FT_RF_264[[#This Row],[Calibre &gt;13]]/FT_RF_264[[#This Row],[Muestra]]),"0")</f>
        <v>0</v>
      </c>
      <c r="BB307" s="41"/>
      <c r="BG307" s="42"/>
      <c r="BH307" s="43">
        <v>0</v>
      </c>
      <c r="BI307" s="29" t="s">
        <v>894</v>
      </c>
      <c r="BJ307" s="29" t="s">
        <v>894</v>
      </c>
      <c r="BK30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0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07" s="45">
        <f>1-FT_RF_264[[#This Row],[% Defectos]]</f>
        <v>1</v>
      </c>
      <c r="BO307" s="60"/>
      <c r="BP307" s="12">
        <f>SUM(FT_RF_264[[#This Row],[Hoja (Un.)]:[Larvas Caja]])</f>
        <v>0</v>
      </c>
      <c r="BQ307" s="12">
        <f>SUM(FT_RF_264[[#This Row],[Vidrios]:[Plástico]])</f>
        <v>0</v>
      </c>
      <c r="BR307" s="12" t="str">
        <f>IF(ISBLANK(FT_RF_264[[#This Row],[Descripción del producto]]),"",FT_RF_264[[#This Row],[Descripción del producto]])</f>
        <v/>
      </c>
      <c r="BS307" s="29" t="str">
        <f>IF(ISBLANK(FT_RF_264[[#This Row],[N° de Lote]]),"",FT_RF_264[[#This Row],[N° de Lote]])</f>
        <v/>
      </c>
      <c r="BT307" s="29" t="str">
        <f>IF(ISBLANK(FT_RF_264[[#This Row],[N° de Pallet]]),"",FT_RF_264[[#This Row],[N° de Pallet]])</f>
        <v/>
      </c>
    </row>
    <row r="308" spans="2:72">
      <c r="B308" s="29">
        <f>+_xlfn.ISOWEEKNUM(FT_RF_264[[#This Row],[Fecha]])</f>
        <v>52</v>
      </c>
      <c r="E308" s="31"/>
      <c r="F308" s="12" t="str">
        <f>IFERROR(""&amp;_xlfn.XLOOKUP(FT_RF_264[[#This Row],[Código]],BD_Cod[SKU],BD_Cod[Descripción]),"")</f>
        <v/>
      </c>
      <c r="G308" s="32" t="str">
        <f>IFERROR(""&amp;_xlfn.XLOOKUP(FT_RF_264[[#This Row],[Código]],BD_Cod[SKU],BD_Cod[Familia Calidad]),"")</f>
        <v/>
      </c>
      <c r="J308" s="33">
        <v>1000</v>
      </c>
      <c r="L308" s="30" t="s">
        <v>244</v>
      </c>
      <c r="O308" s="30" t="s">
        <v>894</v>
      </c>
      <c r="P308" s="29" t="s">
        <v>894</v>
      </c>
      <c r="Q308" s="37">
        <f>1-FT_RF_264[[#This Row],[% Defectos]]</f>
        <v>1</v>
      </c>
      <c r="R308" s="38">
        <v>0</v>
      </c>
      <c r="S308" s="39">
        <f>+IFERROR((FT_RF_264[[#This Row],[Inmadura]]/FT_RF_264[[#This Row],[Muestra]]),"0")</f>
        <v>0</v>
      </c>
      <c r="T308" s="38">
        <v>0</v>
      </c>
      <c r="U308" s="39">
        <f>+IFERROR((FT_RF_264[[#This Row],[Partidas]]/FT_RF_264[[#This Row],[Muestra]]),"0")</f>
        <v>0</v>
      </c>
      <c r="V308" s="38">
        <v>0</v>
      </c>
      <c r="W308" s="39">
        <f>+IFERROR((FT_RF_264[[#This Row],[Daño Insecto]]/FT_RF_264[[#This Row],[Muestra]]),"0")</f>
        <v>0</v>
      </c>
      <c r="X308" s="38">
        <v>0</v>
      </c>
      <c r="Y308" s="39">
        <f>+IFERROR((FT_RF_264[[#This Row],[Sobremadura]]/FT_RF_264[[#This Row],[Muestra]]),"0")</f>
        <v>0</v>
      </c>
      <c r="Z308" s="38">
        <v>0</v>
      </c>
      <c r="AA308" s="39">
        <f>+IFERROR((FT_RF_264[[#This Row],[Deforme]]/FT_RF_264[[#This Row],[Muestra]]),"0")</f>
        <v>0</v>
      </c>
      <c r="AB308" s="27"/>
      <c r="AC308" s="38">
        <v>0</v>
      </c>
      <c r="AD308" s="39">
        <f>+IFERROR((FT_RF_264[[#This Row],[Valor Extra 1]]/FT_RF_264[[#This Row],[Muestra]]),"0")</f>
        <v>0</v>
      </c>
      <c r="AF308" s="38">
        <v>0</v>
      </c>
      <c r="AG308" s="39">
        <f>+IFERROR((FT_RF_264[[#This Row],[Valor Extra 2]]/FT_RF_264[[#This Row],[Muestra]]),"0")</f>
        <v>0</v>
      </c>
      <c r="AH308" s="40">
        <v>0</v>
      </c>
      <c r="AI308" s="39">
        <f>+IFERROR((FT_RF_264[[#This Row],[Hongos]]/FT_RF_264[[#This Row],[Muestra]]),"0")</f>
        <v>0</v>
      </c>
      <c r="AJ308" s="38">
        <v>0</v>
      </c>
      <c r="AK308" s="39">
        <f>+IFERROR((FT_RF_264[[#This Row],[Block]]/FT_RF_264[[#This Row],[Muestra]]),"0")</f>
        <v>0</v>
      </c>
      <c r="AL308" s="41">
        <v>0</v>
      </c>
      <c r="AM308" s="42">
        <v>0</v>
      </c>
      <c r="AN308" s="38">
        <v>0</v>
      </c>
      <c r="AO308" s="39">
        <f>+IFERROR((FT_RF_264[[#This Row],[Fuera de calibre &lt;12mm]]/FT_RF_264[[#This Row],[Muestra]]),"0")</f>
        <v>0</v>
      </c>
      <c r="AP308" s="38">
        <v>0</v>
      </c>
      <c r="AQ308" s="39">
        <f>+IFERROR((FT_RF_264[[#This Row],[Calibre &lt;25]]/FT_RF_264[[#This Row],[Muestra]]),"0")</f>
        <v>0</v>
      </c>
      <c r="AR308" s="38">
        <v>0</v>
      </c>
      <c r="AS308" s="39">
        <f>+IFERROR((FT_RF_264[[#This Row],[Calibre &gt;12]]/FT_RF_264[[#This Row],[Muestra]]),"0")</f>
        <v>0</v>
      </c>
      <c r="AT308" s="38">
        <v>0</v>
      </c>
      <c r="AU308" s="39">
        <f>+IFERROR((FT_RF_264[[#This Row],[Calibre &lt;14]]/FT_RF_264[[#This Row],[Muestra]]),"0")</f>
        <v>0</v>
      </c>
      <c r="AV308" s="38">
        <v>0</v>
      </c>
      <c r="AW308" s="39">
        <f>+IFERROR((FT_RF_264[[#This Row],[Calibre &gt;14]]/FT_RF_264[[#This Row],[Muestra]]),"0")</f>
        <v>0</v>
      </c>
      <c r="AX308" s="38">
        <v>0</v>
      </c>
      <c r="AY308" s="39">
        <f>+IFERROR((FT_RF_264[[#This Row],[Calibre &lt;10]]/FT_RF_264[[#This Row],[Muestra]]),"0")</f>
        <v>0</v>
      </c>
      <c r="AZ308" s="38">
        <v>0</v>
      </c>
      <c r="BA308" s="39">
        <f>+IFERROR((FT_RF_264[[#This Row],[Calibre &gt;13]]/FT_RF_264[[#This Row],[Muestra]]),"0")</f>
        <v>0</v>
      </c>
      <c r="BB308" s="41"/>
      <c r="BG308" s="42"/>
      <c r="BH308" s="43">
        <v>0</v>
      </c>
      <c r="BI308" s="29" t="s">
        <v>894</v>
      </c>
      <c r="BJ308" s="29" t="s">
        <v>894</v>
      </c>
      <c r="BK30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0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08" s="45">
        <f>1-FT_RF_264[[#This Row],[% Defectos]]</f>
        <v>1</v>
      </c>
      <c r="BO308" s="60"/>
      <c r="BP308" s="12">
        <f>SUM(FT_RF_264[[#This Row],[Hoja (Un.)]:[Larvas Caja]])</f>
        <v>0</v>
      </c>
      <c r="BQ308" s="12">
        <f>SUM(FT_RF_264[[#This Row],[Vidrios]:[Plástico]])</f>
        <v>0</v>
      </c>
      <c r="BR308" s="12" t="str">
        <f>IF(ISBLANK(FT_RF_264[[#This Row],[Descripción del producto]]),"",FT_RF_264[[#This Row],[Descripción del producto]])</f>
        <v/>
      </c>
      <c r="BS308" s="29" t="str">
        <f>IF(ISBLANK(FT_RF_264[[#This Row],[N° de Lote]]),"",FT_RF_264[[#This Row],[N° de Lote]])</f>
        <v/>
      </c>
      <c r="BT308" s="29" t="str">
        <f>IF(ISBLANK(FT_RF_264[[#This Row],[N° de Pallet]]),"",FT_RF_264[[#This Row],[N° de Pallet]])</f>
        <v/>
      </c>
    </row>
    <row r="309" spans="2:72">
      <c r="B309" s="29">
        <f>+_xlfn.ISOWEEKNUM(FT_RF_264[[#This Row],[Fecha]])</f>
        <v>52</v>
      </c>
      <c r="E309" s="31"/>
      <c r="F309" s="12" t="str">
        <f>IFERROR(""&amp;_xlfn.XLOOKUP(FT_RF_264[[#This Row],[Código]],BD_Cod[SKU],BD_Cod[Descripción]),"")</f>
        <v/>
      </c>
      <c r="G309" s="32" t="str">
        <f>IFERROR(""&amp;_xlfn.XLOOKUP(FT_RF_264[[#This Row],[Código]],BD_Cod[SKU],BD_Cod[Familia Calidad]),"")</f>
        <v/>
      </c>
      <c r="J309" s="33">
        <v>1000</v>
      </c>
      <c r="L309" s="30" t="s">
        <v>244</v>
      </c>
      <c r="O309" s="30" t="s">
        <v>894</v>
      </c>
      <c r="P309" s="29" t="s">
        <v>894</v>
      </c>
      <c r="Q309" s="37">
        <f>1-FT_RF_264[[#This Row],[% Defectos]]</f>
        <v>1</v>
      </c>
      <c r="R309" s="38">
        <v>0</v>
      </c>
      <c r="S309" s="39">
        <f>+IFERROR((FT_RF_264[[#This Row],[Inmadura]]/FT_RF_264[[#This Row],[Muestra]]),"0")</f>
        <v>0</v>
      </c>
      <c r="T309" s="38">
        <v>0</v>
      </c>
      <c r="U309" s="39">
        <f>+IFERROR((FT_RF_264[[#This Row],[Partidas]]/FT_RF_264[[#This Row],[Muestra]]),"0")</f>
        <v>0</v>
      </c>
      <c r="V309" s="38">
        <v>0</v>
      </c>
      <c r="W309" s="39">
        <f>+IFERROR((FT_RF_264[[#This Row],[Daño Insecto]]/FT_RF_264[[#This Row],[Muestra]]),"0")</f>
        <v>0</v>
      </c>
      <c r="X309" s="38">
        <v>0</v>
      </c>
      <c r="Y309" s="39">
        <f>+IFERROR((FT_RF_264[[#This Row],[Sobremadura]]/FT_RF_264[[#This Row],[Muestra]]),"0")</f>
        <v>0</v>
      </c>
      <c r="Z309" s="38">
        <v>0</v>
      </c>
      <c r="AA309" s="39">
        <f>+IFERROR((FT_RF_264[[#This Row],[Deforme]]/FT_RF_264[[#This Row],[Muestra]]),"0")</f>
        <v>0</v>
      </c>
      <c r="AB309" s="27"/>
      <c r="AC309" s="38">
        <v>0</v>
      </c>
      <c r="AD309" s="39">
        <f>+IFERROR((FT_RF_264[[#This Row],[Valor Extra 1]]/FT_RF_264[[#This Row],[Muestra]]),"0")</f>
        <v>0</v>
      </c>
      <c r="AF309" s="38">
        <v>0</v>
      </c>
      <c r="AG309" s="39">
        <f>+IFERROR((FT_RF_264[[#This Row],[Valor Extra 2]]/FT_RF_264[[#This Row],[Muestra]]),"0")</f>
        <v>0</v>
      </c>
      <c r="AH309" s="40">
        <v>0</v>
      </c>
      <c r="AI309" s="39">
        <f>+IFERROR((FT_RF_264[[#This Row],[Hongos]]/FT_RF_264[[#This Row],[Muestra]]),"0")</f>
        <v>0</v>
      </c>
      <c r="AJ309" s="38">
        <v>0</v>
      </c>
      <c r="AK309" s="39">
        <f>+IFERROR((FT_RF_264[[#This Row],[Block]]/FT_RF_264[[#This Row],[Muestra]]),"0")</f>
        <v>0</v>
      </c>
      <c r="AL309" s="41">
        <v>0</v>
      </c>
      <c r="AM309" s="42">
        <v>0</v>
      </c>
      <c r="AN309" s="38">
        <v>0</v>
      </c>
      <c r="AO309" s="39">
        <f>+IFERROR((FT_RF_264[[#This Row],[Fuera de calibre &lt;12mm]]/FT_RF_264[[#This Row],[Muestra]]),"0")</f>
        <v>0</v>
      </c>
      <c r="AP309" s="38">
        <v>0</v>
      </c>
      <c r="AQ309" s="39">
        <f>+IFERROR((FT_RF_264[[#This Row],[Calibre &lt;25]]/FT_RF_264[[#This Row],[Muestra]]),"0")</f>
        <v>0</v>
      </c>
      <c r="AR309" s="38">
        <v>0</v>
      </c>
      <c r="AS309" s="39">
        <f>+IFERROR((FT_RF_264[[#This Row],[Calibre &gt;12]]/FT_RF_264[[#This Row],[Muestra]]),"0")</f>
        <v>0</v>
      </c>
      <c r="AT309" s="38">
        <v>0</v>
      </c>
      <c r="AU309" s="39">
        <f>+IFERROR((FT_RF_264[[#This Row],[Calibre &lt;14]]/FT_RF_264[[#This Row],[Muestra]]),"0")</f>
        <v>0</v>
      </c>
      <c r="AV309" s="38">
        <v>0</v>
      </c>
      <c r="AW309" s="39">
        <f>+IFERROR((FT_RF_264[[#This Row],[Calibre &gt;14]]/FT_RF_264[[#This Row],[Muestra]]),"0")</f>
        <v>0</v>
      </c>
      <c r="AX309" s="38">
        <v>0</v>
      </c>
      <c r="AY309" s="39">
        <f>+IFERROR((FT_RF_264[[#This Row],[Calibre &lt;10]]/FT_RF_264[[#This Row],[Muestra]]),"0")</f>
        <v>0</v>
      </c>
      <c r="AZ309" s="38">
        <v>0</v>
      </c>
      <c r="BA309" s="39">
        <f>+IFERROR((FT_RF_264[[#This Row],[Calibre &gt;13]]/FT_RF_264[[#This Row],[Muestra]]),"0")</f>
        <v>0</v>
      </c>
      <c r="BB309" s="41"/>
      <c r="BG309" s="42"/>
      <c r="BH309" s="43">
        <v>0</v>
      </c>
      <c r="BI309" s="29" t="s">
        <v>894</v>
      </c>
      <c r="BJ309" s="29" t="s">
        <v>894</v>
      </c>
      <c r="BK30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0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09" s="45">
        <f>1-FT_RF_264[[#This Row],[% Defectos]]</f>
        <v>1</v>
      </c>
      <c r="BO309" s="60"/>
      <c r="BP309" s="12">
        <f>SUM(FT_RF_264[[#This Row],[Hoja (Un.)]:[Larvas Caja]])</f>
        <v>0</v>
      </c>
      <c r="BQ309" s="12">
        <f>SUM(FT_RF_264[[#This Row],[Vidrios]:[Plástico]])</f>
        <v>0</v>
      </c>
      <c r="BR309" s="12" t="str">
        <f>IF(ISBLANK(FT_RF_264[[#This Row],[Descripción del producto]]),"",FT_RF_264[[#This Row],[Descripción del producto]])</f>
        <v/>
      </c>
      <c r="BS309" s="29" t="str">
        <f>IF(ISBLANK(FT_RF_264[[#This Row],[N° de Lote]]),"",FT_RF_264[[#This Row],[N° de Lote]])</f>
        <v/>
      </c>
      <c r="BT309" s="29" t="str">
        <f>IF(ISBLANK(FT_RF_264[[#This Row],[N° de Pallet]]),"",FT_RF_264[[#This Row],[N° de Pallet]])</f>
        <v/>
      </c>
    </row>
    <row r="310" spans="2:72">
      <c r="B310" s="29">
        <f>+_xlfn.ISOWEEKNUM(FT_RF_264[[#This Row],[Fecha]])</f>
        <v>52</v>
      </c>
      <c r="E310" s="31"/>
      <c r="F310" s="12" t="str">
        <f>IFERROR(""&amp;_xlfn.XLOOKUP(FT_RF_264[[#This Row],[Código]],BD_Cod[SKU],BD_Cod[Descripción]),"")</f>
        <v/>
      </c>
      <c r="G310" s="32" t="str">
        <f>IFERROR(""&amp;_xlfn.XLOOKUP(FT_RF_264[[#This Row],[Código]],BD_Cod[SKU],BD_Cod[Familia Calidad]),"")</f>
        <v/>
      </c>
      <c r="J310" s="33">
        <v>1000</v>
      </c>
      <c r="L310" s="30" t="s">
        <v>244</v>
      </c>
      <c r="O310" s="30" t="s">
        <v>894</v>
      </c>
      <c r="P310" s="29" t="s">
        <v>894</v>
      </c>
      <c r="Q310" s="37">
        <f>1-FT_RF_264[[#This Row],[% Defectos]]</f>
        <v>1</v>
      </c>
      <c r="R310" s="38">
        <v>0</v>
      </c>
      <c r="S310" s="39">
        <f>+IFERROR((FT_RF_264[[#This Row],[Inmadura]]/FT_RF_264[[#This Row],[Muestra]]),"0")</f>
        <v>0</v>
      </c>
      <c r="T310" s="38">
        <v>0</v>
      </c>
      <c r="U310" s="39">
        <f>+IFERROR((FT_RF_264[[#This Row],[Partidas]]/FT_RF_264[[#This Row],[Muestra]]),"0")</f>
        <v>0</v>
      </c>
      <c r="V310" s="38">
        <v>0</v>
      </c>
      <c r="W310" s="39">
        <f>+IFERROR((FT_RF_264[[#This Row],[Daño Insecto]]/FT_RF_264[[#This Row],[Muestra]]),"0")</f>
        <v>0</v>
      </c>
      <c r="X310" s="38">
        <v>0</v>
      </c>
      <c r="Y310" s="39">
        <f>+IFERROR((FT_RF_264[[#This Row],[Sobremadura]]/FT_RF_264[[#This Row],[Muestra]]),"0")</f>
        <v>0</v>
      </c>
      <c r="Z310" s="38">
        <v>0</v>
      </c>
      <c r="AA310" s="39">
        <f>+IFERROR((FT_RF_264[[#This Row],[Deforme]]/FT_RF_264[[#This Row],[Muestra]]),"0")</f>
        <v>0</v>
      </c>
      <c r="AB310" s="27"/>
      <c r="AC310" s="38">
        <v>0</v>
      </c>
      <c r="AD310" s="39">
        <f>+IFERROR((FT_RF_264[[#This Row],[Valor Extra 1]]/FT_RF_264[[#This Row],[Muestra]]),"0")</f>
        <v>0</v>
      </c>
      <c r="AF310" s="38">
        <v>0</v>
      </c>
      <c r="AG310" s="39">
        <f>+IFERROR((FT_RF_264[[#This Row],[Valor Extra 2]]/FT_RF_264[[#This Row],[Muestra]]),"0")</f>
        <v>0</v>
      </c>
      <c r="AH310" s="40">
        <v>0</v>
      </c>
      <c r="AI310" s="39">
        <f>+IFERROR((FT_RF_264[[#This Row],[Hongos]]/FT_RF_264[[#This Row],[Muestra]]),"0")</f>
        <v>0</v>
      </c>
      <c r="AJ310" s="38">
        <v>0</v>
      </c>
      <c r="AK310" s="39">
        <f>+IFERROR((FT_RF_264[[#This Row],[Block]]/FT_RF_264[[#This Row],[Muestra]]),"0")</f>
        <v>0</v>
      </c>
      <c r="AL310" s="41">
        <v>0</v>
      </c>
      <c r="AM310" s="42">
        <v>0</v>
      </c>
      <c r="AN310" s="38">
        <v>0</v>
      </c>
      <c r="AO310" s="39">
        <f>+IFERROR((FT_RF_264[[#This Row],[Fuera de calibre &lt;12mm]]/FT_RF_264[[#This Row],[Muestra]]),"0")</f>
        <v>0</v>
      </c>
      <c r="AP310" s="38">
        <v>0</v>
      </c>
      <c r="AQ310" s="39">
        <f>+IFERROR((FT_RF_264[[#This Row],[Calibre &lt;25]]/FT_RF_264[[#This Row],[Muestra]]),"0")</f>
        <v>0</v>
      </c>
      <c r="AR310" s="38">
        <v>0</v>
      </c>
      <c r="AS310" s="39">
        <f>+IFERROR((FT_RF_264[[#This Row],[Calibre &gt;12]]/FT_RF_264[[#This Row],[Muestra]]),"0")</f>
        <v>0</v>
      </c>
      <c r="AT310" s="38">
        <v>0</v>
      </c>
      <c r="AU310" s="39">
        <f>+IFERROR((FT_RF_264[[#This Row],[Calibre &lt;14]]/FT_RF_264[[#This Row],[Muestra]]),"0")</f>
        <v>0</v>
      </c>
      <c r="AV310" s="38">
        <v>0</v>
      </c>
      <c r="AW310" s="39">
        <f>+IFERROR((FT_RF_264[[#This Row],[Calibre &gt;14]]/FT_RF_264[[#This Row],[Muestra]]),"0")</f>
        <v>0</v>
      </c>
      <c r="AX310" s="38">
        <v>0</v>
      </c>
      <c r="AY310" s="39">
        <f>+IFERROR((FT_RF_264[[#This Row],[Calibre &lt;10]]/FT_RF_264[[#This Row],[Muestra]]),"0")</f>
        <v>0</v>
      </c>
      <c r="AZ310" s="38">
        <v>0</v>
      </c>
      <c r="BA310" s="39">
        <f>+IFERROR((FT_RF_264[[#This Row],[Calibre &gt;13]]/FT_RF_264[[#This Row],[Muestra]]),"0")</f>
        <v>0</v>
      </c>
      <c r="BB310" s="41"/>
      <c r="BG310" s="42"/>
      <c r="BH310" s="43">
        <v>0</v>
      </c>
      <c r="BI310" s="29" t="s">
        <v>894</v>
      </c>
      <c r="BJ310" s="29" t="s">
        <v>894</v>
      </c>
      <c r="BK31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1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10" s="45">
        <f>1-FT_RF_264[[#This Row],[% Defectos]]</f>
        <v>1</v>
      </c>
      <c r="BO310" s="60"/>
      <c r="BP310" s="12">
        <f>SUM(FT_RF_264[[#This Row],[Hoja (Un.)]:[Larvas Caja]])</f>
        <v>0</v>
      </c>
      <c r="BQ310" s="12">
        <f>SUM(FT_RF_264[[#This Row],[Vidrios]:[Plástico]])</f>
        <v>0</v>
      </c>
      <c r="BR310" s="12" t="str">
        <f>IF(ISBLANK(FT_RF_264[[#This Row],[Descripción del producto]]),"",FT_RF_264[[#This Row],[Descripción del producto]])</f>
        <v/>
      </c>
      <c r="BS310" s="29" t="str">
        <f>IF(ISBLANK(FT_RF_264[[#This Row],[N° de Lote]]),"",FT_RF_264[[#This Row],[N° de Lote]])</f>
        <v/>
      </c>
      <c r="BT310" s="29" t="str">
        <f>IF(ISBLANK(FT_RF_264[[#This Row],[N° de Pallet]]),"",FT_RF_264[[#This Row],[N° de Pallet]])</f>
        <v/>
      </c>
    </row>
    <row r="311" spans="2:72">
      <c r="B311" s="29">
        <f>+_xlfn.ISOWEEKNUM(FT_RF_264[[#This Row],[Fecha]])</f>
        <v>52</v>
      </c>
      <c r="E311" s="31"/>
      <c r="F311" s="12" t="str">
        <f>IFERROR(""&amp;_xlfn.XLOOKUP(FT_RF_264[[#This Row],[Código]],BD_Cod[SKU],BD_Cod[Descripción]),"")</f>
        <v/>
      </c>
      <c r="G311" s="32" t="str">
        <f>IFERROR(""&amp;_xlfn.XLOOKUP(FT_RF_264[[#This Row],[Código]],BD_Cod[SKU],BD_Cod[Familia Calidad]),"")</f>
        <v/>
      </c>
      <c r="J311" s="33">
        <v>1000</v>
      </c>
      <c r="L311" s="30" t="s">
        <v>244</v>
      </c>
      <c r="O311" s="30" t="s">
        <v>894</v>
      </c>
      <c r="P311" s="29" t="s">
        <v>894</v>
      </c>
      <c r="Q311" s="37">
        <f>1-FT_RF_264[[#This Row],[% Defectos]]</f>
        <v>1</v>
      </c>
      <c r="R311" s="38">
        <v>0</v>
      </c>
      <c r="S311" s="39">
        <f>+IFERROR((FT_RF_264[[#This Row],[Inmadura]]/FT_RF_264[[#This Row],[Muestra]]),"0")</f>
        <v>0</v>
      </c>
      <c r="T311" s="38">
        <v>0</v>
      </c>
      <c r="U311" s="39">
        <f>+IFERROR((FT_RF_264[[#This Row],[Partidas]]/FT_RF_264[[#This Row],[Muestra]]),"0")</f>
        <v>0</v>
      </c>
      <c r="V311" s="38">
        <v>0</v>
      </c>
      <c r="W311" s="39">
        <f>+IFERROR((FT_RF_264[[#This Row],[Daño Insecto]]/FT_RF_264[[#This Row],[Muestra]]),"0")</f>
        <v>0</v>
      </c>
      <c r="X311" s="38">
        <v>0</v>
      </c>
      <c r="Y311" s="39">
        <f>+IFERROR((FT_RF_264[[#This Row],[Sobremadura]]/FT_RF_264[[#This Row],[Muestra]]),"0")</f>
        <v>0</v>
      </c>
      <c r="Z311" s="38">
        <v>0</v>
      </c>
      <c r="AA311" s="39">
        <f>+IFERROR((FT_RF_264[[#This Row],[Deforme]]/FT_RF_264[[#This Row],[Muestra]]),"0")</f>
        <v>0</v>
      </c>
      <c r="AB311" s="27"/>
      <c r="AC311" s="38">
        <v>0</v>
      </c>
      <c r="AD311" s="39">
        <f>+IFERROR((FT_RF_264[[#This Row],[Valor Extra 1]]/FT_RF_264[[#This Row],[Muestra]]),"0")</f>
        <v>0</v>
      </c>
      <c r="AF311" s="38">
        <v>0</v>
      </c>
      <c r="AG311" s="39">
        <f>+IFERROR((FT_RF_264[[#This Row],[Valor Extra 2]]/FT_RF_264[[#This Row],[Muestra]]),"0")</f>
        <v>0</v>
      </c>
      <c r="AH311" s="40">
        <v>0</v>
      </c>
      <c r="AI311" s="39">
        <f>+IFERROR((FT_RF_264[[#This Row],[Hongos]]/FT_RF_264[[#This Row],[Muestra]]),"0")</f>
        <v>0</v>
      </c>
      <c r="AJ311" s="38">
        <v>0</v>
      </c>
      <c r="AK311" s="39">
        <f>+IFERROR((FT_RF_264[[#This Row],[Block]]/FT_RF_264[[#This Row],[Muestra]]),"0")</f>
        <v>0</v>
      </c>
      <c r="AL311" s="41">
        <v>0</v>
      </c>
      <c r="AM311" s="42">
        <v>0</v>
      </c>
      <c r="AN311" s="38">
        <v>0</v>
      </c>
      <c r="AO311" s="39">
        <f>+IFERROR((FT_RF_264[[#This Row],[Fuera de calibre &lt;12mm]]/FT_RF_264[[#This Row],[Muestra]]),"0")</f>
        <v>0</v>
      </c>
      <c r="AP311" s="38">
        <v>0</v>
      </c>
      <c r="AQ311" s="39">
        <f>+IFERROR((FT_RF_264[[#This Row],[Calibre &lt;25]]/FT_RF_264[[#This Row],[Muestra]]),"0")</f>
        <v>0</v>
      </c>
      <c r="AR311" s="38">
        <v>0</v>
      </c>
      <c r="AS311" s="39">
        <f>+IFERROR((FT_RF_264[[#This Row],[Calibre &gt;12]]/FT_RF_264[[#This Row],[Muestra]]),"0")</f>
        <v>0</v>
      </c>
      <c r="AT311" s="38">
        <v>0</v>
      </c>
      <c r="AU311" s="39">
        <f>+IFERROR((FT_RF_264[[#This Row],[Calibre &lt;14]]/FT_RF_264[[#This Row],[Muestra]]),"0")</f>
        <v>0</v>
      </c>
      <c r="AV311" s="38">
        <v>0</v>
      </c>
      <c r="AW311" s="39">
        <f>+IFERROR((FT_RF_264[[#This Row],[Calibre &gt;14]]/FT_RF_264[[#This Row],[Muestra]]),"0")</f>
        <v>0</v>
      </c>
      <c r="AX311" s="38">
        <v>0</v>
      </c>
      <c r="AY311" s="39">
        <f>+IFERROR((FT_RF_264[[#This Row],[Calibre &lt;10]]/FT_RF_264[[#This Row],[Muestra]]),"0")</f>
        <v>0</v>
      </c>
      <c r="AZ311" s="38">
        <v>0</v>
      </c>
      <c r="BA311" s="39">
        <f>+IFERROR((FT_RF_264[[#This Row],[Calibre &gt;13]]/FT_RF_264[[#This Row],[Muestra]]),"0")</f>
        <v>0</v>
      </c>
      <c r="BB311" s="41"/>
      <c r="BG311" s="42"/>
      <c r="BH311" s="43">
        <v>0</v>
      </c>
      <c r="BI311" s="29" t="s">
        <v>894</v>
      </c>
      <c r="BJ311" s="29" t="s">
        <v>894</v>
      </c>
      <c r="BK31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1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11" s="45">
        <f>1-FT_RF_264[[#This Row],[% Defectos]]</f>
        <v>1</v>
      </c>
      <c r="BO311" s="60"/>
      <c r="BP311" s="12">
        <f>SUM(FT_RF_264[[#This Row],[Hoja (Un.)]:[Larvas Caja]])</f>
        <v>0</v>
      </c>
      <c r="BQ311" s="12">
        <f>SUM(FT_RF_264[[#This Row],[Vidrios]:[Plástico]])</f>
        <v>0</v>
      </c>
      <c r="BR311" s="12" t="str">
        <f>IF(ISBLANK(FT_RF_264[[#This Row],[Descripción del producto]]),"",FT_RF_264[[#This Row],[Descripción del producto]])</f>
        <v/>
      </c>
      <c r="BS311" s="29" t="str">
        <f>IF(ISBLANK(FT_RF_264[[#This Row],[N° de Lote]]),"",FT_RF_264[[#This Row],[N° de Lote]])</f>
        <v/>
      </c>
      <c r="BT311" s="29" t="str">
        <f>IF(ISBLANK(FT_RF_264[[#This Row],[N° de Pallet]]),"",FT_RF_264[[#This Row],[N° de Pallet]])</f>
        <v/>
      </c>
    </row>
    <row r="312" spans="2:72">
      <c r="B312" s="29">
        <f>+_xlfn.ISOWEEKNUM(FT_RF_264[[#This Row],[Fecha]])</f>
        <v>52</v>
      </c>
      <c r="E312" s="31"/>
      <c r="F312" s="12" t="str">
        <f>IFERROR(""&amp;_xlfn.XLOOKUP(FT_RF_264[[#This Row],[Código]],BD_Cod[SKU],BD_Cod[Descripción]),"")</f>
        <v/>
      </c>
      <c r="G312" s="32" t="str">
        <f>IFERROR(""&amp;_xlfn.XLOOKUP(FT_RF_264[[#This Row],[Código]],BD_Cod[SKU],BD_Cod[Familia Calidad]),"")</f>
        <v/>
      </c>
      <c r="J312" s="33">
        <v>1000</v>
      </c>
      <c r="L312" s="30" t="s">
        <v>244</v>
      </c>
      <c r="O312" s="30" t="s">
        <v>894</v>
      </c>
      <c r="P312" s="29" t="s">
        <v>894</v>
      </c>
      <c r="Q312" s="37">
        <f>1-FT_RF_264[[#This Row],[% Defectos]]</f>
        <v>1</v>
      </c>
      <c r="R312" s="38">
        <v>0</v>
      </c>
      <c r="S312" s="39">
        <f>+IFERROR((FT_RF_264[[#This Row],[Inmadura]]/FT_RF_264[[#This Row],[Muestra]]),"0")</f>
        <v>0</v>
      </c>
      <c r="T312" s="38">
        <v>0</v>
      </c>
      <c r="U312" s="39">
        <f>+IFERROR((FT_RF_264[[#This Row],[Partidas]]/FT_RF_264[[#This Row],[Muestra]]),"0")</f>
        <v>0</v>
      </c>
      <c r="V312" s="38">
        <v>0</v>
      </c>
      <c r="W312" s="39">
        <f>+IFERROR((FT_RF_264[[#This Row],[Daño Insecto]]/FT_RF_264[[#This Row],[Muestra]]),"0")</f>
        <v>0</v>
      </c>
      <c r="X312" s="38">
        <v>0</v>
      </c>
      <c r="Y312" s="39">
        <f>+IFERROR((FT_RF_264[[#This Row],[Sobremadura]]/FT_RF_264[[#This Row],[Muestra]]),"0")</f>
        <v>0</v>
      </c>
      <c r="Z312" s="38">
        <v>0</v>
      </c>
      <c r="AA312" s="39">
        <f>+IFERROR((FT_RF_264[[#This Row],[Deforme]]/FT_RF_264[[#This Row],[Muestra]]),"0")</f>
        <v>0</v>
      </c>
      <c r="AB312" s="27"/>
      <c r="AC312" s="38">
        <v>0</v>
      </c>
      <c r="AD312" s="39">
        <f>+IFERROR((FT_RF_264[[#This Row],[Valor Extra 1]]/FT_RF_264[[#This Row],[Muestra]]),"0")</f>
        <v>0</v>
      </c>
      <c r="AF312" s="38">
        <v>0</v>
      </c>
      <c r="AG312" s="39">
        <f>+IFERROR((FT_RF_264[[#This Row],[Valor Extra 2]]/FT_RF_264[[#This Row],[Muestra]]),"0")</f>
        <v>0</v>
      </c>
      <c r="AH312" s="40">
        <v>0</v>
      </c>
      <c r="AI312" s="39">
        <f>+IFERROR((FT_RF_264[[#This Row],[Hongos]]/FT_RF_264[[#This Row],[Muestra]]),"0")</f>
        <v>0</v>
      </c>
      <c r="AJ312" s="38">
        <v>0</v>
      </c>
      <c r="AK312" s="39">
        <f>+IFERROR((FT_RF_264[[#This Row],[Block]]/FT_RF_264[[#This Row],[Muestra]]),"0")</f>
        <v>0</v>
      </c>
      <c r="AL312" s="41">
        <v>0</v>
      </c>
      <c r="AM312" s="42">
        <v>0</v>
      </c>
      <c r="AN312" s="38">
        <v>0</v>
      </c>
      <c r="AO312" s="39">
        <f>+IFERROR((FT_RF_264[[#This Row],[Fuera de calibre &lt;12mm]]/FT_RF_264[[#This Row],[Muestra]]),"0")</f>
        <v>0</v>
      </c>
      <c r="AP312" s="38">
        <v>0</v>
      </c>
      <c r="AQ312" s="39">
        <f>+IFERROR((FT_RF_264[[#This Row],[Calibre &lt;25]]/FT_RF_264[[#This Row],[Muestra]]),"0")</f>
        <v>0</v>
      </c>
      <c r="AR312" s="38">
        <v>0</v>
      </c>
      <c r="AS312" s="39">
        <f>+IFERROR((FT_RF_264[[#This Row],[Calibre &gt;12]]/FT_RF_264[[#This Row],[Muestra]]),"0")</f>
        <v>0</v>
      </c>
      <c r="AT312" s="38">
        <v>0</v>
      </c>
      <c r="AU312" s="39">
        <f>+IFERROR((FT_RF_264[[#This Row],[Calibre &lt;14]]/FT_RF_264[[#This Row],[Muestra]]),"0")</f>
        <v>0</v>
      </c>
      <c r="AV312" s="38">
        <v>0</v>
      </c>
      <c r="AW312" s="39">
        <f>+IFERROR((FT_RF_264[[#This Row],[Calibre &gt;14]]/FT_RF_264[[#This Row],[Muestra]]),"0")</f>
        <v>0</v>
      </c>
      <c r="AX312" s="38">
        <v>0</v>
      </c>
      <c r="AY312" s="39">
        <f>+IFERROR((FT_RF_264[[#This Row],[Calibre &lt;10]]/FT_RF_264[[#This Row],[Muestra]]),"0")</f>
        <v>0</v>
      </c>
      <c r="AZ312" s="38">
        <v>0</v>
      </c>
      <c r="BA312" s="39">
        <f>+IFERROR((FT_RF_264[[#This Row],[Calibre &gt;13]]/FT_RF_264[[#This Row],[Muestra]]),"0")</f>
        <v>0</v>
      </c>
      <c r="BB312" s="41"/>
      <c r="BG312" s="42"/>
      <c r="BH312" s="43">
        <v>0</v>
      </c>
      <c r="BI312" s="29" t="s">
        <v>894</v>
      </c>
      <c r="BJ312" s="29" t="s">
        <v>894</v>
      </c>
      <c r="BK31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1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12" s="45">
        <f>1-FT_RF_264[[#This Row],[% Defectos]]</f>
        <v>1</v>
      </c>
      <c r="BO312" s="60"/>
      <c r="BP312" s="12">
        <f>SUM(FT_RF_264[[#This Row],[Hoja (Un.)]:[Larvas Caja]])</f>
        <v>0</v>
      </c>
      <c r="BQ312" s="12">
        <f>SUM(FT_RF_264[[#This Row],[Vidrios]:[Plástico]])</f>
        <v>0</v>
      </c>
      <c r="BR312" s="12" t="str">
        <f>IF(ISBLANK(FT_RF_264[[#This Row],[Descripción del producto]]),"",FT_RF_264[[#This Row],[Descripción del producto]])</f>
        <v/>
      </c>
      <c r="BS312" s="29" t="str">
        <f>IF(ISBLANK(FT_RF_264[[#This Row],[N° de Lote]]),"",FT_RF_264[[#This Row],[N° de Lote]])</f>
        <v/>
      </c>
      <c r="BT312" s="29" t="str">
        <f>IF(ISBLANK(FT_RF_264[[#This Row],[N° de Pallet]]),"",FT_RF_264[[#This Row],[N° de Pallet]])</f>
        <v/>
      </c>
    </row>
    <row r="313" spans="2:72">
      <c r="B313" s="29">
        <f>+_xlfn.ISOWEEKNUM(FT_RF_264[[#This Row],[Fecha]])</f>
        <v>52</v>
      </c>
      <c r="E313" s="31"/>
      <c r="F313" s="12" t="str">
        <f>IFERROR(""&amp;_xlfn.XLOOKUP(FT_RF_264[[#This Row],[Código]],BD_Cod[SKU],BD_Cod[Descripción]),"")</f>
        <v/>
      </c>
      <c r="G313" s="32" t="str">
        <f>IFERROR(""&amp;_xlfn.XLOOKUP(FT_RF_264[[#This Row],[Código]],BD_Cod[SKU],BD_Cod[Familia Calidad]),"")</f>
        <v/>
      </c>
      <c r="J313" s="33">
        <v>1000</v>
      </c>
      <c r="L313" s="30" t="s">
        <v>244</v>
      </c>
      <c r="O313" s="30" t="s">
        <v>894</v>
      </c>
      <c r="P313" s="29" t="s">
        <v>894</v>
      </c>
      <c r="Q313" s="37">
        <f>1-FT_RF_264[[#This Row],[% Defectos]]</f>
        <v>1</v>
      </c>
      <c r="R313" s="38">
        <v>0</v>
      </c>
      <c r="S313" s="39">
        <f>+IFERROR((FT_RF_264[[#This Row],[Inmadura]]/FT_RF_264[[#This Row],[Muestra]]),"0")</f>
        <v>0</v>
      </c>
      <c r="T313" s="38">
        <v>0</v>
      </c>
      <c r="U313" s="39">
        <f>+IFERROR((FT_RF_264[[#This Row],[Partidas]]/FT_RF_264[[#This Row],[Muestra]]),"0")</f>
        <v>0</v>
      </c>
      <c r="V313" s="38">
        <v>0</v>
      </c>
      <c r="W313" s="39">
        <f>+IFERROR((FT_RF_264[[#This Row],[Daño Insecto]]/FT_RF_264[[#This Row],[Muestra]]),"0")</f>
        <v>0</v>
      </c>
      <c r="X313" s="38">
        <v>0</v>
      </c>
      <c r="Y313" s="39">
        <f>+IFERROR((FT_RF_264[[#This Row],[Sobremadura]]/FT_RF_264[[#This Row],[Muestra]]),"0")</f>
        <v>0</v>
      </c>
      <c r="Z313" s="38">
        <v>0</v>
      </c>
      <c r="AA313" s="39">
        <f>+IFERROR((FT_RF_264[[#This Row],[Deforme]]/FT_RF_264[[#This Row],[Muestra]]),"0")</f>
        <v>0</v>
      </c>
      <c r="AB313" s="27"/>
      <c r="AC313" s="38">
        <v>0</v>
      </c>
      <c r="AD313" s="39">
        <f>+IFERROR((FT_RF_264[[#This Row],[Valor Extra 1]]/FT_RF_264[[#This Row],[Muestra]]),"0")</f>
        <v>0</v>
      </c>
      <c r="AF313" s="38">
        <v>0</v>
      </c>
      <c r="AG313" s="39">
        <f>+IFERROR((FT_RF_264[[#This Row],[Valor Extra 2]]/FT_RF_264[[#This Row],[Muestra]]),"0")</f>
        <v>0</v>
      </c>
      <c r="AH313" s="40">
        <v>0</v>
      </c>
      <c r="AI313" s="39">
        <f>+IFERROR((FT_RF_264[[#This Row],[Hongos]]/FT_RF_264[[#This Row],[Muestra]]),"0")</f>
        <v>0</v>
      </c>
      <c r="AJ313" s="38">
        <v>0</v>
      </c>
      <c r="AK313" s="39">
        <f>+IFERROR((FT_RF_264[[#This Row],[Block]]/FT_RF_264[[#This Row],[Muestra]]),"0")</f>
        <v>0</v>
      </c>
      <c r="AL313" s="41">
        <v>0</v>
      </c>
      <c r="AM313" s="42">
        <v>0</v>
      </c>
      <c r="AN313" s="38">
        <v>0</v>
      </c>
      <c r="AO313" s="39">
        <f>+IFERROR((FT_RF_264[[#This Row],[Fuera de calibre &lt;12mm]]/FT_RF_264[[#This Row],[Muestra]]),"0")</f>
        <v>0</v>
      </c>
      <c r="AP313" s="38">
        <v>0</v>
      </c>
      <c r="AQ313" s="39">
        <f>+IFERROR((FT_RF_264[[#This Row],[Calibre &lt;25]]/FT_RF_264[[#This Row],[Muestra]]),"0")</f>
        <v>0</v>
      </c>
      <c r="AR313" s="38">
        <v>0</v>
      </c>
      <c r="AS313" s="39">
        <f>+IFERROR((FT_RF_264[[#This Row],[Calibre &gt;12]]/FT_RF_264[[#This Row],[Muestra]]),"0")</f>
        <v>0</v>
      </c>
      <c r="AT313" s="38">
        <v>0</v>
      </c>
      <c r="AU313" s="39">
        <f>+IFERROR((FT_RF_264[[#This Row],[Calibre &lt;14]]/FT_RF_264[[#This Row],[Muestra]]),"0")</f>
        <v>0</v>
      </c>
      <c r="AV313" s="38">
        <v>0</v>
      </c>
      <c r="AW313" s="39">
        <f>+IFERROR((FT_RF_264[[#This Row],[Calibre &gt;14]]/FT_RF_264[[#This Row],[Muestra]]),"0")</f>
        <v>0</v>
      </c>
      <c r="AX313" s="38">
        <v>0</v>
      </c>
      <c r="AY313" s="39">
        <f>+IFERROR((FT_RF_264[[#This Row],[Calibre &lt;10]]/FT_RF_264[[#This Row],[Muestra]]),"0")</f>
        <v>0</v>
      </c>
      <c r="AZ313" s="38">
        <v>0</v>
      </c>
      <c r="BA313" s="39">
        <f>+IFERROR((FT_RF_264[[#This Row],[Calibre &gt;13]]/FT_RF_264[[#This Row],[Muestra]]),"0")</f>
        <v>0</v>
      </c>
      <c r="BB313" s="41"/>
      <c r="BG313" s="42"/>
      <c r="BH313" s="43">
        <v>0</v>
      </c>
      <c r="BI313" s="29" t="s">
        <v>894</v>
      </c>
      <c r="BJ313" s="29" t="s">
        <v>894</v>
      </c>
      <c r="BK31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1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13" s="45">
        <f>1-FT_RF_264[[#This Row],[% Defectos]]</f>
        <v>1</v>
      </c>
      <c r="BO313" s="60"/>
      <c r="BP313" s="12">
        <f>SUM(FT_RF_264[[#This Row],[Hoja (Un.)]:[Larvas Caja]])</f>
        <v>0</v>
      </c>
      <c r="BQ313" s="12">
        <f>SUM(FT_RF_264[[#This Row],[Vidrios]:[Plástico]])</f>
        <v>0</v>
      </c>
      <c r="BR313" s="12" t="str">
        <f>IF(ISBLANK(FT_RF_264[[#This Row],[Descripción del producto]]),"",FT_RF_264[[#This Row],[Descripción del producto]])</f>
        <v/>
      </c>
      <c r="BS313" s="29" t="str">
        <f>IF(ISBLANK(FT_RF_264[[#This Row],[N° de Lote]]),"",FT_RF_264[[#This Row],[N° de Lote]])</f>
        <v/>
      </c>
      <c r="BT313" s="29" t="str">
        <f>IF(ISBLANK(FT_RF_264[[#This Row],[N° de Pallet]]),"",FT_RF_264[[#This Row],[N° de Pallet]])</f>
        <v/>
      </c>
    </row>
    <row r="314" spans="2:72">
      <c r="B314" s="29">
        <f>+_xlfn.ISOWEEKNUM(FT_RF_264[[#This Row],[Fecha]])</f>
        <v>52</v>
      </c>
      <c r="E314" s="31"/>
      <c r="F314" s="12" t="str">
        <f>IFERROR(""&amp;_xlfn.XLOOKUP(FT_RF_264[[#This Row],[Código]],BD_Cod[SKU],BD_Cod[Descripción]),"")</f>
        <v/>
      </c>
      <c r="G314" s="32" t="str">
        <f>IFERROR(""&amp;_xlfn.XLOOKUP(FT_RF_264[[#This Row],[Código]],BD_Cod[SKU],BD_Cod[Familia Calidad]),"")</f>
        <v/>
      </c>
      <c r="J314" s="33">
        <v>1000</v>
      </c>
      <c r="L314" s="30" t="s">
        <v>244</v>
      </c>
      <c r="O314" s="30" t="s">
        <v>894</v>
      </c>
      <c r="P314" s="29" t="s">
        <v>894</v>
      </c>
      <c r="Q314" s="37">
        <f>1-FT_RF_264[[#This Row],[% Defectos]]</f>
        <v>1</v>
      </c>
      <c r="R314" s="38">
        <v>0</v>
      </c>
      <c r="S314" s="39">
        <f>+IFERROR((FT_RF_264[[#This Row],[Inmadura]]/FT_RF_264[[#This Row],[Muestra]]),"0")</f>
        <v>0</v>
      </c>
      <c r="T314" s="38">
        <v>0</v>
      </c>
      <c r="U314" s="39">
        <f>+IFERROR((FT_RF_264[[#This Row],[Partidas]]/FT_RF_264[[#This Row],[Muestra]]),"0")</f>
        <v>0</v>
      </c>
      <c r="V314" s="38">
        <v>0</v>
      </c>
      <c r="W314" s="39">
        <f>+IFERROR((FT_RF_264[[#This Row],[Daño Insecto]]/FT_RF_264[[#This Row],[Muestra]]),"0")</f>
        <v>0</v>
      </c>
      <c r="X314" s="38">
        <v>0</v>
      </c>
      <c r="Y314" s="39">
        <f>+IFERROR((FT_RF_264[[#This Row],[Sobremadura]]/FT_RF_264[[#This Row],[Muestra]]),"0")</f>
        <v>0</v>
      </c>
      <c r="Z314" s="38">
        <v>0</v>
      </c>
      <c r="AA314" s="39">
        <f>+IFERROR((FT_RF_264[[#This Row],[Deforme]]/FT_RF_264[[#This Row],[Muestra]]),"0")</f>
        <v>0</v>
      </c>
      <c r="AB314" s="27"/>
      <c r="AC314" s="38">
        <v>0</v>
      </c>
      <c r="AD314" s="39">
        <f>+IFERROR((FT_RF_264[[#This Row],[Valor Extra 1]]/FT_RF_264[[#This Row],[Muestra]]),"0")</f>
        <v>0</v>
      </c>
      <c r="AF314" s="38">
        <v>0</v>
      </c>
      <c r="AG314" s="39">
        <f>+IFERROR((FT_RF_264[[#This Row],[Valor Extra 2]]/FT_RF_264[[#This Row],[Muestra]]),"0")</f>
        <v>0</v>
      </c>
      <c r="AH314" s="40">
        <v>0</v>
      </c>
      <c r="AI314" s="39">
        <f>+IFERROR((FT_RF_264[[#This Row],[Hongos]]/FT_RF_264[[#This Row],[Muestra]]),"0")</f>
        <v>0</v>
      </c>
      <c r="AJ314" s="38">
        <v>0</v>
      </c>
      <c r="AK314" s="39">
        <f>+IFERROR((FT_RF_264[[#This Row],[Block]]/FT_RF_264[[#This Row],[Muestra]]),"0")</f>
        <v>0</v>
      </c>
      <c r="AL314" s="41">
        <v>0</v>
      </c>
      <c r="AM314" s="42">
        <v>0</v>
      </c>
      <c r="AN314" s="38">
        <v>0</v>
      </c>
      <c r="AO314" s="39">
        <f>+IFERROR((FT_RF_264[[#This Row],[Fuera de calibre &lt;12mm]]/FT_RF_264[[#This Row],[Muestra]]),"0")</f>
        <v>0</v>
      </c>
      <c r="AP314" s="38">
        <v>0</v>
      </c>
      <c r="AQ314" s="39">
        <f>+IFERROR((FT_RF_264[[#This Row],[Calibre &lt;25]]/FT_RF_264[[#This Row],[Muestra]]),"0")</f>
        <v>0</v>
      </c>
      <c r="AR314" s="38">
        <v>0</v>
      </c>
      <c r="AS314" s="39">
        <f>+IFERROR((FT_RF_264[[#This Row],[Calibre &gt;12]]/FT_RF_264[[#This Row],[Muestra]]),"0")</f>
        <v>0</v>
      </c>
      <c r="AT314" s="38">
        <v>0</v>
      </c>
      <c r="AU314" s="39">
        <f>+IFERROR((FT_RF_264[[#This Row],[Calibre &lt;14]]/FT_RF_264[[#This Row],[Muestra]]),"0")</f>
        <v>0</v>
      </c>
      <c r="AV314" s="38">
        <v>0</v>
      </c>
      <c r="AW314" s="39">
        <f>+IFERROR((FT_RF_264[[#This Row],[Calibre &gt;14]]/FT_RF_264[[#This Row],[Muestra]]),"0")</f>
        <v>0</v>
      </c>
      <c r="AX314" s="38">
        <v>0</v>
      </c>
      <c r="AY314" s="39">
        <f>+IFERROR((FT_RF_264[[#This Row],[Calibre &lt;10]]/FT_RF_264[[#This Row],[Muestra]]),"0")</f>
        <v>0</v>
      </c>
      <c r="AZ314" s="38">
        <v>0</v>
      </c>
      <c r="BA314" s="39">
        <f>+IFERROR((FT_RF_264[[#This Row],[Calibre &gt;13]]/FT_RF_264[[#This Row],[Muestra]]),"0")</f>
        <v>0</v>
      </c>
      <c r="BB314" s="41"/>
      <c r="BG314" s="42"/>
      <c r="BH314" s="43">
        <v>0</v>
      </c>
      <c r="BI314" s="29" t="s">
        <v>894</v>
      </c>
      <c r="BJ314" s="29" t="s">
        <v>894</v>
      </c>
      <c r="BK31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1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14" s="45">
        <f>1-FT_RF_264[[#This Row],[% Defectos]]</f>
        <v>1</v>
      </c>
      <c r="BO314" s="60"/>
      <c r="BP314" s="12">
        <f>SUM(FT_RF_264[[#This Row],[Hoja (Un.)]:[Larvas Caja]])</f>
        <v>0</v>
      </c>
      <c r="BQ314" s="12">
        <f>SUM(FT_RF_264[[#This Row],[Vidrios]:[Plástico]])</f>
        <v>0</v>
      </c>
      <c r="BR314" s="12" t="str">
        <f>IF(ISBLANK(FT_RF_264[[#This Row],[Descripción del producto]]),"",FT_RF_264[[#This Row],[Descripción del producto]])</f>
        <v/>
      </c>
      <c r="BS314" s="29" t="str">
        <f>IF(ISBLANK(FT_RF_264[[#This Row],[N° de Lote]]),"",FT_RF_264[[#This Row],[N° de Lote]])</f>
        <v/>
      </c>
      <c r="BT314" s="29" t="str">
        <f>IF(ISBLANK(FT_RF_264[[#This Row],[N° de Pallet]]),"",FT_RF_264[[#This Row],[N° de Pallet]])</f>
        <v/>
      </c>
    </row>
    <row r="315" spans="2:72">
      <c r="B315" s="29">
        <f>+_xlfn.ISOWEEKNUM(FT_RF_264[[#This Row],[Fecha]])</f>
        <v>52</v>
      </c>
      <c r="E315" s="31"/>
      <c r="F315" s="12" t="str">
        <f>IFERROR(""&amp;_xlfn.XLOOKUP(FT_RF_264[[#This Row],[Código]],BD_Cod[SKU],BD_Cod[Descripción]),"")</f>
        <v/>
      </c>
      <c r="G315" s="32" t="str">
        <f>IFERROR(""&amp;_xlfn.XLOOKUP(FT_RF_264[[#This Row],[Código]],BD_Cod[SKU],BD_Cod[Familia Calidad]),"")</f>
        <v/>
      </c>
      <c r="J315" s="33">
        <v>1000</v>
      </c>
      <c r="L315" s="30" t="s">
        <v>244</v>
      </c>
      <c r="O315" s="30" t="s">
        <v>894</v>
      </c>
      <c r="P315" s="29" t="s">
        <v>894</v>
      </c>
      <c r="Q315" s="37">
        <f>1-FT_RF_264[[#This Row],[% Defectos]]</f>
        <v>1</v>
      </c>
      <c r="R315" s="38">
        <v>0</v>
      </c>
      <c r="S315" s="39">
        <f>+IFERROR((FT_RF_264[[#This Row],[Inmadura]]/FT_RF_264[[#This Row],[Muestra]]),"0")</f>
        <v>0</v>
      </c>
      <c r="T315" s="38">
        <v>0</v>
      </c>
      <c r="U315" s="39">
        <f>+IFERROR((FT_RF_264[[#This Row],[Partidas]]/FT_RF_264[[#This Row],[Muestra]]),"0")</f>
        <v>0</v>
      </c>
      <c r="V315" s="38">
        <v>0</v>
      </c>
      <c r="W315" s="39">
        <f>+IFERROR((FT_RF_264[[#This Row],[Daño Insecto]]/FT_RF_264[[#This Row],[Muestra]]),"0")</f>
        <v>0</v>
      </c>
      <c r="X315" s="38">
        <v>0</v>
      </c>
      <c r="Y315" s="39">
        <f>+IFERROR((FT_RF_264[[#This Row],[Sobremadura]]/FT_RF_264[[#This Row],[Muestra]]),"0")</f>
        <v>0</v>
      </c>
      <c r="Z315" s="38">
        <v>0</v>
      </c>
      <c r="AA315" s="39">
        <f>+IFERROR((FT_RF_264[[#This Row],[Deforme]]/FT_RF_264[[#This Row],[Muestra]]),"0")</f>
        <v>0</v>
      </c>
      <c r="AB315" s="27"/>
      <c r="AC315" s="38">
        <v>0</v>
      </c>
      <c r="AD315" s="39">
        <f>+IFERROR((FT_RF_264[[#This Row],[Valor Extra 1]]/FT_RF_264[[#This Row],[Muestra]]),"0")</f>
        <v>0</v>
      </c>
      <c r="AF315" s="38">
        <v>0</v>
      </c>
      <c r="AG315" s="39">
        <f>+IFERROR((FT_RF_264[[#This Row],[Valor Extra 2]]/FT_RF_264[[#This Row],[Muestra]]),"0")</f>
        <v>0</v>
      </c>
      <c r="AH315" s="40">
        <v>0</v>
      </c>
      <c r="AI315" s="39">
        <f>+IFERROR((FT_RF_264[[#This Row],[Hongos]]/FT_RF_264[[#This Row],[Muestra]]),"0")</f>
        <v>0</v>
      </c>
      <c r="AJ315" s="38">
        <v>0</v>
      </c>
      <c r="AK315" s="39">
        <f>+IFERROR((FT_RF_264[[#This Row],[Block]]/FT_RF_264[[#This Row],[Muestra]]),"0")</f>
        <v>0</v>
      </c>
      <c r="AL315" s="41">
        <v>0</v>
      </c>
      <c r="AM315" s="42">
        <v>0</v>
      </c>
      <c r="AN315" s="38">
        <v>0</v>
      </c>
      <c r="AO315" s="39">
        <f>+IFERROR((FT_RF_264[[#This Row],[Fuera de calibre &lt;12mm]]/FT_RF_264[[#This Row],[Muestra]]),"0")</f>
        <v>0</v>
      </c>
      <c r="AP315" s="38">
        <v>0</v>
      </c>
      <c r="AQ315" s="39">
        <f>+IFERROR((FT_RF_264[[#This Row],[Calibre &lt;25]]/FT_RF_264[[#This Row],[Muestra]]),"0")</f>
        <v>0</v>
      </c>
      <c r="AR315" s="38">
        <v>0</v>
      </c>
      <c r="AS315" s="39">
        <f>+IFERROR((FT_RF_264[[#This Row],[Calibre &gt;12]]/FT_RF_264[[#This Row],[Muestra]]),"0")</f>
        <v>0</v>
      </c>
      <c r="AT315" s="38">
        <v>0</v>
      </c>
      <c r="AU315" s="39">
        <f>+IFERROR((FT_RF_264[[#This Row],[Calibre &lt;14]]/FT_RF_264[[#This Row],[Muestra]]),"0")</f>
        <v>0</v>
      </c>
      <c r="AV315" s="38">
        <v>0</v>
      </c>
      <c r="AW315" s="39">
        <f>+IFERROR((FT_RF_264[[#This Row],[Calibre &gt;14]]/FT_RF_264[[#This Row],[Muestra]]),"0")</f>
        <v>0</v>
      </c>
      <c r="AX315" s="38">
        <v>0</v>
      </c>
      <c r="AY315" s="39">
        <f>+IFERROR((FT_RF_264[[#This Row],[Calibre &lt;10]]/FT_RF_264[[#This Row],[Muestra]]),"0")</f>
        <v>0</v>
      </c>
      <c r="AZ315" s="38">
        <v>0</v>
      </c>
      <c r="BA315" s="39">
        <f>+IFERROR((FT_RF_264[[#This Row],[Calibre &gt;13]]/FT_RF_264[[#This Row],[Muestra]]),"0")</f>
        <v>0</v>
      </c>
      <c r="BB315" s="41"/>
      <c r="BG315" s="42"/>
      <c r="BH315" s="43">
        <v>0</v>
      </c>
      <c r="BI315" s="29" t="s">
        <v>894</v>
      </c>
      <c r="BJ315" s="29" t="s">
        <v>894</v>
      </c>
      <c r="BK315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15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15" s="45">
        <f>1-FT_RF_264[[#This Row],[% Defectos]]</f>
        <v>1</v>
      </c>
      <c r="BO315" s="60"/>
      <c r="BP315" s="12">
        <f>SUM(FT_RF_264[[#This Row],[Hoja (Un.)]:[Larvas Caja]])</f>
        <v>0</v>
      </c>
      <c r="BQ315" s="12">
        <f>SUM(FT_RF_264[[#This Row],[Vidrios]:[Plástico]])</f>
        <v>0</v>
      </c>
      <c r="BR315" s="12" t="str">
        <f>IF(ISBLANK(FT_RF_264[[#This Row],[Descripción del producto]]),"",FT_RF_264[[#This Row],[Descripción del producto]])</f>
        <v/>
      </c>
      <c r="BS315" s="29" t="str">
        <f>IF(ISBLANK(FT_RF_264[[#This Row],[N° de Lote]]),"",FT_RF_264[[#This Row],[N° de Lote]])</f>
        <v/>
      </c>
      <c r="BT315" s="29" t="str">
        <f>IF(ISBLANK(FT_RF_264[[#This Row],[N° de Pallet]]),"",FT_RF_264[[#This Row],[N° de Pallet]])</f>
        <v/>
      </c>
    </row>
    <row r="316" spans="2:72">
      <c r="B316" s="29">
        <f>+_xlfn.ISOWEEKNUM(FT_RF_264[[#This Row],[Fecha]])</f>
        <v>52</v>
      </c>
      <c r="E316" s="31"/>
      <c r="F316" s="12" t="str">
        <f>IFERROR(""&amp;_xlfn.XLOOKUP(FT_RF_264[[#This Row],[Código]],BD_Cod[SKU],BD_Cod[Descripción]),"")</f>
        <v/>
      </c>
      <c r="G316" s="32" t="str">
        <f>IFERROR(""&amp;_xlfn.XLOOKUP(FT_RF_264[[#This Row],[Código]],BD_Cod[SKU],BD_Cod[Familia Calidad]),"")</f>
        <v/>
      </c>
      <c r="J316" s="33">
        <v>1000</v>
      </c>
      <c r="L316" s="30" t="s">
        <v>244</v>
      </c>
      <c r="O316" s="30" t="s">
        <v>894</v>
      </c>
      <c r="P316" s="29" t="s">
        <v>894</v>
      </c>
      <c r="Q316" s="37">
        <f>1-FT_RF_264[[#This Row],[% Defectos]]</f>
        <v>1</v>
      </c>
      <c r="R316" s="38">
        <v>0</v>
      </c>
      <c r="S316" s="39">
        <f>+IFERROR((FT_RF_264[[#This Row],[Inmadura]]/FT_RF_264[[#This Row],[Muestra]]),"0")</f>
        <v>0</v>
      </c>
      <c r="T316" s="38">
        <v>0</v>
      </c>
      <c r="U316" s="39">
        <f>+IFERROR((FT_RF_264[[#This Row],[Partidas]]/FT_RF_264[[#This Row],[Muestra]]),"0")</f>
        <v>0</v>
      </c>
      <c r="V316" s="38">
        <v>0</v>
      </c>
      <c r="W316" s="39">
        <f>+IFERROR((FT_RF_264[[#This Row],[Daño Insecto]]/FT_RF_264[[#This Row],[Muestra]]),"0")</f>
        <v>0</v>
      </c>
      <c r="X316" s="38">
        <v>0</v>
      </c>
      <c r="Y316" s="39">
        <f>+IFERROR((FT_RF_264[[#This Row],[Sobremadura]]/FT_RF_264[[#This Row],[Muestra]]),"0")</f>
        <v>0</v>
      </c>
      <c r="Z316" s="38">
        <v>0</v>
      </c>
      <c r="AA316" s="39">
        <f>+IFERROR((FT_RF_264[[#This Row],[Deforme]]/FT_RF_264[[#This Row],[Muestra]]),"0")</f>
        <v>0</v>
      </c>
      <c r="AB316" s="27"/>
      <c r="AC316" s="38">
        <v>0</v>
      </c>
      <c r="AD316" s="39">
        <f>+IFERROR((FT_RF_264[[#This Row],[Valor Extra 1]]/FT_RF_264[[#This Row],[Muestra]]),"0")</f>
        <v>0</v>
      </c>
      <c r="AF316" s="38">
        <v>0</v>
      </c>
      <c r="AG316" s="39">
        <f>+IFERROR((FT_RF_264[[#This Row],[Valor Extra 2]]/FT_RF_264[[#This Row],[Muestra]]),"0")</f>
        <v>0</v>
      </c>
      <c r="AH316" s="40">
        <v>0</v>
      </c>
      <c r="AI316" s="39">
        <f>+IFERROR((FT_RF_264[[#This Row],[Hongos]]/FT_RF_264[[#This Row],[Muestra]]),"0")</f>
        <v>0</v>
      </c>
      <c r="AJ316" s="38">
        <v>0</v>
      </c>
      <c r="AK316" s="39">
        <f>+IFERROR((FT_RF_264[[#This Row],[Block]]/FT_RF_264[[#This Row],[Muestra]]),"0")</f>
        <v>0</v>
      </c>
      <c r="AL316" s="41">
        <v>0</v>
      </c>
      <c r="AM316" s="42">
        <v>0</v>
      </c>
      <c r="AN316" s="38">
        <v>0</v>
      </c>
      <c r="AO316" s="39">
        <f>+IFERROR((FT_RF_264[[#This Row],[Fuera de calibre &lt;12mm]]/FT_RF_264[[#This Row],[Muestra]]),"0")</f>
        <v>0</v>
      </c>
      <c r="AP316" s="38">
        <v>0</v>
      </c>
      <c r="AQ316" s="39">
        <f>+IFERROR((FT_RF_264[[#This Row],[Calibre &lt;25]]/FT_RF_264[[#This Row],[Muestra]]),"0")</f>
        <v>0</v>
      </c>
      <c r="AR316" s="38">
        <v>0</v>
      </c>
      <c r="AS316" s="39">
        <f>+IFERROR((FT_RF_264[[#This Row],[Calibre &gt;12]]/FT_RF_264[[#This Row],[Muestra]]),"0")</f>
        <v>0</v>
      </c>
      <c r="AT316" s="38">
        <v>0</v>
      </c>
      <c r="AU316" s="39">
        <f>+IFERROR((FT_RF_264[[#This Row],[Calibre &lt;14]]/FT_RF_264[[#This Row],[Muestra]]),"0")</f>
        <v>0</v>
      </c>
      <c r="AV316" s="38">
        <v>0</v>
      </c>
      <c r="AW316" s="39">
        <f>+IFERROR((FT_RF_264[[#This Row],[Calibre &gt;14]]/FT_RF_264[[#This Row],[Muestra]]),"0")</f>
        <v>0</v>
      </c>
      <c r="AX316" s="38">
        <v>0</v>
      </c>
      <c r="AY316" s="39">
        <f>+IFERROR((FT_RF_264[[#This Row],[Calibre &lt;10]]/FT_RF_264[[#This Row],[Muestra]]),"0")</f>
        <v>0</v>
      </c>
      <c r="AZ316" s="38">
        <v>0</v>
      </c>
      <c r="BA316" s="39">
        <f>+IFERROR((FT_RF_264[[#This Row],[Calibre &gt;13]]/FT_RF_264[[#This Row],[Muestra]]),"0")</f>
        <v>0</v>
      </c>
      <c r="BB316" s="41"/>
      <c r="BG316" s="42"/>
      <c r="BH316" s="43">
        <v>0</v>
      </c>
      <c r="BI316" s="29" t="s">
        <v>894</v>
      </c>
      <c r="BJ316" s="29" t="s">
        <v>894</v>
      </c>
      <c r="BK316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16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16" s="45">
        <f>1-FT_RF_264[[#This Row],[% Defectos]]</f>
        <v>1</v>
      </c>
      <c r="BO316" s="60"/>
      <c r="BP316" s="12">
        <f>SUM(FT_RF_264[[#This Row],[Hoja (Un.)]:[Larvas Caja]])</f>
        <v>0</v>
      </c>
      <c r="BQ316" s="12">
        <f>SUM(FT_RF_264[[#This Row],[Vidrios]:[Plástico]])</f>
        <v>0</v>
      </c>
      <c r="BR316" s="12" t="str">
        <f>IF(ISBLANK(FT_RF_264[[#This Row],[Descripción del producto]]),"",FT_RF_264[[#This Row],[Descripción del producto]])</f>
        <v/>
      </c>
      <c r="BS316" s="29" t="str">
        <f>IF(ISBLANK(FT_RF_264[[#This Row],[N° de Lote]]),"",FT_RF_264[[#This Row],[N° de Lote]])</f>
        <v/>
      </c>
      <c r="BT316" s="29" t="str">
        <f>IF(ISBLANK(FT_RF_264[[#This Row],[N° de Pallet]]),"",FT_RF_264[[#This Row],[N° de Pallet]])</f>
        <v/>
      </c>
    </row>
    <row r="317" spans="2:72">
      <c r="B317" s="29">
        <f>+_xlfn.ISOWEEKNUM(FT_RF_264[[#This Row],[Fecha]])</f>
        <v>52</v>
      </c>
      <c r="E317" s="31"/>
      <c r="F317" s="12" t="str">
        <f>IFERROR(""&amp;_xlfn.XLOOKUP(FT_RF_264[[#This Row],[Código]],BD_Cod[SKU],BD_Cod[Descripción]),"")</f>
        <v/>
      </c>
      <c r="G317" s="32" t="str">
        <f>IFERROR(""&amp;_xlfn.XLOOKUP(FT_RF_264[[#This Row],[Código]],BD_Cod[SKU],BD_Cod[Familia Calidad]),"")</f>
        <v/>
      </c>
      <c r="J317" s="33">
        <v>1000</v>
      </c>
      <c r="L317" s="30" t="s">
        <v>244</v>
      </c>
      <c r="O317" s="30" t="s">
        <v>894</v>
      </c>
      <c r="P317" s="29" t="s">
        <v>894</v>
      </c>
      <c r="Q317" s="37">
        <f>1-FT_RF_264[[#This Row],[% Defectos]]</f>
        <v>1</v>
      </c>
      <c r="R317" s="38">
        <v>0</v>
      </c>
      <c r="S317" s="39">
        <f>+IFERROR((FT_RF_264[[#This Row],[Inmadura]]/FT_RF_264[[#This Row],[Muestra]]),"0")</f>
        <v>0</v>
      </c>
      <c r="T317" s="38">
        <v>0</v>
      </c>
      <c r="U317" s="39">
        <f>+IFERROR((FT_RF_264[[#This Row],[Partidas]]/FT_RF_264[[#This Row],[Muestra]]),"0")</f>
        <v>0</v>
      </c>
      <c r="V317" s="38">
        <v>0</v>
      </c>
      <c r="W317" s="39">
        <f>+IFERROR((FT_RF_264[[#This Row],[Daño Insecto]]/FT_RF_264[[#This Row],[Muestra]]),"0")</f>
        <v>0</v>
      </c>
      <c r="X317" s="38">
        <v>0</v>
      </c>
      <c r="Y317" s="39">
        <f>+IFERROR((FT_RF_264[[#This Row],[Sobremadura]]/FT_RF_264[[#This Row],[Muestra]]),"0")</f>
        <v>0</v>
      </c>
      <c r="Z317" s="38">
        <v>0</v>
      </c>
      <c r="AA317" s="39">
        <f>+IFERROR((FT_RF_264[[#This Row],[Deforme]]/FT_RF_264[[#This Row],[Muestra]]),"0")</f>
        <v>0</v>
      </c>
      <c r="AB317" s="27"/>
      <c r="AC317" s="38">
        <v>0</v>
      </c>
      <c r="AD317" s="39">
        <f>+IFERROR((FT_RF_264[[#This Row],[Valor Extra 1]]/FT_RF_264[[#This Row],[Muestra]]),"0")</f>
        <v>0</v>
      </c>
      <c r="AF317" s="38">
        <v>0</v>
      </c>
      <c r="AG317" s="39">
        <f>+IFERROR((FT_RF_264[[#This Row],[Valor Extra 2]]/FT_RF_264[[#This Row],[Muestra]]),"0")</f>
        <v>0</v>
      </c>
      <c r="AH317" s="40">
        <v>0</v>
      </c>
      <c r="AI317" s="39">
        <f>+IFERROR((FT_RF_264[[#This Row],[Hongos]]/FT_RF_264[[#This Row],[Muestra]]),"0")</f>
        <v>0</v>
      </c>
      <c r="AJ317" s="38">
        <v>0</v>
      </c>
      <c r="AK317" s="39">
        <f>+IFERROR((FT_RF_264[[#This Row],[Block]]/FT_RF_264[[#This Row],[Muestra]]),"0")</f>
        <v>0</v>
      </c>
      <c r="AL317" s="41">
        <v>0</v>
      </c>
      <c r="AM317" s="42">
        <v>0</v>
      </c>
      <c r="AN317" s="38">
        <v>0</v>
      </c>
      <c r="AO317" s="39">
        <f>+IFERROR((FT_RF_264[[#This Row],[Fuera de calibre &lt;12mm]]/FT_RF_264[[#This Row],[Muestra]]),"0")</f>
        <v>0</v>
      </c>
      <c r="AP317" s="38">
        <v>0</v>
      </c>
      <c r="AQ317" s="39">
        <f>+IFERROR((FT_RF_264[[#This Row],[Calibre &lt;25]]/FT_RF_264[[#This Row],[Muestra]]),"0")</f>
        <v>0</v>
      </c>
      <c r="AR317" s="38">
        <v>0</v>
      </c>
      <c r="AS317" s="39">
        <f>+IFERROR((FT_RF_264[[#This Row],[Calibre &gt;12]]/FT_RF_264[[#This Row],[Muestra]]),"0")</f>
        <v>0</v>
      </c>
      <c r="AT317" s="38">
        <v>0</v>
      </c>
      <c r="AU317" s="39">
        <f>+IFERROR((FT_RF_264[[#This Row],[Calibre &lt;14]]/FT_RF_264[[#This Row],[Muestra]]),"0")</f>
        <v>0</v>
      </c>
      <c r="AV317" s="38">
        <v>0</v>
      </c>
      <c r="AW317" s="39">
        <f>+IFERROR((FT_RF_264[[#This Row],[Calibre &gt;14]]/FT_RF_264[[#This Row],[Muestra]]),"0")</f>
        <v>0</v>
      </c>
      <c r="AX317" s="38">
        <v>0</v>
      </c>
      <c r="AY317" s="39">
        <f>+IFERROR((FT_RF_264[[#This Row],[Calibre &lt;10]]/FT_RF_264[[#This Row],[Muestra]]),"0")</f>
        <v>0</v>
      </c>
      <c r="AZ317" s="38">
        <v>0</v>
      </c>
      <c r="BA317" s="39">
        <f>+IFERROR((FT_RF_264[[#This Row],[Calibre &gt;13]]/FT_RF_264[[#This Row],[Muestra]]),"0")</f>
        <v>0</v>
      </c>
      <c r="BB317" s="41"/>
      <c r="BG317" s="42"/>
      <c r="BH317" s="43">
        <v>0</v>
      </c>
      <c r="BI317" s="29" t="s">
        <v>894</v>
      </c>
      <c r="BJ317" s="29" t="s">
        <v>894</v>
      </c>
      <c r="BK317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17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17" s="45">
        <f>1-FT_RF_264[[#This Row],[% Defectos]]</f>
        <v>1</v>
      </c>
      <c r="BO317" s="60"/>
      <c r="BP317" s="12">
        <f>SUM(FT_RF_264[[#This Row],[Hoja (Un.)]:[Larvas Caja]])</f>
        <v>0</v>
      </c>
      <c r="BQ317" s="12">
        <f>SUM(FT_RF_264[[#This Row],[Vidrios]:[Plástico]])</f>
        <v>0</v>
      </c>
      <c r="BR317" s="12" t="str">
        <f>IF(ISBLANK(FT_RF_264[[#This Row],[Descripción del producto]]),"",FT_RF_264[[#This Row],[Descripción del producto]])</f>
        <v/>
      </c>
      <c r="BS317" s="29" t="str">
        <f>IF(ISBLANK(FT_RF_264[[#This Row],[N° de Lote]]),"",FT_RF_264[[#This Row],[N° de Lote]])</f>
        <v/>
      </c>
      <c r="BT317" s="29" t="str">
        <f>IF(ISBLANK(FT_RF_264[[#This Row],[N° de Pallet]]),"",FT_RF_264[[#This Row],[N° de Pallet]])</f>
        <v/>
      </c>
    </row>
    <row r="318" spans="2:72">
      <c r="B318" s="29">
        <f>+_xlfn.ISOWEEKNUM(FT_RF_264[[#This Row],[Fecha]])</f>
        <v>52</v>
      </c>
      <c r="E318" s="31"/>
      <c r="F318" s="12" t="str">
        <f>IFERROR(""&amp;_xlfn.XLOOKUP(FT_RF_264[[#This Row],[Código]],BD_Cod[SKU],BD_Cod[Descripción]),"")</f>
        <v/>
      </c>
      <c r="G318" s="32" t="str">
        <f>IFERROR(""&amp;_xlfn.XLOOKUP(FT_RF_264[[#This Row],[Código]],BD_Cod[SKU],BD_Cod[Familia Calidad]),"")</f>
        <v/>
      </c>
      <c r="J318" s="33">
        <v>1000</v>
      </c>
      <c r="L318" s="30" t="s">
        <v>244</v>
      </c>
      <c r="O318" s="30" t="s">
        <v>894</v>
      </c>
      <c r="P318" s="29" t="s">
        <v>894</v>
      </c>
      <c r="Q318" s="37">
        <f>1-FT_RF_264[[#This Row],[% Defectos]]</f>
        <v>1</v>
      </c>
      <c r="R318" s="38">
        <v>0</v>
      </c>
      <c r="S318" s="39">
        <f>+IFERROR((FT_RF_264[[#This Row],[Inmadura]]/FT_RF_264[[#This Row],[Muestra]]),"0")</f>
        <v>0</v>
      </c>
      <c r="T318" s="38">
        <v>0</v>
      </c>
      <c r="U318" s="39">
        <f>+IFERROR((FT_RF_264[[#This Row],[Partidas]]/FT_RF_264[[#This Row],[Muestra]]),"0")</f>
        <v>0</v>
      </c>
      <c r="V318" s="38">
        <v>0</v>
      </c>
      <c r="W318" s="39">
        <f>+IFERROR((FT_RF_264[[#This Row],[Daño Insecto]]/FT_RF_264[[#This Row],[Muestra]]),"0")</f>
        <v>0</v>
      </c>
      <c r="X318" s="38">
        <v>0</v>
      </c>
      <c r="Y318" s="39">
        <f>+IFERROR((FT_RF_264[[#This Row],[Sobremadura]]/FT_RF_264[[#This Row],[Muestra]]),"0")</f>
        <v>0</v>
      </c>
      <c r="Z318" s="38">
        <v>0</v>
      </c>
      <c r="AA318" s="39">
        <f>+IFERROR((FT_RF_264[[#This Row],[Deforme]]/FT_RF_264[[#This Row],[Muestra]]),"0")</f>
        <v>0</v>
      </c>
      <c r="AB318" s="27"/>
      <c r="AC318" s="38">
        <v>0</v>
      </c>
      <c r="AD318" s="39">
        <f>+IFERROR((FT_RF_264[[#This Row],[Valor Extra 1]]/FT_RF_264[[#This Row],[Muestra]]),"0")</f>
        <v>0</v>
      </c>
      <c r="AF318" s="38">
        <v>0</v>
      </c>
      <c r="AG318" s="39">
        <f>+IFERROR((FT_RF_264[[#This Row],[Valor Extra 2]]/FT_RF_264[[#This Row],[Muestra]]),"0")</f>
        <v>0</v>
      </c>
      <c r="AH318" s="40">
        <v>0</v>
      </c>
      <c r="AI318" s="39">
        <f>+IFERROR((FT_RF_264[[#This Row],[Hongos]]/FT_RF_264[[#This Row],[Muestra]]),"0")</f>
        <v>0</v>
      </c>
      <c r="AJ318" s="38">
        <v>0</v>
      </c>
      <c r="AK318" s="39">
        <f>+IFERROR((FT_RF_264[[#This Row],[Block]]/FT_RF_264[[#This Row],[Muestra]]),"0")</f>
        <v>0</v>
      </c>
      <c r="AL318" s="41">
        <v>0</v>
      </c>
      <c r="AM318" s="42">
        <v>0</v>
      </c>
      <c r="AN318" s="38">
        <v>0</v>
      </c>
      <c r="AO318" s="39">
        <f>+IFERROR((FT_RF_264[[#This Row],[Fuera de calibre &lt;12mm]]/FT_RF_264[[#This Row],[Muestra]]),"0")</f>
        <v>0</v>
      </c>
      <c r="AP318" s="38">
        <v>0</v>
      </c>
      <c r="AQ318" s="39">
        <f>+IFERROR((FT_RF_264[[#This Row],[Calibre &lt;25]]/FT_RF_264[[#This Row],[Muestra]]),"0")</f>
        <v>0</v>
      </c>
      <c r="AR318" s="38">
        <v>0</v>
      </c>
      <c r="AS318" s="39">
        <f>+IFERROR((FT_RF_264[[#This Row],[Calibre &gt;12]]/FT_RF_264[[#This Row],[Muestra]]),"0")</f>
        <v>0</v>
      </c>
      <c r="AT318" s="38">
        <v>0</v>
      </c>
      <c r="AU318" s="39">
        <f>+IFERROR((FT_RF_264[[#This Row],[Calibre &lt;14]]/FT_RF_264[[#This Row],[Muestra]]),"0")</f>
        <v>0</v>
      </c>
      <c r="AV318" s="38">
        <v>0</v>
      </c>
      <c r="AW318" s="39">
        <f>+IFERROR((FT_RF_264[[#This Row],[Calibre &gt;14]]/FT_RF_264[[#This Row],[Muestra]]),"0")</f>
        <v>0</v>
      </c>
      <c r="AX318" s="38">
        <v>0</v>
      </c>
      <c r="AY318" s="39">
        <f>+IFERROR((FT_RF_264[[#This Row],[Calibre &lt;10]]/FT_RF_264[[#This Row],[Muestra]]),"0")</f>
        <v>0</v>
      </c>
      <c r="AZ318" s="38">
        <v>0</v>
      </c>
      <c r="BA318" s="39">
        <f>+IFERROR((FT_RF_264[[#This Row],[Calibre &gt;13]]/FT_RF_264[[#This Row],[Muestra]]),"0")</f>
        <v>0</v>
      </c>
      <c r="BB318" s="41"/>
      <c r="BG318" s="42"/>
      <c r="BH318" s="43">
        <v>0</v>
      </c>
      <c r="BI318" s="29" t="s">
        <v>894</v>
      </c>
      <c r="BJ318" s="29" t="s">
        <v>894</v>
      </c>
      <c r="BK318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18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18" s="45">
        <f>1-FT_RF_264[[#This Row],[% Defectos]]</f>
        <v>1</v>
      </c>
      <c r="BO318" s="60"/>
      <c r="BP318" s="12">
        <f>SUM(FT_RF_264[[#This Row],[Hoja (Un.)]:[Larvas Caja]])</f>
        <v>0</v>
      </c>
      <c r="BQ318" s="12">
        <f>SUM(FT_RF_264[[#This Row],[Vidrios]:[Plástico]])</f>
        <v>0</v>
      </c>
      <c r="BR318" s="12" t="str">
        <f>IF(ISBLANK(FT_RF_264[[#This Row],[Descripción del producto]]),"",FT_RF_264[[#This Row],[Descripción del producto]])</f>
        <v/>
      </c>
      <c r="BS318" s="29" t="str">
        <f>IF(ISBLANK(FT_RF_264[[#This Row],[N° de Lote]]),"",FT_RF_264[[#This Row],[N° de Lote]])</f>
        <v/>
      </c>
      <c r="BT318" s="29" t="str">
        <f>IF(ISBLANK(FT_RF_264[[#This Row],[N° de Pallet]]),"",FT_RF_264[[#This Row],[N° de Pallet]])</f>
        <v/>
      </c>
    </row>
    <row r="319" spans="2:72">
      <c r="B319" s="29">
        <f>+_xlfn.ISOWEEKNUM(FT_RF_264[[#This Row],[Fecha]])</f>
        <v>52</v>
      </c>
      <c r="E319" s="31"/>
      <c r="F319" s="12" t="str">
        <f>IFERROR(""&amp;_xlfn.XLOOKUP(FT_RF_264[[#This Row],[Código]],BD_Cod[SKU],BD_Cod[Descripción]),"")</f>
        <v/>
      </c>
      <c r="G319" s="32" t="str">
        <f>IFERROR(""&amp;_xlfn.XLOOKUP(FT_RF_264[[#This Row],[Código]],BD_Cod[SKU],BD_Cod[Familia Calidad]),"")</f>
        <v/>
      </c>
      <c r="J319" s="33">
        <v>1000</v>
      </c>
      <c r="L319" s="30" t="s">
        <v>244</v>
      </c>
      <c r="O319" s="30" t="s">
        <v>894</v>
      </c>
      <c r="P319" s="29" t="s">
        <v>894</v>
      </c>
      <c r="Q319" s="37">
        <f>1-FT_RF_264[[#This Row],[% Defectos]]</f>
        <v>1</v>
      </c>
      <c r="R319" s="38">
        <v>0</v>
      </c>
      <c r="S319" s="39">
        <f>+IFERROR((FT_RF_264[[#This Row],[Inmadura]]/FT_RF_264[[#This Row],[Muestra]]),"0")</f>
        <v>0</v>
      </c>
      <c r="T319" s="38">
        <v>0</v>
      </c>
      <c r="U319" s="39">
        <f>+IFERROR((FT_RF_264[[#This Row],[Partidas]]/FT_RF_264[[#This Row],[Muestra]]),"0")</f>
        <v>0</v>
      </c>
      <c r="V319" s="38">
        <v>0</v>
      </c>
      <c r="W319" s="39">
        <f>+IFERROR((FT_RF_264[[#This Row],[Daño Insecto]]/FT_RF_264[[#This Row],[Muestra]]),"0")</f>
        <v>0</v>
      </c>
      <c r="X319" s="38">
        <v>0</v>
      </c>
      <c r="Y319" s="39">
        <f>+IFERROR((FT_RF_264[[#This Row],[Sobremadura]]/FT_RF_264[[#This Row],[Muestra]]),"0")</f>
        <v>0</v>
      </c>
      <c r="Z319" s="38">
        <v>0</v>
      </c>
      <c r="AA319" s="39">
        <f>+IFERROR((FT_RF_264[[#This Row],[Deforme]]/FT_RF_264[[#This Row],[Muestra]]),"0")</f>
        <v>0</v>
      </c>
      <c r="AB319" s="27"/>
      <c r="AC319" s="38">
        <v>0</v>
      </c>
      <c r="AD319" s="39">
        <f>+IFERROR((FT_RF_264[[#This Row],[Valor Extra 1]]/FT_RF_264[[#This Row],[Muestra]]),"0")</f>
        <v>0</v>
      </c>
      <c r="AF319" s="38">
        <v>0</v>
      </c>
      <c r="AG319" s="39">
        <f>+IFERROR((FT_RF_264[[#This Row],[Valor Extra 2]]/FT_RF_264[[#This Row],[Muestra]]),"0")</f>
        <v>0</v>
      </c>
      <c r="AH319" s="40">
        <v>0</v>
      </c>
      <c r="AI319" s="39">
        <f>+IFERROR((FT_RF_264[[#This Row],[Hongos]]/FT_RF_264[[#This Row],[Muestra]]),"0")</f>
        <v>0</v>
      </c>
      <c r="AJ319" s="38">
        <v>0</v>
      </c>
      <c r="AK319" s="39">
        <f>+IFERROR((FT_RF_264[[#This Row],[Block]]/FT_RF_264[[#This Row],[Muestra]]),"0")</f>
        <v>0</v>
      </c>
      <c r="AL319" s="41">
        <v>0</v>
      </c>
      <c r="AM319" s="42">
        <v>0</v>
      </c>
      <c r="AN319" s="38">
        <v>0</v>
      </c>
      <c r="AO319" s="39">
        <f>+IFERROR((FT_RF_264[[#This Row],[Fuera de calibre &lt;12mm]]/FT_RF_264[[#This Row],[Muestra]]),"0")</f>
        <v>0</v>
      </c>
      <c r="AP319" s="38">
        <v>0</v>
      </c>
      <c r="AQ319" s="39">
        <f>+IFERROR((FT_RF_264[[#This Row],[Calibre &lt;25]]/FT_RF_264[[#This Row],[Muestra]]),"0")</f>
        <v>0</v>
      </c>
      <c r="AR319" s="38">
        <v>0</v>
      </c>
      <c r="AS319" s="39">
        <f>+IFERROR((FT_RF_264[[#This Row],[Calibre &gt;12]]/FT_RF_264[[#This Row],[Muestra]]),"0")</f>
        <v>0</v>
      </c>
      <c r="AT319" s="38">
        <v>0</v>
      </c>
      <c r="AU319" s="39">
        <f>+IFERROR((FT_RF_264[[#This Row],[Calibre &lt;14]]/FT_RF_264[[#This Row],[Muestra]]),"0")</f>
        <v>0</v>
      </c>
      <c r="AV319" s="38">
        <v>0</v>
      </c>
      <c r="AW319" s="39">
        <f>+IFERROR((FT_RF_264[[#This Row],[Calibre &gt;14]]/FT_RF_264[[#This Row],[Muestra]]),"0")</f>
        <v>0</v>
      </c>
      <c r="AX319" s="38">
        <v>0</v>
      </c>
      <c r="AY319" s="39">
        <f>+IFERROR((FT_RF_264[[#This Row],[Calibre &lt;10]]/FT_RF_264[[#This Row],[Muestra]]),"0")</f>
        <v>0</v>
      </c>
      <c r="AZ319" s="38">
        <v>0</v>
      </c>
      <c r="BA319" s="39">
        <f>+IFERROR((FT_RF_264[[#This Row],[Calibre &gt;13]]/FT_RF_264[[#This Row],[Muestra]]),"0")</f>
        <v>0</v>
      </c>
      <c r="BB319" s="41"/>
      <c r="BG319" s="42"/>
      <c r="BH319" s="43">
        <v>0</v>
      </c>
      <c r="BI319" s="29" t="s">
        <v>894</v>
      </c>
      <c r="BJ319" s="29" t="s">
        <v>894</v>
      </c>
      <c r="BK319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19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19" s="45">
        <f>1-FT_RF_264[[#This Row],[% Defectos]]</f>
        <v>1</v>
      </c>
      <c r="BO319" s="60"/>
      <c r="BP319" s="12">
        <f>SUM(FT_RF_264[[#This Row],[Hoja (Un.)]:[Larvas Caja]])</f>
        <v>0</v>
      </c>
      <c r="BQ319" s="12">
        <f>SUM(FT_RF_264[[#This Row],[Vidrios]:[Plástico]])</f>
        <v>0</v>
      </c>
      <c r="BR319" s="12" t="str">
        <f>IF(ISBLANK(FT_RF_264[[#This Row],[Descripción del producto]]),"",FT_RF_264[[#This Row],[Descripción del producto]])</f>
        <v/>
      </c>
      <c r="BS319" s="29" t="str">
        <f>IF(ISBLANK(FT_RF_264[[#This Row],[N° de Lote]]),"",FT_RF_264[[#This Row],[N° de Lote]])</f>
        <v/>
      </c>
      <c r="BT319" s="29" t="str">
        <f>IF(ISBLANK(FT_RF_264[[#This Row],[N° de Pallet]]),"",FT_RF_264[[#This Row],[N° de Pallet]])</f>
        <v/>
      </c>
    </row>
    <row r="320" spans="2:72">
      <c r="B320" s="29">
        <f>+_xlfn.ISOWEEKNUM(FT_RF_264[[#This Row],[Fecha]])</f>
        <v>52</v>
      </c>
      <c r="E320" s="31"/>
      <c r="F320" s="12" t="str">
        <f>IFERROR(""&amp;_xlfn.XLOOKUP(FT_RF_264[[#This Row],[Código]],BD_Cod[SKU],BD_Cod[Descripción]),"")</f>
        <v/>
      </c>
      <c r="G320" s="32" t="str">
        <f>IFERROR(""&amp;_xlfn.XLOOKUP(FT_RF_264[[#This Row],[Código]],BD_Cod[SKU],BD_Cod[Familia Calidad]),"")</f>
        <v/>
      </c>
      <c r="J320" s="33">
        <v>1000</v>
      </c>
      <c r="L320" s="30" t="s">
        <v>244</v>
      </c>
      <c r="O320" s="30" t="s">
        <v>894</v>
      </c>
      <c r="P320" s="29" t="s">
        <v>894</v>
      </c>
      <c r="Q320" s="37">
        <f>1-FT_RF_264[[#This Row],[% Defectos]]</f>
        <v>1</v>
      </c>
      <c r="R320" s="38">
        <v>0</v>
      </c>
      <c r="S320" s="39">
        <f>+IFERROR((FT_RF_264[[#This Row],[Inmadura]]/FT_RF_264[[#This Row],[Muestra]]),"0")</f>
        <v>0</v>
      </c>
      <c r="T320" s="38">
        <v>0</v>
      </c>
      <c r="U320" s="39">
        <f>+IFERROR((FT_RF_264[[#This Row],[Partidas]]/FT_RF_264[[#This Row],[Muestra]]),"0")</f>
        <v>0</v>
      </c>
      <c r="V320" s="38">
        <v>0</v>
      </c>
      <c r="W320" s="39">
        <f>+IFERROR((FT_RF_264[[#This Row],[Daño Insecto]]/FT_RF_264[[#This Row],[Muestra]]),"0")</f>
        <v>0</v>
      </c>
      <c r="X320" s="38">
        <v>0</v>
      </c>
      <c r="Y320" s="39">
        <f>+IFERROR((FT_RF_264[[#This Row],[Sobremadura]]/FT_RF_264[[#This Row],[Muestra]]),"0")</f>
        <v>0</v>
      </c>
      <c r="Z320" s="38">
        <v>0</v>
      </c>
      <c r="AA320" s="39">
        <f>+IFERROR((FT_RF_264[[#This Row],[Deforme]]/FT_RF_264[[#This Row],[Muestra]]),"0")</f>
        <v>0</v>
      </c>
      <c r="AB320" s="27"/>
      <c r="AC320" s="38">
        <v>0</v>
      </c>
      <c r="AD320" s="39">
        <f>+IFERROR((FT_RF_264[[#This Row],[Valor Extra 1]]/FT_RF_264[[#This Row],[Muestra]]),"0")</f>
        <v>0</v>
      </c>
      <c r="AF320" s="38">
        <v>0</v>
      </c>
      <c r="AG320" s="39">
        <f>+IFERROR((FT_RF_264[[#This Row],[Valor Extra 2]]/FT_RF_264[[#This Row],[Muestra]]),"0")</f>
        <v>0</v>
      </c>
      <c r="AH320" s="40">
        <v>0</v>
      </c>
      <c r="AI320" s="39">
        <f>+IFERROR((FT_RF_264[[#This Row],[Hongos]]/FT_RF_264[[#This Row],[Muestra]]),"0")</f>
        <v>0</v>
      </c>
      <c r="AJ320" s="38">
        <v>0</v>
      </c>
      <c r="AK320" s="39">
        <f>+IFERROR((FT_RF_264[[#This Row],[Block]]/FT_RF_264[[#This Row],[Muestra]]),"0")</f>
        <v>0</v>
      </c>
      <c r="AL320" s="41">
        <v>0</v>
      </c>
      <c r="AM320" s="42">
        <v>0</v>
      </c>
      <c r="AN320" s="38">
        <v>0</v>
      </c>
      <c r="AO320" s="39">
        <f>+IFERROR((FT_RF_264[[#This Row],[Fuera de calibre &lt;12mm]]/FT_RF_264[[#This Row],[Muestra]]),"0")</f>
        <v>0</v>
      </c>
      <c r="AP320" s="38">
        <v>0</v>
      </c>
      <c r="AQ320" s="39">
        <f>+IFERROR((FT_RF_264[[#This Row],[Calibre &lt;25]]/FT_RF_264[[#This Row],[Muestra]]),"0")</f>
        <v>0</v>
      </c>
      <c r="AR320" s="38">
        <v>0</v>
      </c>
      <c r="AS320" s="39">
        <f>+IFERROR((FT_RF_264[[#This Row],[Calibre &gt;12]]/FT_RF_264[[#This Row],[Muestra]]),"0")</f>
        <v>0</v>
      </c>
      <c r="AT320" s="38">
        <v>0</v>
      </c>
      <c r="AU320" s="39">
        <f>+IFERROR((FT_RF_264[[#This Row],[Calibre &lt;14]]/FT_RF_264[[#This Row],[Muestra]]),"0")</f>
        <v>0</v>
      </c>
      <c r="AV320" s="38">
        <v>0</v>
      </c>
      <c r="AW320" s="39">
        <f>+IFERROR((FT_RF_264[[#This Row],[Calibre &gt;14]]/FT_RF_264[[#This Row],[Muestra]]),"0")</f>
        <v>0</v>
      </c>
      <c r="AX320" s="38">
        <v>0</v>
      </c>
      <c r="AY320" s="39">
        <f>+IFERROR((FT_RF_264[[#This Row],[Calibre &lt;10]]/FT_RF_264[[#This Row],[Muestra]]),"0")</f>
        <v>0</v>
      </c>
      <c r="AZ320" s="38">
        <v>0</v>
      </c>
      <c r="BA320" s="39">
        <f>+IFERROR((FT_RF_264[[#This Row],[Calibre &gt;13]]/FT_RF_264[[#This Row],[Muestra]]),"0")</f>
        <v>0</v>
      </c>
      <c r="BB320" s="41"/>
      <c r="BG320" s="42"/>
      <c r="BH320" s="43">
        <v>0</v>
      </c>
      <c r="BI320" s="29" t="s">
        <v>894</v>
      </c>
      <c r="BJ320" s="29" t="s">
        <v>894</v>
      </c>
      <c r="BK320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20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20" s="45">
        <f>1-FT_RF_264[[#This Row],[% Defectos]]</f>
        <v>1</v>
      </c>
      <c r="BO320" s="60"/>
      <c r="BP320" s="12">
        <f>SUM(FT_RF_264[[#This Row],[Hoja (Un.)]:[Larvas Caja]])</f>
        <v>0</v>
      </c>
      <c r="BQ320" s="12">
        <f>SUM(FT_RF_264[[#This Row],[Vidrios]:[Plástico]])</f>
        <v>0</v>
      </c>
      <c r="BR320" s="12" t="str">
        <f>IF(ISBLANK(FT_RF_264[[#This Row],[Descripción del producto]]),"",FT_RF_264[[#This Row],[Descripción del producto]])</f>
        <v/>
      </c>
      <c r="BS320" s="29" t="str">
        <f>IF(ISBLANK(FT_RF_264[[#This Row],[N° de Lote]]),"",FT_RF_264[[#This Row],[N° de Lote]])</f>
        <v/>
      </c>
      <c r="BT320" s="29" t="str">
        <f>IF(ISBLANK(FT_RF_264[[#This Row],[N° de Pallet]]),"",FT_RF_264[[#This Row],[N° de Pallet]])</f>
        <v/>
      </c>
    </row>
    <row r="321" spans="2:72">
      <c r="B321" s="29">
        <f>+_xlfn.ISOWEEKNUM(FT_RF_264[[#This Row],[Fecha]])</f>
        <v>52</v>
      </c>
      <c r="E321" s="31"/>
      <c r="F321" s="12" t="str">
        <f>IFERROR(""&amp;_xlfn.XLOOKUP(FT_RF_264[[#This Row],[Código]],BD_Cod[SKU],BD_Cod[Descripción]),"")</f>
        <v/>
      </c>
      <c r="G321" s="32" t="str">
        <f>IFERROR(""&amp;_xlfn.XLOOKUP(FT_RF_264[[#This Row],[Código]],BD_Cod[SKU],BD_Cod[Familia Calidad]),"")</f>
        <v/>
      </c>
      <c r="J321" s="33">
        <v>1000</v>
      </c>
      <c r="L321" s="30" t="s">
        <v>244</v>
      </c>
      <c r="O321" s="30" t="s">
        <v>894</v>
      </c>
      <c r="P321" s="29" t="s">
        <v>894</v>
      </c>
      <c r="Q321" s="37">
        <f>1-FT_RF_264[[#This Row],[% Defectos]]</f>
        <v>1</v>
      </c>
      <c r="R321" s="38">
        <v>0</v>
      </c>
      <c r="S321" s="39">
        <f>+IFERROR((FT_RF_264[[#This Row],[Inmadura]]/FT_RF_264[[#This Row],[Muestra]]),"0")</f>
        <v>0</v>
      </c>
      <c r="T321" s="38">
        <v>0</v>
      </c>
      <c r="U321" s="39">
        <f>+IFERROR((FT_RF_264[[#This Row],[Partidas]]/FT_RF_264[[#This Row],[Muestra]]),"0")</f>
        <v>0</v>
      </c>
      <c r="V321" s="38">
        <v>0</v>
      </c>
      <c r="W321" s="39">
        <f>+IFERROR((FT_RF_264[[#This Row],[Daño Insecto]]/FT_RF_264[[#This Row],[Muestra]]),"0")</f>
        <v>0</v>
      </c>
      <c r="X321" s="38">
        <v>0</v>
      </c>
      <c r="Y321" s="39">
        <f>+IFERROR((FT_RF_264[[#This Row],[Sobremadura]]/FT_RF_264[[#This Row],[Muestra]]),"0")</f>
        <v>0</v>
      </c>
      <c r="Z321" s="38">
        <v>0</v>
      </c>
      <c r="AA321" s="39">
        <f>+IFERROR((FT_RF_264[[#This Row],[Deforme]]/FT_RF_264[[#This Row],[Muestra]]),"0")</f>
        <v>0</v>
      </c>
      <c r="AB321" s="27"/>
      <c r="AC321" s="38">
        <v>0</v>
      </c>
      <c r="AD321" s="39">
        <f>+IFERROR((FT_RF_264[[#This Row],[Valor Extra 1]]/FT_RF_264[[#This Row],[Muestra]]),"0")</f>
        <v>0</v>
      </c>
      <c r="AF321" s="38">
        <v>0</v>
      </c>
      <c r="AG321" s="39">
        <f>+IFERROR((FT_RF_264[[#This Row],[Valor Extra 2]]/FT_RF_264[[#This Row],[Muestra]]),"0")</f>
        <v>0</v>
      </c>
      <c r="AH321" s="40">
        <v>0</v>
      </c>
      <c r="AI321" s="39">
        <f>+IFERROR((FT_RF_264[[#This Row],[Hongos]]/FT_RF_264[[#This Row],[Muestra]]),"0")</f>
        <v>0</v>
      </c>
      <c r="AJ321" s="38">
        <v>0</v>
      </c>
      <c r="AK321" s="39">
        <f>+IFERROR((FT_RF_264[[#This Row],[Block]]/FT_RF_264[[#This Row],[Muestra]]),"0")</f>
        <v>0</v>
      </c>
      <c r="AL321" s="41">
        <v>0</v>
      </c>
      <c r="AM321" s="42">
        <v>0</v>
      </c>
      <c r="AN321" s="38">
        <v>0</v>
      </c>
      <c r="AO321" s="39">
        <f>+IFERROR((FT_RF_264[[#This Row],[Fuera de calibre &lt;12mm]]/FT_RF_264[[#This Row],[Muestra]]),"0")</f>
        <v>0</v>
      </c>
      <c r="AP321" s="38">
        <v>0</v>
      </c>
      <c r="AQ321" s="39">
        <f>+IFERROR((FT_RF_264[[#This Row],[Calibre &lt;25]]/FT_RF_264[[#This Row],[Muestra]]),"0")</f>
        <v>0</v>
      </c>
      <c r="AR321" s="38">
        <v>0</v>
      </c>
      <c r="AS321" s="39">
        <f>+IFERROR((FT_RF_264[[#This Row],[Calibre &gt;12]]/FT_RF_264[[#This Row],[Muestra]]),"0")</f>
        <v>0</v>
      </c>
      <c r="AT321" s="38">
        <v>0</v>
      </c>
      <c r="AU321" s="39">
        <f>+IFERROR((FT_RF_264[[#This Row],[Calibre &lt;14]]/FT_RF_264[[#This Row],[Muestra]]),"0")</f>
        <v>0</v>
      </c>
      <c r="AV321" s="38">
        <v>0</v>
      </c>
      <c r="AW321" s="39">
        <f>+IFERROR((FT_RF_264[[#This Row],[Calibre &gt;14]]/FT_RF_264[[#This Row],[Muestra]]),"0")</f>
        <v>0</v>
      </c>
      <c r="AX321" s="38">
        <v>0</v>
      </c>
      <c r="AY321" s="39">
        <f>+IFERROR((FT_RF_264[[#This Row],[Calibre &lt;10]]/FT_RF_264[[#This Row],[Muestra]]),"0")</f>
        <v>0</v>
      </c>
      <c r="AZ321" s="38">
        <v>0</v>
      </c>
      <c r="BA321" s="39">
        <f>+IFERROR((FT_RF_264[[#This Row],[Calibre &gt;13]]/FT_RF_264[[#This Row],[Muestra]]),"0")</f>
        <v>0</v>
      </c>
      <c r="BB321" s="41"/>
      <c r="BG321" s="42"/>
      <c r="BH321" s="43">
        <v>0</v>
      </c>
      <c r="BI321" s="29" t="s">
        <v>894</v>
      </c>
      <c r="BJ321" s="29" t="s">
        <v>894</v>
      </c>
      <c r="BK321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21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21" s="45">
        <f>1-FT_RF_264[[#This Row],[% Defectos]]</f>
        <v>1</v>
      </c>
      <c r="BO321" s="60"/>
      <c r="BP321" s="12">
        <f>SUM(FT_RF_264[[#This Row],[Hoja (Un.)]:[Larvas Caja]])</f>
        <v>0</v>
      </c>
      <c r="BQ321" s="12">
        <f>SUM(FT_RF_264[[#This Row],[Vidrios]:[Plástico]])</f>
        <v>0</v>
      </c>
      <c r="BR321" s="12" t="str">
        <f>IF(ISBLANK(FT_RF_264[[#This Row],[Descripción del producto]]),"",FT_RF_264[[#This Row],[Descripción del producto]])</f>
        <v/>
      </c>
      <c r="BS321" s="29" t="str">
        <f>IF(ISBLANK(FT_RF_264[[#This Row],[N° de Lote]]),"",FT_RF_264[[#This Row],[N° de Lote]])</f>
        <v/>
      </c>
      <c r="BT321" s="29" t="str">
        <f>IF(ISBLANK(FT_RF_264[[#This Row],[N° de Pallet]]),"",FT_RF_264[[#This Row],[N° de Pallet]])</f>
        <v/>
      </c>
    </row>
    <row r="322" spans="2:72">
      <c r="B322" s="29">
        <f>+_xlfn.ISOWEEKNUM(FT_RF_264[[#This Row],[Fecha]])</f>
        <v>52</v>
      </c>
      <c r="E322" s="31"/>
      <c r="F322" s="12" t="str">
        <f>IFERROR(""&amp;_xlfn.XLOOKUP(FT_RF_264[[#This Row],[Código]],BD_Cod[SKU],BD_Cod[Descripción]),"")</f>
        <v/>
      </c>
      <c r="G322" s="32" t="str">
        <f>IFERROR(""&amp;_xlfn.XLOOKUP(FT_RF_264[[#This Row],[Código]],BD_Cod[SKU],BD_Cod[Familia Calidad]),"")</f>
        <v/>
      </c>
      <c r="J322" s="33">
        <v>1000</v>
      </c>
      <c r="L322" s="30" t="s">
        <v>244</v>
      </c>
      <c r="O322" s="30" t="s">
        <v>894</v>
      </c>
      <c r="P322" s="29" t="s">
        <v>894</v>
      </c>
      <c r="Q322" s="37">
        <f>1-FT_RF_264[[#This Row],[% Defectos]]</f>
        <v>1</v>
      </c>
      <c r="R322" s="38">
        <v>0</v>
      </c>
      <c r="S322" s="39">
        <f>+IFERROR((FT_RF_264[[#This Row],[Inmadura]]/FT_RF_264[[#This Row],[Muestra]]),"0")</f>
        <v>0</v>
      </c>
      <c r="T322" s="38">
        <v>0</v>
      </c>
      <c r="U322" s="39">
        <f>+IFERROR((FT_RF_264[[#This Row],[Partidas]]/FT_RF_264[[#This Row],[Muestra]]),"0")</f>
        <v>0</v>
      </c>
      <c r="V322" s="38">
        <v>0</v>
      </c>
      <c r="W322" s="39">
        <f>+IFERROR((FT_RF_264[[#This Row],[Daño Insecto]]/FT_RF_264[[#This Row],[Muestra]]),"0")</f>
        <v>0</v>
      </c>
      <c r="X322" s="38">
        <v>0</v>
      </c>
      <c r="Y322" s="39">
        <f>+IFERROR((FT_RF_264[[#This Row],[Sobremadura]]/FT_RF_264[[#This Row],[Muestra]]),"0")</f>
        <v>0</v>
      </c>
      <c r="Z322" s="38">
        <v>0</v>
      </c>
      <c r="AA322" s="39">
        <f>+IFERROR((FT_RF_264[[#This Row],[Deforme]]/FT_RF_264[[#This Row],[Muestra]]),"0")</f>
        <v>0</v>
      </c>
      <c r="AB322" s="27"/>
      <c r="AC322" s="38">
        <v>0</v>
      </c>
      <c r="AD322" s="39">
        <f>+IFERROR((FT_RF_264[[#This Row],[Valor Extra 1]]/FT_RF_264[[#This Row],[Muestra]]),"0")</f>
        <v>0</v>
      </c>
      <c r="AF322" s="38">
        <v>0</v>
      </c>
      <c r="AG322" s="39">
        <f>+IFERROR((FT_RF_264[[#This Row],[Valor Extra 2]]/FT_RF_264[[#This Row],[Muestra]]),"0")</f>
        <v>0</v>
      </c>
      <c r="AH322" s="40">
        <v>0</v>
      </c>
      <c r="AI322" s="39">
        <f>+IFERROR((FT_RF_264[[#This Row],[Hongos]]/FT_RF_264[[#This Row],[Muestra]]),"0")</f>
        <v>0</v>
      </c>
      <c r="AJ322" s="38">
        <v>0</v>
      </c>
      <c r="AK322" s="39">
        <f>+IFERROR((FT_RF_264[[#This Row],[Block]]/FT_RF_264[[#This Row],[Muestra]]),"0")</f>
        <v>0</v>
      </c>
      <c r="AL322" s="41">
        <v>0</v>
      </c>
      <c r="AM322" s="42">
        <v>0</v>
      </c>
      <c r="AN322" s="38">
        <v>0</v>
      </c>
      <c r="AO322" s="39">
        <f>+IFERROR((FT_RF_264[[#This Row],[Fuera de calibre &lt;12mm]]/FT_RF_264[[#This Row],[Muestra]]),"0")</f>
        <v>0</v>
      </c>
      <c r="AP322" s="38">
        <v>0</v>
      </c>
      <c r="AQ322" s="39">
        <f>+IFERROR((FT_RF_264[[#This Row],[Calibre &lt;25]]/FT_RF_264[[#This Row],[Muestra]]),"0")</f>
        <v>0</v>
      </c>
      <c r="AR322" s="38">
        <v>0</v>
      </c>
      <c r="AS322" s="39">
        <f>+IFERROR((FT_RF_264[[#This Row],[Calibre &gt;12]]/FT_RF_264[[#This Row],[Muestra]]),"0")</f>
        <v>0</v>
      </c>
      <c r="AT322" s="38">
        <v>0</v>
      </c>
      <c r="AU322" s="39">
        <f>+IFERROR((FT_RF_264[[#This Row],[Calibre &lt;14]]/FT_RF_264[[#This Row],[Muestra]]),"0")</f>
        <v>0</v>
      </c>
      <c r="AV322" s="38">
        <v>0</v>
      </c>
      <c r="AW322" s="39">
        <f>+IFERROR((FT_RF_264[[#This Row],[Calibre &gt;14]]/FT_RF_264[[#This Row],[Muestra]]),"0")</f>
        <v>0</v>
      </c>
      <c r="AX322" s="38">
        <v>0</v>
      </c>
      <c r="AY322" s="39">
        <f>+IFERROR((FT_RF_264[[#This Row],[Calibre &lt;10]]/FT_RF_264[[#This Row],[Muestra]]),"0")</f>
        <v>0</v>
      </c>
      <c r="AZ322" s="38">
        <v>0</v>
      </c>
      <c r="BA322" s="39">
        <f>+IFERROR((FT_RF_264[[#This Row],[Calibre &gt;13]]/FT_RF_264[[#This Row],[Muestra]]),"0")</f>
        <v>0</v>
      </c>
      <c r="BB322" s="41"/>
      <c r="BG322" s="42"/>
      <c r="BH322" s="43">
        <v>0</v>
      </c>
      <c r="BI322" s="29" t="s">
        <v>894</v>
      </c>
      <c r="BJ322" s="29" t="s">
        <v>894</v>
      </c>
      <c r="BK322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22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22" s="45">
        <f>1-FT_RF_264[[#This Row],[% Defectos]]</f>
        <v>1</v>
      </c>
      <c r="BO322" s="60"/>
      <c r="BP322" s="12">
        <f>SUM(FT_RF_264[[#This Row],[Hoja (Un.)]:[Larvas Caja]])</f>
        <v>0</v>
      </c>
      <c r="BQ322" s="12">
        <f>SUM(FT_RF_264[[#This Row],[Vidrios]:[Plástico]])</f>
        <v>0</v>
      </c>
      <c r="BR322" s="12" t="str">
        <f>IF(ISBLANK(FT_RF_264[[#This Row],[Descripción del producto]]),"",FT_RF_264[[#This Row],[Descripción del producto]])</f>
        <v/>
      </c>
      <c r="BS322" s="29" t="str">
        <f>IF(ISBLANK(FT_RF_264[[#This Row],[N° de Lote]]),"",FT_RF_264[[#This Row],[N° de Lote]])</f>
        <v/>
      </c>
      <c r="BT322" s="29" t="str">
        <f>IF(ISBLANK(FT_RF_264[[#This Row],[N° de Pallet]]),"",FT_RF_264[[#This Row],[N° de Pallet]])</f>
        <v/>
      </c>
    </row>
    <row r="323" spans="2:72">
      <c r="B323" s="29">
        <f>+_xlfn.ISOWEEKNUM(FT_RF_264[[#This Row],[Fecha]])</f>
        <v>52</v>
      </c>
      <c r="E323" s="31"/>
      <c r="F323" s="12" t="str">
        <f>IFERROR(""&amp;_xlfn.XLOOKUP(FT_RF_264[[#This Row],[Código]],BD_Cod[SKU],BD_Cod[Descripción]),"")</f>
        <v/>
      </c>
      <c r="G323" s="32" t="str">
        <f>IFERROR(""&amp;_xlfn.XLOOKUP(FT_RF_264[[#This Row],[Código]],BD_Cod[SKU],BD_Cod[Familia Calidad]),"")</f>
        <v/>
      </c>
      <c r="J323" s="33">
        <v>1000</v>
      </c>
      <c r="L323" s="30" t="s">
        <v>244</v>
      </c>
      <c r="O323" s="30" t="s">
        <v>894</v>
      </c>
      <c r="P323" s="29" t="s">
        <v>894</v>
      </c>
      <c r="Q323" s="37">
        <f>1-FT_RF_264[[#This Row],[% Defectos]]</f>
        <v>1</v>
      </c>
      <c r="R323" s="38">
        <v>0</v>
      </c>
      <c r="S323" s="39">
        <f>+IFERROR((FT_RF_264[[#This Row],[Inmadura]]/FT_RF_264[[#This Row],[Muestra]]),"0")</f>
        <v>0</v>
      </c>
      <c r="T323" s="38">
        <v>0</v>
      </c>
      <c r="U323" s="39">
        <f>+IFERROR((FT_RF_264[[#This Row],[Partidas]]/FT_RF_264[[#This Row],[Muestra]]),"0")</f>
        <v>0</v>
      </c>
      <c r="V323" s="38">
        <v>0</v>
      </c>
      <c r="W323" s="39">
        <f>+IFERROR((FT_RF_264[[#This Row],[Daño Insecto]]/FT_RF_264[[#This Row],[Muestra]]),"0")</f>
        <v>0</v>
      </c>
      <c r="X323" s="38">
        <v>0</v>
      </c>
      <c r="Y323" s="39">
        <f>+IFERROR((FT_RF_264[[#This Row],[Sobremadura]]/FT_RF_264[[#This Row],[Muestra]]),"0")</f>
        <v>0</v>
      </c>
      <c r="Z323" s="38">
        <v>0</v>
      </c>
      <c r="AA323" s="39">
        <f>+IFERROR((FT_RF_264[[#This Row],[Deforme]]/FT_RF_264[[#This Row],[Muestra]]),"0")</f>
        <v>0</v>
      </c>
      <c r="AB323" s="27"/>
      <c r="AC323" s="38">
        <v>0</v>
      </c>
      <c r="AD323" s="39">
        <f>+IFERROR((FT_RF_264[[#This Row],[Valor Extra 1]]/FT_RF_264[[#This Row],[Muestra]]),"0")</f>
        <v>0</v>
      </c>
      <c r="AF323" s="38">
        <v>0</v>
      </c>
      <c r="AG323" s="39">
        <f>+IFERROR((FT_RF_264[[#This Row],[Valor Extra 2]]/FT_RF_264[[#This Row],[Muestra]]),"0")</f>
        <v>0</v>
      </c>
      <c r="AH323" s="40">
        <v>0</v>
      </c>
      <c r="AI323" s="39">
        <f>+IFERROR((FT_RF_264[[#This Row],[Hongos]]/FT_RF_264[[#This Row],[Muestra]]),"0")</f>
        <v>0</v>
      </c>
      <c r="AJ323" s="38">
        <v>0</v>
      </c>
      <c r="AK323" s="39">
        <f>+IFERROR((FT_RF_264[[#This Row],[Block]]/FT_RF_264[[#This Row],[Muestra]]),"0")</f>
        <v>0</v>
      </c>
      <c r="AL323" s="41">
        <v>0</v>
      </c>
      <c r="AM323" s="42">
        <v>0</v>
      </c>
      <c r="AN323" s="38">
        <v>0</v>
      </c>
      <c r="AO323" s="39">
        <f>+IFERROR((FT_RF_264[[#This Row],[Fuera de calibre &lt;12mm]]/FT_RF_264[[#This Row],[Muestra]]),"0")</f>
        <v>0</v>
      </c>
      <c r="AP323" s="38">
        <v>0</v>
      </c>
      <c r="AQ323" s="39">
        <f>+IFERROR((FT_RF_264[[#This Row],[Calibre &lt;25]]/FT_RF_264[[#This Row],[Muestra]]),"0")</f>
        <v>0</v>
      </c>
      <c r="AR323" s="38">
        <v>0</v>
      </c>
      <c r="AS323" s="39">
        <f>+IFERROR((FT_RF_264[[#This Row],[Calibre &gt;12]]/FT_RF_264[[#This Row],[Muestra]]),"0")</f>
        <v>0</v>
      </c>
      <c r="AT323" s="38">
        <v>0</v>
      </c>
      <c r="AU323" s="39">
        <f>+IFERROR((FT_RF_264[[#This Row],[Calibre &lt;14]]/FT_RF_264[[#This Row],[Muestra]]),"0")</f>
        <v>0</v>
      </c>
      <c r="AV323" s="38">
        <v>0</v>
      </c>
      <c r="AW323" s="39">
        <f>+IFERROR((FT_RF_264[[#This Row],[Calibre &gt;14]]/FT_RF_264[[#This Row],[Muestra]]),"0")</f>
        <v>0</v>
      </c>
      <c r="AX323" s="38">
        <v>0</v>
      </c>
      <c r="AY323" s="39">
        <f>+IFERROR((FT_RF_264[[#This Row],[Calibre &lt;10]]/FT_RF_264[[#This Row],[Muestra]]),"0")</f>
        <v>0</v>
      </c>
      <c r="AZ323" s="38">
        <v>0</v>
      </c>
      <c r="BA323" s="39">
        <f>+IFERROR((FT_RF_264[[#This Row],[Calibre &gt;13]]/FT_RF_264[[#This Row],[Muestra]]),"0")</f>
        <v>0</v>
      </c>
      <c r="BB323" s="41"/>
      <c r="BG323" s="42"/>
      <c r="BH323" s="43">
        <v>0</v>
      </c>
      <c r="BI323" s="29" t="s">
        <v>894</v>
      </c>
      <c r="BJ323" s="29" t="s">
        <v>894</v>
      </c>
      <c r="BK323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23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23" s="45">
        <f>1-FT_RF_264[[#This Row],[% Defectos]]</f>
        <v>1</v>
      </c>
      <c r="BO323" s="60"/>
      <c r="BP323" s="12">
        <f>SUM(FT_RF_264[[#This Row],[Hoja (Un.)]:[Larvas Caja]])</f>
        <v>0</v>
      </c>
      <c r="BQ323" s="12">
        <f>SUM(FT_RF_264[[#This Row],[Vidrios]:[Plástico]])</f>
        <v>0</v>
      </c>
      <c r="BR323" s="12" t="str">
        <f>IF(ISBLANK(FT_RF_264[[#This Row],[Descripción del producto]]),"",FT_RF_264[[#This Row],[Descripción del producto]])</f>
        <v/>
      </c>
      <c r="BS323" s="29" t="str">
        <f>IF(ISBLANK(FT_RF_264[[#This Row],[N° de Lote]]),"",FT_RF_264[[#This Row],[N° de Lote]])</f>
        <v/>
      </c>
      <c r="BT323" s="29" t="str">
        <f>IF(ISBLANK(FT_RF_264[[#This Row],[N° de Pallet]]),"",FT_RF_264[[#This Row],[N° de Pallet]])</f>
        <v/>
      </c>
    </row>
    <row r="324" spans="2:72">
      <c r="B324" s="29">
        <f>+_xlfn.ISOWEEKNUM(FT_RF_264[[#This Row],[Fecha]])</f>
        <v>52</v>
      </c>
      <c r="E324" s="31"/>
      <c r="F324" s="12" t="str">
        <f>IFERROR(""&amp;_xlfn.XLOOKUP(FT_RF_264[[#This Row],[Código]],BD_Cod[SKU],BD_Cod[Descripción]),"")</f>
        <v/>
      </c>
      <c r="G324" s="32" t="str">
        <f>IFERROR(""&amp;_xlfn.XLOOKUP(FT_RF_264[[#This Row],[Código]],BD_Cod[SKU],BD_Cod[Familia Calidad]),"")</f>
        <v/>
      </c>
      <c r="J324" s="33">
        <v>1000</v>
      </c>
      <c r="L324" s="30" t="s">
        <v>244</v>
      </c>
      <c r="O324" s="30" t="s">
        <v>894</v>
      </c>
      <c r="P324" s="29" t="s">
        <v>894</v>
      </c>
      <c r="Q324" s="37">
        <f>1-FT_RF_264[[#This Row],[% Defectos]]</f>
        <v>1</v>
      </c>
      <c r="R324" s="38">
        <v>0</v>
      </c>
      <c r="S324" s="39">
        <f>+IFERROR((FT_RF_264[[#This Row],[Inmadura]]/FT_RF_264[[#This Row],[Muestra]]),"0")</f>
        <v>0</v>
      </c>
      <c r="T324" s="38">
        <v>0</v>
      </c>
      <c r="U324" s="39">
        <f>+IFERROR((FT_RF_264[[#This Row],[Partidas]]/FT_RF_264[[#This Row],[Muestra]]),"0")</f>
        <v>0</v>
      </c>
      <c r="V324" s="38">
        <v>0</v>
      </c>
      <c r="W324" s="39">
        <f>+IFERROR((FT_RF_264[[#This Row],[Daño Insecto]]/FT_RF_264[[#This Row],[Muestra]]),"0")</f>
        <v>0</v>
      </c>
      <c r="X324" s="38">
        <v>0</v>
      </c>
      <c r="Y324" s="39">
        <f>+IFERROR((FT_RF_264[[#This Row],[Sobremadura]]/FT_RF_264[[#This Row],[Muestra]]),"0")</f>
        <v>0</v>
      </c>
      <c r="Z324" s="38">
        <v>0</v>
      </c>
      <c r="AA324" s="39">
        <f>+IFERROR((FT_RF_264[[#This Row],[Deforme]]/FT_RF_264[[#This Row],[Muestra]]),"0")</f>
        <v>0</v>
      </c>
      <c r="AB324" s="27"/>
      <c r="AC324" s="38">
        <v>0</v>
      </c>
      <c r="AD324" s="39">
        <f>+IFERROR((FT_RF_264[[#This Row],[Valor Extra 1]]/FT_RF_264[[#This Row],[Muestra]]),"0")</f>
        <v>0</v>
      </c>
      <c r="AF324" s="38">
        <v>0</v>
      </c>
      <c r="AG324" s="39">
        <f>+IFERROR((FT_RF_264[[#This Row],[Valor Extra 2]]/FT_RF_264[[#This Row],[Muestra]]),"0")</f>
        <v>0</v>
      </c>
      <c r="AH324" s="40">
        <v>0</v>
      </c>
      <c r="AI324" s="39">
        <f>+IFERROR((FT_RF_264[[#This Row],[Hongos]]/FT_RF_264[[#This Row],[Muestra]]),"0")</f>
        <v>0</v>
      </c>
      <c r="AJ324" s="38">
        <v>0</v>
      </c>
      <c r="AK324" s="39">
        <f>+IFERROR((FT_RF_264[[#This Row],[Block]]/FT_RF_264[[#This Row],[Muestra]]),"0")</f>
        <v>0</v>
      </c>
      <c r="AL324" s="41">
        <v>0</v>
      </c>
      <c r="AM324" s="42">
        <v>0</v>
      </c>
      <c r="AN324" s="38">
        <v>0</v>
      </c>
      <c r="AO324" s="39">
        <f>+IFERROR((FT_RF_264[[#This Row],[Fuera de calibre &lt;12mm]]/FT_RF_264[[#This Row],[Muestra]]),"0")</f>
        <v>0</v>
      </c>
      <c r="AP324" s="38">
        <v>0</v>
      </c>
      <c r="AQ324" s="39">
        <f>+IFERROR((FT_RF_264[[#This Row],[Calibre &lt;25]]/FT_RF_264[[#This Row],[Muestra]]),"0")</f>
        <v>0</v>
      </c>
      <c r="AR324" s="38">
        <v>0</v>
      </c>
      <c r="AS324" s="39">
        <f>+IFERROR((FT_RF_264[[#This Row],[Calibre &gt;12]]/FT_RF_264[[#This Row],[Muestra]]),"0")</f>
        <v>0</v>
      </c>
      <c r="AT324" s="38">
        <v>0</v>
      </c>
      <c r="AU324" s="39">
        <f>+IFERROR((FT_RF_264[[#This Row],[Calibre &lt;14]]/FT_RF_264[[#This Row],[Muestra]]),"0")</f>
        <v>0</v>
      </c>
      <c r="AV324" s="38">
        <v>0</v>
      </c>
      <c r="AW324" s="39">
        <f>+IFERROR((FT_RF_264[[#This Row],[Calibre &gt;14]]/FT_RF_264[[#This Row],[Muestra]]),"0")</f>
        <v>0</v>
      </c>
      <c r="AX324" s="38">
        <v>0</v>
      </c>
      <c r="AY324" s="39">
        <f>+IFERROR((FT_RF_264[[#This Row],[Calibre &lt;10]]/FT_RF_264[[#This Row],[Muestra]]),"0")</f>
        <v>0</v>
      </c>
      <c r="AZ324" s="38">
        <v>0</v>
      </c>
      <c r="BA324" s="39">
        <f>+IFERROR((FT_RF_264[[#This Row],[Calibre &gt;13]]/FT_RF_264[[#This Row],[Muestra]]),"0")</f>
        <v>0</v>
      </c>
      <c r="BB324" s="41"/>
      <c r="BG324" s="42"/>
      <c r="BH324" s="43">
        <v>0</v>
      </c>
      <c r="BI324" s="29" t="s">
        <v>894</v>
      </c>
      <c r="BJ324" s="29" t="s">
        <v>894</v>
      </c>
      <c r="BK324" s="44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24" s="39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24" s="45">
        <f>1-FT_RF_264[[#This Row],[% Defectos]]</f>
        <v>1</v>
      </c>
      <c r="BO324" s="60"/>
      <c r="BP324" s="12">
        <f>SUM(FT_RF_264[[#This Row],[Hoja (Un.)]:[Larvas Caja]])</f>
        <v>0</v>
      </c>
      <c r="BQ324" s="12">
        <f>SUM(FT_RF_264[[#This Row],[Vidrios]:[Plástico]])</f>
        <v>0</v>
      </c>
      <c r="BR324" s="12" t="str">
        <f>IF(ISBLANK(FT_RF_264[[#This Row],[Descripción del producto]]),"",FT_RF_264[[#This Row],[Descripción del producto]])</f>
        <v/>
      </c>
      <c r="BS324" s="29" t="str">
        <f>IF(ISBLANK(FT_RF_264[[#This Row],[N° de Lote]]),"",FT_RF_264[[#This Row],[N° de Lote]])</f>
        <v/>
      </c>
      <c r="BT324" s="29" t="str">
        <f>IF(ISBLANK(FT_RF_264[[#This Row],[N° de Pallet]]),"",FT_RF_264[[#This Row],[N° de Pallet]])</f>
        <v/>
      </c>
    </row>
    <row r="325" spans="2:72">
      <c r="B325" s="29">
        <f>+_xlfn.ISOWEEKNUM(FT_RF_264[[#This Row],[Fecha]])</f>
        <v>52</v>
      </c>
      <c r="E325" s="31"/>
      <c r="F325" s="12" t="str">
        <f>IFERROR(""&amp;_xlfn.XLOOKUP(FT_RF_264[[#This Row],[Código]],BD_Cod[SKU],BD_Cod[Descripción]),"")</f>
        <v/>
      </c>
      <c r="G325" s="32" t="str">
        <f>IFERROR(""&amp;_xlfn.XLOOKUP(FT_RF_264[[#This Row],[Código]],BD_Cod[SKU],BD_Cod[Familia Calidad]),"")</f>
        <v/>
      </c>
      <c r="J325" s="33">
        <v>1000</v>
      </c>
      <c r="L325" s="30" t="s">
        <v>244</v>
      </c>
      <c r="O325" s="30" t="s">
        <v>894</v>
      </c>
      <c r="P325" s="29" t="s">
        <v>894</v>
      </c>
      <c r="Q325" s="46">
        <f>1-FT_RF_264[[#This Row],[% Defectos]]</f>
        <v>1</v>
      </c>
      <c r="R325" s="38">
        <v>0</v>
      </c>
      <c r="S325" s="39">
        <f>+IFERROR((FT_RF_264[[#This Row],[Inmadura]]/FT_RF_264[[#This Row],[Muestra]]),"0")</f>
        <v>0</v>
      </c>
      <c r="T325" s="38">
        <v>0</v>
      </c>
      <c r="U325" s="39">
        <f>+IFERROR((FT_RF_264[[#This Row],[Partidas]]/FT_RF_264[[#This Row],[Muestra]]),"0")</f>
        <v>0</v>
      </c>
      <c r="V325" s="38">
        <v>0</v>
      </c>
      <c r="W325" s="39">
        <f>+IFERROR((FT_RF_264[[#This Row],[Daño Insecto]]/FT_RF_264[[#This Row],[Muestra]]),"0")</f>
        <v>0</v>
      </c>
      <c r="X325" s="38">
        <v>0</v>
      </c>
      <c r="Y325" s="39">
        <f>+IFERROR((FT_RF_264[[#This Row],[Sobremadura]]/FT_RF_264[[#This Row],[Muestra]]),"0")</f>
        <v>0</v>
      </c>
      <c r="Z325" s="38">
        <v>0</v>
      </c>
      <c r="AA325" s="39">
        <f>+IFERROR((FT_RF_264[[#This Row],[Deforme]]/FT_RF_264[[#This Row],[Muestra]]),"0")</f>
        <v>0</v>
      </c>
      <c r="AB325" s="27"/>
      <c r="AC325" s="38">
        <v>0</v>
      </c>
      <c r="AD325" s="39">
        <f>+IFERROR((FT_RF_264[[#This Row],[Valor Extra 1]]/FT_RF_264[[#This Row],[Muestra]]),"0")</f>
        <v>0</v>
      </c>
      <c r="AF325" s="38">
        <v>0</v>
      </c>
      <c r="AG325" s="47">
        <f>+IFERROR((FT_RF_264[[#This Row],[Valor Extra 2]]/FT_RF_264[[#This Row],[Muestra]]),"0")</f>
        <v>0</v>
      </c>
      <c r="AH325" s="40">
        <v>0</v>
      </c>
      <c r="AI325" s="47">
        <f>+IFERROR((FT_RF_264[[#This Row],[Hongos]]/FT_RF_264[[#This Row],[Muestra]]),"0")</f>
        <v>0</v>
      </c>
      <c r="AJ325" s="38">
        <v>0</v>
      </c>
      <c r="AK325" s="47">
        <f>+IFERROR((FT_RF_264[[#This Row],[Block]]/FT_RF_264[[#This Row],[Muestra]]),"0")</f>
        <v>0</v>
      </c>
      <c r="AL325" s="41">
        <v>0</v>
      </c>
      <c r="AM325" s="42">
        <v>0</v>
      </c>
      <c r="AN325" s="38">
        <v>0</v>
      </c>
      <c r="AO325" s="47">
        <f>+IFERROR((FT_RF_264[[#This Row],[Fuera de calibre &lt;12mm]]/FT_RF_264[[#This Row],[Muestra]]),"0")</f>
        <v>0</v>
      </c>
      <c r="AP325" s="38">
        <v>0</v>
      </c>
      <c r="AQ325" s="39">
        <f>+IFERROR((FT_RF_264[[#This Row],[Calibre &lt;25]]/FT_RF_264[[#This Row],[Muestra]]),"0")</f>
        <v>0</v>
      </c>
      <c r="AR325" s="38">
        <v>0</v>
      </c>
      <c r="AS325" s="39">
        <f>+IFERROR((FT_RF_264[[#This Row],[Calibre &gt;12]]/FT_RF_264[[#This Row],[Muestra]]),"0")</f>
        <v>0</v>
      </c>
      <c r="AT325" s="38">
        <v>0</v>
      </c>
      <c r="AU325" s="39">
        <f>+IFERROR((FT_RF_264[[#This Row],[Calibre &lt;14]]/FT_RF_264[[#This Row],[Muestra]]),"0")</f>
        <v>0</v>
      </c>
      <c r="AV325" s="38">
        <v>0</v>
      </c>
      <c r="AW325" s="39">
        <f>+IFERROR((FT_RF_264[[#This Row],[Calibre &gt;14]]/FT_RF_264[[#This Row],[Muestra]]),"0")</f>
        <v>0</v>
      </c>
      <c r="AX325" s="38">
        <v>0</v>
      </c>
      <c r="AY325" s="39">
        <f>+IFERROR((FT_RF_264[[#This Row],[Calibre &lt;10]]/FT_RF_264[[#This Row],[Muestra]]),"0")</f>
        <v>0</v>
      </c>
      <c r="AZ325" s="38">
        <v>0</v>
      </c>
      <c r="BA325" s="47">
        <f>+IFERROR((FT_RF_264[[#This Row],[Calibre &gt;13]]/FT_RF_264[[#This Row],[Muestra]]),"0")</f>
        <v>0</v>
      </c>
      <c r="BB325" s="41"/>
      <c r="BG325" s="42"/>
      <c r="BH325" s="43">
        <v>0</v>
      </c>
      <c r="BI325" s="29" t="s">
        <v>894</v>
      </c>
      <c r="BJ325" s="29" t="s">
        <v>894</v>
      </c>
      <c r="BK325" s="48">
        <f>SUM(FT_RF_264[[#This Row],[Inmadura]],FT_RF_264[[#This Row],[Partidas]],FT_RF_264[[#This Row],[Daño Insecto]],FT_RF_264[[#This Row],[Sobremadura]],FT_RF_264[[#This Row],[Deforme]],FT_RF_264[[#This Row],[Valor Extra 1]],FT_RF_264[[#This Row],[Valor Extra 2]],FT_RF_264[[#This Row],[Hongos]],FT_RF_264[[#This Row],[Block]])</f>
        <v>0</v>
      </c>
      <c r="BL325" s="47">
        <f>SUM(FT_RF_264[[#This Row],[% Inmadura (4%)]],FT_RF_264[[#This Row],[% Partidas]],FT_RF_264[[#This Row],[% Daño Insecto]],FT_RF_264[[#This Row],[% Sobremadura]],FT_RF_264[[#This Row],[% Deforme]],FT_RF_264[[#This Row],[% Extra 1]],FT_RF_264[[#This Row],[% Extra 2]],FT_RF_264[[#This Row],[% Hongos]],FT_RF_264[[#This Row],[% Block]])</f>
        <v>0</v>
      </c>
      <c r="BN325" s="49">
        <f>1-FT_RF_264[[#This Row],[% Defectos]]</f>
        <v>1</v>
      </c>
      <c r="BO325" s="60"/>
      <c r="BP325" s="12">
        <f>SUM(FT_RF_264[[#This Row],[Hoja (Un.)]:[Larvas Caja]])</f>
        <v>0</v>
      </c>
      <c r="BQ325" s="12">
        <f>SUM(FT_RF_264[[#This Row],[Vidrios]:[Plástico]])</f>
        <v>0</v>
      </c>
      <c r="BR325" s="12" t="str">
        <f>IF(ISBLANK(FT_RF_264[[#This Row],[Descripción del producto]]),"",FT_RF_264[[#This Row],[Descripción del producto]])</f>
        <v/>
      </c>
      <c r="BS325" s="29" t="str">
        <f>IF(ISBLANK(FT_RF_264[[#This Row],[N° de Lote]]),"",FT_RF_264[[#This Row],[N° de Lote]])</f>
        <v/>
      </c>
      <c r="BT325" s="29" t="str">
        <f>IF(ISBLANK(FT_RF_264[[#This Row],[N° de Pallet]]),"",FT_RF_264[[#This Row],[N° de Pallet]])</f>
        <v/>
      </c>
    </row>
  </sheetData>
  <conditionalFormatting sqref="O1:P1 O3:P1048576">
    <cfRule type="containsText" dxfId="74" priority="1" operator="containsText" text="N/C">
      <formula>NOT(ISERROR(SEARCH("N/C",O1)))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dd53c7-b2a6-46a3-81da-118e4c23eb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3456889F3886469666434AE5367AA4" ma:contentTypeVersion="14" ma:contentTypeDescription="Crear nuevo documento." ma:contentTypeScope="" ma:versionID="6f3e0b006b293f6469a70f935fded74e">
  <xsd:schema xmlns:xsd="http://www.w3.org/2001/XMLSchema" xmlns:xs="http://www.w3.org/2001/XMLSchema" xmlns:p="http://schemas.microsoft.com/office/2006/metadata/properties" xmlns:ns2="63dd53c7-b2a6-46a3-81da-118e4c23ebaa" xmlns:ns3="ca40514b-7fe3-4caf-ae8e-b13b571a681c" targetNamespace="http://schemas.microsoft.com/office/2006/metadata/properties" ma:root="true" ma:fieldsID="e9966995d1d29ec0bcf14cadc985a560" ns2:_="" ns3:_="">
    <xsd:import namespace="63dd53c7-b2a6-46a3-81da-118e4c23ebaa"/>
    <xsd:import namespace="ca40514b-7fe3-4caf-ae8e-b13b571a68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d53c7-b2a6-46a3-81da-118e4c23eb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6502e3b5-b228-4fea-a8d9-98f28e47cd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0514b-7fe3-4caf-ae8e-b13b571a681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D523A51-2FBD-40F2-AEFC-7ECACCE44592}"/>
</file>

<file path=customXml/itemProps2.xml><?xml version="1.0" encoding="utf-8"?>
<ds:datastoreItem xmlns:ds="http://schemas.openxmlformats.org/officeDocument/2006/customXml" ds:itemID="{B9E23446-00EE-4EAE-B253-3CE3F3A19AE4}"/>
</file>

<file path=customXml/itemProps3.xml><?xml version="1.0" encoding="utf-8"?>
<ds:datastoreItem xmlns:ds="http://schemas.openxmlformats.org/officeDocument/2006/customXml" ds:itemID="{C0BC367E-F959-46F9-AB18-FFD7B14356E1}"/>
</file>

<file path=customXml/itemProps4.xml><?xml version="1.0" encoding="utf-8"?>
<ds:datastoreItem xmlns:ds="http://schemas.openxmlformats.org/officeDocument/2006/customXml" ds:itemID="{5035E72E-9D41-4463-9475-24A759D7AD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Boock</dc:creator>
  <cp:keywords/>
  <dc:description/>
  <cp:lastModifiedBy/>
  <cp:revision/>
  <dcterms:created xsi:type="dcterms:W3CDTF">2026-02-06T16:28:00Z</dcterms:created>
  <dcterms:modified xsi:type="dcterms:W3CDTF">2026-02-23T15:07:01Z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0x010100623456889F3886469666434AE5367AA4</vt:lpwstr>
  </property>
  <property fmtid="{D5CDD505-2E9C-101B-9397-08002B2CF9AE}" pid="3" name="MediaServiceImageTags">
    <vt:lpwstr/>
  </property>
</Properties>
</file>
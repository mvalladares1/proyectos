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3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riofuturo1.sharepoint.com/sites/RioFuturoprocesos-Franciscadoctos/Documentos compartidos/Base de datos Calidad/Control Producto Terminad CPT/2026/"/>
    </mc:Choice>
  </mc:AlternateContent>
  <xr:revisionPtr revIDLastSave="0" documentId="8_{99119E05-4DF6-4F4C-9EB3-6243B7FDB06F}" xr6:coauthVersionLast="47" xr6:coauthVersionMax="47" xr10:uidLastSave="{00000000-0000-0000-0000-000000000000}"/>
  <bookViews>
    <workbookView xWindow="-110" yWindow="-110" windowWidth="19420" windowHeight="10300" firstSheet="2" activeTab="2" xr2:uid="{6786EE2E-8077-4182-A5C9-C2734DA6307E}"/>
  </bookViews>
  <sheets>
    <sheet name="BD_Cod" sheetId="3" r:id="rId1"/>
    <sheet name="Base de Datos (R.F.)" sheetId="1" r:id="rId2"/>
    <sheet name="B.D.(Frío Food)" sheetId="5" r:id="rId3"/>
    <sheet name="B.D.(TOTAL)" sheetId="11" r:id="rId4"/>
    <sheet name="Tabla Dinamica (R.F.)" sheetId="4" r:id="rId5"/>
    <sheet name="T.D. (Frío Food)" sheetId="6" r:id="rId6"/>
    <sheet name="T.D. (TOTAL)" sheetId="12" r:id="rId7"/>
  </sheets>
  <definedNames>
    <definedName name="DatosExternos_1" localSheetId="0" hidden="1">BD_Cod!$A$1:$N$598</definedName>
    <definedName name="DatosExternos_2" localSheetId="3" hidden="1">'B.D.(TOTAL)'!$A$1:$BI$150</definedName>
    <definedName name="NativeTimeline_Fecha">#N/A</definedName>
    <definedName name="NativeTimeline_Fecha1">#N/A</definedName>
    <definedName name="NativeTimeline_Fecha2">#N/A</definedName>
  </definedNames>
  <calcPr calcId="191028"/>
  <pivotCaches>
    <pivotCache cacheId="4259" r:id="rId8"/>
    <pivotCache cacheId="4260" r:id="rId9"/>
    <pivotCache cacheId="4261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  <x15:timelineCacheRef r:id="rId12"/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BI60" i="5"/>
  <c r="BH60" i="5"/>
  <c r="BF60" i="5"/>
  <c r="BE60" i="5"/>
  <c r="AZ60" i="5"/>
  <c r="AO60" i="5"/>
  <c r="AM60" i="5"/>
  <c r="AK60" i="5"/>
  <c r="AH60" i="5"/>
  <c r="AC60" i="5"/>
  <c r="AA60" i="5"/>
  <c r="Y60" i="5"/>
  <c r="W60" i="5"/>
  <c r="U60" i="5"/>
  <c r="S60" i="5"/>
  <c r="G60" i="5"/>
  <c r="F60" i="5"/>
  <c r="BG60" i="5" s="1"/>
  <c r="B60" i="5"/>
  <c r="BI59" i="5"/>
  <c r="BH59" i="5"/>
  <c r="BF59" i="5"/>
  <c r="BE59" i="5"/>
  <c r="AZ59" i="5"/>
  <c r="AO59" i="5"/>
  <c r="AM59" i="5"/>
  <c r="AK59" i="5"/>
  <c r="AH59" i="5"/>
  <c r="AC59" i="5"/>
  <c r="AA59" i="5"/>
  <c r="Y59" i="5"/>
  <c r="W59" i="5"/>
  <c r="U59" i="5"/>
  <c r="S59" i="5"/>
  <c r="G59" i="5"/>
  <c r="F59" i="5"/>
  <c r="BG59" i="5" s="1"/>
  <c r="B59" i="5"/>
  <c r="BI58" i="5"/>
  <c r="BH58" i="5"/>
  <c r="BF58" i="5"/>
  <c r="BE58" i="5"/>
  <c r="AZ58" i="5"/>
  <c r="AO58" i="5"/>
  <c r="AM58" i="5"/>
  <c r="AK58" i="5"/>
  <c r="AH58" i="5"/>
  <c r="AC58" i="5"/>
  <c r="AA58" i="5"/>
  <c r="Y58" i="5"/>
  <c r="W58" i="5"/>
  <c r="U58" i="5"/>
  <c r="S58" i="5"/>
  <c r="G58" i="5"/>
  <c r="F58" i="5"/>
  <c r="BG58" i="5" s="1"/>
  <c r="B58" i="5"/>
  <c r="BI57" i="5"/>
  <c r="BH57" i="5"/>
  <c r="BF57" i="5"/>
  <c r="BE57" i="5"/>
  <c r="AZ57" i="5"/>
  <c r="AO57" i="5"/>
  <c r="AM57" i="5"/>
  <c r="AK57" i="5"/>
  <c r="AH57" i="5"/>
  <c r="AC57" i="5"/>
  <c r="AA57" i="5"/>
  <c r="Y57" i="5"/>
  <c r="W57" i="5"/>
  <c r="U57" i="5"/>
  <c r="S57" i="5"/>
  <c r="G57" i="5"/>
  <c r="F57" i="5"/>
  <c r="BG57" i="5" s="1"/>
  <c r="B57" i="5"/>
  <c r="BI56" i="5"/>
  <c r="BH56" i="5"/>
  <c r="BF56" i="5"/>
  <c r="BE56" i="5"/>
  <c r="AZ56" i="5"/>
  <c r="AO56" i="5"/>
  <c r="AM56" i="5"/>
  <c r="AK56" i="5"/>
  <c r="AH56" i="5"/>
  <c r="AC56" i="5"/>
  <c r="AA56" i="5"/>
  <c r="Y56" i="5"/>
  <c r="W56" i="5"/>
  <c r="U56" i="5"/>
  <c r="S56" i="5"/>
  <c r="G56" i="5"/>
  <c r="F56" i="5"/>
  <c r="BG56" i="5" s="1"/>
  <c r="B56" i="5"/>
  <c r="BI55" i="5"/>
  <c r="BH55" i="5"/>
  <c r="BF55" i="5"/>
  <c r="BE55" i="5"/>
  <c r="AZ55" i="5"/>
  <c r="AO55" i="5"/>
  <c r="AM55" i="5"/>
  <c r="AK55" i="5"/>
  <c r="AH55" i="5"/>
  <c r="AC55" i="5"/>
  <c r="AA55" i="5"/>
  <c r="Y55" i="5"/>
  <c r="W55" i="5"/>
  <c r="U55" i="5"/>
  <c r="S55" i="5"/>
  <c r="G55" i="5"/>
  <c r="F55" i="5"/>
  <c r="BG55" i="5" s="1"/>
  <c r="B55" i="5"/>
  <c r="BI54" i="5"/>
  <c r="BH54" i="5"/>
  <c r="BF54" i="5"/>
  <c r="BE54" i="5"/>
  <c r="AZ54" i="5"/>
  <c r="AO54" i="5"/>
  <c r="AM54" i="5"/>
  <c r="AK54" i="5"/>
  <c r="AH54" i="5"/>
  <c r="AC54" i="5"/>
  <c r="AA54" i="5"/>
  <c r="Y54" i="5"/>
  <c r="W54" i="5"/>
  <c r="U54" i="5"/>
  <c r="S54" i="5"/>
  <c r="G54" i="5"/>
  <c r="F54" i="5"/>
  <c r="BG54" i="5" s="1"/>
  <c r="B54" i="5"/>
  <c r="BI53" i="5"/>
  <c r="BH53" i="5"/>
  <c r="BF53" i="5"/>
  <c r="BE53" i="5"/>
  <c r="AZ53" i="5"/>
  <c r="AO53" i="5"/>
  <c r="AM53" i="5"/>
  <c r="AK53" i="5"/>
  <c r="AH53" i="5"/>
  <c r="AC53" i="5"/>
  <c r="AA53" i="5"/>
  <c r="Y53" i="5"/>
  <c r="W53" i="5"/>
  <c r="U53" i="5"/>
  <c r="S53" i="5"/>
  <c r="G53" i="5"/>
  <c r="F53" i="5"/>
  <c r="BG53" i="5" s="1"/>
  <c r="B53" i="5"/>
  <c r="BI52" i="5"/>
  <c r="BH52" i="5"/>
  <c r="BF52" i="5"/>
  <c r="BE52" i="5"/>
  <c r="AZ52" i="5"/>
  <c r="AO52" i="5"/>
  <c r="AM52" i="5"/>
  <c r="AK52" i="5"/>
  <c r="AH52" i="5"/>
  <c r="AC52" i="5"/>
  <c r="AA52" i="5"/>
  <c r="Y52" i="5"/>
  <c r="W52" i="5"/>
  <c r="U52" i="5"/>
  <c r="S52" i="5"/>
  <c r="G52" i="5"/>
  <c r="F52" i="5"/>
  <c r="BG52" i="5" s="1"/>
  <c r="B52" i="5"/>
  <c r="BI51" i="5"/>
  <c r="BH51" i="5"/>
  <c r="BF51" i="5"/>
  <c r="BE51" i="5"/>
  <c r="AZ51" i="5"/>
  <c r="AO51" i="5"/>
  <c r="AM51" i="5"/>
  <c r="AK51" i="5"/>
  <c r="AH51" i="5"/>
  <c r="AC51" i="5"/>
  <c r="AA51" i="5"/>
  <c r="Y51" i="5"/>
  <c r="W51" i="5"/>
  <c r="U51" i="5"/>
  <c r="S51" i="5"/>
  <c r="G51" i="5"/>
  <c r="F51" i="5"/>
  <c r="BG51" i="5" s="1"/>
  <c r="B51" i="5"/>
  <c r="BI50" i="5"/>
  <c r="BH50" i="5"/>
  <c r="BF50" i="5"/>
  <c r="BE50" i="5"/>
  <c r="AZ50" i="5"/>
  <c r="AO50" i="5"/>
  <c r="AM50" i="5"/>
  <c r="AK50" i="5"/>
  <c r="AH50" i="5"/>
  <c r="AC50" i="5"/>
  <c r="AA50" i="5"/>
  <c r="Y50" i="5"/>
  <c r="W50" i="5"/>
  <c r="U50" i="5"/>
  <c r="S50" i="5"/>
  <c r="G50" i="5"/>
  <c r="F50" i="5"/>
  <c r="BG50" i="5" s="1"/>
  <c r="B50" i="5"/>
  <c r="BI49" i="5"/>
  <c r="BH49" i="5"/>
  <c r="BF49" i="5"/>
  <c r="BE49" i="5"/>
  <c r="AZ49" i="5"/>
  <c r="AO49" i="5"/>
  <c r="AM49" i="5"/>
  <c r="AK49" i="5"/>
  <c r="AH49" i="5"/>
  <c r="AC49" i="5"/>
  <c r="AA49" i="5"/>
  <c r="Y49" i="5"/>
  <c r="W49" i="5"/>
  <c r="U49" i="5"/>
  <c r="S49" i="5"/>
  <c r="G49" i="5"/>
  <c r="F49" i="5"/>
  <c r="BG49" i="5" s="1"/>
  <c r="B49" i="5"/>
  <c r="BI48" i="5"/>
  <c r="BH48" i="5"/>
  <c r="BF48" i="5"/>
  <c r="BE48" i="5"/>
  <c r="AZ48" i="5"/>
  <c r="AO48" i="5"/>
  <c r="AM48" i="5"/>
  <c r="AK48" i="5"/>
  <c r="AH48" i="5"/>
  <c r="AC48" i="5"/>
  <c r="AA48" i="5"/>
  <c r="Y48" i="5"/>
  <c r="W48" i="5"/>
  <c r="U48" i="5"/>
  <c r="S48" i="5"/>
  <c r="G48" i="5"/>
  <c r="F48" i="5"/>
  <c r="BG48" i="5" s="1"/>
  <c r="B48" i="5"/>
  <c r="BI47" i="5"/>
  <c r="BH47" i="5"/>
  <c r="BF47" i="5"/>
  <c r="BE47" i="5"/>
  <c r="AZ47" i="5"/>
  <c r="AO47" i="5"/>
  <c r="AM47" i="5"/>
  <c r="AK47" i="5"/>
  <c r="AH47" i="5"/>
  <c r="AC47" i="5"/>
  <c r="AA47" i="5"/>
  <c r="Y47" i="5"/>
  <c r="W47" i="5"/>
  <c r="U47" i="5"/>
  <c r="S47" i="5"/>
  <c r="G47" i="5"/>
  <c r="F47" i="5"/>
  <c r="BG47" i="5" s="1"/>
  <c r="B47" i="5"/>
  <c r="BI46" i="5"/>
  <c r="BH46" i="5"/>
  <c r="BF46" i="5"/>
  <c r="BE46" i="5"/>
  <c r="AZ46" i="5"/>
  <c r="AO46" i="5"/>
  <c r="AM46" i="5"/>
  <c r="AK46" i="5"/>
  <c r="AH46" i="5"/>
  <c r="AC46" i="5"/>
  <c r="AA46" i="5"/>
  <c r="Y46" i="5"/>
  <c r="W46" i="5"/>
  <c r="U46" i="5"/>
  <c r="S46" i="5"/>
  <c r="G46" i="5"/>
  <c r="F46" i="5"/>
  <c r="BG46" i="5" s="1"/>
  <c r="B46" i="5"/>
  <c r="BI45" i="5"/>
  <c r="BH45" i="5"/>
  <c r="BF45" i="5"/>
  <c r="BE45" i="5"/>
  <c r="AZ45" i="5"/>
  <c r="AO45" i="5"/>
  <c r="AM45" i="5"/>
  <c r="AK45" i="5"/>
  <c r="AH45" i="5"/>
  <c r="AC45" i="5"/>
  <c r="AA45" i="5"/>
  <c r="Y45" i="5"/>
  <c r="W45" i="5"/>
  <c r="U45" i="5"/>
  <c r="S45" i="5"/>
  <c r="BA45" i="5" s="1"/>
  <c r="G45" i="5"/>
  <c r="F45" i="5"/>
  <c r="BG45" i="5" s="1"/>
  <c r="B45" i="5"/>
  <c r="BI44" i="5"/>
  <c r="BH44" i="5"/>
  <c r="BF44" i="5"/>
  <c r="BE44" i="5"/>
  <c r="AZ44" i="5"/>
  <c r="AO44" i="5"/>
  <c r="AM44" i="5"/>
  <c r="AK44" i="5"/>
  <c r="AH44" i="5"/>
  <c r="AC44" i="5"/>
  <c r="AA44" i="5"/>
  <c r="Y44" i="5"/>
  <c r="W44" i="5"/>
  <c r="U44" i="5"/>
  <c r="S44" i="5"/>
  <c r="G44" i="5"/>
  <c r="F44" i="5"/>
  <c r="BG44" i="5" s="1"/>
  <c r="B44" i="5"/>
  <c r="BI43" i="5"/>
  <c r="BH43" i="5"/>
  <c r="BF43" i="5"/>
  <c r="BE43" i="5"/>
  <c r="AZ43" i="5"/>
  <c r="AO43" i="5"/>
  <c r="AM43" i="5"/>
  <c r="AK43" i="5"/>
  <c r="AH43" i="5"/>
  <c r="AC43" i="5"/>
  <c r="AA43" i="5"/>
  <c r="Y43" i="5"/>
  <c r="W43" i="5"/>
  <c r="U43" i="5"/>
  <c r="S43" i="5"/>
  <c r="G43" i="5"/>
  <c r="F43" i="5"/>
  <c r="BG43" i="5" s="1"/>
  <c r="B43" i="5"/>
  <c r="BI42" i="5"/>
  <c r="BH42" i="5"/>
  <c r="BF42" i="5"/>
  <c r="BE42" i="5"/>
  <c r="AZ42" i="5"/>
  <c r="AO42" i="5"/>
  <c r="AM42" i="5"/>
  <c r="AK42" i="5"/>
  <c r="AH42" i="5"/>
  <c r="AC42" i="5"/>
  <c r="AA42" i="5"/>
  <c r="Y42" i="5"/>
  <c r="W42" i="5"/>
  <c r="U42" i="5"/>
  <c r="S42" i="5"/>
  <c r="G42" i="5"/>
  <c r="F42" i="5"/>
  <c r="BG42" i="5" s="1"/>
  <c r="B42" i="5"/>
  <c r="BI41" i="5"/>
  <c r="BH41" i="5"/>
  <c r="BF41" i="5"/>
  <c r="BE41" i="5"/>
  <c r="AZ41" i="5"/>
  <c r="AO41" i="5"/>
  <c r="AM41" i="5"/>
  <c r="AK41" i="5"/>
  <c r="AH41" i="5"/>
  <c r="AC41" i="5"/>
  <c r="AA41" i="5"/>
  <c r="Y41" i="5"/>
  <c r="W41" i="5"/>
  <c r="U41" i="5"/>
  <c r="S41" i="5"/>
  <c r="G41" i="5"/>
  <c r="F41" i="5"/>
  <c r="BG41" i="5" s="1"/>
  <c r="B41" i="5"/>
  <c r="BI40" i="5"/>
  <c r="BH40" i="5"/>
  <c r="BF40" i="5"/>
  <c r="BE40" i="5"/>
  <c r="AZ40" i="5"/>
  <c r="AO40" i="5"/>
  <c r="AM40" i="5"/>
  <c r="AK40" i="5"/>
  <c r="AH40" i="5"/>
  <c r="AC40" i="5"/>
  <c r="AA40" i="5"/>
  <c r="Y40" i="5"/>
  <c r="W40" i="5"/>
  <c r="U40" i="5"/>
  <c r="S40" i="5"/>
  <c r="G40" i="5"/>
  <c r="F40" i="5"/>
  <c r="BG40" i="5" s="1"/>
  <c r="B40" i="5"/>
  <c r="BI39" i="5"/>
  <c r="BH39" i="5"/>
  <c r="BF39" i="5"/>
  <c r="BE39" i="5"/>
  <c r="AZ39" i="5"/>
  <c r="AO39" i="5"/>
  <c r="AM39" i="5"/>
  <c r="AK39" i="5"/>
  <c r="AH39" i="5"/>
  <c r="AC39" i="5"/>
  <c r="AA39" i="5"/>
  <c r="Y39" i="5"/>
  <c r="W39" i="5"/>
  <c r="U39" i="5"/>
  <c r="S39" i="5"/>
  <c r="G39" i="5"/>
  <c r="F39" i="5"/>
  <c r="BG39" i="5" s="1"/>
  <c r="B39" i="5"/>
  <c r="BI38" i="5"/>
  <c r="BH38" i="5"/>
  <c r="BF38" i="5"/>
  <c r="BE38" i="5"/>
  <c r="AZ38" i="5"/>
  <c r="AO38" i="5"/>
  <c r="AM38" i="5"/>
  <c r="AK38" i="5"/>
  <c r="AH38" i="5"/>
  <c r="AC38" i="5"/>
  <c r="AA38" i="5"/>
  <c r="Y38" i="5"/>
  <c r="W38" i="5"/>
  <c r="U38" i="5"/>
  <c r="S38" i="5"/>
  <c r="G38" i="5"/>
  <c r="F38" i="5"/>
  <c r="BG38" i="5" s="1"/>
  <c r="B38" i="5"/>
  <c r="BI37" i="5"/>
  <c r="BH37" i="5"/>
  <c r="BF37" i="5"/>
  <c r="BE37" i="5"/>
  <c r="AZ37" i="5"/>
  <c r="AO37" i="5"/>
  <c r="AM37" i="5"/>
  <c r="AK37" i="5"/>
  <c r="AH37" i="5"/>
  <c r="AC37" i="5"/>
  <c r="AA37" i="5"/>
  <c r="Y37" i="5"/>
  <c r="W37" i="5"/>
  <c r="U37" i="5"/>
  <c r="S37" i="5"/>
  <c r="G37" i="5"/>
  <c r="F37" i="5"/>
  <c r="BG37" i="5" s="1"/>
  <c r="B37" i="5"/>
  <c r="BI36" i="5"/>
  <c r="BH36" i="5"/>
  <c r="BF36" i="5"/>
  <c r="BE36" i="5"/>
  <c r="AZ36" i="5"/>
  <c r="AO36" i="5"/>
  <c r="AM36" i="5"/>
  <c r="AK36" i="5"/>
  <c r="AH36" i="5"/>
  <c r="AC36" i="5"/>
  <c r="AA36" i="5"/>
  <c r="Y36" i="5"/>
  <c r="W36" i="5"/>
  <c r="U36" i="5"/>
  <c r="S36" i="5"/>
  <c r="G36" i="5"/>
  <c r="F36" i="5"/>
  <c r="BG36" i="5" s="1"/>
  <c r="B36" i="5"/>
  <c r="BI35" i="5"/>
  <c r="BH35" i="5"/>
  <c r="BF35" i="5"/>
  <c r="BE35" i="5"/>
  <c r="AZ35" i="5"/>
  <c r="AO35" i="5"/>
  <c r="AM35" i="5"/>
  <c r="AK35" i="5"/>
  <c r="AH35" i="5"/>
  <c r="AC35" i="5"/>
  <c r="AA35" i="5"/>
  <c r="Y35" i="5"/>
  <c r="W35" i="5"/>
  <c r="U35" i="5"/>
  <c r="S35" i="5"/>
  <c r="G35" i="5"/>
  <c r="F35" i="5"/>
  <c r="BG35" i="5" s="1"/>
  <c r="B35" i="5"/>
  <c r="BI34" i="5"/>
  <c r="BH34" i="5"/>
  <c r="BF34" i="5"/>
  <c r="BE34" i="5"/>
  <c r="AZ34" i="5"/>
  <c r="AO34" i="5"/>
  <c r="AM34" i="5"/>
  <c r="AK34" i="5"/>
  <c r="AH34" i="5"/>
  <c r="AC34" i="5"/>
  <c r="AA34" i="5"/>
  <c r="Y34" i="5"/>
  <c r="W34" i="5"/>
  <c r="U34" i="5"/>
  <c r="S34" i="5"/>
  <c r="BA34" i="5" s="1"/>
  <c r="G34" i="5"/>
  <c r="F34" i="5"/>
  <c r="BG34" i="5" s="1"/>
  <c r="B34" i="5"/>
  <c r="BI33" i="5"/>
  <c r="BH33" i="5"/>
  <c r="BF33" i="5"/>
  <c r="BE33" i="5"/>
  <c r="AZ33" i="5"/>
  <c r="AO33" i="5"/>
  <c r="AM33" i="5"/>
  <c r="AK33" i="5"/>
  <c r="AH33" i="5"/>
  <c r="AC33" i="5"/>
  <c r="AA33" i="5"/>
  <c r="Y33" i="5"/>
  <c r="W33" i="5"/>
  <c r="U33" i="5"/>
  <c r="S33" i="5"/>
  <c r="G33" i="5"/>
  <c r="F33" i="5"/>
  <c r="BG33" i="5" s="1"/>
  <c r="B33" i="5"/>
  <c r="BI32" i="5"/>
  <c r="BH32" i="5"/>
  <c r="BF32" i="5"/>
  <c r="BE32" i="5"/>
  <c r="AZ32" i="5"/>
  <c r="AO32" i="5"/>
  <c r="AM32" i="5"/>
  <c r="AK32" i="5"/>
  <c r="AH32" i="5"/>
  <c r="AC32" i="5"/>
  <c r="AA32" i="5"/>
  <c r="Y32" i="5"/>
  <c r="W32" i="5"/>
  <c r="U32" i="5"/>
  <c r="S32" i="5"/>
  <c r="G32" i="5"/>
  <c r="F32" i="5"/>
  <c r="BG32" i="5" s="1"/>
  <c r="B32" i="5"/>
  <c r="BI31" i="5"/>
  <c r="BH31" i="5"/>
  <c r="BF31" i="5"/>
  <c r="BE31" i="5"/>
  <c r="AZ31" i="5"/>
  <c r="AO31" i="5"/>
  <c r="AM31" i="5"/>
  <c r="AK31" i="5"/>
  <c r="AH31" i="5"/>
  <c r="AC31" i="5"/>
  <c r="AA31" i="5"/>
  <c r="Y31" i="5"/>
  <c r="W31" i="5"/>
  <c r="U31" i="5"/>
  <c r="S31" i="5"/>
  <c r="G31" i="5"/>
  <c r="F31" i="5"/>
  <c r="BG31" i="5" s="1"/>
  <c r="B31" i="5"/>
  <c r="BI30" i="5"/>
  <c r="BH30" i="5"/>
  <c r="BF30" i="5"/>
  <c r="BE30" i="5"/>
  <c r="AZ30" i="5"/>
  <c r="AO30" i="5"/>
  <c r="AM30" i="5"/>
  <c r="AK30" i="5"/>
  <c r="AH30" i="5"/>
  <c r="AC30" i="5"/>
  <c r="AA30" i="5"/>
  <c r="Y30" i="5"/>
  <c r="W30" i="5"/>
  <c r="U30" i="5"/>
  <c r="S30" i="5"/>
  <c r="G30" i="5"/>
  <c r="F30" i="5"/>
  <c r="BG30" i="5" s="1"/>
  <c r="B30" i="5"/>
  <c r="BI29" i="5"/>
  <c r="BH29" i="5"/>
  <c r="BF29" i="5"/>
  <c r="BE29" i="5"/>
  <c r="AZ29" i="5"/>
  <c r="AO29" i="5"/>
  <c r="AM29" i="5"/>
  <c r="AK29" i="5"/>
  <c r="AH29" i="5"/>
  <c r="AC29" i="5"/>
  <c r="AA29" i="5"/>
  <c r="Y29" i="5"/>
  <c r="W29" i="5"/>
  <c r="U29" i="5"/>
  <c r="S29" i="5"/>
  <c r="G29" i="5"/>
  <c r="F29" i="5"/>
  <c r="BG29" i="5" s="1"/>
  <c r="B29" i="5"/>
  <c r="BI28" i="5"/>
  <c r="BH28" i="5"/>
  <c r="BF28" i="5"/>
  <c r="BE28" i="5"/>
  <c r="AZ28" i="5"/>
  <c r="AO28" i="5"/>
  <c r="AM28" i="5"/>
  <c r="AK28" i="5"/>
  <c r="AH28" i="5"/>
  <c r="AC28" i="5"/>
  <c r="AA28" i="5"/>
  <c r="Y28" i="5"/>
  <c r="W28" i="5"/>
  <c r="U28" i="5"/>
  <c r="S28" i="5"/>
  <c r="G28" i="5"/>
  <c r="F28" i="5"/>
  <c r="BG28" i="5" s="1"/>
  <c r="B28" i="5"/>
  <c r="BI27" i="5"/>
  <c r="BH27" i="5"/>
  <c r="BF27" i="5"/>
  <c r="BE27" i="5"/>
  <c r="AZ27" i="5"/>
  <c r="AO27" i="5"/>
  <c r="AM27" i="5"/>
  <c r="AK27" i="5"/>
  <c r="AH27" i="5"/>
  <c r="AC27" i="5"/>
  <c r="AA27" i="5"/>
  <c r="Y27" i="5"/>
  <c r="W27" i="5"/>
  <c r="U27" i="5"/>
  <c r="S27" i="5"/>
  <c r="G27" i="5"/>
  <c r="F27" i="5"/>
  <c r="BG27" i="5" s="1"/>
  <c r="B27" i="5"/>
  <c r="BI26" i="5"/>
  <c r="BH26" i="5"/>
  <c r="BF26" i="5"/>
  <c r="BE26" i="5"/>
  <c r="AZ26" i="5"/>
  <c r="AO26" i="5"/>
  <c r="AM26" i="5"/>
  <c r="AK26" i="5"/>
  <c r="AH26" i="5"/>
  <c r="AC26" i="5"/>
  <c r="AA26" i="5"/>
  <c r="Y26" i="5"/>
  <c r="W26" i="5"/>
  <c r="U26" i="5"/>
  <c r="S26" i="5"/>
  <c r="G26" i="5"/>
  <c r="F26" i="5"/>
  <c r="BG26" i="5" s="1"/>
  <c r="B26" i="5"/>
  <c r="BI25" i="5"/>
  <c r="BH25" i="5"/>
  <c r="BF25" i="5"/>
  <c r="BE25" i="5"/>
  <c r="AZ25" i="5"/>
  <c r="AO25" i="5"/>
  <c r="AM25" i="5"/>
  <c r="AK25" i="5"/>
  <c r="AH25" i="5"/>
  <c r="AC25" i="5"/>
  <c r="AA25" i="5"/>
  <c r="Y25" i="5"/>
  <c r="W25" i="5"/>
  <c r="U25" i="5"/>
  <c r="S25" i="5"/>
  <c r="G25" i="5"/>
  <c r="F25" i="5"/>
  <c r="BG25" i="5" s="1"/>
  <c r="B25" i="5"/>
  <c r="BI24" i="5"/>
  <c r="BH24" i="5"/>
  <c r="BF24" i="5"/>
  <c r="BE24" i="5"/>
  <c r="AZ24" i="5"/>
  <c r="AO24" i="5"/>
  <c r="AM24" i="5"/>
  <c r="AK24" i="5"/>
  <c r="AH24" i="5"/>
  <c r="AC24" i="5"/>
  <c r="AA24" i="5"/>
  <c r="Y24" i="5"/>
  <c r="W24" i="5"/>
  <c r="U24" i="5"/>
  <c r="S24" i="5"/>
  <c r="G24" i="5"/>
  <c r="F24" i="5"/>
  <c r="BG24" i="5" s="1"/>
  <c r="B24" i="5"/>
  <c r="BI23" i="5"/>
  <c r="BH23" i="5"/>
  <c r="BF23" i="5"/>
  <c r="BE23" i="5"/>
  <c r="AZ23" i="5"/>
  <c r="AO23" i="5"/>
  <c r="AM23" i="5"/>
  <c r="AK23" i="5"/>
  <c r="AH23" i="5"/>
  <c r="AC23" i="5"/>
  <c r="AA23" i="5"/>
  <c r="Y23" i="5"/>
  <c r="W23" i="5"/>
  <c r="U23" i="5"/>
  <c r="S23" i="5"/>
  <c r="BA23" i="5" s="1"/>
  <c r="Q23" i="5" s="1"/>
  <c r="G23" i="5"/>
  <c r="F23" i="5"/>
  <c r="BG23" i="5" s="1"/>
  <c r="B23" i="5"/>
  <c r="BI22" i="5"/>
  <c r="BH22" i="5"/>
  <c r="BF22" i="5"/>
  <c r="BE22" i="5"/>
  <c r="AZ22" i="5"/>
  <c r="AO22" i="5"/>
  <c r="AM22" i="5"/>
  <c r="AK22" i="5"/>
  <c r="AH22" i="5"/>
  <c r="AC22" i="5"/>
  <c r="AA22" i="5"/>
  <c r="Y22" i="5"/>
  <c r="W22" i="5"/>
  <c r="U22" i="5"/>
  <c r="S22" i="5"/>
  <c r="G22" i="5"/>
  <c r="F22" i="5"/>
  <c r="BG22" i="5" s="1"/>
  <c r="B22" i="5"/>
  <c r="BI21" i="5"/>
  <c r="BH21" i="5"/>
  <c r="BF21" i="5"/>
  <c r="BE21" i="5"/>
  <c r="AZ21" i="5"/>
  <c r="AO21" i="5"/>
  <c r="AM21" i="5"/>
  <c r="AK21" i="5"/>
  <c r="AH21" i="5"/>
  <c r="AC21" i="5"/>
  <c r="AA21" i="5"/>
  <c r="Y21" i="5"/>
  <c r="W21" i="5"/>
  <c r="U21" i="5"/>
  <c r="S21" i="5"/>
  <c r="BA21" i="5" s="1"/>
  <c r="G21" i="5"/>
  <c r="F21" i="5"/>
  <c r="BG21" i="5" s="1"/>
  <c r="B21" i="5"/>
  <c r="BI20" i="5"/>
  <c r="BH20" i="5"/>
  <c r="BF20" i="5"/>
  <c r="BE20" i="5"/>
  <c r="AZ20" i="5"/>
  <c r="AO20" i="5"/>
  <c r="AM20" i="5"/>
  <c r="AK20" i="5"/>
  <c r="AH20" i="5"/>
  <c r="AC20" i="5"/>
  <c r="AA20" i="5"/>
  <c r="Y20" i="5"/>
  <c r="W20" i="5"/>
  <c r="U20" i="5"/>
  <c r="S20" i="5"/>
  <c r="G20" i="5"/>
  <c r="F20" i="5"/>
  <c r="BG20" i="5" s="1"/>
  <c r="B20" i="5"/>
  <c r="BI19" i="5"/>
  <c r="BH19" i="5"/>
  <c r="BF19" i="5"/>
  <c r="BE19" i="5"/>
  <c r="AZ19" i="5"/>
  <c r="AO19" i="5"/>
  <c r="AM19" i="5"/>
  <c r="AK19" i="5"/>
  <c r="AH19" i="5"/>
  <c r="AC19" i="5"/>
  <c r="AA19" i="5"/>
  <c r="Y19" i="5"/>
  <c r="W19" i="5"/>
  <c r="U19" i="5"/>
  <c r="S19" i="5"/>
  <c r="BA19" i="5" s="1"/>
  <c r="Q19" i="5" s="1"/>
  <c r="G19" i="5"/>
  <c r="F19" i="5"/>
  <c r="BG19" i="5" s="1"/>
  <c r="B19" i="5"/>
  <c r="BI18" i="5"/>
  <c r="BH18" i="5"/>
  <c r="BF18" i="5"/>
  <c r="BE18" i="5"/>
  <c r="AZ18" i="5"/>
  <c r="AO18" i="5"/>
  <c r="AM18" i="5"/>
  <c r="AK18" i="5"/>
  <c r="AH18" i="5"/>
  <c r="AC18" i="5"/>
  <c r="AA18" i="5"/>
  <c r="Y18" i="5"/>
  <c r="W18" i="5"/>
  <c r="U18" i="5"/>
  <c r="S18" i="5"/>
  <c r="G18" i="5"/>
  <c r="F18" i="5"/>
  <c r="BG18" i="5" s="1"/>
  <c r="B18" i="5"/>
  <c r="BI17" i="5"/>
  <c r="BH17" i="5"/>
  <c r="BF17" i="5"/>
  <c r="BE17" i="5"/>
  <c r="AZ17" i="5"/>
  <c r="AO17" i="5"/>
  <c r="AM17" i="5"/>
  <c r="AK17" i="5"/>
  <c r="AH17" i="5"/>
  <c r="AC17" i="5"/>
  <c r="AA17" i="5"/>
  <c r="Y17" i="5"/>
  <c r="W17" i="5"/>
  <c r="U17" i="5"/>
  <c r="S17" i="5"/>
  <c r="G17" i="5"/>
  <c r="F17" i="5"/>
  <c r="BG17" i="5" s="1"/>
  <c r="B17" i="5"/>
  <c r="BI16" i="5"/>
  <c r="BH16" i="5"/>
  <c r="BF16" i="5"/>
  <c r="BE16" i="5"/>
  <c r="AZ16" i="5"/>
  <c r="AO16" i="5"/>
  <c r="AM16" i="5"/>
  <c r="AK16" i="5"/>
  <c r="AH16" i="5"/>
  <c r="AC16" i="5"/>
  <c r="AA16" i="5"/>
  <c r="Y16" i="5"/>
  <c r="W16" i="5"/>
  <c r="U16" i="5"/>
  <c r="S16" i="5"/>
  <c r="G16" i="5"/>
  <c r="F16" i="5"/>
  <c r="BG16" i="5" s="1"/>
  <c r="B16" i="5"/>
  <c r="BI15" i="5"/>
  <c r="BH15" i="5"/>
  <c r="BF15" i="5"/>
  <c r="BE15" i="5"/>
  <c r="AZ15" i="5"/>
  <c r="AO15" i="5"/>
  <c r="AM15" i="5"/>
  <c r="AK15" i="5"/>
  <c r="AH15" i="5"/>
  <c r="AC15" i="5"/>
  <c r="AA15" i="5"/>
  <c r="Y15" i="5"/>
  <c r="W15" i="5"/>
  <c r="U15" i="5"/>
  <c r="S15" i="5"/>
  <c r="G15" i="5"/>
  <c r="F15" i="5"/>
  <c r="BG15" i="5" s="1"/>
  <c r="B15" i="5"/>
  <c r="BI14" i="5"/>
  <c r="BH14" i="5"/>
  <c r="BF14" i="5"/>
  <c r="BE14" i="5"/>
  <c r="AZ14" i="5"/>
  <c r="AO14" i="5"/>
  <c r="AM14" i="5"/>
  <c r="AK14" i="5"/>
  <c r="AH14" i="5"/>
  <c r="AC14" i="5"/>
  <c r="AA14" i="5"/>
  <c r="Y14" i="5"/>
  <c r="W14" i="5"/>
  <c r="U14" i="5"/>
  <c r="S14" i="5"/>
  <c r="BA14" i="5" s="1"/>
  <c r="G14" i="5"/>
  <c r="F14" i="5"/>
  <c r="BG14" i="5" s="1"/>
  <c r="B14" i="5"/>
  <c r="BI13" i="5"/>
  <c r="BH13" i="5"/>
  <c r="BF13" i="5"/>
  <c r="BE13" i="5"/>
  <c r="AZ13" i="5"/>
  <c r="AO13" i="5"/>
  <c r="AM13" i="5"/>
  <c r="AK13" i="5"/>
  <c r="AH13" i="5"/>
  <c r="AC13" i="5"/>
  <c r="AA13" i="5"/>
  <c r="Y13" i="5"/>
  <c r="W13" i="5"/>
  <c r="U13" i="5"/>
  <c r="S13" i="5"/>
  <c r="G13" i="5"/>
  <c r="F13" i="5"/>
  <c r="BG13" i="5" s="1"/>
  <c r="B13" i="5"/>
  <c r="BI12" i="5"/>
  <c r="BH12" i="5"/>
  <c r="BF12" i="5"/>
  <c r="BE12" i="5"/>
  <c r="AZ12" i="5"/>
  <c r="AO12" i="5"/>
  <c r="AM12" i="5"/>
  <c r="AK12" i="5"/>
  <c r="AH12" i="5"/>
  <c r="AC12" i="5"/>
  <c r="AA12" i="5"/>
  <c r="Y12" i="5"/>
  <c r="W12" i="5"/>
  <c r="U12" i="5"/>
  <c r="S12" i="5"/>
  <c r="G12" i="5"/>
  <c r="F12" i="5"/>
  <c r="BG12" i="5" s="1"/>
  <c r="B12" i="5"/>
  <c r="BI11" i="5"/>
  <c r="BH11" i="5"/>
  <c r="BF11" i="5"/>
  <c r="BE11" i="5"/>
  <c r="AZ11" i="5"/>
  <c r="AO11" i="5"/>
  <c r="AM11" i="5"/>
  <c r="AK11" i="5"/>
  <c r="AH11" i="5"/>
  <c r="AC11" i="5"/>
  <c r="AA11" i="5"/>
  <c r="Y11" i="5"/>
  <c r="W11" i="5"/>
  <c r="U11" i="5"/>
  <c r="S11" i="5"/>
  <c r="G11" i="5"/>
  <c r="F11" i="5"/>
  <c r="BG11" i="5" s="1"/>
  <c r="B11" i="5"/>
  <c r="BI10" i="5"/>
  <c r="BH10" i="5"/>
  <c r="BF10" i="5"/>
  <c r="BE10" i="5"/>
  <c r="AZ10" i="5"/>
  <c r="AO10" i="5"/>
  <c r="AM10" i="5"/>
  <c r="AK10" i="5"/>
  <c r="AH10" i="5"/>
  <c r="AC10" i="5"/>
  <c r="AA10" i="5"/>
  <c r="Y10" i="5"/>
  <c r="W10" i="5"/>
  <c r="U10" i="5"/>
  <c r="S10" i="5"/>
  <c r="G10" i="5"/>
  <c r="F10" i="5"/>
  <c r="BG10" i="5" s="1"/>
  <c r="B10" i="5"/>
  <c r="BI9" i="5"/>
  <c r="BH9" i="5"/>
  <c r="BF9" i="5"/>
  <c r="BE9" i="5"/>
  <c r="AZ9" i="5"/>
  <c r="AO9" i="5"/>
  <c r="AM9" i="5"/>
  <c r="AK9" i="5"/>
  <c r="AH9" i="5"/>
  <c r="AC9" i="5"/>
  <c r="AA9" i="5"/>
  <c r="Y9" i="5"/>
  <c r="W9" i="5"/>
  <c r="U9" i="5"/>
  <c r="S9" i="5"/>
  <c r="G9" i="5"/>
  <c r="F9" i="5"/>
  <c r="BG9" i="5" s="1"/>
  <c r="B9" i="5"/>
  <c r="BI8" i="5"/>
  <c r="BH8" i="5"/>
  <c r="BF8" i="5"/>
  <c r="BE8" i="5"/>
  <c r="AZ8" i="5"/>
  <c r="AO8" i="5"/>
  <c r="AM8" i="5"/>
  <c r="AK8" i="5"/>
  <c r="AH8" i="5"/>
  <c r="AC8" i="5"/>
  <c r="AA8" i="5"/>
  <c r="Y8" i="5"/>
  <c r="W8" i="5"/>
  <c r="U8" i="5"/>
  <c r="S8" i="5"/>
  <c r="G8" i="5"/>
  <c r="F8" i="5"/>
  <c r="BG8" i="5" s="1"/>
  <c r="B8" i="5"/>
  <c r="BI7" i="5"/>
  <c r="BH7" i="5"/>
  <c r="BF7" i="5"/>
  <c r="BE7" i="5"/>
  <c r="AZ7" i="5"/>
  <c r="AO7" i="5"/>
  <c r="AM7" i="5"/>
  <c r="AK7" i="5"/>
  <c r="AH7" i="5"/>
  <c r="AC7" i="5"/>
  <c r="AA7" i="5"/>
  <c r="Y7" i="5"/>
  <c r="W7" i="5"/>
  <c r="U7" i="5"/>
  <c r="S7" i="5"/>
  <c r="G7" i="5"/>
  <c r="F7" i="5"/>
  <c r="BG7" i="5" s="1"/>
  <c r="BI6" i="5"/>
  <c r="BH6" i="5"/>
  <c r="BF6" i="5"/>
  <c r="BE6" i="5"/>
  <c r="AZ6" i="5"/>
  <c r="AO6" i="5"/>
  <c r="AM6" i="5"/>
  <c r="AK6" i="5"/>
  <c r="AH6" i="5"/>
  <c r="AC6" i="5"/>
  <c r="AA6" i="5"/>
  <c r="Y6" i="5"/>
  <c r="W6" i="5"/>
  <c r="U6" i="5"/>
  <c r="S6" i="5"/>
  <c r="G6" i="5"/>
  <c r="F6" i="5"/>
  <c r="BG6" i="5" s="1"/>
  <c r="B6" i="5"/>
  <c r="BI5" i="5"/>
  <c r="BH5" i="5"/>
  <c r="BF5" i="5"/>
  <c r="BE5" i="5"/>
  <c r="AZ5" i="5"/>
  <c r="AO5" i="5"/>
  <c r="AM5" i="5"/>
  <c r="AK5" i="5"/>
  <c r="AH5" i="5"/>
  <c r="AC5" i="5"/>
  <c r="AA5" i="5"/>
  <c r="Y5" i="5"/>
  <c r="W5" i="5"/>
  <c r="U5" i="5"/>
  <c r="S5" i="5"/>
  <c r="G5" i="5"/>
  <c r="F5" i="5"/>
  <c r="BG5" i="5" s="1"/>
  <c r="B5" i="5"/>
  <c r="BI4" i="5"/>
  <c r="BH4" i="5"/>
  <c r="BF4" i="5"/>
  <c r="BE4" i="5"/>
  <c r="AZ4" i="5"/>
  <c r="AO4" i="5"/>
  <c r="AM4" i="5"/>
  <c r="AK4" i="5"/>
  <c r="AH4" i="5"/>
  <c r="AC4" i="5"/>
  <c r="AA4" i="5"/>
  <c r="Y4" i="5"/>
  <c r="W4" i="5"/>
  <c r="U4" i="5"/>
  <c r="S4" i="5"/>
  <c r="G4" i="5"/>
  <c r="F4" i="5"/>
  <c r="BG4" i="5" s="1"/>
  <c r="B4" i="5"/>
  <c r="BI3" i="5"/>
  <c r="BH3" i="5"/>
  <c r="BF3" i="5"/>
  <c r="BE3" i="5"/>
  <c r="AZ3" i="5"/>
  <c r="AO3" i="5"/>
  <c r="AM3" i="5"/>
  <c r="AK3" i="5"/>
  <c r="AH3" i="5"/>
  <c r="AC3" i="5"/>
  <c r="AA3" i="5"/>
  <c r="Y3" i="5"/>
  <c r="W3" i="5"/>
  <c r="U3" i="5"/>
  <c r="S3" i="5"/>
  <c r="G3" i="5"/>
  <c r="F3" i="5"/>
  <c r="BG3" i="5" s="1"/>
  <c r="B3" i="5"/>
  <c r="BI2" i="5"/>
  <c r="BH2" i="5"/>
  <c r="BF2" i="5"/>
  <c r="BE2" i="5"/>
  <c r="AZ2" i="5"/>
  <c r="AO2" i="5"/>
  <c r="AM2" i="5"/>
  <c r="AK2" i="5"/>
  <c r="AH2" i="5"/>
  <c r="AC2" i="5"/>
  <c r="AA2" i="5"/>
  <c r="Y2" i="5"/>
  <c r="W2" i="5"/>
  <c r="U2" i="5"/>
  <c r="S2" i="5"/>
  <c r="G2" i="5"/>
  <c r="F2" i="5"/>
  <c r="BG2" i="5" s="1"/>
  <c r="B2" i="5"/>
  <c r="BE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F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F2" i="1"/>
  <c r="BG2" i="1" s="1"/>
  <c r="F3" i="1"/>
  <c r="BG3" i="1" s="1"/>
  <c r="F4" i="1"/>
  <c r="BG4" i="1" s="1"/>
  <c r="F5" i="1"/>
  <c r="F6" i="1"/>
  <c r="F7" i="1"/>
  <c r="F8" i="1"/>
  <c r="BG8" i="1" s="1"/>
  <c r="F9" i="1"/>
  <c r="F10" i="1"/>
  <c r="BG10" i="1" s="1"/>
  <c r="F11" i="1"/>
  <c r="BG11" i="1" s="1"/>
  <c r="F12" i="1"/>
  <c r="F13" i="1"/>
  <c r="F14" i="1"/>
  <c r="BG14" i="1" s="1"/>
  <c r="F15" i="1"/>
  <c r="BG15" i="1" s="1"/>
  <c r="F16" i="1"/>
  <c r="BG16" i="1" s="1"/>
  <c r="F17" i="1"/>
  <c r="BG17" i="1" s="1"/>
  <c r="F18" i="1"/>
  <c r="BG18" i="1" s="1"/>
  <c r="F19" i="1"/>
  <c r="BG19" i="1" s="1"/>
  <c r="F20" i="1"/>
  <c r="F21" i="1"/>
  <c r="F22" i="1"/>
  <c r="F23" i="1"/>
  <c r="F24" i="1"/>
  <c r="F25" i="1"/>
  <c r="BG25" i="1" s="1"/>
  <c r="F26" i="1"/>
  <c r="BG26" i="1" s="1"/>
  <c r="F27" i="1"/>
  <c r="BG27" i="1" s="1"/>
  <c r="F28" i="1"/>
  <c r="F29" i="1"/>
  <c r="BG29" i="1" s="1"/>
  <c r="F30" i="1"/>
  <c r="F31" i="1"/>
  <c r="F32" i="1"/>
  <c r="F33" i="1"/>
  <c r="BG33" i="1" s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BG56" i="1" s="1"/>
  <c r="F57" i="1"/>
  <c r="BG57" i="1" s="1"/>
  <c r="F58" i="1"/>
  <c r="BG58" i="1" s="1"/>
  <c r="F59" i="1"/>
  <c r="BG59" i="1" s="1"/>
  <c r="F60" i="1"/>
  <c r="F61" i="1"/>
  <c r="F62" i="1"/>
  <c r="F63" i="1"/>
  <c r="BG63" i="1" s="1"/>
  <c r="F64" i="1"/>
  <c r="BG64" i="1" s="1"/>
  <c r="F65" i="1"/>
  <c r="BG65" i="1" s="1"/>
  <c r="F66" i="1"/>
  <c r="BG66" i="1" s="1"/>
  <c r="F67" i="1"/>
  <c r="BG67" i="1" s="1"/>
  <c r="F68" i="1"/>
  <c r="BG68" i="1" s="1"/>
  <c r="F69" i="1"/>
  <c r="F70" i="1"/>
  <c r="F71" i="1"/>
  <c r="BG71" i="1" s="1"/>
  <c r="F72" i="1"/>
  <c r="BG72" i="1" s="1"/>
  <c r="F73" i="1"/>
  <c r="BG73" i="1" s="1"/>
  <c r="F74" i="1"/>
  <c r="BG74" i="1" s="1"/>
  <c r="F75" i="1"/>
  <c r="BG75" i="1" s="1"/>
  <c r="F76" i="1"/>
  <c r="BG76" i="1" s="1"/>
  <c r="F77" i="1"/>
  <c r="BG77" i="1" s="1"/>
  <c r="F78" i="1"/>
  <c r="BG78" i="1" s="1"/>
  <c r="F79" i="1"/>
  <c r="BG79" i="1" s="1"/>
  <c r="F80" i="1"/>
  <c r="BG80" i="1" s="1"/>
  <c r="F81" i="1"/>
  <c r="BG81" i="1" s="1"/>
  <c r="F82" i="1"/>
  <c r="BG82" i="1" s="1"/>
  <c r="F83" i="1"/>
  <c r="BG83" i="1" s="1"/>
  <c r="F84" i="1"/>
  <c r="BG84" i="1" s="1"/>
  <c r="F85" i="1"/>
  <c r="BG85" i="1" s="1"/>
  <c r="F86" i="1"/>
  <c r="F87" i="1"/>
  <c r="BG87" i="1" s="1"/>
  <c r="F88" i="1"/>
  <c r="BG88" i="1" s="1"/>
  <c r="F89" i="1"/>
  <c r="BG89" i="1" s="1"/>
  <c r="F90" i="1"/>
  <c r="BG90" i="1" s="1"/>
  <c r="F91" i="1"/>
  <c r="BG91" i="1" s="1"/>
  <c r="BG20" i="1"/>
  <c r="BG5" i="1"/>
  <c r="BG6" i="1"/>
  <c r="BG7" i="1"/>
  <c r="BG9" i="1"/>
  <c r="BG12" i="1"/>
  <c r="BG13" i="1"/>
  <c r="BG21" i="1"/>
  <c r="BG22" i="1"/>
  <c r="BG23" i="1"/>
  <c r="BG24" i="1"/>
  <c r="BG28" i="1"/>
  <c r="BG30" i="1"/>
  <c r="BG31" i="1"/>
  <c r="BG32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60" i="1"/>
  <c r="BG61" i="1"/>
  <c r="BG62" i="1"/>
  <c r="BG69" i="1"/>
  <c r="BG70" i="1"/>
  <c r="BG86" i="1"/>
  <c r="BI91" i="1"/>
  <c r="BH91" i="1"/>
  <c r="AZ91" i="1"/>
  <c r="AO91" i="1"/>
  <c r="AM91" i="1"/>
  <c r="AK91" i="1"/>
  <c r="AH91" i="1"/>
  <c r="AC91" i="1"/>
  <c r="AA91" i="1"/>
  <c r="Y91" i="1"/>
  <c r="W91" i="1"/>
  <c r="U91" i="1"/>
  <c r="S91" i="1"/>
  <c r="BA91" i="1" s="1"/>
  <c r="B91" i="1"/>
  <c r="BI90" i="1"/>
  <c r="BH90" i="1"/>
  <c r="AZ90" i="1"/>
  <c r="AO90" i="1"/>
  <c r="AM90" i="1"/>
  <c r="AK90" i="1"/>
  <c r="AH90" i="1"/>
  <c r="AC90" i="1"/>
  <c r="AA90" i="1"/>
  <c r="Y90" i="1"/>
  <c r="W90" i="1"/>
  <c r="U90" i="1"/>
  <c r="S90" i="1"/>
  <c r="BA90" i="1" s="1"/>
  <c r="B90" i="1"/>
  <c r="BI89" i="1"/>
  <c r="BH89" i="1"/>
  <c r="AZ89" i="1"/>
  <c r="AO89" i="1"/>
  <c r="AM89" i="1"/>
  <c r="AK89" i="1"/>
  <c r="AH89" i="1"/>
  <c r="AC89" i="1"/>
  <c r="AA89" i="1"/>
  <c r="Y89" i="1"/>
  <c r="W89" i="1"/>
  <c r="U89" i="1"/>
  <c r="S89" i="1"/>
  <c r="BA89" i="1" s="1"/>
  <c r="B89" i="1"/>
  <c r="BI88" i="1"/>
  <c r="BH88" i="1"/>
  <c r="AZ88" i="1"/>
  <c r="AO88" i="1"/>
  <c r="AM88" i="1"/>
  <c r="AK88" i="1"/>
  <c r="AH88" i="1"/>
  <c r="AC88" i="1"/>
  <c r="AA88" i="1"/>
  <c r="Y88" i="1"/>
  <c r="W88" i="1"/>
  <c r="U88" i="1"/>
  <c r="S88" i="1"/>
  <c r="BA88" i="1" s="1"/>
  <c r="B88" i="1"/>
  <c r="BI87" i="1"/>
  <c r="BH87" i="1"/>
  <c r="AZ87" i="1"/>
  <c r="AO87" i="1"/>
  <c r="AM87" i="1"/>
  <c r="AK87" i="1"/>
  <c r="AH87" i="1"/>
  <c r="AC87" i="1"/>
  <c r="AA87" i="1"/>
  <c r="Y87" i="1"/>
  <c r="W87" i="1"/>
  <c r="U87" i="1"/>
  <c r="S87" i="1"/>
  <c r="BA87" i="1" s="1"/>
  <c r="B87" i="1"/>
  <c r="BI86" i="1"/>
  <c r="BH86" i="1"/>
  <c r="AZ86" i="1"/>
  <c r="AO86" i="1"/>
  <c r="AM86" i="1"/>
  <c r="AK86" i="1"/>
  <c r="AH86" i="1"/>
  <c r="AC86" i="1"/>
  <c r="AA86" i="1"/>
  <c r="Y86" i="1"/>
  <c r="W86" i="1"/>
  <c r="U86" i="1"/>
  <c r="S86" i="1"/>
  <c r="BA86" i="1" s="1"/>
  <c r="B86" i="1"/>
  <c r="BI85" i="1"/>
  <c r="BH85" i="1"/>
  <c r="AZ85" i="1"/>
  <c r="AO85" i="1"/>
  <c r="AM85" i="1"/>
  <c r="AK85" i="1"/>
  <c r="AH85" i="1"/>
  <c r="AC85" i="1"/>
  <c r="AA85" i="1"/>
  <c r="Y85" i="1"/>
  <c r="W85" i="1"/>
  <c r="U85" i="1"/>
  <c r="S85" i="1"/>
  <c r="BA85" i="1" s="1"/>
  <c r="B85" i="1"/>
  <c r="BI84" i="1"/>
  <c r="BH84" i="1"/>
  <c r="AZ84" i="1"/>
  <c r="AO84" i="1"/>
  <c r="AM84" i="1"/>
  <c r="AK84" i="1"/>
  <c r="AH84" i="1"/>
  <c r="AC84" i="1"/>
  <c r="AA84" i="1"/>
  <c r="Y84" i="1"/>
  <c r="W84" i="1"/>
  <c r="U84" i="1"/>
  <c r="S84" i="1"/>
  <c r="BA84" i="1" s="1"/>
  <c r="B84" i="1"/>
  <c r="BI83" i="1"/>
  <c r="BH83" i="1"/>
  <c r="AZ83" i="1"/>
  <c r="AO83" i="1"/>
  <c r="AM83" i="1"/>
  <c r="AK83" i="1"/>
  <c r="AH83" i="1"/>
  <c r="AC83" i="1"/>
  <c r="AA83" i="1"/>
  <c r="Y83" i="1"/>
  <c r="W83" i="1"/>
  <c r="U83" i="1"/>
  <c r="S83" i="1"/>
  <c r="BA83" i="1" s="1"/>
  <c r="B83" i="1"/>
  <c r="BI82" i="1"/>
  <c r="BH82" i="1"/>
  <c r="AZ82" i="1"/>
  <c r="AO82" i="1"/>
  <c r="AM82" i="1"/>
  <c r="AK82" i="1"/>
  <c r="AH82" i="1"/>
  <c r="AC82" i="1"/>
  <c r="AA82" i="1"/>
  <c r="Y82" i="1"/>
  <c r="W82" i="1"/>
  <c r="U82" i="1"/>
  <c r="S82" i="1"/>
  <c r="BA82" i="1" s="1"/>
  <c r="B82" i="1"/>
  <c r="BI81" i="1"/>
  <c r="BH81" i="1"/>
  <c r="AZ81" i="1"/>
  <c r="AO81" i="1"/>
  <c r="AM81" i="1"/>
  <c r="AK81" i="1"/>
  <c r="AH81" i="1"/>
  <c r="AC81" i="1"/>
  <c r="AA81" i="1"/>
  <c r="Y81" i="1"/>
  <c r="W81" i="1"/>
  <c r="U81" i="1"/>
  <c r="S81" i="1"/>
  <c r="BA81" i="1" s="1"/>
  <c r="B81" i="1"/>
  <c r="BI80" i="1"/>
  <c r="BH80" i="1"/>
  <c r="AZ80" i="1"/>
  <c r="AO80" i="1"/>
  <c r="AM80" i="1"/>
  <c r="AK80" i="1"/>
  <c r="AH80" i="1"/>
  <c r="AC80" i="1"/>
  <c r="AA80" i="1"/>
  <c r="Y80" i="1"/>
  <c r="W80" i="1"/>
  <c r="U80" i="1"/>
  <c r="S80" i="1"/>
  <c r="BA80" i="1" s="1"/>
  <c r="B80" i="1"/>
  <c r="BI79" i="1"/>
  <c r="BH79" i="1"/>
  <c r="AZ79" i="1"/>
  <c r="AO79" i="1"/>
  <c r="AM79" i="1"/>
  <c r="AK79" i="1"/>
  <c r="AH79" i="1"/>
  <c r="AC79" i="1"/>
  <c r="AA79" i="1"/>
  <c r="Y79" i="1"/>
  <c r="W79" i="1"/>
  <c r="U79" i="1"/>
  <c r="S79" i="1"/>
  <c r="BA79" i="1" s="1"/>
  <c r="B79" i="1"/>
  <c r="BI78" i="1"/>
  <c r="BH78" i="1"/>
  <c r="AZ78" i="1"/>
  <c r="AO78" i="1"/>
  <c r="AM78" i="1"/>
  <c r="AK78" i="1"/>
  <c r="AH78" i="1"/>
  <c r="AC78" i="1"/>
  <c r="AA78" i="1"/>
  <c r="Y78" i="1"/>
  <c r="W78" i="1"/>
  <c r="U78" i="1"/>
  <c r="S78" i="1"/>
  <c r="BA78" i="1" s="1"/>
  <c r="B78" i="1"/>
  <c r="BI77" i="1"/>
  <c r="BH77" i="1"/>
  <c r="AZ77" i="1"/>
  <c r="AO77" i="1"/>
  <c r="AM77" i="1"/>
  <c r="AK77" i="1"/>
  <c r="AH77" i="1"/>
  <c r="AC77" i="1"/>
  <c r="AA77" i="1"/>
  <c r="Y77" i="1"/>
  <c r="W77" i="1"/>
  <c r="U77" i="1"/>
  <c r="S77" i="1"/>
  <c r="BA77" i="1" s="1"/>
  <c r="B77" i="1"/>
  <c r="BI76" i="1"/>
  <c r="BH76" i="1"/>
  <c r="AZ76" i="1"/>
  <c r="AO76" i="1"/>
  <c r="AM76" i="1"/>
  <c r="AK76" i="1"/>
  <c r="AH76" i="1"/>
  <c r="AC76" i="1"/>
  <c r="AA76" i="1"/>
  <c r="Y76" i="1"/>
  <c r="W76" i="1"/>
  <c r="U76" i="1"/>
  <c r="S76" i="1"/>
  <c r="BA76" i="1" s="1"/>
  <c r="B76" i="1"/>
  <c r="BI75" i="1"/>
  <c r="BH75" i="1"/>
  <c r="AZ75" i="1"/>
  <c r="AO75" i="1"/>
  <c r="AM75" i="1"/>
  <c r="AK75" i="1"/>
  <c r="AH75" i="1"/>
  <c r="AC75" i="1"/>
  <c r="AA75" i="1"/>
  <c r="Y75" i="1"/>
  <c r="W75" i="1"/>
  <c r="U75" i="1"/>
  <c r="S75" i="1"/>
  <c r="BA75" i="1" s="1"/>
  <c r="B75" i="1"/>
  <c r="BI74" i="1"/>
  <c r="BH74" i="1"/>
  <c r="AZ74" i="1"/>
  <c r="AO74" i="1"/>
  <c r="AM74" i="1"/>
  <c r="AK74" i="1"/>
  <c r="AH74" i="1"/>
  <c r="AC74" i="1"/>
  <c r="AA74" i="1"/>
  <c r="Y74" i="1"/>
  <c r="W74" i="1"/>
  <c r="U74" i="1"/>
  <c r="S74" i="1"/>
  <c r="BA74" i="1" s="1"/>
  <c r="B74" i="1"/>
  <c r="BI73" i="1"/>
  <c r="BH73" i="1"/>
  <c r="AZ73" i="1"/>
  <c r="AO73" i="1"/>
  <c r="AM73" i="1"/>
  <c r="AK73" i="1"/>
  <c r="AH73" i="1"/>
  <c r="AC73" i="1"/>
  <c r="AA73" i="1"/>
  <c r="Y73" i="1"/>
  <c r="W73" i="1"/>
  <c r="U73" i="1"/>
  <c r="S73" i="1"/>
  <c r="BA73" i="1" s="1"/>
  <c r="B73" i="1"/>
  <c r="BI72" i="1"/>
  <c r="BH72" i="1"/>
  <c r="AZ72" i="1"/>
  <c r="AO72" i="1"/>
  <c r="AM72" i="1"/>
  <c r="AK72" i="1"/>
  <c r="AH72" i="1"/>
  <c r="AC72" i="1"/>
  <c r="AA72" i="1"/>
  <c r="Y72" i="1"/>
  <c r="W72" i="1"/>
  <c r="U72" i="1"/>
  <c r="S72" i="1"/>
  <c r="BA72" i="1" s="1"/>
  <c r="B72" i="1"/>
  <c r="BI71" i="1"/>
  <c r="BH71" i="1"/>
  <c r="AZ71" i="1"/>
  <c r="AO71" i="1"/>
  <c r="AM71" i="1"/>
  <c r="AK71" i="1"/>
  <c r="AH71" i="1"/>
  <c r="AC71" i="1"/>
  <c r="AA71" i="1"/>
  <c r="Y71" i="1"/>
  <c r="W71" i="1"/>
  <c r="U71" i="1"/>
  <c r="S71" i="1"/>
  <c r="BA71" i="1" s="1"/>
  <c r="B71" i="1"/>
  <c r="BI70" i="1"/>
  <c r="BH70" i="1"/>
  <c r="AZ70" i="1"/>
  <c r="AO70" i="1"/>
  <c r="AM70" i="1"/>
  <c r="AK70" i="1"/>
  <c r="AH70" i="1"/>
  <c r="AC70" i="1"/>
  <c r="AA70" i="1"/>
  <c r="Y70" i="1"/>
  <c r="W70" i="1"/>
  <c r="U70" i="1"/>
  <c r="S70" i="1"/>
  <c r="BA70" i="1" s="1"/>
  <c r="B70" i="1"/>
  <c r="BI69" i="1"/>
  <c r="BH69" i="1"/>
  <c r="AZ69" i="1"/>
  <c r="AO69" i="1"/>
  <c r="AM69" i="1"/>
  <c r="AK69" i="1"/>
  <c r="AH69" i="1"/>
  <c r="AC69" i="1"/>
  <c r="AA69" i="1"/>
  <c r="Y69" i="1"/>
  <c r="W69" i="1"/>
  <c r="U69" i="1"/>
  <c r="S69" i="1"/>
  <c r="BA69" i="1" s="1"/>
  <c r="B69" i="1"/>
  <c r="BI68" i="1"/>
  <c r="BH68" i="1"/>
  <c r="AZ68" i="1"/>
  <c r="AO68" i="1"/>
  <c r="AM68" i="1"/>
  <c r="AK68" i="1"/>
  <c r="AH68" i="1"/>
  <c r="AC68" i="1"/>
  <c r="AA68" i="1"/>
  <c r="Y68" i="1"/>
  <c r="W68" i="1"/>
  <c r="U68" i="1"/>
  <c r="S68" i="1"/>
  <c r="BA68" i="1" s="1"/>
  <c r="B68" i="1"/>
  <c r="BI67" i="1"/>
  <c r="BH67" i="1"/>
  <c r="AZ67" i="1"/>
  <c r="AO67" i="1"/>
  <c r="AM67" i="1"/>
  <c r="AK67" i="1"/>
  <c r="AH67" i="1"/>
  <c r="AC67" i="1"/>
  <c r="AA67" i="1"/>
  <c r="Y67" i="1"/>
  <c r="W67" i="1"/>
  <c r="U67" i="1"/>
  <c r="S67" i="1"/>
  <c r="BA67" i="1" s="1"/>
  <c r="B67" i="1"/>
  <c r="BI66" i="1"/>
  <c r="BH66" i="1"/>
  <c r="AZ66" i="1"/>
  <c r="AO66" i="1"/>
  <c r="AM66" i="1"/>
  <c r="AK66" i="1"/>
  <c r="AH66" i="1"/>
  <c r="AC66" i="1"/>
  <c r="AA66" i="1"/>
  <c r="Y66" i="1"/>
  <c r="W66" i="1"/>
  <c r="U66" i="1"/>
  <c r="S66" i="1"/>
  <c r="BA66" i="1" s="1"/>
  <c r="B66" i="1"/>
  <c r="BI65" i="1"/>
  <c r="BH65" i="1"/>
  <c r="AZ65" i="1"/>
  <c r="AO65" i="1"/>
  <c r="AM65" i="1"/>
  <c r="AK65" i="1"/>
  <c r="AH65" i="1"/>
  <c r="AC65" i="1"/>
  <c r="AA65" i="1"/>
  <c r="Y65" i="1"/>
  <c r="W65" i="1"/>
  <c r="U65" i="1"/>
  <c r="S65" i="1"/>
  <c r="BA65" i="1" s="1"/>
  <c r="B65" i="1"/>
  <c r="BI64" i="1"/>
  <c r="BH64" i="1"/>
  <c r="AZ64" i="1"/>
  <c r="AO64" i="1"/>
  <c r="AM64" i="1"/>
  <c r="AK64" i="1"/>
  <c r="AH64" i="1"/>
  <c r="AC64" i="1"/>
  <c r="AA64" i="1"/>
  <c r="Y64" i="1"/>
  <c r="W64" i="1"/>
  <c r="U64" i="1"/>
  <c r="S64" i="1"/>
  <c r="BA64" i="1" s="1"/>
  <c r="B64" i="1"/>
  <c r="BI63" i="1"/>
  <c r="BH63" i="1"/>
  <c r="AZ63" i="1"/>
  <c r="AO63" i="1"/>
  <c r="AM63" i="1"/>
  <c r="AK63" i="1"/>
  <c r="AH63" i="1"/>
  <c r="AC63" i="1"/>
  <c r="AA63" i="1"/>
  <c r="Y63" i="1"/>
  <c r="W63" i="1"/>
  <c r="U63" i="1"/>
  <c r="S63" i="1"/>
  <c r="BA63" i="1" s="1"/>
  <c r="B63" i="1"/>
  <c r="BI62" i="1"/>
  <c r="BH62" i="1"/>
  <c r="AZ62" i="1"/>
  <c r="AO62" i="1"/>
  <c r="AM62" i="1"/>
  <c r="AK62" i="1"/>
  <c r="AH62" i="1"/>
  <c r="AC62" i="1"/>
  <c r="AA62" i="1"/>
  <c r="Y62" i="1"/>
  <c r="W62" i="1"/>
  <c r="U62" i="1"/>
  <c r="S62" i="1"/>
  <c r="BA62" i="1" s="1"/>
  <c r="B62" i="1"/>
  <c r="BI61" i="1"/>
  <c r="BH61" i="1"/>
  <c r="AZ61" i="1"/>
  <c r="AO61" i="1"/>
  <c r="AM61" i="1"/>
  <c r="AK61" i="1"/>
  <c r="AH61" i="1"/>
  <c r="AC61" i="1"/>
  <c r="AA61" i="1"/>
  <c r="Y61" i="1"/>
  <c r="W61" i="1"/>
  <c r="U61" i="1"/>
  <c r="S61" i="1"/>
  <c r="BA61" i="1" s="1"/>
  <c r="B61" i="1"/>
  <c r="BI60" i="1"/>
  <c r="BH60" i="1"/>
  <c r="AZ60" i="1"/>
  <c r="AO60" i="1"/>
  <c r="AM60" i="1"/>
  <c r="AK60" i="1"/>
  <c r="AH60" i="1"/>
  <c r="AC60" i="1"/>
  <c r="AA60" i="1"/>
  <c r="Y60" i="1"/>
  <c r="W60" i="1"/>
  <c r="U60" i="1"/>
  <c r="S60" i="1"/>
  <c r="BA60" i="1" s="1"/>
  <c r="B60" i="1"/>
  <c r="BI59" i="1"/>
  <c r="BH59" i="1"/>
  <c r="AZ59" i="1"/>
  <c r="AO59" i="1"/>
  <c r="AM59" i="1"/>
  <c r="AK59" i="1"/>
  <c r="AH59" i="1"/>
  <c r="AC59" i="1"/>
  <c r="AA59" i="1"/>
  <c r="Y59" i="1"/>
  <c r="W59" i="1"/>
  <c r="U59" i="1"/>
  <c r="S59" i="1"/>
  <c r="BA59" i="1" s="1"/>
  <c r="B59" i="1"/>
  <c r="BI58" i="1"/>
  <c r="BH58" i="1"/>
  <c r="AZ58" i="1"/>
  <c r="AO58" i="1"/>
  <c r="AM58" i="1"/>
  <c r="AK58" i="1"/>
  <c r="AH58" i="1"/>
  <c r="AC58" i="1"/>
  <c r="AA58" i="1"/>
  <c r="Y58" i="1"/>
  <c r="W58" i="1"/>
  <c r="U58" i="1"/>
  <c r="S58" i="1"/>
  <c r="BA58" i="1" s="1"/>
  <c r="B58" i="1"/>
  <c r="BI57" i="1"/>
  <c r="BH57" i="1"/>
  <c r="AZ57" i="1"/>
  <c r="AO57" i="1"/>
  <c r="AM57" i="1"/>
  <c r="AK57" i="1"/>
  <c r="AH57" i="1"/>
  <c r="AC57" i="1"/>
  <c r="AA57" i="1"/>
  <c r="Y57" i="1"/>
  <c r="W57" i="1"/>
  <c r="U57" i="1"/>
  <c r="S57" i="1"/>
  <c r="BA57" i="1" s="1"/>
  <c r="B57" i="1"/>
  <c r="BI56" i="1"/>
  <c r="BH56" i="1"/>
  <c r="AZ56" i="1"/>
  <c r="AO56" i="1"/>
  <c r="AM56" i="1"/>
  <c r="AK56" i="1"/>
  <c r="AH56" i="1"/>
  <c r="AC56" i="1"/>
  <c r="AA56" i="1"/>
  <c r="Y56" i="1"/>
  <c r="W56" i="1"/>
  <c r="U56" i="1"/>
  <c r="S56" i="1"/>
  <c r="BA56" i="1" s="1"/>
  <c r="B56" i="1"/>
  <c r="BI55" i="1"/>
  <c r="BH55" i="1"/>
  <c r="AZ55" i="1"/>
  <c r="AO55" i="1"/>
  <c r="AM55" i="1"/>
  <c r="AK55" i="1"/>
  <c r="AH55" i="1"/>
  <c r="AC55" i="1"/>
  <c r="AA55" i="1"/>
  <c r="Y55" i="1"/>
  <c r="W55" i="1"/>
  <c r="U55" i="1"/>
  <c r="S55" i="1"/>
  <c r="BA55" i="1" s="1"/>
  <c r="B55" i="1"/>
  <c r="BI54" i="1"/>
  <c r="BH54" i="1"/>
  <c r="AZ54" i="1"/>
  <c r="AO54" i="1"/>
  <c r="AM54" i="1"/>
  <c r="AK54" i="1"/>
  <c r="AH54" i="1"/>
  <c r="AC54" i="1"/>
  <c r="AA54" i="1"/>
  <c r="Y54" i="1"/>
  <c r="W54" i="1"/>
  <c r="U54" i="1"/>
  <c r="S54" i="1"/>
  <c r="BA54" i="1" s="1"/>
  <c r="B54" i="1"/>
  <c r="BI53" i="1"/>
  <c r="BH53" i="1"/>
  <c r="AZ53" i="1"/>
  <c r="AO53" i="1"/>
  <c r="AM53" i="1"/>
  <c r="AK53" i="1"/>
  <c r="AH53" i="1"/>
  <c r="AC53" i="1"/>
  <c r="AA53" i="1"/>
  <c r="Y53" i="1"/>
  <c r="W53" i="1"/>
  <c r="U53" i="1"/>
  <c r="S53" i="1"/>
  <c r="BA53" i="1" s="1"/>
  <c r="B53" i="1"/>
  <c r="BI52" i="1"/>
  <c r="BH52" i="1"/>
  <c r="AZ52" i="1"/>
  <c r="AO52" i="1"/>
  <c r="AM52" i="1"/>
  <c r="AK52" i="1"/>
  <c r="AH52" i="1"/>
  <c r="AC52" i="1"/>
  <c r="AA52" i="1"/>
  <c r="Y52" i="1"/>
  <c r="W52" i="1"/>
  <c r="U52" i="1"/>
  <c r="S52" i="1"/>
  <c r="BA52" i="1" s="1"/>
  <c r="B52" i="1"/>
  <c r="BI51" i="1"/>
  <c r="BH51" i="1"/>
  <c r="AZ51" i="1"/>
  <c r="AO51" i="1"/>
  <c r="AM51" i="1"/>
  <c r="AK51" i="1"/>
  <c r="AH51" i="1"/>
  <c r="AC51" i="1"/>
  <c r="AA51" i="1"/>
  <c r="Y51" i="1"/>
  <c r="W51" i="1"/>
  <c r="U51" i="1"/>
  <c r="S51" i="1"/>
  <c r="BA51" i="1" s="1"/>
  <c r="B51" i="1"/>
  <c r="BI50" i="1"/>
  <c r="BH50" i="1"/>
  <c r="AZ50" i="1"/>
  <c r="AO50" i="1"/>
  <c r="AM50" i="1"/>
  <c r="AK50" i="1"/>
  <c r="AH50" i="1"/>
  <c r="AC50" i="1"/>
  <c r="AA50" i="1"/>
  <c r="Y50" i="1"/>
  <c r="W50" i="1"/>
  <c r="U50" i="1"/>
  <c r="S50" i="1"/>
  <c r="BA50" i="1" s="1"/>
  <c r="B50" i="1"/>
  <c r="BI49" i="1"/>
  <c r="BH49" i="1"/>
  <c r="AZ49" i="1"/>
  <c r="AO49" i="1"/>
  <c r="AM49" i="1"/>
  <c r="AK49" i="1"/>
  <c r="AH49" i="1"/>
  <c r="AC49" i="1"/>
  <c r="AA49" i="1"/>
  <c r="Y49" i="1"/>
  <c r="W49" i="1"/>
  <c r="U49" i="1"/>
  <c r="S49" i="1"/>
  <c r="BA49" i="1" s="1"/>
  <c r="B49" i="1"/>
  <c r="BI48" i="1"/>
  <c r="BH48" i="1"/>
  <c r="AZ48" i="1"/>
  <c r="AO48" i="1"/>
  <c r="AM48" i="1"/>
  <c r="AK48" i="1"/>
  <c r="AH48" i="1"/>
  <c r="AC48" i="1"/>
  <c r="AA48" i="1"/>
  <c r="Y48" i="1"/>
  <c r="W48" i="1"/>
  <c r="U48" i="1"/>
  <c r="S48" i="1"/>
  <c r="BA48" i="1" s="1"/>
  <c r="B48" i="1"/>
  <c r="BI47" i="1"/>
  <c r="BH47" i="1"/>
  <c r="AZ47" i="1"/>
  <c r="AO47" i="1"/>
  <c r="AM47" i="1"/>
  <c r="AK47" i="1"/>
  <c r="AH47" i="1"/>
  <c r="AC47" i="1"/>
  <c r="AA47" i="1"/>
  <c r="Y47" i="1"/>
  <c r="W47" i="1"/>
  <c r="U47" i="1"/>
  <c r="S47" i="1"/>
  <c r="BA47" i="1" s="1"/>
  <c r="B47" i="1"/>
  <c r="BI46" i="1"/>
  <c r="BH46" i="1"/>
  <c r="AZ46" i="1"/>
  <c r="AO46" i="1"/>
  <c r="AM46" i="1"/>
  <c r="AK46" i="1"/>
  <c r="AH46" i="1"/>
  <c r="AC46" i="1"/>
  <c r="AA46" i="1"/>
  <c r="Y46" i="1"/>
  <c r="W46" i="1"/>
  <c r="U46" i="1"/>
  <c r="S46" i="1"/>
  <c r="BA46" i="1" s="1"/>
  <c r="B46" i="1"/>
  <c r="BI45" i="1"/>
  <c r="BH45" i="1"/>
  <c r="AZ45" i="1"/>
  <c r="AO45" i="1"/>
  <c r="AM45" i="1"/>
  <c r="AK45" i="1"/>
  <c r="AH45" i="1"/>
  <c r="AC45" i="1"/>
  <c r="AA45" i="1"/>
  <c r="Y45" i="1"/>
  <c r="W45" i="1"/>
  <c r="U45" i="1"/>
  <c r="S45" i="1"/>
  <c r="BA45" i="1" s="1"/>
  <c r="B45" i="1"/>
  <c r="BI44" i="1"/>
  <c r="BH44" i="1"/>
  <c r="AZ44" i="1"/>
  <c r="AO44" i="1"/>
  <c r="AM44" i="1"/>
  <c r="AK44" i="1"/>
  <c r="AH44" i="1"/>
  <c r="AC44" i="1"/>
  <c r="AA44" i="1"/>
  <c r="Y44" i="1"/>
  <c r="W44" i="1"/>
  <c r="U44" i="1"/>
  <c r="S44" i="1"/>
  <c r="BA44" i="1" s="1"/>
  <c r="B44" i="1"/>
  <c r="BI43" i="1"/>
  <c r="BH43" i="1"/>
  <c r="AZ43" i="1"/>
  <c r="AO43" i="1"/>
  <c r="AM43" i="1"/>
  <c r="AK43" i="1"/>
  <c r="AH43" i="1"/>
  <c r="AC43" i="1"/>
  <c r="AA43" i="1"/>
  <c r="Y43" i="1"/>
  <c r="W43" i="1"/>
  <c r="U43" i="1"/>
  <c r="S43" i="1"/>
  <c r="BA43" i="1" s="1"/>
  <c r="B43" i="1"/>
  <c r="BI42" i="1"/>
  <c r="BH42" i="1"/>
  <c r="AZ42" i="1"/>
  <c r="AO42" i="1"/>
  <c r="AM42" i="1"/>
  <c r="AK42" i="1"/>
  <c r="AH42" i="1"/>
  <c r="AC42" i="1"/>
  <c r="AA42" i="1"/>
  <c r="Y42" i="1"/>
  <c r="W42" i="1"/>
  <c r="U42" i="1"/>
  <c r="S42" i="1"/>
  <c r="BA42" i="1" s="1"/>
  <c r="B42" i="1"/>
  <c r="BI41" i="1"/>
  <c r="BH41" i="1"/>
  <c r="AZ41" i="1"/>
  <c r="AO41" i="1"/>
  <c r="AM41" i="1"/>
  <c r="AK41" i="1"/>
  <c r="AH41" i="1"/>
  <c r="AC41" i="1"/>
  <c r="AA41" i="1"/>
  <c r="Y41" i="1"/>
  <c r="W41" i="1"/>
  <c r="U41" i="1"/>
  <c r="S41" i="1"/>
  <c r="BA41" i="1" s="1"/>
  <c r="B41" i="1"/>
  <c r="BI40" i="1"/>
  <c r="BH40" i="1"/>
  <c r="AZ40" i="1"/>
  <c r="AO40" i="1"/>
  <c r="AM40" i="1"/>
  <c r="AK40" i="1"/>
  <c r="AH40" i="1"/>
  <c r="AC40" i="1"/>
  <c r="AA40" i="1"/>
  <c r="Y40" i="1"/>
  <c r="W40" i="1"/>
  <c r="U40" i="1"/>
  <c r="S40" i="1"/>
  <c r="BA40" i="1" s="1"/>
  <c r="B40" i="1"/>
  <c r="BI39" i="1"/>
  <c r="BH39" i="1"/>
  <c r="AZ39" i="1"/>
  <c r="AO39" i="1"/>
  <c r="AM39" i="1"/>
  <c r="AK39" i="1"/>
  <c r="AH39" i="1"/>
  <c r="AC39" i="1"/>
  <c r="AA39" i="1"/>
  <c r="Y39" i="1"/>
  <c r="W39" i="1"/>
  <c r="U39" i="1"/>
  <c r="S39" i="1"/>
  <c r="BA39" i="1" s="1"/>
  <c r="B39" i="1"/>
  <c r="BI38" i="1"/>
  <c r="BH38" i="1"/>
  <c r="AZ38" i="1"/>
  <c r="AO38" i="1"/>
  <c r="AM38" i="1"/>
  <c r="AK38" i="1"/>
  <c r="AH38" i="1"/>
  <c r="AC38" i="1"/>
  <c r="AA38" i="1"/>
  <c r="Y38" i="1"/>
  <c r="W38" i="1"/>
  <c r="U38" i="1"/>
  <c r="S38" i="1"/>
  <c r="BA38" i="1" s="1"/>
  <c r="B38" i="1"/>
  <c r="BI37" i="1"/>
  <c r="BH37" i="1"/>
  <c r="AZ37" i="1"/>
  <c r="AO37" i="1"/>
  <c r="AM37" i="1"/>
  <c r="AK37" i="1"/>
  <c r="AH37" i="1"/>
  <c r="AC37" i="1"/>
  <c r="AA37" i="1"/>
  <c r="Y37" i="1"/>
  <c r="W37" i="1"/>
  <c r="U37" i="1"/>
  <c r="S37" i="1"/>
  <c r="BA37" i="1" s="1"/>
  <c r="B37" i="1"/>
  <c r="BI36" i="1"/>
  <c r="BH36" i="1"/>
  <c r="AZ36" i="1"/>
  <c r="AO36" i="1"/>
  <c r="AM36" i="1"/>
  <c r="AK36" i="1"/>
  <c r="AH36" i="1"/>
  <c r="AC36" i="1"/>
  <c r="AA36" i="1"/>
  <c r="Y36" i="1"/>
  <c r="W36" i="1"/>
  <c r="U36" i="1"/>
  <c r="S36" i="1"/>
  <c r="BA36" i="1" s="1"/>
  <c r="B36" i="1"/>
  <c r="BI35" i="1"/>
  <c r="BH35" i="1"/>
  <c r="AZ35" i="1"/>
  <c r="AO35" i="1"/>
  <c r="AM35" i="1"/>
  <c r="AK35" i="1"/>
  <c r="AH35" i="1"/>
  <c r="AC35" i="1"/>
  <c r="AA35" i="1"/>
  <c r="Y35" i="1"/>
  <c r="W35" i="1"/>
  <c r="U35" i="1"/>
  <c r="S35" i="1"/>
  <c r="BA35" i="1" s="1"/>
  <c r="B35" i="1"/>
  <c r="BI34" i="1"/>
  <c r="BH34" i="1"/>
  <c r="AZ34" i="1"/>
  <c r="AO34" i="1"/>
  <c r="AM34" i="1"/>
  <c r="AK34" i="1"/>
  <c r="AH34" i="1"/>
  <c r="AC34" i="1"/>
  <c r="AA34" i="1"/>
  <c r="Y34" i="1"/>
  <c r="W34" i="1"/>
  <c r="U34" i="1"/>
  <c r="S34" i="1"/>
  <c r="BA34" i="1" s="1"/>
  <c r="B34" i="1"/>
  <c r="BI33" i="1"/>
  <c r="BH33" i="1"/>
  <c r="AZ33" i="1"/>
  <c r="AO33" i="1"/>
  <c r="AM33" i="1"/>
  <c r="AK33" i="1"/>
  <c r="AH33" i="1"/>
  <c r="AC33" i="1"/>
  <c r="AA33" i="1"/>
  <c r="Y33" i="1"/>
  <c r="W33" i="1"/>
  <c r="U33" i="1"/>
  <c r="S33" i="1"/>
  <c r="B33" i="1"/>
  <c r="BI32" i="1"/>
  <c r="BH32" i="1"/>
  <c r="AZ32" i="1"/>
  <c r="AO32" i="1"/>
  <c r="AM32" i="1"/>
  <c r="AK32" i="1"/>
  <c r="AH32" i="1"/>
  <c r="AC32" i="1"/>
  <c r="AA32" i="1"/>
  <c r="Y32" i="1"/>
  <c r="W32" i="1"/>
  <c r="U32" i="1"/>
  <c r="S32" i="1"/>
  <c r="BA32" i="1" s="1"/>
  <c r="B32" i="1"/>
  <c r="BI31" i="1"/>
  <c r="BH31" i="1"/>
  <c r="AZ31" i="1"/>
  <c r="AO31" i="1"/>
  <c r="AM31" i="1"/>
  <c r="AK31" i="1"/>
  <c r="AH31" i="1"/>
  <c r="AC31" i="1"/>
  <c r="AA31" i="1"/>
  <c r="Y31" i="1"/>
  <c r="W31" i="1"/>
  <c r="U31" i="1"/>
  <c r="S31" i="1"/>
  <c r="BA31" i="1" s="1"/>
  <c r="B31" i="1"/>
  <c r="BI30" i="1"/>
  <c r="BH30" i="1"/>
  <c r="AZ30" i="1"/>
  <c r="AO30" i="1"/>
  <c r="AM30" i="1"/>
  <c r="AK30" i="1"/>
  <c r="AH30" i="1"/>
  <c r="AC30" i="1"/>
  <c r="AA30" i="1"/>
  <c r="Y30" i="1"/>
  <c r="W30" i="1"/>
  <c r="U30" i="1"/>
  <c r="S30" i="1"/>
  <c r="BA30" i="1" s="1"/>
  <c r="B30" i="1"/>
  <c r="BI29" i="1"/>
  <c r="BH29" i="1"/>
  <c r="AZ29" i="1"/>
  <c r="AO29" i="1"/>
  <c r="AM29" i="1"/>
  <c r="AK29" i="1"/>
  <c r="AH29" i="1"/>
  <c r="AC29" i="1"/>
  <c r="AA29" i="1"/>
  <c r="Y29" i="1"/>
  <c r="W29" i="1"/>
  <c r="U29" i="1"/>
  <c r="S29" i="1"/>
  <c r="BA29" i="1" s="1"/>
  <c r="B29" i="1"/>
  <c r="BI28" i="1"/>
  <c r="BH28" i="1"/>
  <c r="AZ28" i="1"/>
  <c r="AO28" i="1"/>
  <c r="AM28" i="1"/>
  <c r="AK28" i="1"/>
  <c r="AH28" i="1"/>
  <c r="AC28" i="1"/>
  <c r="AA28" i="1"/>
  <c r="Y28" i="1"/>
  <c r="W28" i="1"/>
  <c r="U28" i="1"/>
  <c r="S28" i="1"/>
  <c r="BA28" i="1" s="1"/>
  <c r="B28" i="1"/>
  <c r="BI27" i="1"/>
  <c r="BH27" i="1"/>
  <c r="AZ27" i="1"/>
  <c r="AO27" i="1"/>
  <c r="AM27" i="1"/>
  <c r="AK27" i="1"/>
  <c r="AH27" i="1"/>
  <c r="AC27" i="1"/>
  <c r="AA27" i="1"/>
  <c r="Y27" i="1"/>
  <c r="W27" i="1"/>
  <c r="U27" i="1"/>
  <c r="S27" i="1"/>
  <c r="BA27" i="1" s="1"/>
  <c r="B27" i="1"/>
  <c r="BI26" i="1"/>
  <c r="BH26" i="1"/>
  <c r="AZ26" i="1"/>
  <c r="AO26" i="1"/>
  <c r="AM26" i="1"/>
  <c r="AK26" i="1"/>
  <c r="AH26" i="1"/>
  <c r="AC26" i="1"/>
  <c r="AA26" i="1"/>
  <c r="Y26" i="1"/>
  <c r="W26" i="1"/>
  <c r="U26" i="1"/>
  <c r="S26" i="1"/>
  <c r="BA26" i="1" s="1"/>
  <c r="B26" i="1"/>
  <c r="BI25" i="1"/>
  <c r="BH25" i="1"/>
  <c r="AZ25" i="1"/>
  <c r="AO25" i="1"/>
  <c r="AM25" i="1"/>
  <c r="AK25" i="1"/>
  <c r="AH25" i="1"/>
  <c r="AC25" i="1"/>
  <c r="AA25" i="1"/>
  <c r="Y25" i="1"/>
  <c r="W25" i="1"/>
  <c r="U25" i="1"/>
  <c r="S25" i="1"/>
  <c r="BA25" i="1" s="1"/>
  <c r="B25" i="1"/>
  <c r="BI24" i="1"/>
  <c r="BH24" i="1"/>
  <c r="AZ24" i="1"/>
  <c r="AO24" i="1"/>
  <c r="AM24" i="1"/>
  <c r="AK24" i="1"/>
  <c r="AH24" i="1"/>
  <c r="AC24" i="1"/>
  <c r="AA24" i="1"/>
  <c r="Y24" i="1"/>
  <c r="W24" i="1"/>
  <c r="U24" i="1"/>
  <c r="S24" i="1"/>
  <c r="BA24" i="1" s="1"/>
  <c r="B24" i="1"/>
  <c r="BI23" i="1"/>
  <c r="BH23" i="1"/>
  <c r="AZ23" i="1"/>
  <c r="AO23" i="1"/>
  <c r="AM23" i="1"/>
  <c r="AK23" i="1"/>
  <c r="AH23" i="1"/>
  <c r="AC23" i="1"/>
  <c r="AA23" i="1"/>
  <c r="Y23" i="1"/>
  <c r="W23" i="1"/>
  <c r="U23" i="1"/>
  <c r="S23" i="1"/>
  <c r="BA23" i="1" s="1"/>
  <c r="B23" i="1"/>
  <c r="BI22" i="1"/>
  <c r="BH22" i="1"/>
  <c r="AZ22" i="1"/>
  <c r="AO22" i="1"/>
  <c r="AM22" i="1"/>
  <c r="AK22" i="1"/>
  <c r="AH22" i="1"/>
  <c r="AC22" i="1"/>
  <c r="AA22" i="1"/>
  <c r="Y22" i="1"/>
  <c r="W22" i="1"/>
  <c r="U22" i="1"/>
  <c r="S22" i="1"/>
  <c r="BA22" i="1" s="1"/>
  <c r="B22" i="1"/>
  <c r="BI21" i="1"/>
  <c r="BH21" i="1"/>
  <c r="AZ21" i="1"/>
  <c r="AO21" i="1"/>
  <c r="AM21" i="1"/>
  <c r="AK21" i="1"/>
  <c r="AH21" i="1"/>
  <c r="AC21" i="1"/>
  <c r="AA21" i="1"/>
  <c r="Y21" i="1"/>
  <c r="W21" i="1"/>
  <c r="U21" i="1"/>
  <c r="S21" i="1"/>
  <c r="BA21" i="1" s="1"/>
  <c r="B21" i="1"/>
  <c r="BI20" i="1"/>
  <c r="BH20" i="1"/>
  <c r="AZ20" i="1"/>
  <c r="AO20" i="1"/>
  <c r="AM20" i="1"/>
  <c r="AK20" i="1"/>
  <c r="AC20" i="1"/>
  <c r="AA20" i="1"/>
  <c r="Y20" i="1"/>
  <c r="W20" i="1"/>
  <c r="U20" i="1"/>
  <c r="S20" i="1"/>
  <c r="BA20" i="1" s="1"/>
  <c r="B20" i="1"/>
  <c r="BI19" i="1"/>
  <c r="BH19" i="1"/>
  <c r="AZ19" i="1"/>
  <c r="AO19" i="1"/>
  <c r="AM19" i="1"/>
  <c r="AK19" i="1"/>
  <c r="AH19" i="1"/>
  <c r="AC19" i="1"/>
  <c r="AA19" i="1"/>
  <c r="Y19" i="1"/>
  <c r="W19" i="1"/>
  <c r="U19" i="1"/>
  <c r="S19" i="1"/>
  <c r="BA19" i="1" s="1"/>
  <c r="B19" i="1"/>
  <c r="BI18" i="1"/>
  <c r="BH18" i="1"/>
  <c r="AZ18" i="1"/>
  <c r="AO18" i="1"/>
  <c r="AM18" i="1"/>
  <c r="AK18" i="1"/>
  <c r="AH18" i="1"/>
  <c r="AC18" i="1"/>
  <c r="AA18" i="1"/>
  <c r="Y18" i="1"/>
  <c r="W18" i="1"/>
  <c r="U18" i="1"/>
  <c r="S18" i="1"/>
  <c r="BA18" i="1" s="1"/>
  <c r="B18" i="1"/>
  <c r="BI17" i="1"/>
  <c r="BH17" i="1"/>
  <c r="AZ17" i="1"/>
  <c r="AO17" i="1"/>
  <c r="AM17" i="1"/>
  <c r="AK17" i="1"/>
  <c r="AH17" i="1"/>
  <c r="AC17" i="1"/>
  <c r="AA17" i="1"/>
  <c r="Y17" i="1"/>
  <c r="W17" i="1"/>
  <c r="U17" i="1"/>
  <c r="S17" i="1"/>
  <c r="BA17" i="1" s="1"/>
  <c r="B17" i="1"/>
  <c r="BI16" i="1"/>
  <c r="BH16" i="1"/>
  <c r="AZ16" i="1"/>
  <c r="AO16" i="1"/>
  <c r="AM16" i="1"/>
  <c r="AK16" i="1"/>
  <c r="AH16" i="1"/>
  <c r="AC16" i="1"/>
  <c r="AA16" i="1"/>
  <c r="Y16" i="1"/>
  <c r="W16" i="1"/>
  <c r="U16" i="1"/>
  <c r="S16" i="1"/>
  <c r="BA16" i="1" s="1"/>
  <c r="B16" i="1"/>
  <c r="BI15" i="1"/>
  <c r="BH15" i="1"/>
  <c r="AZ15" i="1"/>
  <c r="AO15" i="1"/>
  <c r="AM15" i="1"/>
  <c r="AK15" i="1"/>
  <c r="AH15" i="1"/>
  <c r="AC15" i="1"/>
  <c r="AA15" i="1"/>
  <c r="Y15" i="1"/>
  <c r="W15" i="1"/>
  <c r="U15" i="1"/>
  <c r="S15" i="1"/>
  <c r="BA15" i="1" s="1"/>
  <c r="B15" i="1"/>
  <c r="BI14" i="1"/>
  <c r="BH14" i="1"/>
  <c r="AZ14" i="1"/>
  <c r="AO14" i="1"/>
  <c r="AM14" i="1"/>
  <c r="AK14" i="1"/>
  <c r="AC14" i="1"/>
  <c r="AA14" i="1"/>
  <c r="Y14" i="1"/>
  <c r="W14" i="1"/>
  <c r="U14" i="1"/>
  <c r="S14" i="1"/>
  <c r="BA14" i="1" s="1"/>
  <c r="B14" i="1"/>
  <c r="BI13" i="1"/>
  <c r="BH13" i="1"/>
  <c r="AZ13" i="1"/>
  <c r="AO13" i="1"/>
  <c r="AM13" i="1"/>
  <c r="AK13" i="1"/>
  <c r="AC13" i="1"/>
  <c r="AA13" i="1"/>
  <c r="Y13" i="1"/>
  <c r="W13" i="1"/>
  <c r="U13" i="1"/>
  <c r="S13" i="1"/>
  <c r="BA13" i="1" s="1"/>
  <c r="B13" i="1"/>
  <c r="BI12" i="1"/>
  <c r="BH12" i="1"/>
  <c r="AZ12" i="1"/>
  <c r="AO12" i="1"/>
  <c r="AM12" i="1"/>
  <c r="AK12" i="1"/>
  <c r="AH12" i="1"/>
  <c r="AC12" i="1"/>
  <c r="AA12" i="1"/>
  <c r="Y12" i="1"/>
  <c r="W12" i="1"/>
  <c r="U12" i="1"/>
  <c r="S12" i="1"/>
  <c r="BA12" i="1" s="1"/>
  <c r="B12" i="1"/>
  <c r="BI11" i="1"/>
  <c r="BH11" i="1"/>
  <c r="AZ11" i="1"/>
  <c r="AO11" i="1"/>
  <c r="AM11" i="1"/>
  <c r="AK11" i="1"/>
  <c r="AH11" i="1"/>
  <c r="AC11" i="1"/>
  <c r="AA11" i="1"/>
  <c r="Y11" i="1"/>
  <c r="W11" i="1"/>
  <c r="U11" i="1"/>
  <c r="S11" i="1"/>
  <c r="BA11" i="1" s="1"/>
  <c r="B11" i="1"/>
  <c r="BI10" i="1"/>
  <c r="BH10" i="1"/>
  <c r="AZ10" i="1"/>
  <c r="AO10" i="1"/>
  <c r="AM10" i="1"/>
  <c r="AK10" i="1"/>
  <c r="AH10" i="1"/>
  <c r="AC10" i="1"/>
  <c r="AA10" i="1"/>
  <c r="Y10" i="1"/>
  <c r="W10" i="1"/>
  <c r="U10" i="1"/>
  <c r="S10" i="1"/>
  <c r="BA10" i="1" s="1"/>
  <c r="B10" i="1"/>
  <c r="BI9" i="1"/>
  <c r="BH9" i="1"/>
  <c r="AZ9" i="1"/>
  <c r="AO9" i="1"/>
  <c r="AM9" i="1"/>
  <c r="AK9" i="1"/>
  <c r="AH9" i="1"/>
  <c r="AC9" i="1"/>
  <c r="AA9" i="1"/>
  <c r="Y9" i="1"/>
  <c r="W9" i="1"/>
  <c r="U9" i="1"/>
  <c r="S9" i="1"/>
  <c r="BA9" i="1" s="1"/>
  <c r="B9" i="1"/>
  <c r="BI8" i="1"/>
  <c r="BH8" i="1"/>
  <c r="AZ8" i="1"/>
  <c r="AO8" i="1"/>
  <c r="AM8" i="1"/>
  <c r="AK8" i="1"/>
  <c r="AH8" i="1"/>
  <c r="AC8" i="1"/>
  <c r="AA8" i="1"/>
  <c r="Y8" i="1"/>
  <c r="W8" i="1"/>
  <c r="U8" i="1"/>
  <c r="S8" i="1"/>
  <c r="BA8" i="1" s="1"/>
  <c r="B8" i="1"/>
  <c r="BI7" i="1"/>
  <c r="BH7" i="1"/>
  <c r="AZ7" i="1"/>
  <c r="AO7" i="1"/>
  <c r="AM7" i="1"/>
  <c r="AK7" i="1"/>
  <c r="AH7" i="1"/>
  <c r="AC7" i="1"/>
  <c r="AA7" i="1"/>
  <c r="Y7" i="1"/>
  <c r="W7" i="1"/>
  <c r="U7" i="1"/>
  <c r="S7" i="1"/>
  <c r="BA7" i="1" s="1"/>
  <c r="B7" i="1"/>
  <c r="BI6" i="1"/>
  <c r="BH6" i="1"/>
  <c r="AZ6" i="1"/>
  <c r="AO6" i="1"/>
  <c r="AM6" i="1"/>
  <c r="AK6" i="1"/>
  <c r="AH6" i="1"/>
  <c r="AC6" i="1"/>
  <c r="AA6" i="1"/>
  <c r="Y6" i="1"/>
  <c r="W6" i="1"/>
  <c r="U6" i="1"/>
  <c r="S6" i="1"/>
  <c r="BA6" i="1" s="1"/>
  <c r="B6" i="1"/>
  <c r="BI5" i="1"/>
  <c r="BH5" i="1"/>
  <c r="AZ5" i="1"/>
  <c r="AO5" i="1"/>
  <c r="AM5" i="1"/>
  <c r="AK5" i="1"/>
  <c r="AH5" i="1"/>
  <c r="AC5" i="1"/>
  <c r="AA5" i="1"/>
  <c r="Y5" i="1"/>
  <c r="W5" i="1"/>
  <c r="U5" i="1"/>
  <c r="S5" i="1"/>
  <c r="B5" i="1"/>
  <c r="BI4" i="1"/>
  <c r="BH4" i="1"/>
  <c r="AZ4" i="1"/>
  <c r="AO4" i="1"/>
  <c r="AM4" i="1"/>
  <c r="AK4" i="1"/>
  <c r="AH4" i="1"/>
  <c r="AC4" i="1"/>
  <c r="AA4" i="1"/>
  <c r="Y4" i="1"/>
  <c r="W4" i="1"/>
  <c r="U4" i="1"/>
  <c r="S4" i="1"/>
  <c r="B4" i="1"/>
  <c r="BI3" i="1"/>
  <c r="BH3" i="1"/>
  <c r="AZ3" i="1"/>
  <c r="AO3" i="1"/>
  <c r="AM3" i="1"/>
  <c r="AK3" i="1"/>
  <c r="AH3" i="1"/>
  <c r="AC3" i="1"/>
  <c r="AA3" i="1"/>
  <c r="Y3" i="1"/>
  <c r="W3" i="1"/>
  <c r="U3" i="1"/>
  <c r="S3" i="1"/>
  <c r="BA3" i="1" s="1"/>
  <c r="B3" i="1"/>
  <c r="BI2" i="1"/>
  <c r="BH2" i="1"/>
  <c r="AZ2" i="1"/>
  <c r="AO2" i="1"/>
  <c r="AM2" i="1"/>
  <c r="AK2" i="1"/>
  <c r="AC2" i="1"/>
  <c r="AA2" i="1"/>
  <c r="Y2" i="1"/>
  <c r="W2" i="1"/>
  <c r="U2" i="1"/>
  <c r="S2" i="1"/>
  <c r="BA2" i="1" s="1"/>
  <c r="B2" i="1"/>
  <c r="BA15" i="5" l="1"/>
  <c r="BA20" i="5"/>
  <c r="BA27" i="5"/>
  <c r="Q27" i="5" s="1"/>
  <c r="BA35" i="5"/>
  <c r="BA43" i="5"/>
  <c r="BA47" i="5"/>
  <c r="Q47" i="5" s="1"/>
  <c r="BA50" i="5"/>
  <c r="BA51" i="5"/>
  <c r="BA60" i="5"/>
  <c r="BA3" i="5"/>
  <c r="Q3" i="5" s="1"/>
  <c r="BA12" i="5"/>
  <c r="BC12" i="5" s="1"/>
  <c r="BA13" i="5"/>
  <c r="BA26" i="5"/>
  <c r="BA32" i="5"/>
  <c r="BC32" i="5" s="1"/>
  <c r="BA33" i="5"/>
  <c r="Q33" i="5" s="1"/>
  <c r="BA46" i="5"/>
  <c r="BA6" i="5"/>
  <c r="BC6" i="5" s="1"/>
  <c r="BA16" i="5"/>
  <c r="BC16" i="5" s="1"/>
  <c r="BA17" i="5"/>
  <c r="BA36" i="5"/>
  <c r="BA37" i="5"/>
  <c r="BA39" i="5"/>
  <c r="BC39" i="5" s="1"/>
  <c r="BA52" i="5"/>
  <c r="Q52" i="5" s="1"/>
  <c r="BA53" i="5"/>
  <c r="BA55" i="5"/>
  <c r="BA10" i="5"/>
  <c r="Q10" i="5" s="1"/>
  <c r="BA30" i="5"/>
  <c r="BA40" i="5"/>
  <c r="BA41" i="5"/>
  <c r="BA56" i="5"/>
  <c r="BC56" i="5" s="1"/>
  <c r="BA57" i="5"/>
  <c r="Q57" i="5" s="1"/>
  <c r="BA59" i="5"/>
  <c r="BA18" i="5"/>
  <c r="BA44" i="5"/>
  <c r="BC44" i="5" s="1"/>
  <c r="BA24" i="5"/>
  <c r="BA25" i="5"/>
  <c r="BA38" i="5"/>
  <c r="BA54" i="5"/>
  <c r="Q54" i="5" s="1"/>
  <c r="BA2" i="5"/>
  <c r="BC2" i="5" s="1"/>
  <c r="BA4" i="5"/>
  <c r="Q4" i="5" s="1"/>
  <c r="BA5" i="5"/>
  <c r="Q5" i="5" s="1"/>
  <c r="BA7" i="5"/>
  <c r="Q7" i="5" s="1"/>
  <c r="BA22" i="5"/>
  <c r="BA42" i="5"/>
  <c r="BA58" i="5"/>
  <c r="BA8" i="5"/>
  <c r="BC8" i="5" s="1"/>
  <c r="BA9" i="5"/>
  <c r="Q9" i="5" s="1"/>
  <c r="BA11" i="5"/>
  <c r="BC11" i="5" s="1"/>
  <c r="BA28" i="5"/>
  <c r="BA29" i="5"/>
  <c r="BC29" i="5" s="1"/>
  <c r="BA31" i="5"/>
  <c r="BA48" i="5"/>
  <c r="BA49" i="5"/>
  <c r="Q15" i="5"/>
  <c r="BC15" i="5"/>
  <c r="Q32" i="5"/>
  <c r="BC46" i="5"/>
  <c r="Q46" i="5"/>
  <c r="Q16" i="5"/>
  <c r="Q17" i="5"/>
  <c r="BC17" i="5"/>
  <c r="Q36" i="5"/>
  <c r="BC36" i="5"/>
  <c r="Q37" i="5"/>
  <c r="BC37" i="5"/>
  <c r="Q39" i="5"/>
  <c r="Q53" i="5"/>
  <c r="BC53" i="5"/>
  <c r="Q55" i="5"/>
  <c r="BC55" i="5"/>
  <c r="Q13" i="5"/>
  <c r="BC13" i="5"/>
  <c r="BC26" i="5"/>
  <c r="Q26" i="5"/>
  <c r="Q35" i="5"/>
  <c r="BC35" i="5"/>
  <c r="Q51" i="5"/>
  <c r="BC51" i="5"/>
  <c r="BC10" i="5"/>
  <c r="BC30" i="5"/>
  <c r="Q30" i="5"/>
  <c r="Q40" i="5"/>
  <c r="BC40" i="5"/>
  <c r="Q41" i="5"/>
  <c r="BC41" i="5"/>
  <c r="Q56" i="5"/>
  <c r="Q59" i="5"/>
  <c r="BC59" i="5"/>
  <c r="BC18" i="5"/>
  <c r="Q18" i="5"/>
  <c r="Q44" i="5"/>
  <c r="Q45" i="5"/>
  <c r="BC45" i="5"/>
  <c r="BC14" i="5"/>
  <c r="Q14" i="5"/>
  <c r="Q21" i="5"/>
  <c r="BC21" i="5"/>
  <c r="BC34" i="5"/>
  <c r="Q34" i="5"/>
  <c r="Q24" i="5"/>
  <c r="BC24" i="5"/>
  <c r="Q25" i="5"/>
  <c r="BC25" i="5"/>
  <c r="BC38" i="5"/>
  <c r="Q38" i="5"/>
  <c r="BC54" i="5"/>
  <c r="Q20" i="5"/>
  <c r="BC20" i="5"/>
  <c r="Q43" i="5"/>
  <c r="BC43" i="5"/>
  <c r="BC22" i="5"/>
  <c r="Q22" i="5"/>
  <c r="BC42" i="5"/>
  <c r="Q42" i="5"/>
  <c r="BC58" i="5"/>
  <c r="Q58" i="5"/>
  <c r="BC50" i="5"/>
  <c r="Q50" i="5"/>
  <c r="Q60" i="5"/>
  <c r="BC60" i="5"/>
  <c r="Q8" i="5"/>
  <c r="Q28" i="5"/>
  <c r="BC28" i="5"/>
  <c r="Q29" i="5"/>
  <c r="Q31" i="5"/>
  <c r="BC31" i="5"/>
  <c r="Q48" i="5"/>
  <c r="BC48" i="5"/>
  <c r="Q49" i="5"/>
  <c r="BC49" i="5"/>
  <c r="BC19" i="5"/>
  <c r="BC23" i="5"/>
  <c r="BC27" i="5"/>
  <c r="BC47" i="5"/>
  <c r="BA33" i="1"/>
  <c r="BA5" i="1"/>
  <c r="BA4" i="1"/>
  <c r="BC91" i="1"/>
  <c r="Q91" i="1"/>
  <c r="BC90" i="1"/>
  <c r="Q90" i="1"/>
  <c r="BC89" i="1"/>
  <c r="Q89" i="1"/>
  <c r="BC88" i="1"/>
  <c r="Q88" i="1"/>
  <c r="BC87" i="1"/>
  <c r="Q87" i="1"/>
  <c r="BC86" i="1"/>
  <c r="Q86" i="1"/>
  <c r="BC85" i="1"/>
  <c r="Q85" i="1"/>
  <c r="BC84" i="1"/>
  <c r="Q84" i="1"/>
  <c r="BC83" i="1"/>
  <c r="Q83" i="1"/>
  <c r="BC82" i="1"/>
  <c r="Q82" i="1"/>
  <c r="BC81" i="1"/>
  <c r="Q81" i="1"/>
  <c r="BC80" i="1"/>
  <c r="Q80" i="1"/>
  <c r="BC79" i="1"/>
  <c r="Q79" i="1"/>
  <c r="BC78" i="1"/>
  <c r="Q78" i="1"/>
  <c r="BC77" i="1"/>
  <c r="Q77" i="1"/>
  <c r="BC76" i="1"/>
  <c r="Q76" i="1"/>
  <c r="BC75" i="1"/>
  <c r="Q75" i="1"/>
  <c r="BC74" i="1"/>
  <c r="Q74" i="1"/>
  <c r="BC73" i="1"/>
  <c r="Q73" i="1"/>
  <c r="BC72" i="1"/>
  <c r="Q72" i="1"/>
  <c r="BC71" i="1"/>
  <c r="Q71" i="1"/>
  <c r="BC70" i="1"/>
  <c r="Q70" i="1"/>
  <c r="BC69" i="1"/>
  <c r="Q69" i="1"/>
  <c r="BC68" i="1"/>
  <c r="Q68" i="1"/>
  <c r="BC67" i="1"/>
  <c r="Q67" i="1"/>
  <c r="BC66" i="1"/>
  <c r="Q66" i="1"/>
  <c r="BC65" i="1"/>
  <c r="Q65" i="1"/>
  <c r="BC64" i="1"/>
  <c r="Q64" i="1"/>
  <c r="BC63" i="1"/>
  <c r="Q63" i="1"/>
  <c r="BC62" i="1"/>
  <c r="Q62" i="1"/>
  <c r="BC61" i="1"/>
  <c r="Q61" i="1"/>
  <c r="BC60" i="1"/>
  <c r="Q60" i="1"/>
  <c r="BC59" i="1"/>
  <c r="Q59" i="1"/>
  <c r="BC58" i="1"/>
  <c r="Q58" i="1"/>
  <c r="BC57" i="1"/>
  <c r="Q57" i="1"/>
  <c r="BC56" i="1"/>
  <c r="Q56" i="1"/>
  <c r="BC55" i="1"/>
  <c r="Q55" i="1"/>
  <c r="BC54" i="1"/>
  <c r="Q54" i="1"/>
  <c r="BC53" i="1"/>
  <c r="Q53" i="1"/>
  <c r="BC52" i="1"/>
  <c r="Q52" i="1"/>
  <c r="BC51" i="1"/>
  <c r="Q51" i="1"/>
  <c r="BC50" i="1"/>
  <c r="Q50" i="1"/>
  <c r="BC49" i="1"/>
  <c r="Q49" i="1"/>
  <c r="BC48" i="1"/>
  <c r="Q48" i="1"/>
  <c r="BC47" i="1"/>
  <c r="Q47" i="1"/>
  <c r="BC46" i="1"/>
  <c r="Q46" i="1"/>
  <c r="BC45" i="1"/>
  <c r="Q45" i="1"/>
  <c r="BC44" i="1"/>
  <c r="Q44" i="1"/>
  <c r="BC43" i="1"/>
  <c r="Q43" i="1"/>
  <c r="BC42" i="1"/>
  <c r="Q42" i="1"/>
  <c r="BC41" i="1"/>
  <c r="Q41" i="1"/>
  <c r="BC40" i="1"/>
  <c r="Q40" i="1"/>
  <c r="BC39" i="1"/>
  <c r="Q39" i="1"/>
  <c r="BC38" i="1"/>
  <c r="Q38" i="1"/>
  <c r="BC37" i="1"/>
  <c r="Q37" i="1"/>
  <c r="BC36" i="1"/>
  <c r="Q36" i="1"/>
  <c r="BC35" i="1"/>
  <c r="Q35" i="1"/>
  <c r="BC34" i="1"/>
  <c r="Q34" i="1"/>
  <c r="BC33" i="1"/>
  <c r="Q33" i="1"/>
  <c r="BC32" i="1"/>
  <c r="Q32" i="1"/>
  <c r="BC31" i="1"/>
  <c r="Q31" i="1"/>
  <c r="BC30" i="1"/>
  <c r="Q30" i="1"/>
  <c r="BC29" i="1"/>
  <c r="Q29" i="1"/>
  <c r="BC28" i="1"/>
  <c r="Q28" i="1"/>
  <c r="BC27" i="1"/>
  <c r="Q27" i="1"/>
  <c r="BC26" i="1"/>
  <c r="Q26" i="1"/>
  <c r="BC25" i="1"/>
  <c r="Q25" i="1"/>
  <c r="BC24" i="1"/>
  <c r="Q24" i="1"/>
  <c r="BC23" i="1"/>
  <c r="Q23" i="1"/>
  <c r="BC22" i="1"/>
  <c r="Q22" i="1"/>
  <c r="BC21" i="1"/>
  <c r="Q21" i="1"/>
  <c r="BC20" i="1"/>
  <c r="Q20" i="1"/>
  <c r="BC19" i="1"/>
  <c r="Q19" i="1"/>
  <c r="BC18" i="1"/>
  <c r="Q18" i="1"/>
  <c r="BC17" i="1"/>
  <c r="Q17" i="1"/>
  <c r="BC16" i="1"/>
  <c r="Q16" i="1"/>
  <c r="BC15" i="1"/>
  <c r="Q15" i="1"/>
  <c r="BC14" i="1"/>
  <c r="Q14" i="1"/>
  <c r="BC13" i="1"/>
  <c r="Q13" i="1"/>
  <c r="BC12" i="1"/>
  <c r="Q12" i="1"/>
  <c r="BC11" i="1"/>
  <c r="Q11" i="1"/>
  <c r="BC10" i="1"/>
  <c r="Q10" i="1"/>
  <c r="BC9" i="1"/>
  <c r="Q9" i="1"/>
  <c r="BC8" i="1"/>
  <c r="Q8" i="1"/>
  <c r="BC7" i="1"/>
  <c r="Q7" i="1"/>
  <c r="BC6" i="1"/>
  <c r="Q6" i="1"/>
  <c r="BC5" i="1"/>
  <c r="Q5" i="1"/>
  <c r="BC4" i="1"/>
  <c r="Q4" i="1"/>
  <c r="BC3" i="1"/>
  <c r="Q3" i="1"/>
  <c r="BC2" i="1"/>
  <c r="Q2" i="1"/>
  <c r="Q12" i="5" l="1"/>
  <c r="Q11" i="5"/>
  <c r="BC7" i="5"/>
  <c r="Q6" i="5"/>
  <c r="BC5" i="5"/>
  <c r="BC4" i="5"/>
  <c r="BC3" i="5"/>
  <c r="Q2" i="5"/>
  <c r="BC9" i="5"/>
  <c r="BC57" i="5"/>
  <c r="BC52" i="5"/>
  <c r="BC3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F4A121-742F-4DBB-AF0B-E6467C49251E}" keepAlive="1" name="Consulta - Anexar1" description="Conexión a la consulta 'Anexar1' en el libro." type="5" refreshedVersion="8" background="1" saveData="1">
    <dbPr connection="Provider=Microsoft.Mashup.OleDb.1;Data Source=$Workbook$;Location=Anexar1;Extended Properties=&quot;&quot;" command="SELECT * FROM [Anexar1]"/>
  </connection>
  <connection id="2" xr16:uid="{122CAE38-A40D-4F0C-905D-C1A6A85230F2}" keepAlive="1" name="Consulta - BD_Cod" description="Conexión a la consulta 'BD_Cod' en el libro." type="5" refreshedVersion="8" background="1" saveData="1">
    <dbPr connection="Provider=Microsoft.Mashup.OleDb.1;Data Source=$Workbook$;Location=BD_Cod;Extended Properties=&quot;&quot;" command="SELECT * FROM [BD_Cod]"/>
  </connection>
  <connection id="3" xr16:uid="{D9336F5D-B5EE-49ED-A97A-1D5FB1EFB2BD}" keepAlive="1" name="Consulta - BD_MR_FF" description="Conexión a la consulta 'BD_MR_FF' en el libro." type="5" refreshedVersion="0" background="1" saveData="1">
    <dbPr connection="Provider=Microsoft.Mashup.OleDb.1;Data Source=$Workbook$;Location=BD_MR_FF;Extended Properties=&quot;&quot;" command="SELECT * FROM [BD_MR_FF]"/>
  </connection>
  <connection id="4" xr16:uid="{AF9EDD77-89C6-4DD0-AD68-CAC36D7EF9D6}" keepAlive="1" name="Consulta - BD_MR_RF" description="Conexión a la consulta 'BD_MR_RF' en el libro." type="5" refreshedVersion="0" background="1" saveData="1">
    <dbPr connection="Provider=Microsoft.Mashup.OleDb.1;Data Source=$Workbook$;Location=BD_MR_RF;Extended Properties=&quot;&quot;" command="SELECT * FROM [BD_MR_RF]"/>
  </connection>
</connections>
</file>

<file path=xl/sharedStrings.xml><?xml version="1.0" encoding="utf-8"?>
<sst xmlns="http://schemas.openxmlformats.org/spreadsheetml/2006/main" count="8699" uniqueCount="936">
  <si>
    <t>SKU</t>
  </si>
  <si>
    <t>Descripción</t>
  </si>
  <si>
    <t>Especie</t>
  </si>
  <si>
    <t>Variedad</t>
  </si>
  <si>
    <t>Manejo</t>
  </si>
  <si>
    <t>Calibre</t>
  </si>
  <si>
    <t>Calidad</t>
  </si>
  <si>
    <t>Familia Calidad</t>
  </si>
  <si>
    <t>Formato</t>
  </si>
  <si>
    <t>Envase</t>
  </si>
  <si>
    <t>PSP/PTT</t>
  </si>
  <si>
    <t>Agrupa</t>
  </si>
  <si>
    <t>PRODUCTO</t>
  </si>
  <si>
    <t>Precio Odoo</t>
  </si>
  <si>
    <t>AR HB Conv. &gt;12 mm IQF A 13,61 kg en Caja</t>
  </si>
  <si>
    <t>Arándano</t>
  </si>
  <si>
    <t>HB</t>
  </si>
  <si>
    <t>Conv.</t>
  </si>
  <si>
    <t>&gt;12 mm</t>
  </si>
  <si>
    <t>IQF A</t>
  </si>
  <si>
    <t>PTT</t>
  </si>
  <si>
    <t>13,61 kg</t>
  </si>
  <si>
    <t>Caja</t>
  </si>
  <si>
    <t>Arándano HB Conv. PPT</t>
  </si>
  <si>
    <t>AR HB Conv.</t>
  </si>
  <si>
    <t>AR HB Conv. &gt;12 mm IQF B 13,61 kg en Caja</t>
  </si>
  <si>
    <t>&gt;11 mm</t>
  </si>
  <si>
    <t>IQF B</t>
  </si>
  <si>
    <t>AR RY Conv. &gt;12 mm IQF A 13,61 kg en Caja</t>
  </si>
  <si>
    <t>RY</t>
  </si>
  <si>
    <t>Arándano RY Conv. PPT</t>
  </si>
  <si>
    <t>AR RY Conv.</t>
  </si>
  <si>
    <t>AR RY Conv. &gt;12 mm IQF B 13,61 kg en Caja</t>
  </si>
  <si>
    <t>AR HB Org. &gt;12 mm IQF A 13,61 kg en Caja</t>
  </si>
  <si>
    <t>Org.</t>
  </si>
  <si>
    <t>Arándano HB Org. PPT</t>
  </si>
  <si>
    <t>AR HB Org.</t>
  </si>
  <si>
    <t>AR HB Org. &gt;12 mm IQF B 13,61 kg en Caja</t>
  </si>
  <si>
    <t>AR RY Org. &gt;12 mm IQF A 13,61 kg en Caja</t>
  </si>
  <si>
    <t>Arándano RY Org. PPT</t>
  </si>
  <si>
    <t>AR RY Org.</t>
  </si>
  <si>
    <t>AR RY Org. &gt;11 mm IQF B 13,61 kg en Caja</t>
  </si>
  <si>
    <t>FB MK Conv. &gt;12 mm IQF A 4x2,5 kg en Caja</t>
  </si>
  <si>
    <t>Frambuesa</t>
  </si>
  <si>
    <t>MK</t>
  </si>
  <si>
    <t>4x2,5 kg</t>
  </si>
  <si>
    <t>Frambuesa MK Conv. PPT</t>
  </si>
  <si>
    <t>FB MK Conv.</t>
  </si>
  <si>
    <t>FB WF Conv. &gt;12 mm IQF A 4x2,5 kg en Caja</t>
  </si>
  <si>
    <t>WF</t>
  </si>
  <si>
    <t>FB WF Conv.</t>
  </si>
  <si>
    <t>FB MK Org. &gt;12 mm IQF A 4x2,5 kg en Caja</t>
  </si>
  <si>
    <t>FB MK Org.</t>
  </si>
  <si>
    <t>FB WF Org. &gt;12 mm IQF A 4x2,5 kg en Caja</t>
  </si>
  <si>
    <t>Frambuesa WF Org. PPT</t>
  </si>
  <si>
    <t>FB WF Org.</t>
  </si>
  <si>
    <t>FB MK Conv. &gt;12 mm IQF A 1x10 kg en Caja</t>
  </si>
  <si>
    <t>1x10 kg</t>
  </si>
  <si>
    <t>FB WF Conv. &gt;12 mm IQF A 1x10 kg en Caja</t>
  </si>
  <si>
    <t>FB MK Conv. &gt;12 mm IQF B 1x10 kg en Caja</t>
  </si>
  <si>
    <t>FB MK Conv. &lt;12 mm IQF A 1x10 kg en Caja</t>
  </si>
  <si>
    <t>&lt;12 mm</t>
  </si>
  <si>
    <t>FB MK Conv. &lt;12 mm IQF B 1x10 kg en Caja</t>
  </si>
  <si>
    <t>MORA S/V Conv. S/C IQF A 1x10 kg en Caja</t>
  </si>
  <si>
    <t>Mora</t>
  </si>
  <si>
    <t>S/V</t>
  </si>
  <si>
    <t>S/C</t>
  </si>
  <si>
    <t>Mora SV Conv. PPT</t>
  </si>
  <si>
    <t>MORA S/V Conv.</t>
  </si>
  <si>
    <t>MORA S/V Conv. S/C IQF B 1x10 kg en Caja</t>
  </si>
  <si>
    <t>AR HB Conv. &gt;11 mm IQF STANDARD 13,61 kg en Caja</t>
  </si>
  <si>
    <t>IQF STANDARD</t>
  </si>
  <si>
    <t>AR HB Conv. 11 a 15mm IQF A 13,61 kg en Caja</t>
  </si>
  <si>
    <t>11 a 15mm</t>
  </si>
  <si>
    <t>AR HB Org. 11 a 15mm IQF A 13,61 kg en Caja</t>
  </si>
  <si>
    <t>AR HB Org. &gt;11 mm IQF STANDARD 13,61 kg en Caja</t>
  </si>
  <si>
    <t>AR RY Conv. &gt;11 mm IQF STANDARD 13,61 kg en Caja</t>
  </si>
  <si>
    <t>FB S/V Conv. S/C Crumble Limpio 13,61 kg en Caja</t>
  </si>
  <si>
    <t>Crumble Limpio</t>
  </si>
  <si>
    <t>AR HB Conv. 10-15 mm IQF A 13,61 kg en Caja</t>
  </si>
  <si>
    <t>10-15 mm</t>
  </si>
  <si>
    <t>AR HB Conv. &lt;10 mm IQF A 13,61 kg en Caja</t>
  </si>
  <si>
    <t>&lt;10 mm</t>
  </si>
  <si>
    <t>AR HB Conv. &gt;15 mm IQF A 13,61 kg en Caja</t>
  </si>
  <si>
    <t>&gt;15 mm</t>
  </si>
  <si>
    <t>AR HB Org. &lt;10 mm IQF A 13,61 kg en Caja</t>
  </si>
  <si>
    <t>AR HB Org. &gt;15 mm IQF A 13,61 kg en Caja</t>
  </si>
  <si>
    <t>FB WF Org. &gt;12 mm IQF A 1x10 kg en Caja</t>
  </si>
  <si>
    <t>FB HE Org. &gt;12 mm IQF A 4x2,5 kg en Caja</t>
  </si>
  <si>
    <t>HE</t>
  </si>
  <si>
    <t>Frambuesa HE Org. PPT</t>
  </si>
  <si>
    <t>FB HE Org.</t>
  </si>
  <si>
    <t>Creative Gourmet Blueberries 8x300 g</t>
  </si>
  <si>
    <t>Creative Gourmet</t>
  </si>
  <si>
    <t>Blueberries</t>
  </si>
  <si>
    <t>Retail</t>
  </si>
  <si>
    <t>8x300 g</t>
  </si>
  <si>
    <t>Retail AR Conv.</t>
  </si>
  <si>
    <t>Entyce Blueberries Cultivated 1x10 kg</t>
  </si>
  <si>
    <t>Entyce Blueberries Cultivated</t>
  </si>
  <si>
    <t>Creative Gourmet Blueberries 10x900 g</t>
  </si>
  <si>
    <t>10x900g</t>
  </si>
  <si>
    <t>FB WH Conv. &gt;12 mm IQF A 1x10 Kg en Caja</t>
  </si>
  <si>
    <t>WH</t>
  </si>
  <si>
    <t>1x10 Kg</t>
  </si>
  <si>
    <t>Frambuesa WH Conv. PPT</t>
  </si>
  <si>
    <t>FB WH Conv.</t>
  </si>
  <si>
    <t>FB WH Org. &gt;12 mm IQF A 1x10 Kg en Caja</t>
  </si>
  <si>
    <t>Frambuesa WH Org. PPT</t>
  </si>
  <si>
    <t>FB WH Org.</t>
  </si>
  <si>
    <t>MORA S/V Org. S/C IQF A 1x10 kg en Caja</t>
  </si>
  <si>
    <t>Mora SV Org. PSP</t>
  </si>
  <si>
    <t xml:space="preserve">Blueberry Retail 1Kg </t>
  </si>
  <si>
    <t>Blueberries Retail</t>
  </si>
  <si>
    <t>10x1 Kg</t>
  </si>
  <si>
    <t>Triple Berry Mix Retail</t>
  </si>
  <si>
    <t>Triple Berry Mix</t>
  </si>
  <si>
    <t>Berries</t>
  </si>
  <si>
    <t>15x0,5kg</t>
  </si>
  <si>
    <t>Mix Conv. PPT</t>
  </si>
  <si>
    <t>Triple Berry Mix.</t>
  </si>
  <si>
    <t>Triple Berries Block</t>
  </si>
  <si>
    <t>Block</t>
  </si>
  <si>
    <t>Mix Conv. PSP</t>
  </si>
  <si>
    <t>Triple Berry Mix Retail por Borrar</t>
  </si>
  <si>
    <t>Por Borrar</t>
  </si>
  <si>
    <t>AR HB Conv. 12-16 mm IQF A 13,61 kg en Caja</t>
  </si>
  <si>
    <t>12-16 mm</t>
  </si>
  <si>
    <t>FRUTILLA S/V Conv. S/C IQF A 13,61 kg en Caja</t>
  </si>
  <si>
    <t>Frutilla</t>
  </si>
  <si>
    <t>FT SV Conv. PPT</t>
  </si>
  <si>
    <t>Frutilla Conv.</t>
  </si>
  <si>
    <t>MORA S/V Conv. S/C IQF A 13,61 kg en Caja</t>
  </si>
  <si>
    <t>PPT</t>
  </si>
  <si>
    <t xml:space="preserve">13,61 kg </t>
  </si>
  <si>
    <t>AR HB Conv. &lt;13 mm IQF A 13,61 kg en Caja</t>
  </si>
  <si>
    <t>&lt;13 mm</t>
  </si>
  <si>
    <t>Arándano HB Conv. PSP</t>
  </si>
  <si>
    <t>AR HB Org. &lt;12 mm PSP 13,61 kg en Caja</t>
  </si>
  <si>
    <t>PSP</t>
  </si>
  <si>
    <t>AR HB Conv. &lt;12 mm PSP 13,61 kg en Caja</t>
  </si>
  <si>
    <t>AR HB Org. &gt;11 mm PSP 13,61 kg en Caja</t>
  </si>
  <si>
    <t>Arándano HB Org. PSP</t>
  </si>
  <si>
    <t>AR HB Conv. &gt;12 mm IQF A+ 13,61 kg en Caja</t>
  </si>
  <si>
    <t>IQF A+</t>
  </si>
  <si>
    <t>AR RY Conv. &gt;15 mm IQF A 13,61 kg en Caja</t>
  </si>
  <si>
    <t>AR RY Org. &gt;15 mm IQF A 13,61 kg en Caja</t>
  </si>
  <si>
    <t>AR RY Conv. 10-15 mm IQF A 13,61 kg en Caja</t>
  </si>
  <si>
    <t>Tropical Maria Special Selection 25x400g</t>
  </si>
  <si>
    <t>Tropical MArándanoia</t>
  </si>
  <si>
    <t>DUKE</t>
  </si>
  <si>
    <t>&gt;14 mm</t>
  </si>
  <si>
    <t>25X400G</t>
  </si>
  <si>
    <t>AR HB Conv. &gt;14 mm IQF A 13,61 kg en Caja</t>
  </si>
  <si>
    <t>AR HB Conv. 10-13 mm IQF A 13,61 kg en Caja</t>
  </si>
  <si>
    <t>10-13 mm</t>
  </si>
  <si>
    <t>AR RY Conv. &gt;14 mm IQF A 13,61 kg en Caja</t>
  </si>
  <si>
    <t>AR RY Conv. 10-13 mm IQF A 13,61 kg en Caja</t>
  </si>
  <si>
    <t>Tropical Maria 25x400g X BAJO PESO</t>
  </si>
  <si>
    <t>Bajo Peso</t>
  </si>
  <si>
    <t>Blueberry Retail Patagon Foods 10x1 kg</t>
  </si>
  <si>
    <t>&gt;12</t>
  </si>
  <si>
    <t>Mix Berries Retail Patagon Foods 10x1 kg</t>
  </si>
  <si>
    <t>Mora IQF-A para retail</t>
  </si>
  <si>
    <t>MORA S/V Conv. PSP</t>
  </si>
  <si>
    <t>AR HB Conv. &gt;12 mm IQF A 10 kg en Caja</t>
  </si>
  <si>
    <t>10KG</t>
  </si>
  <si>
    <t>Frambuesa Retail Best Chef 20x500grs</t>
  </si>
  <si>
    <t>20x500g</t>
  </si>
  <si>
    <t>Frambuesa Retail Greenfield 20x500grs</t>
  </si>
  <si>
    <t>Frambuesa Retail Tropical Maria 20x500grs</t>
  </si>
  <si>
    <t>Arandano Retail Best Chef 20x500grs</t>
  </si>
  <si>
    <t>FB HE Conv. &gt;12 mm IQF A 4x2,5 kg en Caja</t>
  </si>
  <si>
    <t>Frambuesa HE Conv. PPT</t>
  </si>
  <si>
    <t>FB HE Conv.</t>
  </si>
  <si>
    <t>FRUTILLA S/V Org. S/C IQF A 13,61 kg en Caja</t>
  </si>
  <si>
    <t>FT SV Org. PPT</t>
  </si>
  <si>
    <t>Frutilla Org.</t>
  </si>
  <si>
    <t>MORA S/V Org. S/C IQF A 13,61 kg en Caja</t>
  </si>
  <si>
    <t>Mora SV Org. PPT</t>
  </si>
  <si>
    <t>MORA S/V Org.</t>
  </si>
  <si>
    <t>MORA S/V Org. S/C IQF B 12 kg en Caja</t>
  </si>
  <si>
    <t xml:space="preserve">12 kg </t>
  </si>
  <si>
    <t>FB S/V Org. &gt;12 mm IQF B 1x10 kg en Caja</t>
  </si>
  <si>
    <t>10 KG</t>
  </si>
  <si>
    <t>CAJA</t>
  </si>
  <si>
    <t>Frambuesa MK Org. PPT</t>
  </si>
  <si>
    <t>MORA S/V Conv. S/C IQF B 13,61 kg en Caja</t>
  </si>
  <si>
    <t>FB HE Org. &gt;12 mm IQF A 10 kg en Caja</t>
  </si>
  <si>
    <t>10 kg</t>
  </si>
  <si>
    <t>Frambuesa HE Org.PPT</t>
  </si>
  <si>
    <t>AR HB DUKE Conv. &gt;12 mm IQF A 13,61 kg en Caja</t>
  </si>
  <si>
    <t>Duke</t>
  </si>
  <si>
    <t>Arándano HB DUKE Conv. PPT</t>
  </si>
  <si>
    <t>AR HB DUKE Conv.</t>
  </si>
  <si>
    <t>AR HB DUKE Conv. &gt;12 mm IQF B 13,61 kg en Caja</t>
  </si>
  <si>
    <t>AR HB DUKE Org. &gt;12 mm IQF A 13,61 kg en Caja</t>
  </si>
  <si>
    <t>Arándano HB DUKE Org. PPT</t>
  </si>
  <si>
    <t>AR HB DUKE Org.</t>
  </si>
  <si>
    <t>AR HB DUKE Org. &gt;12 mm IQF B 13,61 kg en Caja</t>
  </si>
  <si>
    <t>AR HB DUKE Conv. &lt;11 mm IQF A 13,61 kg en Caja</t>
  </si>
  <si>
    <t>&lt;11 mm</t>
  </si>
  <si>
    <t>AR HB DUKE Conv. &lt;11 mm IQF B 13,61 kg en Caja</t>
  </si>
  <si>
    <t>Arándano HB DUKE Conv. PSP</t>
  </si>
  <si>
    <t>AR HB DUKE Org. &lt;11 mm IQF A 13,61 kg en Caja</t>
  </si>
  <si>
    <t>Arándano HB DUKE Org. PSP</t>
  </si>
  <si>
    <t>AR HB DUKE Org. &lt;11 mm IQF B 13,61 kg en Caja</t>
  </si>
  <si>
    <t>Creative Gourmet Raspberries 8x300 g</t>
  </si>
  <si>
    <t>Raspberries</t>
  </si>
  <si>
    <t>Creative Gourmet Mixed Berries 10x900 g</t>
  </si>
  <si>
    <t>Mix Frutos Rojos Greenfarms</t>
  </si>
  <si>
    <t>Mix</t>
  </si>
  <si>
    <t>Frutos Rojos</t>
  </si>
  <si>
    <t>AR HB CONV. 10-13mm IQF B 13,61kg en Caja</t>
  </si>
  <si>
    <t>10-13mm</t>
  </si>
  <si>
    <t>AR HB Org. 10-13mm IQF B 13,61kg en Caja</t>
  </si>
  <si>
    <t>AR HB Conv. &gt;12 mm IQF A 13 kg en Caja</t>
  </si>
  <si>
    <t>13 KG</t>
  </si>
  <si>
    <t>AR HB Conv. &gt;12 mm IQF B 13 kg en Caja</t>
  </si>
  <si>
    <t>AR HB Conv. &lt;12 mm PSP 13 kg en Caja</t>
  </si>
  <si>
    <t>AR RY Conv. 10-13 mm IQF B 13,61kg en Caja</t>
  </si>
  <si>
    <t>FB WF Org. &gt;12 mm IQF B 4x2,5 kg en Caja</t>
  </si>
  <si>
    <t>AR HB Conv. &gt;12 mm IQF A 13,61 kg en Caja LVR</t>
  </si>
  <si>
    <t>AR HB Org. 10-13mm IQF A 13,61kg en Caja</t>
  </si>
  <si>
    <t>AR RY Org. 10-13mm IQF A 13,61kg En Caja</t>
  </si>
  <si>
    <t>AR RY Org. 10-13mm IQF B 13,61kg En Caja</t>
  </si>
  <si>
    <t>AR HB DUKE Org. 10-13mm IQF A 13,61 kg en Caja</t>
  </si>
  <si>
    <t>Arándano HB DUKE Org. PTT</t>
  </si>
  <si>
    <t>AR HB DUKE Org. 10-13mm IQF B 13,61 kg en Caja</t>
  </si>
  <si>
    <t>AR HB DUKE Conv. 10-13mm IQF A 13,61 kg en Caja</t>
  </si>
  <si>
    <t>AR HB DUKE Conv. 10-13mm IQF B 13,61 kg en Caja</t>
  </si>
  <si>
    <t>AR HB DUKE Org. &gt;14 IQF A 13,61 kg en Caja</t>
  </si>
  <si>
    <t>&gt;14</t>
  </si>
  <si>
    <t>AR HB DUKE Conv. &gt;14 IQF A 13,61 kg en Caja</t>
  </si>
  <si>
    <t>Bueno Farms Blueberry Retail 100grs</t>
  </si>
  <si>
    <t>100x10grs</t>
  </si>
  <si>
    <t>Bueno Farms Raspberry Retail 100grs</t>
  </si>
  <si>
    <t>Chocolate dipped Conventional raspberries - white and milk chocolate</t>
  </si>
  <si>
    <t>Chocolate dipped Conventional raspberries - white and dark chocolate</t>
  </si>
  <si>
    <t>Arandano Retail GreenFarms 10x1kg</t>
  </si>
  <si>
    <t>Frambuesa entera GreenFarms 10x1kg</t>
  </si>
  <si>
    <t>frambuesa</t>
  </si>
  <si>
    <t>Triple Mix Berries Conv. Alto Trading 1x10</t>
  </si>
  <si>
    <t>IQF</t>
  </si>
  <si>
    <t>N/A</t>
  </si>
  <si>
    <t>AR Retail Alto Trading 10x1kg</t>
  </si>
  <si>
    <t>CR S/V Conv. 18 &gt;mm IQF A 1Kg</t>
  </si>
  <si>
    <t>Cereza</t>
  </si>
  <si>
    <t>&gt;18mm</t>
  </si>
  <si>
    <t>1kg</t>
  </si>
  <si>
    <t>AR RY Org. &gt;12 mm IQF A 10 kg en Caja</t>
  </si>
  <si>
    <t>MORA S/V Org. S/C IQF A 12 kg en Caja</t>
  </si>
  <si>
    <t>FB S/V  Org.  IQF A 4x2,5 kg en Caja</t>
  </si>
  <si>
    <t>AR HB Conv. &lt;11 mm IQF A 13,61 kg en Caja</t>
  </si>
  <si>
    <t>AR HB Conv. &lt;11 mm IQF B 13,61 kg en Caja</t>
  </si>
  <si>
    <t>AR HB Conv. &lt;11 mm PSP 13,61 kg en Caja</t>
  </si>
  <si>
    <t>CR S/V Conv. 18 &gt;mm IQF B 1Kg</t>
  </si>
  <si>
    <t>1KG</t>
  </si>
  <si>
    <t>Triple Mix Berries Convencional 20x500grs</t>
  </si>
  <si>
    <t>MIX</t>
  </si>
  <si>
    <t>TRIPLE MIX S/V CONV. PTT</t>
  </si>
  <si>
    <t>Triple mix</t>
  </si>
  <si>
    <t>Blueberries Convencional 20x500grs</t>
  </si>
  <si>
    <t>Arándano Conv. PPT</t>
  </si>
  <si>
    <t>AR HB Conv. &gt;11 mm PSP 13,61 kg en Caja</t>
  </si>
  <si>
    <t>AR RY Conv. &lt;11 mm IQF A 13,61 kg en Caja</t>
  </si>
  <si>
    <t>Arándano RY Conv. PSP</t>
  </si>
  <si>
    <t>AR RY Conv. &lt;11 mm IQF B 13,61 kg en Caja</t>
  </si>
  <si>
    <t>AR RY Conv. &lt;11 mm PSP 13,61 kg en Caja</t>
  </si>
  <si>
    <t>AR RY Conv. &gt;11 mm PSP 13,61 kg en Caja</t>
  </si>
  <si>
    <t>AR HB Org. &lt;11 mm IQF A 13,61 kg en Caja</t>
  </si>
  <si>
    <t>AR HB Org. &lt;11 mm IQF B 13,61 kg en Caja</t>
  </si>
  <si>
    <t>AR HB Org. &lt;11 mm PSP 13,61 kg en Caja</t>
  </si>
  <si>
    <t>FB HE CONV. &gt;12mm IQF A 10 kg en Caja</t>
  </si>
  <si>
    <t>iqF A</t>
  </si>
  <si>
    <t>AR HB Org. &gt;12 mm PSP 13,61 kg en Caja</t>
  </si>
  <si>
    <t>AR RY Org. &lt;11 mm IQF A 13,61 kg en Caja</t>
  </si>
  <si>
    <t>Arándano RY Org. PSP</t>
  </si>
  <si>
    <t>AR RY Org. &lt;11 mm IQF B 13,61 kg en Caja</t>
  </si>
  <si>
    <t>AR RY Org. &lt;12 mm PSP 13,61 kg en Caja</t>
  </si>
  <si>
    <t>AR RY Org. &gt;11 mm PSP 13,61 kg en Caja</t>
  </si>
  <si>
    <t>FB MK Conv. S/C PSP 10 kg en Caja</t>
  </si>
  <si>
    <t>Frambuesa MK Conv. PSP</t>
  </si>
  <si>
    <t>FB MK Org. S/C PSP 10 kg en Caja</t>
  </si>
  <si>
    <t>Frambuesa MK Org. PSP</t>
  </si>
  <si>
    <t>FB WF Conv. S/C PSP 10 kg en Caja</t>
  </si>
  <si>
    <t>Frambuesa WF Conv. PSP</t>
  </si>
  <si>
    <t>FB WF Org. S/C PSP 10 kg en Caja</t>
  </si>
  <si>
    <t>Frambuesa WF Org. PSP</t>
  </si>
  <si>
    <t>FB HE Conv. S/C PSP 10 kg en Caja</t>
  </si>
  <si>
    <t>Frambuesa HE Conv .PSP</t>
  </si>
  <si>
    <t>FB HE Org. S/C PSP 10 kg en Caja</t>
  </si>
  <si>
    <t>Frambuesa HE Org.PSP</t>
  </si>
  <si>
    <t>FB MK Conv. S/C IQF A 10 kg en Caja</t>
  </si>
  <si>
    <t>FB MK Org. S/C IQF A 10 kg en Caja</t>
  </si>
  <si>
    <t>FB WF Conv. S/C IQF A 10 kg en Caja</t>
  </si>
  <si>
    <t>FB WF Org. S/C IQF A 10 kg en Caja</t>
  </si>
  <si>
    <t>FB HE Conv. S/C IQF A 10 kg en Caja</t>
  </si>
  <si>
    <t>FB MK Conv. S/C IQF Congelado en Bandeja</t>
  </si>
  <si>
    <t>Congelado</t>
  </si>
  <si>
    <t>Bandeja</t>
  </si>
  <si>
    <t>FB HE Conv. S/C IQF Congelado en Bandeja</t>
  </si>
  <si>
    <t>Frambuesa HE Conv. PSP</t>
  </si>
  <si>
    <t>AR HB Conv. S/C IQF Congelado en Bandeja</t>
  </si>
  <si>
    <t>AR RY Conv. S/C IQF Congelado en Bandeja</t>
  </si>
  <si>
    <t>FB MK Org. S/C IQF Congelado en Bandeja</t>
  </si>
  <si>
    <t>FB HE Org. S/C IQF Congelado en Bandeja</t>
  </si>
  <si>
    <t>Frambuesa HE Org. PSP</t>
  </si>
  <si>
    <t>AR HB Org. S/C IQF Congelado en Bandeja</t>
  </si>
  <si>
    <t>AR RY Org. S/C IQF Congelado en Bandeja</t>
  </si>
  <si>
    <t>FB MK Conv. S/C Block Congelado en Bandeja</t>
  </si>
  <si>
    <t>FB HE Conv. S/C Block Congelado en Bandeja</t>
  </si>
  <si>
    <t>AR HB Conv. S/C Block Congelado en Bandeja</t>
  </si>
  <si>
    <t>AR RY Conv. S/C Block Congelado en Bandeja</t>
  </si>
  <si>
    <t>FB MK Org. S/C Block Congelado en Bandeja</t>
  </si>
  <si>
    <t>FB HE Org. S/C Block Congelado en Bandeja</t>
  </si>
  <si>
    <t>AR HB Org. S/C Block Congelado en Bandeja</t>
  </si>
  <si>
    <t>AR RY Org. S/C Block Congelado en Bandeja</t>
  </si>
  <si>
    <t>FB WF Org. S/C IQF Congelado en Bandeja</t>
  </si>
  <si>
    <t>FB WF Org. S/C Block Congelado en Bandeja</t>
  </si>
  <si>
    <t>FB WF Conv. S/C IQF Congelado en Bandeja</t>
  </si>
  <si>
    <t>FB WF Conv. S/C Block Congelado en Bandeja</t>
  </si>
  <si>
    <t>FB WF Conv. S/C IQF B 10 kg en Caja</t>
  </si>
  <si>
    <t>MORA S/V Conv. S/C IQF Congelado en Bandeja</t>
  </si>
  <si>
    <t>Mora SV Conv. PSP</t>
  </si>
  <si>
    <t>FB MK Conv. S/C IQF B 10 kg en Caja</t>
  </si>
  <si>
    <t>FB WH Conv. S/C IQF Congelado en Bandeja</t>
  </si>
  <si>
    <t>Frambuesa WH Conv. PSP</t>
  </si>
  <si>
    <t>FB WH Conv. S/C PSP 10 Kg en Caja</t>
  </si>
  <si>
    <t>10 Kg</t>
  </si>
  <si>
    <t>FB WH Org. S/C IQF Congelado en Bandeja</t>
  </si>
  <si>
    <t>Frambuesa WH Org.. PSP</t>
  </si>
  <si>
    <t>FB WH Org. S/C PSP 10 Kg en Caja</t>
  </si>
  <si>
    <t>MORA S/V Org. S/C Block 10 kg en Caja</t>
  </si>
  <si>
    <t>Subproducto</t>
  </si>
  <si>
    <t>MORA S/V Org. S/C IQF Congelado en Bandeja</t>
  </si>
  <si>
    <t>FB S/V ORG S/C Hongos Y Restos Vegetales 10KG en caja</t>
  </si>
  <si>
    <t>RESTOS</t>
  </si>
  <si>
    <t>Frambuesa S/V Org. PSP</t>
  </si>
  <si>
    <t>Mora S/V Org. S/C PSP 12 Kg en Caja</t>
  </si>
  <si>
    <t>12 Kg</t>
  </si>
  <si>
    <t>MORA S/V Org. PSP</t>
  </si>
  <si>
    <t>Mora S/V Org. S/C PSP 10 Kg en Caja</t>
  </si>
  <si>
    <t>Mora S/V Conv. S/C PSP 10 Kg en Caja</t>
  </si>
  <si>
    <t>MORA S/V Conv. S/C Block 12 kg en Caja</t>
  </si>
  <si>
    <t>12 kg</t>
  </si>
  <si>
    <t>MORA S/V Conv. S/C Block Sortex 12 kg en Caja</t>
  </si>
  <si>
    <t>MORA S/V Conv. S/C Pulpa piso</t>
  </si>
  <si>
    <t>AR HB DUKE Conv. S/C IQF Congelado en Bandeja</t>
  </si>
  <si>
    <t>AR HB DUKE Org. S/C IQF Congelado en Bandeja</t>
  </si>
  <si>
    <t>AR HB DUKE Conv. S/C Block Congelado en Bandeja</t>
  </si>
  <si>
    <t>AR HB DUKE Org. S/C Block Congelado en Bandeja</t>
  </si>
  <si>
    <t>AR HB Conv. 10-13 mm PSP 13,61 kg en Caja</t>
  </si>
  <si>
    <t>AR HB Org. 10-13 mm PSP 13,61 kg en Caja</t>
  </si>
  <si>
    <t>Mora S/V Conv. S/C PSP 13,61 Kg en Caja</t>
  </si>
  <si>
    <t>AR HB Conv. 10-13 mm PSP 13 kg en Caja</t>
  </si>
  <si>
    <t>AR HB Conv. PSP FSJ 13,61 kg en Caja</t>
  </si>
  <si>
    <t>AR RY Conv. PSP FSJ 13,61 kg en Caja</t>
  </si>
  <si>
    <t>AR HB DUKE Org. &gt;11 mm PSP 13,61 kg en Caja</t>
  </si>
  <si>
    <t>AR HB DUKE Conv. &gt;11 mm PSP 13,61 kg en Caja</t>
  </si>
  <si>
    <t>MORA S/V Org. S/C Block 13,61 kg en Caja</t>
  </si>
  <si>
    <t>MORA S/V Org. S/C Pulpa piso 12 kg en Caja</t>
  </si>
  <si>
    <t>MORA S/V Org. S/C Block Sortex 13,61kg en Caja</t>
  </si>
  <si>
    <t>MORA S/V Conv. S/C Block Sortex 13,61kg en Caja</t>
  </si>
  <si>
    <t>MORA S/V Conv. S/C Block 13,61 kg en Caja</t>
  </si>
  <si>
    <t>MORA S/V Conv. S/C PSP 12 Kg en Caja</t>
  </si>
  <si>
    <t>AR S/V Conv. S/C Block 13,61 kg en Caja</t>
  </si>
  <si>
    <t>AR S/V Conv. S/C Block Bins en Bins</t>
  </si>
  <si>
    <t>Bins</t>
  </si>
  <si>
    <t>AR S/V Org. S/C Block 13,61 kg en Caja</t>
  </si>
  <si>
    <t>AR S/V Org. S/C Block Bins en Bins</t>
  </si>
  <si>
    <t>FB S/V Conv. S/C Crumble 10 kg en Caja</t>
  </si>
  <si>
    <t>Crumble</t>
  </si>
  <si>
    <t>FB S/V Conv. S/C Block 10 kg en Caja</t>
  </si>
  <si>
    <t>FB S/V Conv. S/C Block Bins en Bins</t>
  </si>
  <si>
    <t>FB S/V Org. S/C Crumble 10 kg en Caja</t>
  </si>
  <si>
    <t>FB S/V Org. S/C Block 10 kg en Caja</t>
  </si>
  <si>
    <t>FB S/V Org. S/C Block Bins en Bins</t>
  </si>
  <si>
    <t>MORA S/V Conv. S/C Block 10 kg en Caja</t>
  </si>
  <si>
    <t>AR S/V N/A S/C Jugo Bins en Bins</t>
  </si>
  <si>
    <t>Jugo</t>
  </si>
  <si>
    <t>AR Pulpa Piso Conv. S/C N/A Caja en Caja</t>
  </si>
  <si>
    <t>Pulpa Piso</t>
  </si>
  <si>
    <t>AR Pulpa Piso Org. S/C N/A Caja en Caja</t>
  </si>
  <si>
    <t>FB Pulpa Piso Conv. S/C N/A Caja en Caja</t>
  </si>
  <si>
    <t>FB Pulpa Piso Org. S/C N/A Caja en Caja</t>
  </si>
  <si>
    <t>FB MK Conv. S/C Whole and Broken 10 kg en Caja</t>
  </si>
  <si>
    <t>Whole and Broken</t>
  </si>
  <si>
    <t>FB WF Org. S/C Whole and Broken 10 kg en Caja</t>
  </si>
  <si>
    <t>AR HB Conv. S/C Pulpa 13,61 kg en Caja</t>
  </si>
  <si>
    <t>AR HB Org. S/C Pulpa 13,61 kg en Caja</t>
  </si>
  <si>
    <t>AR S/V Org. S/C Calidad Jugo 13,61 kg en Caja</t>
  </si>
  <si>
    <t>Calidad Jugo</t>
  </si>
  <si>
    <t>AR S/V Conv. S/C Calidad Jugo 13,61 kg en Caja</t>
  </si>
  <si>
    <t>AR S/V Conv. S/C Block Sortex 13,61 kg en Caja</t>
  </si>
  <si>
    <t>FB S/V CONV. S/C HONGOS Y RESTOS VEGETALES 10KG EN CAJA</t>
  </si>
  <si>
    <t>Frambuesa S/V Conv. PSP</t>
  </si>
  <si>
    <t>Mora S/V Conv. S/C Hongos y Restos Vegetales 10kg en caja</t>
  </si>
  <si>
    <t>Mora S/V Org. S/C Hongos y Restos Vegetales 10kg en caja</t>
  </si>
  <si>
    <t>Pulpa Piso Mix Berries Retail Patagon Foods 10x1 kg</t>
  </si>
  <si>
    <t>AR S/V Org. S/C Block Sortex 13,61 kg en Caja</t>
  </si>
  <si>
    <t>FB S/V Conv. S/C Calidad Jugo 13,61 kg en Caja</t>
  </si>
  <si>
    <t>FB MK Conv. S/C Whole and Broken 13,61 kg en Caja</t>
  </si>
  <si>
    <t>FB S/V Conv. S/C Block Sortex 10 kg en Caja</t>
  </si>
  <si>
    <t>AR S/V Org. S/C Block Limpio 13,61 kg en Caja</t>
  </si>
  <si>
    <t>AR S/V CONV. S/C HONGOS Y RESTOS VEGETALES 13,61KG EN CAJA</t>
  </si>
  <si>
    <t>Desecho Vegetal</t>
  </si>
  <si>
    <t>Arándano HB Conv. Kg S/P</t>
  </si>
  <si>
    <t>AR HB DUKE Conv. S/C Pulpa 13,61 kg en Caja</t>
  </si>
  <si>
    <t>AR HB DUKE Org. S/C Pulpa 13,61 kg en Caja</t>
  </si>
  <si>
    <t>AR HB DUKE Conv. S/C Block 13,61 kg en Caja</t>
  </si>
  <si>
    <t>AR HB DUKE Org. S/C Block 13,61 kg en Caja</t>
  </si>
  <si>
    <t>AR HB DUKE Conv. S/C Block Sortex 13,61 kg en Caja</t>
  </si>
  <si>
    <t>AR HB DUKE Org. S/C Block Sortex 13,61 kg en Caja</t>
  </si>
  <si>
    <t>AR S/V Org. S/C HONGOS Y RESTOS VEGETALES 13,61KG EN CAJA</t>
  </si>
  <si>
    <t>Arándano HB Org. Kg S/P</t>
  </si>
  <si>
    <t>AR S/V Conv. S/C Block Sortex 13 kg en Caja</t>
  </si>
  <si>
    <t>AR S/V Conv. S/C Block 13 kg en Caja</t>
  </si>
  <si>
    <t>AR S/V Conv. S/C Calidad Jugo 13 kg en Caja</t>
  </si>
  <si>
    <t>AR S/V CONV. S/C HONGOS Y RESTOS VEGETALES 13 KG EN CAJA</t>
  </si>
  <si>
    <t>FB MK Conv. IQF en Bandeja</t>
  </si>
  <si>
    <t>MP</t>
  </si>
  <si>
    <t>Frambuesa MK Conv. Kg S/P</t>
  </si>
  <si>
    <t>FB HE Conv. IQF en Bandeja</t>
  </si>
  <si>
    <t>Frambuesa HE Conv. Kg S/P</t>
  </si>
  <si>
    <t>AR HB Conv. IQF en Bandeja</t>
  </si>
  <si>
    <t>AR RY Conv. IQF en Bandeja</t>
  </si>
  <si>
    <t>Arándano RY Conv. Kg S/P</t>
  </si>
  <si>
    <t>FB MK Org. IQF en Bandeja</t>
  </si>
  <si>
    <t>Frambuesa MK Org. Kg S/P</t>
  </si>
  <si>
    <t>FB HE Org. IQF en Bandeja</t>
  </si>
  <si>
    <t>Frambuesa HE Org. Kg S/P</t>
  </si>
  <si>
    <t>AR HB Org. IQF en Bandeja</t>
  </si>
  <si>
    <t>AR RY Org. IQF en Bandeja</t>
  </si>
  <si>
    <t>Arándano RY Org. Kg S/P</t>
  </si>
  <si>
    <t>FB MK Conv. Block en Bandeja</t>
  </si>
  <si>
    <t>FB HE Conv. Block en Bandeja</t>
  </si>
  <si>
    <t>AR HB Conv. Block en Bandeja</t>
  </si>
  <si>
    <t>AR RY Conv. Block en Bandeja</t>
  </si>
  <si>
    <t>FB MK Org. Block en Bandeja</t>
  </si>
  <si>
    <t>FB HE Org. Block en Bandeja</t>
  </si>
  <si>
    <t>AR HB Org. Block en Bandeja</t>
  </si>
  <si>
    <t>AR RY Org. Block en Bandeja</t>
  </si>
  <si>
    <t>AR HB Conv. IQF en Bandeja Lavado</t>
  </si>
  <si>
    <t>Bandeja Lavado</t>
  </si>
  <si>
    <t>Arándano Lavado PSP</t>
  </si>
  <si>
    <t>AR RY Conv. IQF en Bandeja Lavado</t>
  </si>
  <si>
    <t>AR HB Org. IQF en Bandeja Lavado</t>
  </si>
  <si>
    <t>AR RY Org. IQF en Bandeja Lavado</t>
  </si>
  <si>
    <t>Arándano RY Org. Kg Lavado</t>
  </si>
  <si>
    <t>AR HB Conv. Block en Bandeja Lavado</t>
  </si>
  <si>
    <t>Arándano HB Org. Kg Lavado</t>
  </si>
  <si>
    <t>AR RY Conv. Block en Bandeja Lavado</t>
  </si>
  <si>
    <t>Arándano RY Conv. Kg Lavado</t>
  </si>
  <si>
    <t>AR HB Org. Block en Bandeja Lavado</t>
  </si>
  <si>
    <t>AR RY Org. Block en Bandeja Lavado</t>
  </si>
  <si>
    <t>FB WF Org. IQF en Bandeja</t>
  </si>
  <si>
    <t>Frambuesa WF Org. Kg S/P</t>
  </si>
  <si>
    <t>FB WF Org. Block en Bandeja</t>
  </si>
  <si>
    <t>FB WF Conv. IQF en Bandeja</t>
  </si>
  <si>
    <t>Frambuesa WF Conv. Kg S/P</t>
  </si>
  <si>
    <t>FB WF Conv. Block en Bandeja</t>
  </si>
  <si>
    <t>MORA S/V Conv. IQF en Bandeja</t>
  </si>
  <si>
    <t>Mora SV Conv. Kg S/P</t>
  </si>
  <si>
    <t>Merma Lavado AR Organico</t>
  </si>
  <si>
    <t xml:space="preserve">Merma </t>
  </si>
  <si>
    <t>Merma Lavado AR Convencional</t>
  </si>
  <si>
    <t>Merma Congelado AR Organico</t>
  </si>
  <si>
    <t>Merma Congelado AR Convencional</t>
  </si>
  <si>
    <t>Merma Congelado FB Organica</t>
  </si>
  <si>
    <t>Merma Congelado FB Convencional</t>
  </si>
  <si>
    <t>Merma Vaciado AR Organico</t>
  </si>
  <si>
    <t>Merma Vaciado AR Convencional</t>
  </si>
  <si>
    <t>Merma Vaciado FB Organica</t>
  </si>
  <si>
    <t>Merma Vaciado FB Convencional</t>
  </si>
  <si>
    <t>Merma Retail AR Organico</t>
  </si>
  <si>
    <t>Merma Retail AR Convencional</t>
  </si>
  <si>
    <t>Merma Retail FB Organica</t>
  </si>
  <si>
    <t>Merma Retail FB Convencional</t>
  </si>
  <si>
    <t>FB WH Conv. IQF en Bandeja</t>
  </si>
  <si>
    <t>Frambuesa WH Conv. S/P</t>
  </si>
  <si>
    <t>Merma Vaciado Mora Conv</t>
  </si>
  <si>
    <t>Merma Vaciado Mora ORG</t>
  </si>
  <si>
    <t>Merma Retail Mix Berries</t>
  </si>
  <si>
    <t>FB WH Org. IQF en Bandeja</t>
  </si>
  <si>
    <t>Frambuesa WH Org. S/P</t>
  </si>
  <si>
    <t>MORA S/V Org. IQF en Bandeja</t>
  </si>
  <si>
    <t>Mora SV Org. Kg S/P</t>
  </si>
  <si>
    <t>AR HB DUKE Conv. IQF en Bandeja</t>
  </si>
  <si>
    <t>AR HB DUKE Org. IQF en Bandeja</t>
  </si>
  <si>
    <t>AR HB DUKE Conv. Block en Bandeja</t>
  </si>
  <si>
    <t>BLOCK</t>
  </si>
  <si>
    <t>AR HB DUKE Org. Block en Bandeja</t>
  </si>
  <si>
    <t>Frutilla ORG. IQF-A en bandeja</t>
  </si>
  <si>
    <t>mp</t>
  </si>
  <si>
    <t>bandeja</t>
  </si>
  <si>
    <t>Creative Gourmet Blueberries por Borrar 24x300 g</t>
  </si>
  <si>
    <t>24x300 g</t>
  </si>
  <si>
    <t>Creative Gourmet Mixed Berries Pulpa Piso</t>
  </si>
  <si>
    <t>Creative Gourmet Mixed Berries Block</t>
  </si>
  <si>
    <t>Desecho Vegetal S/V Conv. S/C N/A Bins en Bins</t>
  </si>
  <si>
    <t>Desecho Vegetal S/V Org. S/C N/A Bins en Bins</t>
  </si>
  <si>
    <t>Altex Retail 1kg Org Blueberries</t>
  </si>
  <si>
    <t>Retail AR Org.</t>
  </si>
  <si>
    <t>Altex Retail Mixed Berries 10x1 kg</t>
  </si>
  <si>
    <t>Berries Mix</t>
  </si>
  <si>
    <t>Mix Org. PPT</t>
  </si>
  <si>
    <t>Cuatro Berry Mix.</t>
  </si>
  <si>
    <t>Mixed Berries Block 13,61 kg</t>
  </si>
  <si>
    <t>mix berries</t>
  </si>
  <si>
    <t>Mix Org. PSP</t>
  </si>
  <si>
    <t>Mixed Berries Pulpa Piso 13,61 kg</t>
  </si>
  <si>
    <t>Altex Retail Raspberries 10x1 kg</t>
  </si>
  <si>
    <t>Retail FB Org.</t>
  </si>
  <si>
    <t>Frutilla entera GreenFarms 10x1kg</t>
  </si>
  <si>
    <t>Frutilla conv. PPT</t>
  </si>
  <si>
    <t>Frutilla S/V Conv.</t>
  </si>
  <si>
    <t>Frutilla S/V Conv. S/C Block 10 kg en Caja</t>
  </si>
  <si>
    <t>Frutilla Conv. PSP</t>
  </si>
  <si>
    <t>Frutilla S/V Conv. S/C Pulpa Piso 10 kg en Caja</t>
  </si>
  <si>
    <t>Frutilla S/V Conv. PSP</t>
  </si>
  <si>
    <t>Frutilla Sobre Calibre Conv  IQF A 10kg</t>
  </si>
  <si>
    <t>10kg</t>
  </si>
  <si>
    <t>AR S/V ORG. S/C Calidad jugo C 13,61 kg</t>
  </si>
  <si>
    <t xml:space="preserve">ORG </t>
  </si>
  <si>
    <t>13,61kg</t>
  </si>
  <si>
    <t>AR S/V ORG. PSP</t>
  </si>
  <si>
    <t>AR S/V Org.</t>
  </si>
  <si>
    <t>AR S/V ORG. S/C Calidad jugo D 13,61 kg</t>
  </si>
  <si>
    <t>ORG.</t>
  </si>
  <si>
    <t>Arándano Conv. Bueno Farms 300gr</t>
  </si>
  <si>
    <t>300gr</t>
  </si>
  <si>
    <t>AR S/V Conv. PTT</t>
  </si>
  <si>
    <t>AR S/V Conv.</t>
  </si>
  <si>
    <t>Frambuesa Conv. Bueno Farms 300gr</t>
  </si>
  <si>
    <t>FR S/V Conv. PTT</t>
  </si>
  <si>
    <t xml:space="preserve">FR S/V Conv. </t>
  </si>
  <si>
    <t>Frutilla Conv. Bueno Farms 300gr</t>
  </si>
  <si>
    <t>FRUTILLA S/V Conv. PTT</t>
  </si>
  <si>
    <t>Mora Conv. Bueno Farms 300gr</t>
  </si>
  <si>
    <t>MORA S/V Conv. PTT</t>
  </si>
  <si>
    <t>Cereza Conv. Bueno Farms 300gr</t>
  </si>
  <si>
    <t>CEREZA S/V Conv. PTT</t>
  </si>
  <si>
    <t>Cereza S/V Conv</t>
  </si>
  <si>
    <t>Cuatro Mix Conv. Bueno Farms 300gr</t>
  </si>
  <si>
    <t>Cuatro Mix</t>
  </si>
  <si>
    <t>CUATRO MIX S/V Conv. PTT</t>
  </si>
  <si>
    <t>Cuatro mix</t>
  </si>
  <si>
    <t>Tres Mix Frutilla, Arándano, Cereza Conv. Bueno Farms 300gr</t>
  </si>
  <si>
    <t xml:space="preserve">Tres Mix </t>
  </si>
  <si>
    <t>Tres Mix Ar, Fb, Mora Org. Bueno Farms 300gr</t>
  </si>
  <si>
    <t>Tres Mix</t>
  </si>
  <si>
    <t>Cereza Conv. IQF A 13,61 kg en caja</t>
  </si>
  <si>
    <t>IQFA</t>
  </si>
  <si>
    <t>13,61 Kg</t>
  </si>
  <si>
    <t>Cereza Conv. PPT</t>
  </si>
  <si>
    <t>Cereza S/V Conv.</t>
  </si>
  <si>
    <t>Frutilla Conv. &lt; 25mm 13,61 Kg en caja</t>
  </si>
  <si>
    <t>Frutilla Conv. PPT</t>
  </si>
  <si>
    <t>Frutilla Slice Conv. 13,61 Kg en caja</t>
  </si>
  <si>
    <t>Frutilla S/V Org. S/C IQF A 12 kg en Caja</t>
  </si>
  <si>
    <t>Frutilla Org. PPT</t>
  </si>
  <si>
    <t>Frutilla S/V Org.</t>
  </si>
  <si>
    <t>Frutilla S/V Org. S/C Block 12 kg en Caja</t>
  </si>
  <si>
    <t>Frutilla Org. PSP</t>
  </si>
  <si>
    <t>Frutilla S/V Org. S/C Pulpa Piso 12 kg en Caja</t>
  </si>
  <si>
    <t>AR RY Conv. &lt;12 mm PSP 13,61 kg en Caja</t>
  </si>
  <si>
    <t>AR S/V Conv. S/C Calidad jugo C 13,61 kg</t>
  </si>
  <si>
    <t>AR S/V Conv. PSP</t>
  </si>
  <si>
    <t>AR S/V Conv. S/C Calidad jugo D 13,61 kg</t>
  </si>
  <si>
    <t>FB S/V  Conv. &gt;12 mm IQF A 1x10 kg en Caja</t>
  </si>
  <si>
    <t xml:space="preserve">FB S/V Conv. </t>
  </si>
  <si>
    <t>FB S/V Conv. &gt;12 mm IQF A 4x2,5 kg en Caja</t>
  </si>
  <si>
    <t>AR S/V Conv. S/C IQF B 13,61 kg en Caja</t>
  </si>
  <si>
    <t>AR RY Org. IQF B 13,61 kg en Caja</t>
  </si>
  <si>
    <t>AR RY Org. PTT</t>
  </si>
  <si>
    <t>AR RY S/V  &gt;12 mm IQF B 13,61 kg en Caja</t>
  </si>
  <si>
    <t>AR RY S/V PTT</t>
  </si>
  <si>
    <t>FB S/V ORG. S/C Calidad jugo C 10 kg</t>
  </si>
  <si>
    <t>FB S/V ORG. PSP</t>
  </si>
  <si>
    <t xml:space="preserve">FR S/V Org. </t>
  </si>
  <si>
    <t>FB S/V ORG. S/C Calidad jugo D 10 kg</t>
  </si>
  <si>
    <t>FB S/V CONV. S/C Calidad jugo C 10 kg</t>
  </si>
  <si>
    <t>FB S/V CONV. PSP</t>
  </si>
  <si>
    <t>FB S/V CONV. S/C Calidad jugo D 10 kg</t>
  </si>
  <si>
    <t>FB S/V CONV. S/C Calidad jugo 10 kg</t>
  </si>
  <si>
    <t>FB S/V  Org. &gt;12 mm IQF A 1x10 kg en Caja</t>
  </si>
  <si>
    <t>FR S/V Org. PTT</t>
  </si>
  <si>
    <t>FB S/V ORG. S/C Calidad jugo 10 kg</t>
  </si>
  <si>
    <t>FB S/V Org. PSP</t>
  </si>
  <si>
    <t>Arandano Retail ATO 10x1kg</t>
  </si>
  <si>
    <t>Triple Mix Berries ATO 10X1kg</t>
  </si>
  <si>
    <t>10x1kg</t>
  </si>
  <si>
    <t>Arándano Retail Conv. Camerican 16x0,68kg</t>
  </si>
  <si>
    <t>16x0,68kg</t>
  </si>
  <si>
    <t>Arándano S/V Conv. PPT</t>
  </si>
  <si>
    <t>Mora S/V Conv. S/C Calidad Jugo C 13,61 kg</t>
  </si>
  <si>
    <t xml:space="preserve">MORA S/V Conv. </t>
  </si>
  <si>
    <t>Mora S/V Conv. S/C Calidad Jugo D 13,61 kg</t>
  </si>
  <si>
    <t>Mora S/V Conv. S/C Calidad Jugo 13,61 kg</t>
  </si>
  <si>
    <t>AR S/V Conv. &gt;12 mm IQF A 13,61 kg en Caja</t>
  </si>
  <si>
    <t>13,61 KG</t>
  </si>
  <si>
    <t>AR S/V Conv PTT</t>
  </si>
  <si>
    <t>AR S/V Org. &gt;12 mm IQF A 13,61 kg en Caja</t>
  </si>
  <si>
    <t>AR S/V Org PTT</t>
  </si>
  <si>
    <t>AR S/V Org..</t>
  </si>
  <si>
    <t>FT S/V Conv. Pulpa Piso 13,61Kg en Caja</t>
  </si>
  <si>
    <t>FT S/V Conv. PSP</t>
  </si>
  <si>
    <t>AR S/V ORG. S/C Calidad jugo C-D 13,61 kg</t>
  </si>
  <si>
    <t>FB S/V Org. IQF A 1x10 kg en Caja</t>
  </si>
  <si>
    <t xml:space="preserve">FB S/V Org. </t>
  </si>
  <si>
    <t>AR Org. Retail Naturen 10x0,3 kg</t>
  </si>
  <si>
    <t>10X0,3 Kg</t>
  </si>
  <si>
    <t>MIX Org. Retail Naturen 10x0,3 kg</t>
  </si>
  <si>
    <t>Triple Mix Berries Org. Pulpa Piso 10 kg</t>
  </si>
  <si>
    <t>FT AB Conv. Calibre L 13,61Kg en caja.</t>
  </si>
  <si>
    <t>AB</t>
  </si>
  <si>
    <t>FT AB Conv. PTT</t>
  </si>
  <si>
    <t>FT AB CONV.</t>
  </si>
  <si>
    <t>Triple Mix Berries Org. Block</t>
  </si>
  <si>
    <t>AR DK Conv. IQF en Bandeja</t>
  </si>
  <si>
    <t>Arándano DUKE Conv. Kg S/P</t>
  </si>
  <si>
    <t>AR DK Conv.</t>
  </si>
  <si>
    <t>AR DK Conv. Block en Bandeja</t>
  </si>
  <si>
    <t>AR DK Org. IQF en Bandeja</t>
  </si>
  <si>
    <t>Arándano DUKE Org. Kg S/P</t>
  </si>
  <si>
    <t>AR DK Org.</t>
  </si>
  <si>
    <t>AR DK Org. Block en Bandeja</t>
  </si>
  <si>
    <t>Frambuesa MK Conv.</t>
  </si>
  <si>
    <t>FB S/V Conv. IQF en Bandeja</t>
  </si>
  <si>
    <t>Frambuesa S/V Conv. Kg S/P</t>
  </si>
  <si>
    <t>Frambuesa S/V Conv.</t>
  </si>
  <si>
    <t>Frambuesa WF Conv.</t>
  </si>
  <si>
    <t>FB S/V Conv. Block en Bandeja</t>
  </si>
  <si>
    <t>FB S/V Org. IQF en Bandeja</t>
  </si>
  <si>
    <t>Frambuesa S/V Org. Kg S/P</t>
  </si>
  <si>
    <t>Frambuesa S/V Org.</t>
  </si>
  <si>
    <t>Frambuesa MK Org.</t>
  </si>
  <si>
    <t>Frambuesa WF Org.</t>
  </si>
  <si>
    <t>FB S/V Org. Block en Bandeja</t>
  </si>
  <si>
    <t>FT AB Conv. IQF en Bandeja</t>
  </si>
  <si>
    <t>Frutilla AB Conv. Kg S/P</t>
  </si>
  <si>
    <t>Frutilla AB Conv.</t>
  </si>
  <si>
    <t>FT S/V Conv. IQF en Bandeja</t>
  </si>
  <si>
    <t>Frutilla S/V Conv. Kg S/P</t>
  </si>
  <si>
    <t>FT S/V Conv. Block en Bandeja</t>
  </si>
  <si>
    <t>FT AB Conv. Block en Bandeja</t>
  </si>
  <si>
    <t>FT S/V Org. IQF en Bandeja</t>
  </si>
  <si>
    <t>Frutilla S/V Org. Kg S/P</t>
  </si>
  <si>
    <t>FT AB Org. IQF en Bandeja</t>
  </si>
  <si>
    <t>Frutilla AB Org. Kg S/P</t>
  </si>
  <si>
    <t>Frutilla AB Org.</t>
  </si>
  <si>
    <t>FT S/V Org. Block en Bandeja</t>
  </si>
  <si>
    <t>FT AB Org. Block en Bandeja</t>
  </si>
  <si>
    <t>MO S/V Conv. IQF en Bandeja</t>
  </si>
  <si>
    <t>Mora S/V Conv. Kg S/P</t>
  </si>
  <si>
    <t>MO S/V Conv. Block en Bandeja</t>
  </si>
  <si>
    <t>MO S/V Org. IQF en Bandeja</t>
  </si>
  <si>
    <t>Mora S/V Org. Kg S/P</t>
  </si>
  <si>
    <t>MO S/V Org. Block en Bandeja</t>
  </si>
  <si>
    <t>AR HB Conv. IQF Congelado en Bandeja</t>
  </si>
  <si>
    <t>AR RY Conv. IQF Congelado en Bandeja</t>
  </si>
  <si>
    <t>AR DK Conv. IQF Congelado en Bandeja</t>
  </si>
  <si>
    <t>Arándano DUKE Conv. PSP</t>
  </si>
  <si>
    <t>AR HB Conv. Block Congelado en Bandeja</t>
  </si>
  <si>
    <t>AR RY Conv. Block Congelado en Bandeja</t>
  </si>
  <si>
    <t>AR DK Conv. Block Congelado en Bandeja</t>
  </si>
  <si>
    <t>AR HB Org. IQF Congelado en Bandeja</t>
  </si>
  <si>
    <t>AR RY Org. IQF Congelado en Bandeja</t>
  </si>
  <si>
    <t>AR DK Org. IQF Congelado en Bandeja</t>
  </si>
  <si>
    <t>Arándano DUKE Org. PSP</t>
  </si>
  <si>
    <t>AR HB Org. Block Congelado en Bandeja</t>
  </si>
  <si>
    <t>AR RY Org. Block Congelado en Bandeja</t>
  </si>
  <si>
    <t>AR DK Org. Block Congelado en Bandeja</t>
  </si>
  <si>
    <t>FB MK Conv. IQF Congelado en Bandeja</t>
  </si>
  <si>
    <t>FB S/V Conv. IQF Congelado en Bandeja</t>
  </si>
  <si>
    <t>Frambuesa S/V V Conv. PSP</t>
  </si>
  <si>
    <t>FB S/V Conv.</t>
  </si>
  <si>
    <t>FB WF Conv. IQF Congelado en Bandeja</t>
  </si>
  <si>
    <t>FB S/V Conv. Block Congelado en Bandeja</t>
  </si>
  <si>
    <t>FB MK Conv. Block Congelado en Bandeja</t>
  </si>
  <si>
    <t>FB WF Conv. Block Congelado en Bandeja</t>
  </si>
  <si>
    <t>FB S/V Org. IQF Congelado en Bandeja</t>
  </si>
  <si>
    <t>Frambuesa S/V V Org. PSP</t>
  </si>
  <si>
    <t>FB S/V Org.</t>
  </si>
  <si>
    <t>FB MK Org. IQF Congelado en Bandeja</t>
  </si>
  <si>
    <t>FB WF Org. IQF Congelado en Bandeja</t>
  </si>
  <si>
    <t>FB S/V Org. Block Congelado en Bandeja</t>
  </si>
  <si>
    <t>FB MK Org. Block Congelado en Bandeja</t>
  </si>
  <si>
    <t>FB WF Org. Block Congelado en Bandeja</t>
  </si>
  <si>
    <t>FT AB Conv. IQF Congelado en Bandeja</t>
  </si>
  <si>
    <t>Frutilla AB Conv. PSP</t>
  </si>
  <si>
    <t>FT AB Conv.</t>
  </si>
  <si>
    <t>FT S/V Conv. IQF Congelado en Bandeja</t>
  </si>
  <si>
    <t>Frutilla S/V V Conv. PSP</t>
  </si>
  <si>
    <t>FT S/V Conv.</t>
  </si>
  <si>
    <t>FT S/V Conv. Block Congelado en Bandeja</t>
  </si>
  <si>
    <t>FT AB Conv. Block Congelado en Bandeja</t>
  </si>
  <si>
    <t>FT S/V Org. IQF Congelado en Bandeja</t>
  </si>
  <si>
    <t>Frutilla S/V V Org. PSP</t>
  </si>
  <si>
    <t>FT S/V Org.</t>
  </si>
  <si>
    <t>FT AB Org. IQF Congelado en Bandeja</t>
  </si>
  <si>
    <t>Frutilla AB Org. PSP</t>
  </si>
  <si>
    <t>FT AB Org.</t>
  </si>
  <si>
    <t>FT S/V Org. Block Congelado en Bandeja</t>
  </si>
  <si>
    <t>FT AB Org. Block Congelado en Bandeja</t>
  </si>
  <si>
    <t>MO S/V Conv. IQF Congelado en Bandeja</t>
  </si>
  <si>
    <t>Mora S/V V Conv. PSP</t>
  </si>
  <si>
    <t>MO S/V Conv.</t>
  </si>
  <si>
    <t>MO S/V Conv. Block Congelado en Bandeja</t>
  </si>
  <si>
    <t>MO S/V Org. IQF Congelado en Bandeja</t>
  </si>
  <si>
    <t>Mora S/V V Org. PSP</t>
  </si>
  <si>
    <t>MO S/V Org.</t>
  </si>
  <si>
    <t>MO S/V Org. Block Congelado en Bandeja</t>
  </si>
  <si>
    <t>FB S/V Conv. S/C PSP 12 kg en Caja</t>
  </si>
  <si>
    <t>FB S/V CONV.</t>
  </si>
  <si>
    <t>FB MK Conv. S/C PSP 12 kg en Caja</t>
  </si>
  <si>
    <t>FB MK CONV.</t>
  </si>
  <si>
    <t>FB WF Conv. S/C PSP 12 kg en Caja</t>
  </si>
  <si>
    <t>FB WF CONV.</t>
  </si>
  <si>
    <t>FB S/V Org. S/C PSP 12 kg en Caja</t>
  </si>
  <si>
    <t xml:space="preserve">Frambuesa S/V Org. </t>
  </si>
  <si>
    <t>FB S/V ORG.</t>
  </si>
  <si>
    <t>FB MK Org. S/C PSP 12 kg en Caja</t>
  </si>
  <si>
    <t>FB MK ORG.</t>
  </si>
  <si>
    <t>FB WF Org. S/C PSP 12 kg en Caja</t>
  </si>
  <si>
    <t>FB WF ORG.</t>
  </si>
  <si>
    <t>FB S/V Conv. IQF A 10 kg en Caja</t>
  </si>
  <si>
    <t>Frambuesa S/V Conv. PTT</t>
  </si>
  <si>
    <t>FB MK Conv. IQF A 10 kg en Caja</t>
  </si>
  <si>
    <t>Frambuesa MK Conv. PTT</t>
  </si>
  <si>
    <t>FB WF Conv. IQF A 10 kg en Caja</t>
  </si>
  <si>
    <t>Frambuesa WF Conv. PTT</t>
  </si>
  <si>
    <t>FB S/V Conv. IQF Retail 10 kg en Caja</t>
  </si>
  <si>
    <t>FB MK Conv. IQF Retail 10 kg en Caja</t>
  </si>
  <si>
    <t>FB WF Conv. IQF Retail 10 kg en Caja</t>
  </si>
  <si>
    <t>FB S/V Org. IQF A 10 kg en Caja</t>
  </si>
  <si>
    <t>Frambuesa S/V Org. PTT</t>
  </si>
  <si>
    <t>FB MK Org. IQF A 10 kg en Caja</t>
  </si>
  <si>
    <t>Frambuesa MK Org. PTT</t>
  </si>
  <si>
    <t>FB WF Org. IQF A 10 kg en Caja</t>
  </si>
  <si>
    <t>Frambuesa WF Org. PTT</t>
  </si>
  <si>
    <t>FB S/V Org. IQF Retail 10 kg en Caja</t>
  </si>
  <si>
    <t>FB MK Org. IQF Retail 10 kg en Caja</t>
  </si>
  <si>
    <t>FB WF Org. IQF Retail 10 kg en Caja</t>
  </si>
  <si>
    <t>FB S/V Conv. S/C Whole and Broken 12 kg en Caja</t>
  </si>
  <si>
    <t>FB S/V Conv. S/C Calidad Jugo 12 kg en Caja</t>
  </si>
  <si>
    <t>FB S/V Org. S/C Whole and Broken 12 kg en Caja</t>
  </si>
  <si>
    <t>FB S/V Org. S/C Calidad Jugo 12 kg en Caja</t>
  </si>
  <si>
    <t>FT AB Conv. S/C PSP 13,61 kg en Caja</t>
  </si>
  <si>
    <t>FT S/V Conv. S/C PSP 13,61 kg en Caja</t>
  </si>
  <si>
    <t>FT AB Conv. C/M IQF A 13,61 kg en Caja</t>
  </si>
  <si>
    <t>Frutilla AB Conv. PTT</t>
  </si>
  <si>
    <t>FT AB Conv. C/S IQF Retail 13,61 kg en Caja</t>
  </si>
  <si>
    <t>FT S/V Conv. C/M IQF A 13,61 kg en Caja</t>
  </si>
  <si>
    <t>Frutilla S/V Conv. PTT</t>
  </si>
  <si>
    <t>FT S/V Conv. C/L IQF A 13,61 kg en Caja</t>
  </si>
  <si>
    <t>FT S/V Conv. C/S IQF Retail 13,61 kg en Caja</t>
  </si>
  <si>
    <t>FT S/V Conv. S/C Calidad Jugo 13,61 kg en Caja</t>
  </si>
  <si>
    <t>FT AB Org. S/C PSP 13,61 kg en Caja</t>
  </si>
  <si>
    <t>FT S/V Org. S/C PSP 13,61 kg en Caja</t>
  </si>
  <si>
    <t>Frutilla S/V Org. PSP</t>
  </si>
  <si>
    <t>FT AB Org. C/M IQF A 13,61 kg en Caja</t>
  </si>
  <si>
    <t>Frutilla AB Org. PTT</t>
  </si>
  <si>
    <t>FT AB Org. C/S IQF Retail 13,61 kg en Caja</t>
  </si>
  <si>
    <t>FT S/V Org. C/M IQF A 13,61 kg en Caja</t>
  </si>
  <si>
    <t>Frutilla S/V Org. PTT</t>
  </si>
  <si>
    <t>FT S/V Org. C/L IQF A 13,61 kg en Caja</t>
  </si>
  <si>
    <t>FT S/V Org. C/S IQF Retail 13,61 kg en Caja</t>
  </si>
  <si>
    <t>FT S/V Org. S/C Calidad Jugo 13,61 kg en Caja</t>
  </si>
  <si>
    <t>AR HB Conv. S/C PSP 13,61 kg en Caja</t>
  </si>
  <si>
    <t>AR HB Conv. PSP</t>
  </si>
  <si>
    <t>AR RY Conv. S/C PSP 13,61 kg en Caja</t>
  </si>
  <si>
    <t>AR RY Conv. PSP</t>
  </si>
  <si>
    <t>AR DK Conv. S/C PSP 13,61 kg en Caja</t>
  </si>
  <si>
    <t>DK</t>
  </si>
  <si>
    <t>AR DK Conv. PSP</t>
  </si>
  <si>
    <t>AR HB Org. S/C PSP 13,61 kg en Caja</t>
  </si>
  <si>
    <t>AR HB Org. PSP</t>
  </si>
  <si>
    <t>AR RY Org. S/C PSP 13,61 kg en Caja</t>
  </si>
  <si>
    <t>AR RY Org. PSP</t>
  </si>
  <si>
    <t>AR DK Org. S/C PSP 13,61 kg en Caja</t>
  </si>
  <si>
    <t>AR DK Org. PSP</t>
  </si>
  <si>
    <t>AR HB Conv. IQF AA 13,61 kg en Caja</t>
  </si>
  <si>
    <t>IQF AA</t>
  </si>
  <si>
    <t>AR HB Conv. PTT</t>
  </si>
  <si>
    <t>AR RY Conv. IQF AA 13,61 kg en Caja</t>
  </si>
  <si>
    <t>AR RY Conv. PTT</t>
  </si>
  <si>
    <t>AR DK Conv. IQF AA 13,61 kg en Caja</t>
  </si>
  <si>
    <t>AR DK Conv. PTT</t>
  </si>
  <si>
    <t>AR HB Conv. IQF A 13,61 kg en Caja</t>
  </si>
  <si>
    <t>AR RY Conv. IQF A 13,61 kg en Caja</t>
  </si>
  <si>
    <t>AR DK Conv. IQF A 13,61 kg en Caja</t>
  </si>
  <si>
    <t>AR HB Conv. IQF Retail 13,61 kg en Caja</t>
  </si>
  <si>
    <t>AR RY Conv. IQF Retail 13,61 kg en Caja</t>
  </si>
  <si>
    <t>AR DK Conv. IQF Retail 13,61 kg en Caja</t>
  </si>
  <si>
    <t>AR HB Org. IQF AA 13,61 kg en Caja</t>
  </si>
  <si>
    <t>AR HB Org. PTT</t>
  </si>
  <si>
    <t>AR RY Org. IQF AA 13,61 kg en Caja</t>
  </si>
  <si>
    <t>AR DK Org. IQF AA 13,61 kg en Caja</t>
  </si>
  <si>
    <t>AR DK Org. PTT</t>
  </si>
  <si>
    <t>AR HB Org. IQF A 13,61 kg en Caja</t>
  </si>
  <si>
    <t>AR RY Org. IQF A 13,61 kg en Caja</t>
  </si>
  <si>
    <t>AR DK Org. IQF A 13,61 kg en Caja</t>
  </si>
  <si>
    <t>AR HB Org. IQF Retail 13,61 kg en Caja</t>
  </si>
  <si>
    <t>AR RY Org. IQF Retail 13,61 kg en Caja</t>
  </si>
  <si>
    <t>AR DK Org. IQF Retail 13,61 kg en Caja</t>
  </si>
  <si>
    <t>AR S/V Conv. S/C Calidad Jugo 13.61 kg en Caja</t>
  </si>
  <si>
    <t>AR S/V Org. S/C Calidad Jugo 13.61 kg en Caja</t>
  </si>
  <si>
    <t>AR S/V Org. PSP</t>
  </si>
  <si>
    <t>ENTYCE Creative Gourmet Blueberries 8x300 gr</t>
  </si>
  <si>
    <t>MO S/V Org. S/C PSP 12 kg en Caja</t>
  </si>
  <si>
    <t>12 KG</t>
  </si>
  <si>
    <t>MO S/V Org. PSP</t>
  </si>
  <si>
    <t>MO S/V Org. S/C Calidad Jugo 12 kg en Caja</t>
  </si>
  <si>
    <t>MO S/V Org. IQF Retail 12 kg en Caja</t>
  </si>
  <si>
    <t>MO S/V Org. PTT</t>
  </si>
  <si>
    <t>FB MK Conv. IQF A 4x2.5 kg en Caja</t>
  </si>
  <si>
    <t>4x2,5kg</t>
  </si>
  <si>
    <t>FB MK Conv. IQF Retail 4x2.5 kg en Caja</t>
  </si>
  <si>
    <t>TRIPLE MIX S/V CONV.</t>
  </si>
  <si>
    <t>DESECHO VEGETAL</t>
  </si>
  <si>
    <t>Triple Mix Berries Conv. Calidad Jugo</t>
  </si>
  <si>
    <t>FB WF Org. IQF Retail 4x2.5 kg en Caja</t>
  </si>
  <si>
    <t>FB WF Org. IQF A 4x2.5 kg en Caja</t>
  </si>
  <si>
    <t>FB WF Org. S/C PSP 4x2,5 kg en Caja</t>
  </si>
  <si>
    <t>FB MK Conv. S/C PSP 4x2.5 kg en Caja</t>
  </si>
  <si>
    <t>MO S/V Org. IQF A 13,61 kg en caja</t>
  </si>
  <si>
    <t>Mora S/V Org. PTT</t>
  </si>
  <si>
    <t>MO S/V Org. IQF A 12 kg en caja</t>
  </si>
  <si>
    <t>Fecha</t>
  </si>
  <si>
    <t>Semana</t>
  </si>
  <si>
    <t>Turno</t>
  </si>
  <si>
    <t>Sala</t>
  </si>
  <si>
    <t>Código</t>
  </si>
  <si>
    <t>Descripción del Producto</t>
  </si>
  <si>
    <t>N° Pallet</t>
  </si>
  <si>
    <t>N° Lote</t>
  </si>
  <si>
    <t>Muestra</t>
  </si>
  <si>
    <t>Hora Monitoreo</t>
  </si>
  <si>
    <t>Peso Bolsa</t>
  </si>
  <si>
    <t>Peso Caja P.T.</t>
  </si>
  <si>
    <t xml:space="preserve">T° Prod. </t>
  </si>
  <si>
    <t>Sellado Bolsa</t>
  </si>
  <si>
    <t>Sellado Caja</t>
  </si>
  <si>
    <t>% de IQF</t>
  </si>
  <si>
    <t>Desviación de Color</t>
  </si>
  <si>
    <t>% Desv. Color (≤5%)</t>
  </si>
  <si>
    <t>Sobremaduro</t>
  </si>
  <si>
    <t>% Sobremaduro (≤6%)</t>
  </si>
  <si>
    <t>Daño Mécanico</t>
  </si>
  <si>
    <t>% Daño Mécanico (≤6%)</t>
  </si>
  <si>
    <t>Daño Insecto</t>
  </si>
  <si>
    <t>% Daño Insc. (≤5%)</t>
  </si>
  <si>
    <t>% Block (≤5%)</t>
  </si>
  <si>
    <t>Mohos</t>
  </si>
  <si>
    <t>% Mohos (0%)</t>
  </si>
  <si>
    <t>Caliz (Und.) (≤2)</t>
  </si>
  <si>
    <t>Larvas (Und.)</t>
  </si>
  <si>
    <t>Descripción extra 1</t>
  </si>
  <si>
    <t>Valor Extra 1</t>
  </si>
  <si>
    <t>% Extra 1</t>
  </si>
  <si>
    <t>Descripción Extra 2</t>
  </si>
  <si>
    <t>Valor Extra 2</t>
  </si>
  <si>
    <t>% Extra 2</t>
  </si>
  <si>
    <t>Calibre &gt;16</t>
  </si>
  <si>
    <t>% &gt;16</t>
  </si>
  <si>
    <t>Calibre &lt;16</t>
  </si>
  <si>
    <t>% &lt;16</t>
  </si>
  <si>
    <t>Palos (Un.) (≤18)</t>
  </si>
  <si>
    <t>Caliz (Un.) (≤18)</t>
  </si>
  <si>
    <t>Hojas (Un.) (≤18)</t>
  </si>
  <si>
    <t>Larvas (Un.) (≤24)</t>
  </si>
  <si>
    <t>Vidrio (Un.) (0)</t>
  </si>
  <si>
    <t>Madera (Un.) (0)</t>
  </si>
  <si>
    <t>Plástico (Un.) (0)</t>
  </si>
  <si>
    <t>°Brix (≥8°)</t>
  </si>
  <si>
    <t>Sabor</t>
  </si>
  <si>
    <t>Olor</t>
  </si>
  <si>
    <t>Suma Defectos</t>
  </si>
  <si>
    <t>% Defectos</t>
  </si>
  <si>
    <t>Observaciones</t>
  </si>
  <si>
    <t>% IQF</t>
  </si>
  <si>
    <t>Nombre del/la Análista</t>
  </si>
  <si>
    <t>Mat. Extr. Endo.</t>
  </si>
  <si>
    <t>Mat. Extr. Exo.</t>
  </si>
  <si>
    <t>Filtro Producto</t>
  </si>
  <si>
    <t>Filtro Lote</t>
  </si>
  <si>
    <t>Filtro Pallet</t>
  </si>
  <si>
    <t xml:space="preserve"> 08:40</t>
  </si>
  <si>
    <t>C</t>
  </si>
  <si>
    <t>Mat.Extraña (unid)</t>
  </si>
  <si>
    <t>S/A</t>
  </si>
  <si>
    <t>S/O</t>
  </si>
  <si>
    <t>Benjamin Navarro</t>
  </si>
  <si>
    <t>aplastado</t>
  </si>
  <si>
    <t>golpe de sol</t>
  </si>
  <si>
    <t>Fernanda Delgado</t>
  </si>
  <si>
    <t>Materia Vegetal (unid)</t>
  </si>
  <si>
    <t xml:space="preserve">deshidratado </t>
  </si>
  <si>
    <t>-</t>
  </si>
  <si>
    <t xml:space="preserve">Producto no pasado por DM </t>
  </si>
  <si>
    <t xml:space="preserve">Fernanda Jara </t>
  </si>
  <si>
    <t>8,6% desviación de color. Se da aviso a supervisora.</t>
  </si>
  <si>
    <t>Tonka Irarrazabal</t>
  </si>
  <si>
    <t>9,1% desviación de color. Se da aviso a supervisora</t>
  </si>
  <si>
    <t>Ingrid Llanquileo</t>
  </si>
  <si>
    <t xml:space="preserve"> PSP</t>
  </si>
  <si>
    <t/>
  </si>
  <si>
    <t xml:space="preserve"> </t>
  </si>
  <si>
    <t xml:space="preserve"> PTT</t>
  </si>
  <si>
    <t>(Todas)</t>
  </si>
  <si>
    <t>Etiquetas de fila</t>
  </si>
  <si>
    <t>Promedio de % de IQF</t>
  </si>
  <si>
    <t>Promedio de % Desv. Color (≤5%)</t>
  </si>
  <si>
    <t>Promedio de % Sobremaduro (≤6%)</t>
  </si>
  <si>
    <t>Promedio de % Daño Mécanico (≤6%)</t>
  </si>
  <si>
    <t>Promedio de % Daño Insc. (≤5%)</t>
  </si>
  <si>
    <t>Promedio de % Block (≤5%)</t>
  </si>
  <si>
    <t>Promedio de % Mohos (0%)</t>
  </si>
  <si>
    <t>Promedio de Caliz (Und.) (≤2)</t>
  </si>
  <si>
    <t>Promedio de Larvas (Und.)</t>
  </si>
  <si>
    <t>Promedio de Mat. Extr. Endo.</t>
  </si>
  <si>
    <t>Promedio de Mat. Extr. Exo.</t>
  </si>
  <si>
    <t>(en blanco)</t>
  </si>
  <si>
    <t>Total general</t>
  </si>
  <si>
    <t>Suma de % Desv. Color (≤5%)</t>
  </si>
  <si>
    <t>Suma de % Sobremaduro (≤6%)</t>
  </si>
  <si>
    <t>Suma de % Daño Mécanico (≤6%)</t>
  </si>
  <si>
    <t>Suma de % Daño Insc. (≤5%)</t>
  </si>
  <si>
    <t>Suma de % Block (≤5%)</t>
  </si>
  <si>
    <t>Suma de % Mohos (0%)</t>
  </si>
  <si>
    <t>Suma de Caliz (Und.) (≤2)</t>
  </si>
  <si>
    <t>Suma de Larvas (Und.)</t>
  </si>
  <si>
    <t>Suma de Mat. Extr. Endo.</t>
  </si>
  <si>
    <t>Suma de Mat. Extr. Exo.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</si>
</sst>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;\-0;&quot;-&quot;"/>
    <numFmt numFmtId="167" formatCode="0.0;\-0.0;&quot;-&quot;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slantDashDot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165" fontId="2" fillId="2" borderId="0" xfId="1" applyNumberFormat="1" applyFont="1" applyFill="1" applyBorder="1" applyAlignment="1">
      <alignment horizontal="left"/>
    </xf>
    <xf numFmtId="166" fontId="2" fillId="2" borderId="0" xfId="0" applyNumberFormat="1" applyFont="1" applyFill="1" applyAlignment="1">
      <alignment horizontal="left"/>
    </xf>
    <xf numFmtId="166" fontId="2" fillId="3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0" fontId="0" fillId="0" borderId="0" xfId="0" pivotButton="1"/>
    <xf numFmtId="165" fontId="0" fillId="0" borderId="0" xfId="0" applyNumberFormat="1"/>
    <xf numFmtId="0" fontId="4" fillId="0" borderId="0" xfId="0" applyFont="1"/>
    <xf numFmtId="0" fontId="4" fillId="0" borderId="0" xfId="0" pivotButton="1" applyFont="1"/>
    <xf numFmtId="1" fontId="0" fillId="0" borderId="0" xfId="0" applyNumberFormat="1"/>
    <xf numFmtId="1" fontId="4" fillId="0" borderId="0" xfId="0" applyNumberFormat="1" applyFont="1"/>
    <xf numFmtId="14" fontId="0" fillId="0" borderId="0" xfId="0" applyNumberFormat="1"/>
    <xf numFmtId="165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6" fillId="4" borderId="4" xfId="1" applyNumberFormat="1" applyFont="1" applyFill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165" fontId="5" fillId="4" borderId="4" xfId="1" applyNumberFormat="1" applyFont="1" applyFill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" fontId="5" fillId="4" borderId="4" xfId="1" applyNumberFormat="1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5" fontId="5" fillId="0" borderId="0" xfId="1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2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orcentaje" xfId="1" builtinId="5"/>
  </cellStyles>
  <dxfs count="19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0" indent="0" justifyLastLine="0" shrinkToFit="0" readingOrder="0"/>
      <border outline="0">
        <left style="medium">
          <color auto="1"/>
        </left>
        <right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right style="medium">
          <color auto="1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7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>
        <left style="slantDashDot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medium">
          <color auto="1"/>
        </left>
        <right style="medium">
          <color auto="1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medium">
          <color indexed="64"/>
        </left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 outline="0">
        <left/>
        <right style="slantDashDot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 outline="0">
        <left style="slantDashDot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right style="medium">
          <color auto="1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double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double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vertical="bottom" textRotation="0" wrapText="0" indent="0" justifyLastLine="0" shrinkToFit="0" readingOrder="0"/>
      <border outline="0">
        <left style="medium">
          <color auto="1"/>
        </left>
        <right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right style="medium">
          <color auto="1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7" formatCode="0.0;\-0.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slantDashDot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medium">
          <color auto="1"/>
        </left>
        <right style="medium">
          <color auto="1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medium">
          <color indexed="64"/>
        </left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 outline="0">
        <left/>
        <right style="slantDashDot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diagonalUp="0" diagonalDown="0" outline="0">
        <left style="slantDashDot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  <border outline="0">
        <right style="medium">
          <color auto="1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6" formatCode="0;\-0;&quot;-&quot;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.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double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double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165" formatCode="0.0%"/>
    </dxf>
    <dxf>
      <numFmt numFmtId="1" formatCode="0"/>
    </dxf>
    <dxf>
      <numFmt numFmtId="1" formatCode="0"/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1/relationships/timelineCache" Target="timelineCaches/timeline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123825</xdr:colOff>
      <xdr:row>7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4255CC52-2E2E-9D7F-ED34-70B4CC6BFF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175260</xdr:colOff>
      <xdr:row>7</xdr:row>
      <xdr:rowOff>91440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 2">
              <a:extLst>
                <a:ext uri="{FF2B5EF4-FFF2-40B4-BE49-F238E27FC236}">
                  <a16:creationId xmlns:a16="http://schemas.microsoft.com/office/drawing/2014/main" id="{F8EFB031-DE00-E78A-D32D-29E5C24387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91440</xdr:colOff>
      <xdr:row>7</xdr:row>
      <xdr:rowOff>91440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 1">
              <a:extLst>
                <a:ext uri="{FF2B5EF4-FFF2-40B4-BE49-F238E27FC236}">
                  <a16:creationId xmlns:a16="http://schemas.microsoft.com/office/drawing/2014/main" id="{27D6F4D6-3AB0-65F0-A1C8-37E0519072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igitador Calidad" refreshedDate="46073.457235532405" createdVersion="8" refreshedVersion="8" minRefreshableVersion="3" recordCount="90" xr:uid="{CB1C016D-C7EE-44CA-B803-ADC4616E4911}">
  <cacheSource type="worksheet">
    <worksheetSource name="BD_MR_RF"/>
  </cacheSource>
  <cacheFields count="61">
    <cacheField name="Fecha" numFmtId="0">
      <sharedItems containsNonDate="0" containsDate="1" containsString="0" containsBlank="1" minDate="2026-01-15T00:00:00" maxDate="2026-01-18T00:00:00" count="3">
        <d v="2026-01-15T00:00:00"/>
        <d v="2026-01-17T00:00:00"/>
        <m/>
      </sharedItems>
    </cacheField>
    <cacheField name="Semana" numFmtId="0">
      <sharedItems containsSemiMixedTypes="0" containsString="0" containsNumber="1" containsInteger="1" minValue="3" maxValue="52"/>
    </cacheField>
    <cacheField name="Turno" numFmtId="0">
      <sharedItems containsString="0" containsBlank="1" containsNumber="1" containsInteger="1" minValue="1" maxValue="2"/>
    </cacheField>
    <cacheField name="Sala" numFmtId="0">
      <sharedItems containsString="0" containsBlank="1" containsNumber="1" containsInteger="1" minValue="3" maxValue="3"/>
    </cacheField>
    <cacheField name="Código" numFmtId="0">
      <sharedItems containsString="0" containsBlank="1" containsNumber="1" containsInteger="1" minValue="304231000" maxValue="304231000"/>
    </cacheField>
    <cacheField name="Descripción del Producto" numFmtId="0">
      <sharedItems count="2">
        <s v="MO S/V Org. S/C PSP 12 kg en Caja"/>
        <s v=""/>
      </sharedItems>
    </cacheField>
    <cacheField name="Familia Calidad" numFmtId="0">
      <sharedItems/>
    </cacheField>
    <cacheField name="N° Pallet" numFmtId="0">
      <sharedItems containsString="0" containsBlank="1" containsNumber="1" containsInteger="1" minValue="21219" maxValue="49441" count="27">
        <n v="21219"/>
        <n v="21220"/>
        <n v="21221"/>
        <n v="21222"/>
        <n v="21223"/>
        <n v="21250"/>
        <n v="21251"/>
        <n v="21252"/>
        <n v="21253"/>
        <n v="21254"/>
        <n v="21255"/>
        <n v="21519"/>
        <n v="21520"/>
        <n v="21522"/>
        <n v="21523"/>
        <n v="21524"/>
        <n v="21560"/>
        <n v="49438"/>
        <n v="49439"/>
        <n v="49440"/>
        <n v="49441"/>
        <n v="21561"/>
        <n v="49434"/>
        <n v="49435"/>
        <n v="49436"/>
        <n v="49437"/>
        <m/>
      </sharedItems>
    </cacheField>
    <cacheField name="N° Lote" numFmtId="0">
      <sharedItems containsString="0" containsBlank="1" containsNumber="1" containsInteger="1" minValue="7830" maxValue="304903" count="3">
        <n v="7830"/>
        <n v="304903"/>
        <m/>
      </sharedItems>
    </cacheField>
    <cacheField name="Muestra" numFmtId="3">
      <sharedItems containsSemiMixedTypes="0" containsString="0" containsNumber="1" containsInteger="1" minValue="1000" maxValue="1000"/>
    </cacheField>
    <cacheField name="Hora Monitoreo" numFmtId="0">
      <sharedItems containsDate="1" containsBlank="1" containsMixedTypes="1" minDate="1899-12-30T08:58:00" maxDate="1899-12-30T22:36:00"/>
    </cacheField>
    <cacheField name="Peso Bolsa" numFmtId="0">
      <sharedItems/>
    </cacheField>
    <cacheField name="Peso Caja P.T." numFmtId="3">
      <sharedItems containsString="0" containsBlank="1" containsNumber="1" containsInteger="1" minValue="12515" maxValue="12595"/>
    </cacheField>
    <cacheField name="T° Prod. " numFmtId="164">
      <sharedItems containsString="0" containsBlank="1" containsNumber="1" minValue="-15.5" maxValue="-6.9"/>
    </cacheField>
    <cacheField name="Sellado Bolsa" numFmtId="0">
      <sharedItems/>
    </cacheField>
    <cacheField name="Sellado Caja" numFmtId="0">
      <sharedItems/>
    </cacheField>
    <cacheField name="% de IQF" numFmtId="165">
      <sharedItems containsSemiMixedTypes="0" containsString="0" containsNumber="1" minValue="0.69899999999999995" maxValue="1"/>
    </cacheField>
    <cacheField name="Desviación de Color" numFmtId="166">
      <sharedItems containsSemiMixedTypes="0" containsString="0" containsNumber="1" containsInteger="1" minValue="0" maxValue="90"/>
    </cacheField>
    <cacheField name="% Desv. Color (≤5%)" numFmtId="165">
      <sharedItems containsSemiMixedTypes="0" containsString="0" containsNumber="1" minValue="0" maxValue="0.09"/>
    </cacheField>
    <cacheField name="Sobremaduro" numFmtId="166">
      <sharedItems containsSemiMixedTypes="0" containsString="0" containsNumber="1" containsInteger="1" minValue="0" maxValue="0"/>
    </cacheField>
    <cacheField name="% Sobremaduro (≤6%)" numFmtId="165">
      <sharedItems containsSemiMixedTypes="0" containsString="0" containsNumber="1" containsInteger="1" minValue="0" maxValue="0"/>
    </cacheField>
    <cacheField name="Daño Mécanico" numFmtId="166">
      <sharedItems containsSemiMixedTypes="0" containsString="0" containsNumber="1" containsInteger="1" minValue="0" maxValue="22"/>
    </cacheField>
    <cacheField name="% Daño Mécanico (≤6%)" numFmtId="165">
      <sharedItems containsSemiMixedTypes="0" containsString="0" containsNumber="1" minValue="0" maxValue="2.1999999999999999E-2"/>
    </cacheField>
    <cacheField name="Daño Insecto" numFmtId="166">
      <sharedItems containsSemiMixedTypes="0" containsString="0" containsNumber="1" containsInteger="1" minValue="0" maxValue="143"/>
    </cacheField>
    <cacheField name="% Daño Insc. (≤5%)" numFmtId="165">
      <sharedItems containsSemiMixedTypes="0" containsString="0" containsNumber="1" minValue="0" maxValue="0.14299999999999999"/>
    </cacheField>
    <cacheField name="Block" numFmtId="166">
      <sharedItems containsSemiMixedTypes="0" containsString="0" containsNumber="1" containsInteger="1" minValue="0" maxValue="133"/>
    </cacheField>
    <cacheField name="% Block (≤5%)" numFmtId="165">
      <sharedItems containsSemiMixedTypes="0" containsString="0" containsNumber="1" minValue="0" maxValue="0.13300000000000001"/>
    </cacheField>
    <cacheField name="Mohos" numFmtId="166">
      <sharedItems containsSemiMixedTypes="0" containsString="0" containsNumber="1" containsInteger="1" minValue="0" maxValue="45"/>
    </cacheField>
    <cacheField name="% Mohos (0%)" numFmtId="165">
      <sharedItems containsSemiMixedTypes="0" containsString="0" containsNumber="1" minValue="0" maxValue="4.4999999999999998E-2"/>
    </cacheField>
    <cacheField name="Caliz (Und.) (≤2)" numFmtId="166">
      <sharedItems containsSemiMixedTypes="0" containsString="0" containsNumber="1" containsInteger="1" minValue="0" maxValue="8"/>
    </cacheField>
    <cacheField name="Larvas (Und.)" numFmtId="166">
      <sharedItems containsSemiMixedTypes="0" containsString="0" containsNumber="1" containsInteger="1" minValue="0" maxValue="0"/>
    </cacheField>
    <cacheField name="Descripción extra 1" numFmtId="166">
      <sharedItems containsBlank="1"/>
    </cacheField>
    <cacheField name="Valor Extra 1" numFmtId="166">
      <sharedItems containsSemiMixedTypes="0" containsString="0" containsNumber="1" containsInteger="1" minValue="0" maxValue="40"/>
    </cacheField>
    <cacheField name="% Extra 1" numFmtId="165">
      <sharedItems containsString="0" containsBlank="1" containsNumber="1" minValue="0" maxValue="1.4999999999999999E-2"/>
    </cacheField>
    <cacheField name="Descripción Extra 2" numFmtId="166">
      <sharedItems containsNonDate="0" containsString="0" containsBlank="1"/>
    </cacheField>
    <cacheField name="Valor Extra 2" numFmtId="166">
      <sharedItems containsSemiMixedTypes="0" containsString="0" containsNumber="1" containsInteger="1" minValue="0" maxValue="0"/>
    </cacheField>
    <cacheField name="% Extra 2" numFmtId="165">
      <sharedItems containsSemiMixedTypes="0" containsString="0" containsNumber="1" containsInteger="1" minValue="0" maxValue="0"/>
    </cacheField>
    <cacheField name="Calibre &gt;16" numFmtId="0">
      <sharedItems containsSemiMixedTypes="0" containsString="0" containsNumber="1" containsInteger="1" minValue="0" maxValue="0"/>
    </cacheField>
    <cacheField name="% &gt;16" numFmtId="165">
      <sharedItems containsSemiMixedTypes="0" containsString="0" containsNumber="1" containsInteger="1" minValue="0" maxValue="0"/>
    </cacheField>
    <cacheField name="Calibre &lt;16" numFmtId="0">
      <sharedItems containsSemiMixedTypes="0" containsString="0" containsNumber="1" containsInteger="1" minValue="0" maxValue="0"/>
    </cacheField>
    <cacheField name="% &lt;16" numFmtId="165">
      <sharedItems containsSemiMixedTypes="0" containsString="0" containsNumber="1" containsInteger="1" minValue="0" maxValue="0"/>
    </cacheField>
    <cacheField name="Palos (Un.) (≤18)" numFmtId="0">
      <sharedItems containsBlank="1"/>
    </cacheField>
    <cacheField name="Caliz (Un.) (≤18)" numFmtId="0">
      <sharedItems containsBlank="1"/>
    </cacheField>
    <cacheField name="Hojas (Un.) (≤18)" numFmtId="0">
      <sharedItems containsBlank="1"/>
    </cacheField>
    <cacheField name="Larvas (Un.) (≤24)" numFmtId="0">
      <sharedItems containsBlank="1"/>
    </cacheField>
    <cacheField name="Vidrio (Un.) (0)" numFmtId="0">
      <sharedItems containsBlank="1"/>
    </cacheField>
    <cacheField name="Madera (Un.) (0)" numFmtId="0">
      <sharedItems containsBlank="1"/>
    </cacheField>
    <cacheField name="Plástico (Un.) (0)" numFmtId="0">
      <sharedItems containsBlank="1"/>
    </cacheField>
    <cacheField name="°Brix (≥8°)" numFmtId="167">
      <sharedItems containsMixedTypes="1" containsNumber="1" minValue="11.4" maxValue="16.100000000000001"/>
    </cacheField>
    <cacheField name="Sabor" numFmtId="0">
      <sharedItems/>
    </cacheField>
    <cacheField name="Olor" numFmtId="0">
      <sharedItems/>
    </cacheField>
    <cacheField name="Suma Defectos" numFmtId="1">
      <sharedItems containsSemiMixedTypes="0" containsString="0" containsNumber="1" containsInteger="1" minValue="0" maxValue="301"/>
    </cacheField>
    <cacheField name="% Defectos" numFmtId="165">
      <sharedItems containsSemiMixedTypes="0" containsString="0" containsNumber="1" minValue="0" maxValue="0.30100000000000005"/>
    </cacheField>
    <cacheField name="Observaciones" numFmtId="0">
      <sharedItems containsBlank="1"/>
    </cacheField>
    <cacheField name="% IQF" numFmtId="165">
      <sharedItems containsSemiMixedTypes="0" containsString="0" containsNumber="1" minValue="0.69899999999999995" maxValue="1"/>
    </cacheField>
    <cacheField name="Nombre del/la Análista" numFmtId="0">
      <sharedItems containsBlank="1"/>
    </cacheField>
    <cacheField name="Mat. Extr. Endo." numFmtId="0">
      <sharedItems containsSemiMixedTypes="0" containsString="0" containsNumber="1" containsInteger="1" minValue="0" maxValue="0"/>
    </cacheField>
    <cacheField name="Mat. Extr. Exo." numFmtId="0">
      <sharedItems containsSemiMixedTypes="0" containsString="0" containsNumber="1" containsInteger="1" minValue="0" maxValue="0"/>
    </cacheField>
    <cacheField name="Filtro Producto" numFmtId="0">
      <sharedItems count="2">
        <s v="MO S/V Org. S/C PSP 12 kg en Caja"/>
        <s v=""/>
      </sharedItems>
    </cacheField>
    <cacheField name="Filtro Lote" numFmtId="0">
      <sharedItems containsMixedTypes="1" containsNumber="1" containsInteger="1" minValue="7830" maxValue="304903" count="3">
        <n v="7830"/>
        <n v="304903"/>
        <s v=""/>
      </sharedItems>
    </cacheField>
    <cacheField name="Filtro Pallet" numFmtId="0">
      <sharedItems containsMixedTypes="1" containsNumber="1" containsInteger="1" minValue="21219" maxValue="49441" count="27">
        <n v="21219"/>
        <n v="21220"/>
        <n v="21221"/>
        <n v="21222"/>
        <n v="21223"/>
        <n v="21250"/>
        <n v="21251"/>
        <n v="21252"/>
        <n v="21253"/>
        <n v="21254"/>
        <n v="21255"/>
        <n v="21519"/>
        <n v="21520"/>
        <n v="21522"/>
        <n v="21523"/>
        <n v="21524"/>
        <n v="21560"/>
        <n v="49438"/>
        <n v="49439"/>
        <n v="49440"/>
        <n v="49441"/>
        <n v="21561"/>
        <n v="49434"/>
        <n v="49435"/>
        <n v="49436"/>
        <n v="49437"/>
        <s v=""/>
      </sharedItems>
    </cacheField>
  </cacheFields>
  <extLst>
    <ext xmlns:x14="http://schemas.microsoft.com/office/spreadsheetml/2009/9/main" uri="{725AE2AE-9491-48be-B2B4-4EB974FC3084}">
      <x14:pivotCacheDefinition pivotCacheId="152110647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igitador Calidad" refreshedDate="46073.466287962961" createdVersion="8" refreshedVersion="8" minRefreshableVersion="3" recordCount="149" xr:uid="{49562419-441A-42DF-AC2D-4634E1FCF88F}">
  <cacheSource type="worksheet">
    <worksheetSource name="DB_MR_TOTAL"/>
  </cacheSource>
  <cacheFields count="61">
    <cacheField name="Fecha" numFmtId="22">
      <sharedItems containsNonDate="0" containsDate="1" containsString="0" containsBlank="1" minDate="2026-01-15T00:00:00" maxDate="2026-02-20T00:00:00" count="4">
        <d v="2026-01-15T00:00:00"/>
        <d v="2026-01-17T00:00:00"/>
        <m/>
        <d v="2026-02-19T00:00:00"/>
      </sharedItems>
    </cacheField>
    <cacheField name="Semana" numFmtId="0">
      <sharedItems containsSemiMixedTypes="0" containsString="0" containsNumber="1" containsInteger="1" minValue="3" maxValue="52"/>
    </cacheField>
    <cacheField name="Turno" numFmtId="0">
      <sharedItems containsString="0" containsBlank="1" containsNumber="1" containsInteger="1" minValue="1" maxValue="2"/>
    </cacheField>
    <cacheField name="Sala" numFmtId="0">
      <sharedItems containsString="0" containsBlank="1" containsNumber="1" containsInteger="1" minValue="1" maxValue="3"/>
    </cacheField>
    <cacheField name="Código" numFmtId="0">
      <sharedItems containsString="0" containsBlank="1" containsNumber="1" containsInteger="1" minValue="304231000" maxValue="404221000"/>
    </cacheField>
    <cacheField name="Descripción del Producto" numFmtId="0">
      <sharedItems count="3">
        <s v="MO S/V Org. S/C PSP 12 kg en Caja"/>
        <s v=""/>
        <s v="MO S/V Org. IQF A 13,61 kg en caja"/>
      </sharedItems>
    </cacheField>
    <cacheField name="Familia Calidad" numFmtId="0">
      <sharedItems/>
    </cacheField>
    <cacheField name="N° Pallet" numFmtId="0">
      <sharedItems containsString="0" containsBlank="1" containsNumber="1" containsInteger="1" minValue="21219" maxValue="49441" count="30">
        <n v="21219"/>
        <n v="21220"/>
        <n v="21221"/>
        <n v="21222"/>
        <n v="21223"/>
        <n v="21250"/>
        <n v="21251"/>
        <n v="21252"/>
        <n v="21253"/>
        <n v="21254"/>
        <n v="21255"/>
        <n v="21519"/>
        <n v="21520"/>
        <n v="21522"/>
        <n v="21523"/>
        <n v="21524"/>
        <n v="21560"/>
        <n v="49438"/>
        <n v="49439"/>
        <n v="49440"/>
        <n v="49441"/>
        <n v="21561"/>
        <n v="49434"/>
        <n v="49435"/>
        <n v="49436"/>
        <n v="49437"/>
        <m/>
        <n v="37472"/>
        <n v="37473"/>
        <n v="37859"/>
      </sharedItems>
    </cacheField>
    <cacheField name="N° Lote" numFmtId="0">
      <sharedItems containsString="0" containsBlank="1" containsNumber="1" containsInteger="1" minValue="7830" maxValue="304903" count="4">
        <n v="7830"/>
        <n v="304903"/>
        <m/>
        <n v="11681"/>
      </sharedItems>
    </cacheField>
    <cacheField name="Muestra" numFmtId="0">
      <sharedItems containsSemiMixedTypes="0" containsString="0" containsNumber="1" containsInteger="1" minValue="1000" maxValue="1000"/>
    </cacheField>
    <cacheField name="Hora Monitoreo" numFmtId="0">
      <sharedItems containsBlank="1" containsMixedTypes="1" containsNumber="1" minValue="0.37361111111111112" maxValue="0.94166666666666665"/>
    </cacheField>
    <cacheField name="Peso Bolsa" numFmtId="0">
      <sharedItems/>
    </cacheField>
    <cacheField name="Peso Caja P.T." numFmtId="0">
      <sharedItems containsString="0" containsBlank="1" containsNumber="1" containsInteger="1" minValue="12515" maxValue="14163"/>
    </cacheField>
    <cacheField name="T° Prod. " numFmtId="0">
      <sharedItems containsString="0" containsBlank="1" containsNumber="1" minValue="-15.5" maxValue="-6.9"/>
    </cacheField>
    <cacheField name="Sellado Bolsa" numFmtId="0">
      <sharedItems/>
    </cacheField>
    <cacheField name="Sellado Caja" numFmtId="0">
      <sharedItems/>
    </cacheField>
    <cacheField name="% de IQF" numFmtId="0">
      <sharedItems containsSemiMixedTypes="0" containsString="0" containsNumber="1" minValue="0.69899999999999995" maxValue="1"/>
    </cacheField>
    <cacheField name="Desviación de Color" numFmtId="0">
      <sharedItems containsSemiMixedTypes="0" containsString="0" containsNumber="1" containsInteger="1" minValue="0" maxValue="91"/>
    </cacheField>
    <cacheField name="% Desv. Color (≤5%)" numFmtId="0">
      <sharedItems containsSemiMixedTypes="0" containsString="0" containsNumber="1" minValue="0" maxValue="9.0999999999999998E-2"/>
    </cacheField>
    <cacheField name="Sobremaduro" numFmtId="0">
      <sharedItems containsSemiMixedTypes="0" containsString="0" containsNumber="1" containsInteger="1" minValue="0" maxValue="5"/>
    </cacheField>
    <cacheField name="% Sobremaduro (≤6%)" numFmtId="0">
      <sharedItems containsSemiMixedTypes="0" containsString="0" containsNumber="1" minValue="0" maxValue="5.0000000000000001E-3"/>
    </cacheField>
    <cacheField name="Daño Mécanico" numFmtId="0">
      <sharedItems containsSemiMixedTypes="0" containsString="0" containsNumber="1" containsInteger="1" minValue="0" maxValue="24"/>
    </cacheField>
    <cacheField name="% Daño Mécanico (≤6%)" numFmtId="0">
      <sharedItems containsSemiMixedTypes="0" containsString="0" containsNumber="1" minValue="0" maxValue="2.4E-2"/>
    </cacheField>
    <cacheField name="Daño Insecto" numFmtId="0">
      <sharedItems containsSemiMixedTypes="0" containsString="0" containsNumber="1" containsInteger="1" minValue="0" maxValue="143"/>
    </cacheField>
    <cacheField name="% Daño Insc. (≤5%)" numFmtId="0">
      <sharedItems containsSemiMixedTypes="0" containsString="0" containsNumber="1" minValue="0" maxValue="0.14299999999999999"/>
    </cacheField>
    <cacheField name="Block" numFmtId="0">
      <sharedItems containsSemiMixedTypes="0" containsString="0" containsNumber="1" containsInteger="1" minValue="0" maxValue="133"/>
    </cacheField>
    <cacheField name="% Block (≤5%)" numFmtId="0">
      <sharedItems containsSemiMixedTypes="0" containsString="0" containsNumber="1" minValue="0" maxValue="0.13300000000000001"/>
    </cacheField>
    <cacheField name="Mohos" numFmtId="0">
      <sharedItems containsSemiMixedTypes="0" containsString="0" containsNumber="1" containsInteger="1" minValue="0" maxValue="45"/>
    </cacheField>
    <cacheField name="% Mohos (0%)" numFmtId="0">
      <sharedItems containsSemiMixedTypes="0" containsString="0" containsNumber="1" minValue="0" maxValue="4.4999999999999998E-2"/>
    </cacheField>
    <cacheField name="Caliz (Und.) (≤2)" numFmtId="0">
      <sharedItems containsSemiMixedTypes="0" containsString="0" containsNumber="1" containsInteger="1" minValue="0" maxValue="8"/>
    </cacheField>
    <cacheField name="Larvas (Und.)" numFmtId="0">
      <sharedItems containsSemiMixedTypes="0" containsString="0" containsNumber="1" containsInteger="1" minValue="0" maxValue="5"/>
    </cacheField>
    <cacheField name="Descripción extra 1" numFmtId="0">
      <sharedItems containsBlank="1"/>
    </cacheField>
    <cacheField name="Valor Extra 1" numFmtId="0">
      <sharedItems containsSemiMixedTypes="0" containsString="0" containsNumber="1" containsInteger="1" minValue="0" maxValue="40"/>
    </cacheField>
    <cacheField name="% Extra 1" numFmtId="0">
      <sharedItems containsString="0" containsBlank="1" containsNumber="1" minValue="0" maxValue="1.4999999999999999E-2"/>
    </cacheField>
    <cacheField name="Descripción Extra 2" numFmtId="0">
      <sharedItems containsNonDate="0" containsString="0" containsBlank="1"/>
    </cacheField>
    <cacheField name="Valor Extra 2" numFmtId="0">
      <sharedItems containsSemiMixedTypes="0" containsString="0" containsNumber="1" containsInteger="1" minValue="0" maxValue="0"/>
    </cacheField>
    <cacheField name="% Extra 2" numFmtId="0">
      <sharedItems containsSemiMixedTypes="0" containsString="0" containsNumber="1" containsInteger="1" minValue="0" maxValue="0"/>
    </cacheField>
    <cacheField name="Calibre &gt;16" numFmtId="0">
      <sharedItems containsSemiMixedTypes="0" containsString="0" containsNumber="1" containsInteger="1" minValue="0" maxValue="0"/>
    </cacheField>
    <cacheField name="% &gt;16" numFmtId="0">
      <sharedItems containsSemiMixedTypes="0" containsString="0" containsNumber="1" containsInteger="1" minValue="0" maxValue="0"/>
    </cacheField>
    <cacheField name="Calibre &lt;16" numFmtId="0">
      <sharedItems containsSemiMixedTypes="0" containsString="0" containsNumber="1" containsInteger="1" minValue="0" maxValue="0"/>
    </cacheField>
    <cacheField name="% &lt;16" numFmtId="0">
      <sharedItems containsSemiMixedTypes="0" containsString="0" containsNumber="1" containsInteger="1" minValue="0" maxValue="0"/>
    </cacheField>
    <cacheField name="Palos (Un.) (≤18)" numFmtId="0">
      <sharedItems containsBlank="1"/>
    </cacheField>
    <cacheField name="Caliz (Un.) (≤18)" numFmtId="0">
      <sharedItems containsBlank="1"/>
    </cacheField>
    <cacheField name="Hojas (Un.) (≤18)" numFmtId="0">
      <sharedItems containsBlank="1"/>
    </cacheField>
    <cacheField name="Larvas (Un.) (≤24)" numFmtId="0">
      <sharedItems containsBlank="1"/>
    </cacheField>
    <cacheField name="Vidrio (Un.) (0)" numFmtId="0">
      <sharedItems containsBlank="1"/>
    </cacheField>
    <cacheField name="Madera (Un.) (0)" numFmtId="0">
      <sharedItems containsBlank="1"/>
    </cacheField>
    <cacheField name="Plástico (Un.) (0)" numFmtId="0">
      <sharedItems containsBlank="1"/>
    </cacheField>
    <cacheField name="°Brix (≥8°)" numFmtId="0">
      <sharedItems containsMixedTypes="1" containsNumber="1" minValue="9.3000000000000007" maxValue="16.100000000000001"/>
    </cacheField>
    <cacheField name="Sabor" numFmtId="0">
      <sharedItems/>
    </cacheField>
    <cacheField name="Olor" numFmtId="0">
      <sharedItems/>
    </cacheField>
    <cacheField name="Suma Defectos" numFmtId="0">
      <sharedItems containsSemiMixedTypes="0" containsString="0" containsNumber="1" containsInteger="1" minValue="0" maxValue="301"/>
    </cacheField>
    <cacheField name="% Defectos" numFmtId="0">
      <sharedItems containsSemiMixedTypes="0" containsString="0" containsNumber="1" minValue="0" maxValue="0.30100000000000005"/>
    </cacheField>
    <cacheField name="Observaciones" numFmtId="0">
      <sharedItems containsBlank="1"/>
    </cacheField>
    <cacheField name="% IQF" numFmtId="0">
      <sharedItems containsSemiMixedTypes="0" containsString="0" containsNumber="1" minValue="0.69899999999999995" maxValue="1"/>
    </cacheField>
    <cacheField name="Nombre del/la Análista" numFmtId="0">
      <sharedItems containsBlank="1"/>
    </cacheField>
    <cacheField name="Mat. Extr. Endo." numFmtId="0">
      <sharedItems containsSemiMixedTypes="0" containsString="0" containsNumber="1" containsInteger="1" minValue="0" maxValue="0"/>
    </cacheField>
    <cacheField name="Mat. Extr. Exo." numFmtId="0">
      <sharedItems containsSemiMixedTypes="0" containsString="0" containsNumber="1" containsInteger="1" minValue="0" maxValue="0"/>
    </cacheField>
    <cacheField name="Filtro Producto" numFmtId="0">
      <sharedItems count="3">
        <s v="MO S/V Org. S/C PSP 12 kg en Caja"/>
        <s v=""/>
        <s v="MO S/V Org. IQF A 13,61 kg en caja"/>
      </sharedItems>
    </cacheField>
    <cacheField name="Filtro Lote" numFmtId="0">
      <sharedItems containsString="0" containsBlank="1" containsNumber="1" containsInteger="1" minValue="7830" maxValue="304903" count="4">
        <n v="7830"/>
        <n v="304903"/>
        <m/>
        <n v="11681"/>
      </sharedItems>
    </cacheField>
    <cacheField name="Filtro Pallet" numFmtId="0">
      <sharedItems containsString="0" containsBlank="1" containsNumber="1" containsInteger="1" minValue="21219" maxValue="49441" count="30">
        <n v="21219"/>
        <n v="21220"/>
        <n v="21221"/>
        <n v="21222"/>
        <n v="21223"/>
        <n v="21250"/>
        <n v="21251"/>
        <n v="21252"/>
        <n v="21253"/>
        <n v="21254"/>
        <n v="21255"/>
        <n v="21519"/>
        <n v="21520"/>
        <n v="21522"/>
        <n v="21523"/>
        <n v="21524"/>
        <n v="21560"/>
        <n v="49438"/>
        <n v="49439"/>
        <n v="49440"/>
        <n v="49441"/>
        <n v="21561"/>
        <n v="49434"/>
        <n v="49435"/>
        <n v="49436"/>
        <n v="49437"/>
        <m/>
        <n v="37472"/>
        <n v="37473"/>
        <n v="37859"/>
      </sharedItems>
    </cacheField>
  </cacheFields>
  <extLst>
    <ext xmlns:x14="http://schemas.microsoft.com/office/spreadsheetml/2009/9/main" uri="{725AE2AE-9491-48be-B2B4-4EB974FC3084}">
      <x14:pivotCacheDefinition pivotCacheId="53095328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gitador Calidad" refreshedDate="46073.46980752315" createdVersion="8" refreshedVersion="8" minRefreshableVersion="3" recordCount="59" xr:uid="{11FC4023-BA48-438A-AD00-3A24911DC4F6}">
  <cacheSource type="worksheet">
    <worksheetSource name="BD_MR_FF"/>
  </cacheSource>
  <cacheFields count="61">
    <cacheField name="Fecha" numFmtId="0">
      <sharedItems containsNonDate="0" containsDate="1" containsString="0" containsBlank="1" minDate="2026-02-19T00:00:00" maxDate="2026-02-20T00:00:00" count="2">
        <d v="2026-02-19T00:00:00"/>
        <m/>
      </sharedItems>
    </cacheField>
    <cacheField name="Semana" numFmtId="0">
      <sharedItems containsSemiMixedTypes="0" containsString="0" containsNumber="1" containsInteger="1" minValue="8" maxValue="52"/>
    </cacheField>
    <cacheField name="Turno" numFmtId="0">
      <sharedItems containsString="0" containsBlank="1" containsNumber="1" containsInteger="1" minValue="2" maxValue="2"/>
    </cacheField>
    <cacheField name="Sala" numFmtId="0">
      <sharedItems containsString="0" containsBlank="1" containsNumber="1" containsInteger="1" minValue="1" maxValue="1"/>
    </cacheField>
    <cacheField name="Código" numFmtId="0">
      <sharedItems containsString="0" containsBlank="1" containsNumber="1" containsInteger="1" minValue="404221000" maxValue="404221000"/>
    </cacheField>
    <cacheField name="Descripción del Producto" numFmtId="0">
      <sharedItems count="2">
        <s v="MO S/V Org. IQF A 13,61 kg en caja"/>
        <s v=""/>
      </sharedItems>
    </cacheField>
    <cacheField name="Familia Calidad" numFmtId="0">
      <sharedItems/>
    </cacheField>
    <cacheField name="N° Pallet" numFmtId="0">
      <sharedItems containsString="0" containsBlank="1" containsNumber="1" containsInteger="1" minValue="37472" maxValue="37859" count="4">
        <n v="37472"/>
        <n v="37473"/>
        <n v="37859"/>
        <m/>
      </sharedItems>
    </cacheField>
    <cacheField name="N° Lote" numFmtId="0">
      <sharedItems containsString="0" containsBlank="1" containsNumber="1" containsInteger="1" minValue="11681" maxValue="11681" count="2">
        <n v="11681"/>
        <m/>
      </sharedItems>
    </cacheField>
    <cacheField name="Muestra" numFmtId="3">
      <sharedItems containsSemiMixedTypes="0" containsString="0" containsNumber="1" containsInteger="1" minValue="1000" maxValue="1000"/>
    </cacheField>
    <cacheField name="Hora Monitoreo" numFmtId="0">
      <sharedItems containsNonDate="0" containsDate="1" containsString="0" containsBlank="1" minDate="1899-12-30T17:00:00" maxDate="1899-12-30T20:00:00"/>
    </cacheField>
    <cacheField name="Peso Bolsa" numFmtId="0">
      <sharedItems/>
    </cacheField>
    <cacheField name="Peso Caja P.T." numFmtId="3">
      <sharedItems containsString="0" containsBlank="1" containsNumber="1" containsInteger="1" minValue="14160" maxValue="14163"/>
    </cacheField>
    <cacheField name="T° Prod. " numFmtId="164">
      <sharedItems containsString="0" containsBlank="1" containsNumber="1" minValue="-14.3" maxValue="-10.5"/>
    </cacheField>
    <cacheField name="Sellado Bolsa" numFmtId="0">
      <sharedItems/>
    </cacheField>
    <cacheField name="Sellado Caja" numFmtId="0">
      <sharedItems/>
    </cacheField>
    <cacheField name="% de IQF" numFmtId="165">
      <sharedItems containsSemiMixedTypes="0" containsString="0" containsNumber="1" minValue="0.85399999999999998" maxValue="1"/>
    </cacheField>
    <cacheField name="Desviación de Color" numFmtId="166">
      <sharedItems containsSemiMixedTypes="0" containsString="0" containsNumber="1" containsInteger="1" minValue="0" maxValue="91"/>
    </cacheField>
    <cacheField name="% Desv. Color (≤5%)" numFmtId="165">
      <sharedItems containsSemiMixedTypes="0" containsString="0" containsNumber="1" minValue="0" maxValue="9.0999999999999998E-2"/>
    </cacheField>
    <cacheField name="Sobremaduro" numFmtId="166">
      <sharedItems containsSemiMixedTypes="0" containsString="0" containsNumber="1" containsInteger="1" minValue="0" maxValue="5"/>
    </cacheField>
    <cacheField name="% Sobremaduro (≤6%)" numFmtId="165">
      <sharedItems containsSemiMixedTypes="0" containsString="0" containsNumber="1" minValue="0" maxValue="5.0000000000000001E-3"/>
    </cacheField>
    <cacheField name="Daño Mécanico" numFmtId="166">
      <sharedItems containsSemiMixedTypes="0" containsString="0" containsNumber="1" containsInteger="1" minValue="0" maxValue="24"/>
    </cacheField>
    <cacheField name="% Daño Mécanico (≤6%)" numFmtId="165">
      <sharedItems containsSemiMixedTypes="0" containsString="0" containsNumber="1" minValue="0" maxValue="2.4E-2"/>
    </cacheField>
    <cacheField name="Daño Insecto" numFmtId="166">
      <sharedItems containsSemiMixedTypes="0" containsString="0" containsNumber="1" containsInteger="1" minValue="0" maxValue="98"/>
    </cacheField>
    <cacheField name="% Daño Insc. (≤5%)" numFmtId="165">
      <sharedItems containsSemiMixedTypes="0" containsString="0" containsNumber="1" minValue="0" maxValue="9.8000000000000004E-2"/>
    </cacheField>
    <cacheField name="Block" numFmtId="166">
      <sharedItems containsSemiMixedTypes="0" containsString="0" containsNumber="1" containsInteger="1" minValue="0" maxValue="0"/>
    </cacheField>
    <cacheField name="% Block (≤5%)" numFmtId="165">
      <sharedItems containsSemiMixedTypes="0" containsString="0" containsNumber="1" containsInteger="1" minValue="0" maxValue="0"/>
    </cacheField>
    <cacheField name="Mohos" numFmtId="166">
      <sharedItems containsSemiMixedTypes="0" containsString="0" containsNumber="1" containsInteger="1" minValue="0" maxValue="0"/>
    </cacheField>
    <cacheField name="% Mohos (0%)" numFmtId="165">
      <sharedItems containsSemiMixedTypes="0" containsString="0" containsNumber="1" containsInteger="1" minValue="0" maxValue="0"/>
    </cacheField>
    <cacheField name="Caliz (Und.) (≤2)" numFmtId="166">
      <sharedItems containsSemiMixedTypes="0" containsString="0" containsNumber="1" containsInteger="1" minValue="0" maxValue="0"/>
    </cacheField>
    <cacheField name="Larvas (Und.)" numFmtId="166">
      <sharedItems containsSemiMixedTypes="0" containsString="0" containsNumber="1" containsInteger="1" minValue="0" maxValue="5"/>
    </cacheField>
    <cacheField name="Descripción extra 1" numFmtId="166">
      <sharedItems containsNonDate="0" containsString="0" containsBlank="1"/>
    </cacheField>
    <cacheField name="Valor Extra 1" numFmtId="166">
      <sharedItems containsSemiMixedTypes="0" containsString="0" containsNumber="1" containsInteger="1" minValue="0" maxValue="0"/>
    </cacheField>
    <cacheField name="% Extra 1" numFmtId="165">
      <sharedItems containsSemiMixedTypes="0" containsString="0" containsNumber="1" containsInteger="1" minValue="0" maxValue="0"/>
    </cacheField>
    <cacheField name="Descripción Extra 2" numFmtId="166">
      <sharedItems containsNonDate="0" containsString="0" containsBlank="1"/>
    </cacheField>
    <cacheField name="Valor Extra 2" numFmtId="166">
      <sharedItems containsSemiMixedTypes="0" containsString="0" containsNumber="1" containsInteger="1" minValue="0" maxValue="0"/>
    </cacheField>
    <cacheField name="% Extra 2" numFmtId="165">
      <sharedItems containsSemiMixedTypes="0" containsString="0" containsNumber="1" containsInteger="1" minValue="0" maxValue="0"/>
    </cacheField>
    <cacheField name="Calibre &gt;16" numFmtId="0">
      <sharedItems containsSemiMixedTypes="0" containsString="0" containsNumber="1" containsInteger="1" minValue="0" maxValue="0"/>
    </cacheField>
    <cacheField name="% &gt;16" numFmtId="165">
      <sharedItems containsSemiMixedTypes="0" containsString="0" containsNumber="1" containsInteger="1" minValue="0" maxValue="0"/>
    </cacheField>
    <cacheField name="Calibre &lt;16" numFmtId="0">
      <sharedItems containsSemiMixedTypes="0" containsString="0" containsNumber="1" containsInteger="1" minValue="0" maxValue="0"/>
    </cacheField>
    <cacheField name="% &lt;16" numFmtId="165">
      <sharedItems containsSemiMixedTypes="0" containsString="0" containsNumber="1" containsInteger="1" minValue="0" maxValue="0"/>
    </cacheField>
    <cacheField name="Palos (Un.) (≤18)" numFmtId="166">
      <sharedItems containsBlank="1"/>
    </cacheField>
    <cacheField name="Caliz (Un.) (≤18)" numFmtId="166">
      <sharedItems containsBlank="1"/>
    </cacheField>
    <cacheField name="Hojas (Un.) (≤18)" numFmtId="166">
      <sharedItems containsBlank="1"/>
    </cacheField>
    <cacheField name="Larvas (Un.) (≤24)" numFmtId="166">
      <sharedItems containsBlank="1"/>
    </cacheField>
    <cacheField name="Vidrio (Un.) (0)" numFmtId="166">
      <sharedItems containsBlank="1"/>
    </cacheField>
    <cacheField name="Madera (Un.) (0)" numFmtId="166">
      <sharedItems containsBlank="1"/>
    </cacheField>
    <cacheField name="Plástico (Un.) (0)" numFmtId="166">
      <sharedItems containsBlank="1"/>
    </cacheField>
    <cacheField name="°Brix (≥8°)" numFmtId="167">
      <sharedItems containsMixedTypes="1" containsNumber="1" minValue="9.3000000000000007" maxValue="10"/>
    </cacheField>
    <cacheField name="Sabor" numFmtId="0">
      <sharedItems/>
    </cacheField>
    <cacheField name="Olor" numFmtId="0">
      <sharedItems/>
    </cacheField>
    <cacheField name="Suma Defectos" numFmtId="1">
      <sharedItems containsSemiMixedTypes="0" containsString="0" containsNumber="1" containsInteger="1" minValue="0" maxValue="146"/>
    </cacheField>
    <cacheField name="% Defectos" numFmtId="165">
      <sharedItems containsSemiMixedTypes="0" containsString="0" containsNumber="1" minValue="0" maxValue="0.14600000000000002"/>
    </cacheField>
    <cacheField name="Observaciones" numFmtId="0">
      <sharedItems containsBlank="1"/>
    </cacheField>
    <cacheField name="% IQF" numFmtId="165">
      <sharedItems containsSemiMixedTypes="0" containsString="0" containsNumber="1" minValue="0.85399999999999998" maxValue="1"/>
    </cacheField>
    <cacheField name="Nombre del/la Análista" numFmtId="0">
      <sharedItems containsBlank="1"/>
    </cacheField>
    <cacheField name="Mat. Extr. Endo." numFmtId="0">
      <sharedItems containsSemiMixedTypes="0" containsString="0" containsNumber="1" containsInteger="1" minValue="0" maxValue="0"/>
    </cacheField>
    <cacheField name="Mat. Extr. Exo." numFmtId="0">
      <sharedItems containsSemiMixedTypes="0" containsString="0" containsNumber="1" containsInteger="1" minValue="0" maxValue="0"/>
    </cacheField>
    <cacheField name="Filtro Producto" numFmtId="0">
      <sharedItems count="2">
        <s v="MO S/V Org. IQF A 13,61 kg en caja"/>
        <s v=""/>
      </sharedItems>
    </cacheField>
    <cacheField name="Filtro Lote" numFmtId="0">
      <sharedItems containsMixedTypes="1" containsNumber="1" containsInteger="1" minValue="11681" maxValue="11681" count="2">
        <n v="11681"/>
        <s v=""/>
      </sharedItems>
    </cacheField>
    <cacheField name="Filtro Pallet" numFmtId="0">
      <sharedItems containsMixedTypes="1" containsNumber="1" containsInteger="1" minValue="37472" maxValue="37859" count="4">
        <n v="37472"/>
        <n v="37473"/>
        <n v="37859"/>
        <s v=""/>
      </sharedItems>
    </cacheField>
  </cacheFields>
  <extLst>
    <ext xmlns:x14="http://schemas.microsoft.com/office/spreadsheetml/2009/9/main" uri="{725AE2AE-9491-48be-B2B4-4EB974FC3084}">
      <x14:pivotCacheDefinition pivotCacheId="8200323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n v="3"/>
    <n v="1"/>
    <n v="3"/>
    <n v="304231000"/>
    <x v="0"/>
    <s v=" PSP"/>
    <x v="0"/>
    <x v="0"/>
    <n v="1000"/>
    <s v=" 08:40"/>
    <s v="N/A"/>
    <n v="12555"/>
    <n v="-12.6"/>
    <s v="C"/>
    <s v="C"/>
    <n v="0.877"/>
    <n v="64"/>
    <n v="6.4000000000000001E-2"/>
    <n v="0"/>
    <n v="0"/>
    <n v="0"/>
    <n v="0"/>
    <n v="53"/>
    <n v="5.2999999999999999E-2"/>
    <n v="0"/>
    <n v="0"/>
    <n v="6"/>
    <n v="6.0000000000000001E-3"/>
    <n v="0"/>
    <n v="0"/>
    <s v="Mat.Extraña (unid)"/>
    <n v="40"/>
    <m/>
    <m/>
    <n v="0"/>
    <n v="0"/>
    <n v="0"/>
    <n v="0"/>
    <n v="0"/>
    <n v="0"/>
    <s v="S/A"/>
    <s v="S/A"/>
    <s v="S/A"/>
    <s v="S/A"/>
    <s v="S/A"/>
    <s v="S/A"/>
    <s v="S/A"/>
    <n v="13.7"/>
    <s v="C"/>
    <s v="C"/>
    <n v="123"/>
    <n v="0.123"/>
    <s v="S/O"/>
    <n v="0.877"/>
    <s v="Benjamin Navarro"/>
    <n v="0"/>
    <n v="0"/>
    <x v="0"/>
    <x v="0"/>
    <x v="0"/>
  </r>
  <r>
    <x v="0"/>
    <n v="3"/>
    <n v="1"/>
    <n v="3"/>
    <n v="304231000"/>
    <x v="0"/>
    <s v=" PSP"/>
    <x v="0"/>
    <x v="0"/>
    <n v="1000"/>
    <d v="1899-12-30T08:58:00"/>
    <s v="N/A"/>
    <n v="12575"/>
    <n v="-9.6"/>
    <s v="C"/>
    <s v="C"/>
    <n v="0.89400000000000002"/>
    <n v="44"/>
    <n v="4.3999999999999997E-2"/>
    <n v="0"/>
    <n v="0"/>
    <n v="0"/>
    <n v="0"/>
    <n v="30"/>
    <n v="0.03"/>
    <n v="32"/>
    <n v="3.2000000000000001E-2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2.2"/>
    <s v="C"/>
    <s v="C"/>
    <n v="106"/>
    <n v="0.106"/>
    <s v="S/O"/>
    <n v="0.89400000000000002"/>
    <s v="Benjamin Navarro"/>
    <n v="0"/>
    <n v="0"/>
    <x v="0"/>
    <x v="0"/>
    <x v="0"/>
  </r>
  <r>
    <x v="0"/>
    <n v="3"/>
    <n v="1"/>
    <n v="3"/>
    <n v="304231000"/>
    <x v="0"/>
    <s v=" PSP"/>
    <x v="1"/>
    <x v="0"/>
    <n v="1000"/>
    <d v="1899-12-30T09:03:00"/>
    <s v="N/A"/>
    <n v="12560"/>
    <n v="-6.9"/>
    <s v="C"/>
    <s v="C"/>
    <n v="0.69899999999999995"/>
    <n v="78"/>
    <n v="7.8E-2"/>
    <n v="0"/>
    <n v="0"/>
    <n v="22"/>
    <n v="2.1999999999999999E-2"/>
    <n v="63"/>
    <n v="6.3E-2"/>
    <n v="133"/>
    <n v="0.13300000000000001"/>
    <n v="5"/>
    <n v="5.0000000000000001E-3"/>
    <n v="4"/>
    <n v="0"/>
    <s v="aplastado"/>
    <n v="5"/>
    <n v="5.0000000000000001E-3"/>
    <m/>
    <n v="0"/>
    <n v="0"/>
    <n v="0"/>
    <n v="0"/>
    <n v="0"/>
    <n v="0"/>
    <s v="S/A"/>
    <s v="S/A"/>
    <s v="S/A"/>
    <s v="S/A"/>
    <s v="S/A"/>
    <s v="S/A"/>
    <s v="S/A"/>
    <n v="11.4"/>
    <s v="C"/>
    <s v="C"/>
    <n v="301"/>
    <n v="0.30100000000000005"/>
    <s v="S/O"/>
    <n v="0.69899999999999995"/>
    <s v="Benjamin Navarro"/>
    <n v="0"/>
    <n v="0"/>
    <x v="0"/>
    <x v="0"/>
    <x v="1"/>
  </r>
  <r>
    <x v="0"/>
    <n v="3"/>
    <n v="1"/>
    <n v="3"/>
    <n v="304231000"/>
    <x v="0"/>
    <s v=" PSP"/>
    <x v="2"/>
    <x v="0"/>
    <n v="1000"/>
    <d v="1899-12-30T09:22:00"/>
    <s v="N/A"/>
    <n v="12555"/>
    <n v="-14.2"/>
    <s v="C"/>
    <s v="C"/>
    <n v="0.86099999999999999"/>
    <n v="19"/>
    <n v="1.9E-2"/>
    <n v="0"/>
    <n v="0"/>
    <n v="18"/>
    <n v="1.7999999999999999E-2"/>
    <n v="70"/>
    <n v="7.0000000000000007E-2"/>
    <n v="32"/>
    <n v="3.2000000000000001E-2"/>
    <n v="0"/>
    <n v="0"/>
    <n v="1"/>
    <n v="0"/>
    <s v="golpe de sol"/>
    <n v="8"/>
    <n v="8.0000000000000002E-3"/>
    <m/>
    <n v="0"/>
    <n v="0"/>
    <n v="0"/>
    <n v="0"/>
    <n v="0"/>
    <n v="0"/>
    <s v="S/A"/>
    <s v="S/A"/>
    <s v="S/A"/>
    <s v="S/A"/>
    <s v="S/A"/>
    <s v="S/A"/>
    <s v="S/A"/>
    <n v="14.8"/>
    <s v="C"/>
    <s v="C"/>
    <n v="139"/>
    <n v="0.13900000000000001"/>
    <s v="S/O"/>
    <n v="0.86099999999999999"/>
    <s v="Benjamin Navarro"/>
    <n v="0"/>
    <n v="0"/>
    <x v="0"/>
    <x v="0"/>
    <x v="2"/>
  </r>
  <r>
    <x v="0"/>
    <n v="3"/>
    <n v="1"/>
    <n v="3"/>
    <n v="304231000"/>
    <x v="0"/>
    <s v=" PSP"/>
    <x v="2"/>
    <x v="0"/>
    <n v="1000"/>
    <d v="1899-12-30T09:27:00"/>
    <s v="N/A"/>
    <n v="12550"/>
    <n v="-10.1"/>
    <s v="C"/>
    <s v="C"/>
    <n v="0.90200000000000002"/>
    <n v="23"/>
    <n v="2.3E-2"/>
    <n v="0"/>
    <n v="0"/>
    <n v="4"/>
    <n v="4.0000000000000001E-3"/>
    <n v="26"/>
    <n v="2.5999999999999999E-2"/>
    <n v="0"/>
    <n v="0"/>
    <n v="45"/>
    <n v="4.4999999999999998E-2"/>
    <n v="5"/>
    <n v="0"/>
    <s v="aplastado"/>
    <n v="5"/>
    <n v="5.0000000000000001E-3"/>
    <m/>
    <n v="0"/>
    <n v="0"/>
    <n v="0"/>
    <n v="0"/>
    <n v="0"/>
    <n v="0"/>
    <s v="S/A"/>
    <s v="S/A"/>
    <s v="S/A"/>
    <s v="S/A"/>
    <s v="S/A"/>
    <s v="S/A"/>
    <s v="S/A"/>
    <n v="13.6"/>
    <s v="C"/>
    <s v="C"/>
    <n v="98"/>
    <n v="9.8000000000000004E-2"/>
    <s v="S/O"/>
    <n v="0.90200000000000002"/>
    <s v="Benjamin Navarro"/>
    <n v="0"/>
    <n v="0"/>
    <x v="0"/>
    <x v="0"/>
    <x v="2"/>
  </r>
  <r>
    <x v="0"/>
    <n v="3"/>
    <n v="1"/>
    <n v="3"/>
    <n v="304231000"/>
    <x v="0"/>
    <s v=" PSP"/>
    <x v="3"/>
    <x v="0"/>
    <n v="1000"/>
    <d v="1899-12-30T09:36:00"/>
    <s v="N/A"/>
    <n v="12555"/>
    <n v="-12.1"/>
    <s v="C"/>
    <s v="C"/>
    <n v="0.82699999999999996"/>
    <n v="32"/>
    <n v="3.2000000000000001E-2"/>
    <n v="0"/>
    <n v="0"/>
    <n v="9"/>
    <n v="8.9999999999999993E-3"/>
    <n v="98"/>
    <n v="9.8000000000000004E-2"/>
    <n v="34"/>
    <n v="3.4000000000000002E-2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3.5"/>
    <s v="C"/>
    <s v="C"/>
    <n v="173"/>
    <n v="0.17300000000000001"/>
    <s v="S/O"/>
    <n v="0.82699999999999996"/>
    <s v="Fernanda Delgado"/>
    <n v="0"/>
    <n v="0"/>
    <x v="0"/>
    <x v="0"/>
    <x v="3"/>
  </r>
  <r>
    <x v="0"/>
    <n v="3"/>
    <n v="1"/>
    <n v="3"/>
    <n v="304231000"/>
    <x v="0"/>
    <s v=" PSP"/>
    <x v="3"/>
    <x v="0"/>
    <n v="1000"/>
    <d v="1899-12-30T09:48:00"/>
    <s v="N/A"/>
    <n v="12565"/>
    <n v="-11.6"/>
    <s v="C"/>
    <s v="C"/>
    <n v="0.91300000000000003"/>
    <n v="84"/>
    <n v="8.4000000000000005E-2"/>
    <n v="0"/>
    <n v="0"/>
    <n v="0"/>
    <n v="0"/>
    <n v="3"/>
    <n v="3.0000000000000001E-3"/>
    <n v="0"/>
    <n v="0"/>
    <n v="0"/>
    <n v="0"/>
    <n v="2"/>
    <n v="0"/>
    <s v="aplastado"/>
    <n v="15"/>
    <n v="1.4999999999999999E-2"/>
    <m/>
    <n v="0"/>
    <n v="0"/>
    <n v="0"/>
    <n v="0"/>
    <n v="0"/>
    <n v="0"/>
    <s v="S/A"/>
    <s v="S/A"/>
    <s v="S/A"/>
    <s v="S/A"/>
    <s v="S/A"/>
    <s v="S/A"/>
    <s v="S/A"/>
    <n v="13.8"/>
    <s v="C"/>
    <s v="C"/>
    <n v="87"/>
    <n v="8.7000000000000008E-2"/>
    <s v="S/O"/>
    <n v="0.91300000000000003"/>
    <s v="Fernanda Delgado"/>
    <n v="0"/>
    <n v="0"/>
    <x v="0"/>
    <x v="0"/>
    <x v="3"/>
  </r>
  <r>
    <x v="0"/>
    <n v="3"/>
    <n v="1"/>
    <n v="3"/>
    <n v="304231000"/>
    <x v="0"/>
    <s v=" PSP"/>
    <x v="4"/>
    <x v="0"/>
    <n v="1000"/>
    <d v="1899-12-30T10:09:00"/>
    <s v="N/A"/>
    <n v="12515"/>
    <n v="-10.8"/>
    <s v="C"/>
    <s v="C"/>
    <n v="0.91300000000000003"/>
    <n v="34"/>
    <n v="3.4000000000000002E-2"/>
    <n v="0"/>
    <n v="0"/>
    <n v="0"/>
    <n v="0"/>
    <n v="49"/>
    <n v="4.9000000000000002E-2"/>
    <n v="0"/>
    <n v="0"/>
    <n v="4"/>
    <n v="4.0000000000000001E-3"/>
    <n v="6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4.8"/>
    <s v="C"/>
    <s v="C"/>
    <n v="87"/>
    <n v="8.7000000000000008E-2"/>
    <s v="S/O"/>
    <n v="0.91300000000000003"/>
    <s v="Fernanda Delgado"/>
    <n v="0"/>
    <n v="0"/>
    <x v="0"/>
    <x v="0"/>
    <x v="4"/>
  </r>
  <r>
    <x v="0"/>
    <n v="3"/>
    <n v="1"/>
    <n v="3"/>
    <n v="304231000"/>
    <x v="0"/>
    <s v=" PSP"/>
    <x v="5"/>
    <x v="0"/>
    <n v="1000"/>
    <d v="1899-12-30T10:29:00"/>
    <s v="N/A"/>
    <n v="12565"/>
    <n v="-11.6"/>
    <s v="C"/>
    <s v="C"/>
    <n v="0.93300000000000005"/>
    <n v="33"/>
    <n v="3.3000000000000002E-2"/>
    <n v="0"/>
    <n v="0"/>
    <n v="0"/>
    <n v="0"/>
    <n v="34"/>
    <n v="3.4000000000000002E-2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6.100000000000001"/>
    <s v="C"/>
    <s v="C"/>
    <n v="67"/>
    <n v="6.7000000000000004E-2"/>
    <s v="S/O"/>
    <n v="0.93300000000000005"/>
    <s v="Fernanda Delgado"/>
    <n v="0"/>
    <n v="0"/>
    <x v="0"/>
    <x v="0"/>
    <x v="5"/>
  </r>
  <r>
    <x v="0"/>
    <n v="3"/>
    <n v="1"/>
    <n v="3"/>
    <n v="304231000"/>
    <x v="0"/>
    <s v=" PSP"/>
    <x v="5"/>
    <x v="0"/>
    <n v="1000"/>
    <d v="1899-12-30T10:34:00"/>
    <s v="N/A"/>
    <n v="12575"/>
    <n v="-10.4"/>
    <s v="C"/>
    <s v="C"/>
    <n v="0.85499999999999998"/>
    <n v="54"/>
    <n v="5.3999999999999999E-2"/>
    <n v="0"/>
    <n v="0"/>
    <n v="0"/>
    <n v="0"/>
    <n v="77"/>
    <n v="7.6999999999999999E-2"/>
    <n v="14"/>
    <n v="1.4E-2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3.6"/>
    <s v="C"/>
    <s v="C"/>
    <n v="145"/>
    <n v="0.14500000000000002"/>
    <s v="S/O"/>
    <n v="0.85499999999999998"/>
    <s v="Fernanda Delgado"/>
    <n v="0"/>
    <n v="0"/>
    <x v="0"/>
    <x v="0"/>
    <x v="5"/>
  </r>
  <r>
    <x v="0"/>
    <n v="3"/>
    <n v="1"/>
    <n v="3"/>
    <n v="304231000"/>
    <x v="0"/>
    <s v=" PSP"/>
    <x v="6"/>
    <x v="0"/>
    <n v="1000"/>
    <d v="1899-12-30T10:56:00"/>
    <s v="N/A"/>
    <n v="12560"/>
    <n v="-14"/>
    <s v="C"/>
    <s v="C"/>
    <n v="0.92300000000000004"/>
    <n v="70"/>
    <n v="7.0000000000000007E-2"/>
    <n v="0"/>
    <n v="0"/>
    <n v="0"/>
    <n v="0"/>
    <n v="7"/>
    <n v="7.0000000000000001E-3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5.4"/>
    <s v="C"/>
    <s v="C"/>
    <n v="77"/>
    <n v="7.7000000000000013E-2"/>
    <s v="S/O"/>
    <n v="0.92300000000000004"/>
    <s v="Benjamin Navarro"/>
    <n v="0"/>
    <n v="0"/>
    <x v="0"/>
    <x v="0"/>
    <x v="6"/>
  </r>
  <r>
    <x v="0"/>
    <n v="3"/>
    <n v="1"/>
    <n v="3"/>
    <n v="304231000"/>
    <x v="0"/>
    <s v=" PSP"/>
    <x v="7"/>
    <x v="0"/>
    <n v="1000"/>
    <d v="1899-12-30T11:13:00"/>
    <s v="N/A"/>
    <n v="12575"/>
    <n v="-14"/>
    <s v="C"/>
    <s v="C"/>
    <n v="0.93399999999999994"/>
    <n v="6"/>
    <n v="6.0000000000000001E-3"/>
    <n v="0"/>
    <n v="0"/>
    <n v="0"/>
    <n v="0"/>
    <n v="60"/>
    <n v="0.06"/>
    <n v="0"/>
    <n v="0"/>
    <n v="0"/>
    <n v="0"/>
    <n v="2"/>
    <n v="0"/>
    <s v="Materia Vegetal (unid)"/>
    <n v="1"/>
    <m/>
    <m/>
    <n v="0"/>
    <n v="0"/>
    <n v="0"/>
    <n v="0"/>
    <n v="0"/>
    <n v="0"/>
    <s v="S/A"/>
    <s v="S/A"/>
    <s v="S/A"/>
    <s v="S/A"/>
    <s v="S/A"/>
    <s v="S/A"/>
    <s v="S/A"/>
    <n v="15.6"/>
    <s v="C"/>
    <s v="C"/>
    <n v="66"/>
    <n v="6.6000000000000003E-2"/>
    <s v="S/O"/>
    <n v="0.93399999999999994"/>
    <s v="Benjamin Navarro"/>
    <n v="0"/>
    <n v="0"/>
    <x v="0"/>
    <x v="0"/>
    <x v="7"/>
  </r>
  <r>
    <x v="0"/>
    <n v="3"/>
    <n v="1"/>
    <n v="3"/>
    <n v="304231000"/>
    <x v="0"/>
    <s v=" PSP"/>
    <x v="8"/>
    <x v="0"/>
    <n v="1000"/>
    <d v="1899-12-30T11:26:00"/>
    <s v="N/A"/>
    <n v="12570"/>
    <n v="-14.7"/>
    <s v="C"/>
    <s v="C"/>
    <n v="0.9"/>
    <n v="12"/>
    <n v="1.2E-2"/>
    <n v="0"/>
    <n v="0"/>
    <n v="0"/>
    <n v="0"/>
    <n v="88"/>
    <n v="8.7999999999999995E-2"/>
    <n v="0"/>
    <n v="0"/>
    <n v="0"/>
    <n v="0"/>
    <n v="3"/>
    <n v="0"/>
    <s v="Materia Vegetal (unid)"/>
    <n v="1"/>
    <m/>
    <m/>
    <n v="0"/>
    <n v="0"/>
    <n v="0"/>
    <n v="0"/>
    <n v="0"/>
    <n v="0"/>
    <s v="S/A"/>
    <s v="S/A"/>
    <s v="S/A"/>
    <s v="S/A"/>
    <s v="S/A"/>
    <s v="S/A"/>
    <s v="S/A"/>
    <n v="13.7"/>
    <s v="C"/>
    <s v="C"/>
    <n v="100"/>
    <n v="9.9999999999999992E-2"/>
    <s v="S/O"/>
    <n v="0.9"/>
    <s v="Benjamin Navarro"/>
    <n v="0"/>
    <n v="0"/>
    <x v="0"/>
    <x v="0"/>
    <x v="8"/>
  </r>
  <r>
    <x v="0"/>
    <n v="3"/>
    <n v="1"/>
    <n v="3"/>
    <n v="304231000"/>
    <x v="0"/>
    <s v=" PSP"/>
    <x v="9"/>
    <x v="0"/>
    <n v="1000"/>
    <d v="1899-12-30T11:48:00"/>
    <s v="N/A"/>
    <n v="12560"/>
    <n v="-12.2"/>
    <s v="C"/>
    <s v="C"/>
    <n v="0.88300000000000001"/>
    <n v="26"/>
    <n v="2.5999999999999999E-2"/>
    <n v="0"/>
    <n v="0"/>
    <n v="0"/>
    <n v="0"/>
    <n v="62"/>
    <n v="6.2E-2"/>
    <n v="23"/>
    <n v="2.3E-2"/>
    <n v="6"/>
    <n v="6.0000000000000001E-3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5.6"/>
    <s v="C"/>
    <s v="C"/>
    <n v="117"/>
    <n v="0.11699999999999999"/>
    <s v="S/O"/>
    <n v="0.88300000000000001"/>
    <s v="Benjamin Navarro"/>
    <n v="0"/>
    <n v="0"/>
    <x v="0"/>
    <x v="0"/>
    <x v="9"/>
  </r>
  <r>
    <x v="0"/>
    <n v="3"/>
    <n v="1"/>
    <n v="3"/>
    <n v="304231000"/>
    <x v="0"/>
    <s v=" PSP"/>
    <x v="10"/>
    <x v="0"/>
    <n v="1000"/>
    <d v="1899-12-30T12:58:00"/>
    <s v="N/A"/>
    <n v="12595"/>
    <n v="-15.5"/>
    <s v="C"/>
    <s v="C"/>
    <n v="0.83099999999999996"/>
    <n v="26"/>
    <n v="2.5999999999999999E-2"/>
    <n v="0"/>
    <n v="0"/>
    <n v="0"/>
    <n v="0"/>
    <n v="143"/>
    <n v="0.14299999999999999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3.5"/>
    <s v="C"/>
    <s v="C"/>
    <n v="169"/>
    <n v="0.16899999999999998"/>
    <s v="S/O"/>
    <n v="0.83099999999999996"/>
    <s v="Benjamin Navarro"/>
    <n v="0"/>
    <n v="0"/>
    <x v="0"/>
    <x v="0"/>
    <x v="10"/>
  </r>
  <r>
    <x v="0"/>
    <n v="3"/>
    <n v="1"/>
    <n v="3"/>
    <n v="304231000"/>
    <x v="0"/>
    <s v=" PSP"/>
    <x v="11"/>
    <x v="0"/>
    <n v="1000"/>
    <d v="1899-12-30T14:04:00"/>
    <s v="N/A"/>
    <n v="12550"/>
    <n v="-12"/>
    <s v="C"/>
    <s v="C"/>
    <n v="0.86599999999999999"/>
    <n v="4"/>
    <n v="4.0000000000000001E-3"/>
    <n v="0"/>
    <n v="0"/>
    <n v="9"/>
    <n v="8.9999999999999993E-3"/>
    <n v="121"/>
    <n v="0.121"/>
    <n v="0"/>
    <n v="0"/>
    <n v="0"/>
    <n v="0"/>
    <n v="0"/>
    <n v="0"/>
    <s v="deshidratado "/>
    <n v="2"/>
    <n v="2E-3"/>
    <m/>
    <n v="0"/>
    <n v="0"/>
    <n v="0"/>
    <n v="0"/>
    <n v="0"/>
    <n v="0"/>
    <s v="S/A"/>
    <s v="S/A"/>
    <s v="S/A"/>
    <s v="S/A"/>
    <s v="S/A"/>
    <s v="S/A"/>
    <s v="S/A"/>
    <n v="12.2"/>
    <s v="C"/>
    <s v="C"/>
    <n v="134"/>
    <n v="0.13400000000000001"/>
    <s v="S/O"/>
    <n v="0.86599999999999999"/>
    <s v="Fernanda Delgado"/>
    <n v="0"/>
    <n v="0"/>
    <x v="0"/>
    <x v="0"/>
    <x v="11"/>
  </r>
  <r>
    <x v="0"/>
    <n v="3"/>
    <n v="1"/>
    <n v="3"/>
    <n v="304231000"/>
    <x v="0"/>
    <s v=" PSP"/>
    <x v="12"/>
    <x v="0"/>
    <n v="1000"/>
    <d v="1899-12-30T14:15:00"/>
    <s v="N/A"/>
    <n v="12555"/>
    <n v="-14.2"/>
    <s v="C"/>
    <s v="C"/>
    <n v="0.91600000000000004"/>
    <n v="43"/>
    <n v="4.2999999999999997E-2"/>
    <n v="0"/>
    <n v="0"/>
    <n v="0"/>
    <n v="0"/>
    <n v="27"/>
    <n v="2.7E-2"/>
    <n v="11"/>
    <n v="1.0999999999999999E-2"/>
    <n v="3"/>
    <n v="3.0000000000000001E-3"/>
    <n v="3"/>
    <n v="0"/>
    <s v="deshidratado "/>
    <n v="4"/>
    <n v="4.0000000000000001E-3"/>
    <m/>
    <n v="0"/>
    <n v="0"/>
    <n v="0"/>
    <n v="0"/>
    <n v="0"/>
    <n v="0"/>
    <s v="S/A"/>
    <s v="S/A"/>
    <s v="S/A"/>
    <s v="S/A"/>
    <s v="S/A"/>
    <s v="S/A"/>
    <s v="S/A"/>
    <n v="14.1"/>
    <s v="C"/>
    <s v="C"/>
    <n v="84"/>
    <n v="8.3999999999999991E-2"/>
    <s v="S/O"/>
    <n v="0.91600000000000004"/>
    <s v="Fernanda Delgado"/>
    <n v="0"/>
    <n v="0"/>
    <x v="0"/>
    <x v="0"/>
    <x v="12"/>
  </r>
  <r>
    <x v="0"/>
    <n v="3"/>
    <n v="1"/>
    <n v="3"/>
    <n v="304231000"/>
    <x v="0"/>
    <s v=" PSP"/>
    <x v="12"/>
    <x v="0"/>
    <n v="1000"/>
    <d v="1899-12-30T14:15:00"/>
    <s v="N/A"/>
    <n v="12565"/>
    <n v="-15.4"/>
    <s v="C"/>
    <s v="C"/>
    <n v="0.878"/>
    <n v="59"/>
    <n v="5.8999999999999997E-2"/>
    <n v="0"/>
    <n v="0"/>
    <n v="2"/>
    <n v="2E-3"/>
    <n v="61"/>
    <n v="6.0999999999999999E-2"/>
    <n v="0"/>
    <n v="0"/>
    <n v="0"/>
    <n v="0"/>
    <n v="0"/>
    <n v="0"/>
    <s v="deshidratado "/>
    <n v="2"/>
    <n v="2E-3"/>
    <m/>
    <n v="0"/>
    <n v="0"/>
    <n v="0"/>
    <n v="0"/>
    <n v="0"/>
    <n v="0"/>
    <s v="S/A"/>
    <s v="S/A"/>
    <s v="S/A"/>
    <s v="S/A"/>
    <s v="S/A"/>
    <s v="S/A"/>
    <s v="S/A"/>
    <n v="11.4"/>
    <s v="C"/>
    <s v="C"/>
    <n v="122"/>
    <n v="0.122"/>
    <s v="S/O"/>
    <n v="0.878"/>
    <s v="Fernanda Delgado"/>
    <n v="0"/>
    <n v="0"/>
    <x v="0"/>
    <x v="0"/>
    <x v="12"/>
  </r>
  <r>
    <x v="0"/>
    <n v="3"/>
    <n v="1"/>
    <n v="3"/>
    <n v="304231000"/>
    <x v="0"/>
    <s v=" PSP"/>
    <x v="13"/>
    <x v="0"/>
    <n v="1000"/>
    <d v="1899-12-30T14:43:00"/>
    <s v="N/A"/>
    <n v="12555"/>
    <n v="-14.4"/>
    <s v="C"/>
    <s v="C"/>
    <n v="0.80400000000000005"/>
    <n v="54"/>
    <n v="5.3999999999999999E-2"/>
    <n v="0"/>
    <n v="0"/>
    <n v="13"/>
    <n v="1.2999999999999999E-2"/>
    <n v="95"/>
    <n v="9.5000000000000001E-2"/>
    <n v="34"/>
    <n v="3.4000000000000002E-2"/>
    <n v="0"/>
    <n v="0"/>
    <n v="4"/>
    <n v="0"/>
    <s v="Materia Vegetal (unid)"/>
    <n v="1"/>
    <m/>
    <m/>
    <n v="0"/>
    <n v="0"/>
    <n v="0"/>
    <n v="0"/>
    <n v="0"/>
    <n v="0"/>
    <s v="S/A"/>
    <s v="S/A"/>
    <s v="S/A"/>
    <s v="S/A"/>
    <s v="S/A"/>
    <s v="S/A"/>
    <s v="S/A"/>
    <n v="12.5"/>
    <s v="C"/>
    <s v="C"/>
    <n v="196"/>
    <n v="0.19600000000000001"/>
    <s v="S/O"/>
    <n v="0.80400000000000005"/>
    <s v="Fernanda Delgado"/>
    <n v="0"/>
    <n v="0"/>
    <x v="0"/>
    <x v="0"/>
    <x v="13"/>
  </r>
  <r>
    <x v="0"/>
    <n v="3"/>
    <n v="1"/>
    <n v="3"/>
    <n v="304231000"/>
    <x v="0"/>
    <s v=" PSP"/>
    <x v="14"/>
    <x v="0"/>
    <n v="1000"/>
    <d v="1899-12-30T15:05:00"/>
    <s v="N/A"/>
    <n v="12550"/>
    <n v="-11.6"/>
    <s v="C"/>
    <s v="C"/>
    <n v="0.91700000000000004"/>
    <n v="16"/>
    <n v="1.6E-2"/>
    <n v="0"/>
    <n v="0"/>
    <n v="22"/>
    <n v="2.1999999999999999E-2"/>
    <n v="40"/>
    <n v="0.04"/>
    <n v="3"/>
    <n v="3.0000000000000001E-3"/>
    <n v="2"/>
    <n v="2E-3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6.100000000000001"/>
    <s v="C"/>
    <s v="C"/>
    <n v="83"/>
    <n v="8.3000000000000004E-2"/>
    <s v="S/O"/>
    <n v="0.91700000000000004"/>
    <s v="Fernanda Delgado"/>
    <n v="0"/>
    <n v="0"/>
    <x v="0"/>
    <x v="0"/>
    <x v="14"/>
  </r>
  <r>
    <x v="0"/>
    <n v="3"/>
    <n v="1"/>
    <n v="3"/>
    <n v="304231000"/>
    <x v="0"/>
    <s v=" PSP"/>
    <x v="15"/>
    <x v="0"/>
    <n v="1000"/>
    <d v="1899-12-30T15:23:00"/>
    <s v="N/A"/>
    <n v="12570"/>
    <n v="-9.4"/>
    <s v="C"/>
    <s v="C"/>
    <n v="0.84899999999999998"/>
    <n v="10"/>
    <n v="0.01"/>
    <n v="0"/>
    <n v="0"/>
    <n v="0"/>
    <n v="0"/>
    <n v="139"/>
    <n v="0.13900000000000001"/>
    <n v="0"/>
    <n v="0"/>
    <n v="2"/>
    <n v="2E-3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3.7"/>
    <s v="C"/>
    <s v="C"/>
    <n v="151"/>
    <n v="0.15100000000000002"/>
    <s v="S/O"/>
    <n v="0.84899999999999998"/>
    <s v="Benjamin Navarro"/>
    <n v="0"/>
    <n v="0"/>
    <x v="0"/>
    <x v="0"/>
    <x v="15"/>
  </r>
  <r>
    <x v="0"/>
    <n v="3"/>
    <n v="1"/>
    <n v="3"/>
    <n v="304231000"/>
    <x v="0"/>
    <s v=" PSP"/>
    <x v="16"/>
    <x v="0"/>
    <n v="1000"/>
    <d v="1899-12-30T15:42:00"/>
    <s v="N/A"/>
    <n v="12550"/>
    <n v="-10.8"/>
    <s v="C"/>
    <s v="C"/>
    <n v="0.90200000000000002"/>
    <n v="22"/>
    <n v="2.1999999999999999E-2"/>
    <n v="0"/>
    <n v="0"/>
    <n v="0"/>
    <n v="0"/>
    <n v="76"/>
    <n v="7.5999999999999998E-2"/>
    <n v="0"/>
    <n v="0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2.9"/>
    <s v="C"/>
    <s v="C"/>
    <n v="98"/>
    <n v="9.8000000000000004E-2"/>
    <s v="S/O"/>
    <n v="0.90200000000000002"/>
    <s v="Benjamin Navarro"/>
    <n v="0"/>
    <n v="0"/>
    <x v="0"/>
    <x v="0"/>
    <x v="16"/>
  </r>
  <r>
    <x v="1"/>
    <n v="3"/>
    <n v="2"/>
    <n v="3"/>
    <n v="304231000"/>
    <x v="0"/>
    <s v=" PSP"/>
    <x v="17"/>
    <x v="1"/>
    <n v="1000"/>
    <d v="1899-12-30T21:57:00"/>
    <s v="N/A"/>
    <n v="12560"/>
    <n v="-10.3"/>
    <s v="C"/>
    <s v="C"/>
    <n v="0.88"/>
    <n v="60"/>
    <n v="0.06"/>
    <n v="0"/>
    <n v="0"/>
    <n v="0"/>
    <n v="0"/>
    <n v="60"/>
    <n v="0.06"/>
    <n v="0"/>
    <n v="0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20"/>
    <n v="0.12"/>
    <s v="Producto no pasado por DM "/>
    <n v="0.88"/>
    <s v="Fernanda Jara "/>
    <n v="0"/>
    <n v="0"/>
    <x v="0"/>
    <x v="1"/>
    <x v="17"/>
  </r>
  <r>
    <x v="1"/>
    <n v="3"/>
    <n v="2"/>
    <n v="3"/>
    <n v="304231000"/>
    <x v="0"/>
    <s v=" PSP"/>
    <x v="18"/>
    <x v="1"/>
    <n v="1000"/>
    <d v="1899-12-30T22:04:00"/>
    <s v="N/A"/>
    <n v="12535"/>
    <n v="-10.8"/>
    <s v="C"/>
    <s v="C"/>
    <n v="0.85899999999999999"/>
    <n v="70"/>
    <n v="7.0000000000000007E-2"/>
    <n v="0"/>
    <n v="0"/>
    <n v="0"/>
    <n v="0"/>
    <n v="70"/>
    <n v="7.0000000000000007E-2"/>
    <n v="0"/>
    <n v="0"/>
    <n v="1"/>
    <n v="1E-3"/>
    <n v="8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41"/>
    <n v="0.14100000000000001"/>
    <s v="Producto no pasado por DM "/>
    <n v="0.85899999999999999"/>
    <s v="Fernanda Jara "/>
    <n v="0"/>
    <n v="0"/>
    <x v="0"/>
    <x v="1"/>
    <x v="18"/>
  </r>
  <r>
    <x v="1"/>
    <n v="3"/>
    <n v="2"/>
    <n v="3"/>
    <n v="304231000"/>
    <x v="0"/>
    <s v=" PSP"/>
    <x v="19"/>
    <x v="1"/>
    <n v="1000"/>
    <d v="1899-12-30T22:25:00"/>
    <s v="N/A"/>
    <n v="12540"/>
    <n v="-13.8"/>
    <s v="C"/>
    <s v="C"/>
    <n v="0.80999999999999994"/>
    <n v="80"/>
    <n v="0.08"/>
    <n v="0"/>
    <n v="0"/>
    <n v="0"/>
    <n v="0"/>
    <n v="70"/>
    <n v="7.0000000000000007E-2"/>
    <n v="40"/>
    <n v="0.04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90"/>
    <n v="0.19000000000000003"/>
    <s v="Producto no pasado por DM "/>
    <n v="0.80999999999999994"/>
    <s v="Fernanda Jara "/>
    <n v="0"/>
    <n v="0"/>
    <x v="0"/>
    <x v="1"/>
    <x v="19"/>
  </r>
  <r>
    <x v="1"/>
    <n v="3"/>
    <n v="2"/>
    <n v="3"/>
    <n v="304231000"/>
    <x v="0"/>
    <s v=" PSP"/>
    <x v="20"/>
    <x v="1"/>
    <n v="1000"/>
    <d v="1899-12-30T22:36:00"/>
    <s v="N/A"/>
    <n v="12575"/>
    <n v="-14.7"/>
    <s v="C"/>
    <s v="C"/>
    <n v="0.81499999999999995"/>
    <n v="50"/>
    <n v="0.05"/>
    <n v="0"/>
    <n v="0"/>
    <n v="0"/>
    <n v="0"/>
    <n v="105"/>
    <n v="0.105"/>
    <n v="30"/>
    <n v="0.03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85"/>
    <n v="0.185"/>
    <s v="Producto no pasado por DM "/>
    <n v="0.81499999999999995"/>
    <s v="Fernanda Jara "/>
    <n v="0"/>
    <n v="0"/>
    <x v="0"/>
    <x v="1"/>
    <x v="20"/>
  </r>
  <r>
    <x v="1"/>
    <n v="3"/>
    <n v="2"/>
    <n v="3"/>
    <n v="304231000"/>
    <x v="0"/>
    <s v=" PSP"/>
    <x v="21"/>
    <x v="0"/>
    <n v="1000"/>
    <d v="1899-12-30T18:41:00"/>
    <s v="N/A"/>
    <n v="12570"/>
    <n v="-9.1999999999999993"/>
    <s v="C"/>
    <s v="C"/>
    <n v="0.88500000000000001"/>
    <n v="30"/>
    <n v="0.03"/>
    <n v="0"/>
    <n v="0"/>
    <n v="0"/>
    <n v="0"/>
    <n v="70"/>
    <n v="7.0000000000000007E-2"/>
    <n v="15"/>
    <n v="1.4999999999999999E-2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15"/>
    <n v="0.115"/>
    <s v="Producto no pasado por DM "/>
    <n v="0.88500000000000001"/>
    <s v="Fernanda Jara "/>
    <n v="0"/>
    <n v="0"/>
    <x v="0"/>
    <x v="0"/>
    <x v="21"/>
  </r>
  <r>
    <x v="1"/>
    <n v="3"/>
    <n v="2"/>
    <n v="3"/>
    <n v="304231000"/>
    <x v="0"/>
    <s v=" PSP"/>
    <x v="22"/>
    <x v="1"/>
    <n v="1000"/>
    <d v="1899-12-30T18:53:00"/>
    <s v="N/A"/>
    <n v="12535"/>
    <n v="-10.3"/>
    <s v="C"/>
    <s v="C"/>
    <n v="0.91"/>
    <n v="70"/>
    <n v="7.0000000000000007E-2"/>
    <n v="0"/>
    <n v="0"/>
    <n v="0"/>
    <n v="0"/>
    <n v="20"/>
    <n v="0.02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90"/>
    <n v="9.0000000000000011E-2"/>
    <s v="Producto no pasado por DM "/>
    <n v="0.91"/>
    <s v="Fernanda Jara "/>
    <n v="0"/>
    <n v="0"/>
    <x v="0"/>
    <x v="1"/>
    <x v="22"/>
  </r>
  <r>
    <x v="1"/>
    <n v="3"/>
    <n v="2"/>
    <n v="3"/>
    <n v="304231000"/>
    <x v="0"/>
    <s v=" PSP"/>
    <x v="23"/>
    <x v="1"/>
    <n v="1000"/>
    <d v="1899-12-30T19:10:00"/>
    <s v="N/A"/>
    <n v="12535"/>
    <n v="-11.6"/>
    <s v="C"/>
    <s v="C"/>
    <n v="0.87"/>
    <n v="40"/>
    <n v="0.04"/>
    <n v="0"/>
    <n v="0"/>
    <n v="0"/>
    <n v="0"/>
    <n v="90"/>
    <n v="0.09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30"/>
    <n v="0.13"/>
    <s v="Producto no pasado por DM "/>
    <n v="0.87"/>
    <s v="Fernanda Jara "/>
    <n v="0"/>
    <n v="0"/>
    <x v="0"/>
    <x v="1"/>
    <x v="23"/>
  </r>
  <r>
    <x v="1"/>
    <n v="3"/>
    <n v="2"/>
    <n v="3"/>
    <n v="304231000"/>
    <x v="0"/>
    <s v=" PSP"/>
    <x v="24"/>
    <x v="1"/>
    <n v="1000"/>
    <d v="1899-12-30T19:30:00"/>
    <s v="N/A"/>
    <n v="12520"/>
    <n v="-12.8"/>
    <s v="C"/>
    <s v="C"/>
    <n v="0.84"/>
    <n v="90"/>
    <n v="0.09"/>
    <n v="0"/>
    <n v="0"/>
    <n v="10"/>
    <n v="0.01"/>
    <n v="50"/>
    <n v="0.05"/>
    <n v="10"/>
    <n v="0.01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60"/>
    <n v="0.16"/>
    <s v="Producto no pasado por DM "/>
    <n v="0.84"/>
    <s v="Fernanda Jara "/>
    <n v="0"/>
    <n v="0"/>
    <x v="0"/>
    <x v="1"/>
    <x v="24"/>
  </r>
  <r>
    <x v="1"/>
    <n v="3"/>
    <n v="2"/>
    <n v="3"/>
    <n v="304231000"/>
    <x v="0"/>
    <s v=" PSP"/>
    <x v="25"/>
    <x v="1"/>
    <n v="1000"/>
    <d v="1899-12-30T21:49:00"/>
    <s v="N/A"/>
    <n v="12525"/>
    <n v="-12.6"/>
    <s v="C"/>
    <s v="C"/>
    <n v="0.94899999999999995"/>
    <n v="0"/>
    <n v="0"/>
    <n v="0"/>
    <n v="0"/>
    <n v="0"/>
    <n v="0"/>
    <n v="50"/>
    <n v="0.05"/>
    <n v="0"/>
    <n v="0"/>
    <n v="1"/>
    <n v="1E-3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51"/>
    <n v="5.1000000000000004E-2"/>
    <s v="Producto no pasado por DM "/>
    <n v="0.94899999999999995"/>
    <s v="Fernanda Jara "/>
    <n v="0"/>
    <n v="0"/>
    <x v="0"/>
    <x v="1"/>
    <x v="25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n v="3"/>
    <n v="1"/>
    <n v="3"/>
    <n v="304231000"/>
    <x v="0"/>
    <s v=" PSP"/>
    <x v="0"/>
    <x v="0"/>
    <n v="1000"/>
    <s v=" 08:40"/>
    <s v="N/A"/>
    <n v="12555"/>
    <n v="-12.6"/>
    <s v="C"/>
    <s v="C"/>
    <n v="0.877"/>
    <n v="64"/>
    <n v="6.4000000000000001E-2"/>
    <n v="0"/>
    <n v="0"/>
    <n v="0"/>
    <n v="0"/>
    <n v="53"/>
    <n v="5.2999999999999999E-2"/>
    <n v="0"/>
    <n v="0"/>
    <n v="6"/>
    <n v="6.0000000000000001E-3"/>
    <n v="0"/>
    <n v="0"/>
    <s v="Mat.Extraña (unid)"/>
    <n v="40"/>
    <m/>
    <m/>
    <n v="0"/>
    <n v="0"/>
    <n v="0"/>
    <n v="0"/>
    <n v="0"/>
    <n v="0"/>
    <s v="S/A"/>
    <s v="S/A"/>
    <s v="S/A"/>
    <s v="S/A"/>
    <s v="S/A"/>
    <s v="S/A"/>
    <s v="S/A"/>
    <n v="13.7"/>
    <s v="C"/>
    <s v="C"/>
    <n v="123"/>
    <n v="0.123"/>
    <s v="S/O"/>
    <n v="0.877"/>
    <s v="Benjamin Navarro"/>
    <n v="0"/>
    <n v="0"/>
    <x v="0"/>
    <x v="0"/>
    <x v="0"/>
  </r>
  <r>
    <x v="0"/>
    <n v="3"/>
    <n v="1"/>
    <n v="3"/>
    <n v="304231000"/>
    <x v="0"/>
    <s v=" PSP"/>
    <x v="0"/>
    <x v="0"/>
    <n v="1000"/>
    <n v="0.37361111111111112"/>
    <s v="N/A"/>
    <n v="12575"/>
    <n v="-9.6"/>
    <s v="C"/>
    <s v="C"/>
    <n v="0.89400000000000002"/>
    <n v="44"/>
    <n v="4.3999999999999997E-2"/>
    <n v="0"/>
    <n v="0"/>
    <n v="0"/>
    <n v="0"/>
    <n v="30"/>
    <n v="0.03"/>
    <n v="32"/>
    <n v="3.2000000000000001E-2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2.2"/>
    <s v="C"/>
    <s v="C"/>
    <n v="106"/>
    <n v="0.106"/>
    <s v="S/O"/>
    <n v="0.89400000000000002"/>
    <s v="Benjamin Navarro"/>
    <n v="0"/>
    <n v="0"/>
    <x v="0"/>
    <x v="0"/>
    <x v="0"/>
  </r>
  <r>
    <x v="0"/>
    <n v="3"/>
    <n v="1"/>
    <n v="3"/>
    <n v="304231000"/>
    <x v="0"/>
    <s v=" PSP"/>
    <x v="1"/>
    <x v="0"/>
    <n v="1000"/>
    <n v="0.37708333333333333"/>
    <s v="N/A"/>
    <n v="12560"/>
    <n v="-6.9"/>
    <s v="C"/>
    <s v="C"/>
    <n v="0.69899999999999995"/>
    <n v="78"/>
    <n v="7.8E-2"/>
    <n v="0"/>
    <n v="0"/>
    <n v="22"/>
    <n v="2.1999999999999999E-2"/>
    <n v="63"/>
    <n v="6.3E-2"/>
    <n v="133"/>
    <n v="0.13300000000000001"/>
    <n v="5"/>
    <n v="5.0000000000000001E-3"/>
    <n v="4"/>
    <n v="0"/>
    <s v="aplastado"/>
    <n v="5"/>
    <n v="5.0000000000000001E-3"/>
    <m/>
    <n v="0"/>
    <n v="0"/>
    <n v="0"/>
    <n v="0"/>
    <n v="0"/>
    <n v="0"/>
    <s v="S/A"/>
    <s v="S/A"/>
    <s v="S/A"/>
    <s v="S/A"/>
    <s v="S/A"/>
    <s v="S/A"/>
    <s v="S/A"/>
    <n v="11.4"/>
    <s v="C"/>
    <s v="C"/>
    <n v="301"/>
    <n v="0.30100000000000005"/>
    <s v="S/O"/>
    <n v="0.69899999999999995"/>
    <s v="Benjamin Navarro"/>
    <n v="0"/>
    <n v="0"/>
    <x v="0"/>
    <x v="0"/>
    <x v="1"/>
  </r>
  <r>
    <x v="0"/>
    <n v="3"/>
    <n v="1"/>
    <n v="3"/>
    <n v="304231000"/>
    <x v="0"/>
    <s v=" PSP"/>
    <x v="2"/>
    <x v="0"/>
    <n v="1000"/>
    <n v="0.39027777777777778"/>
    <s v="N/A"/>
    <n v="12555"/>
    <n v="-14.2"/>
    <s v="C"/>
    <s v="C"/>
    <n v="0.86099999999999999"/>
    <n v="19"/>
    <n v="1.9E-2"/>
    <n v="0"/>
    <n v="0"/>
    <n v="18"/>
    <n v="1.7999999999999999E-2"/>
    <n v="70"/>
    <n v="7.0000000000000007E-2"/>
    <n v="32"/>
    <n v="3.2000000000000001E-2"/>
    <n v="0"/>
    <n v="0"/>
    <n v="1"/>
    <n v="0"/>
    <s v="golpe de sol"/>
    <n v="8"/>
    <n v="8.0000000000000002E-3"/>
    <m/>
    <n v="0"/>
    <n v="0"/>
    <n v="0"/>
    <n v="0"/>
    <n v="0"/>
    <n v="0"/>
    <s v="S/A"/>
    <s v="S/A"/>
    <s v="S/A"/>
    <s v="S/A"/>
    <s v="S/A"/>
    <s v="S/A"/>
    <s v="S/A"/>
    <n v="14.8"/>
    <s v="C"/>
    <s v="C"/>
    <n v="139"/>
    <n v="0.13900000000000001"/>
    <s v="S/O"/>
    <n v="0.86099999999999999"/>
    <s v="Benjamin Navarro"/>
    <n v="0"/>
    <n v="0"/>
    <x v="0"/>
    <x v="0"/>
    <x v="2"/>
  </r>
  <r>
    <x v="0"/>
    <n v="3"/>
    <n v="1"/>
    <n v="3"/>
    <n v="304231000"/>
    <x v="0"/>
    <s v=" PSP"/>
    <x v="2"/>
    <x v="0"/>
    <n v="1000"/>
    <n v="0.39374999999999999"/>
    <s v="N/A"/>
    <n v="12550"/>
    <n v="-10.1"/>
    <s v="C"/>
    <s v="C"/>
    <n v="0.90200000000000002"/>
    <n v="23"/>
    <n v="2.3E-2"/>
    <n v="0"/>
    <n v="0"/>
    <n v="4"/>
    <n v="4.0000000000000001E-3"/>
    <n v="26"/>
    <n v="2.5999999999999999E-2"/>
    <n v="0"/>
    <n v="0"/>
    <n v="45"/>
    <n v="4.4999999999999998E-2"/>
    <n v="5"/>
    <n v="0"/>
    <s v="aplastado"/>
    <n v="5"/>
    <n v="5.0000000000000001E-3"/>
    <m/>
    <n v="0"/>
    <n v="0"/>
    <n v="0"/>
    <n v="0"/>
    <n v="0"/>
    <n v="0"/>
    <s v="S/A"/>
    <s v="S/A"/>
    <s v="S/A"/>
    <s v="S/A"/>
    <s v="S/A"/>
    <s v="S/A"/>
    <s v="S/A"/>
    <n v="13.6"/>
    <s v="C"/>
    <s v="C"/>
    <n v="98"/>
    <n v="9.8000000000000004E-2"/>
    <s v="S/O"/>
    <n v="0.90200000000000002"/>
    <s v="Benjamin Navarro"/>
    <n v="0"/>
    <n v="0"/>
    <x v="0"/>
    <x v="0"/>
    <x v="2"/>
  </r>
  <r>
    <x v="0"/>
    <n v="3"/>
    <n v="1"/>
    <n v="3"/>
    <n v="304231000"/>
    <x v="0"/>
    <s v=" PSP"/>
    <x v="3"/>
    <x v="0"/>
    <n v="1000"/>
    <n v="0.4"/>
    <s v="N/A"/>
    <n v="12555"/>
    <n v="-12.1"/>
    <s v="C"/>
    <s v="C"/>
    <n v="0.82699999999999996"/>
    <n v="32"/>
    <n v="3.2000000000000001E-2"/>
    <n v="0"/>
    <n v="0"/>
    <n v="9"/>
    <n v="8.9999999999999993E-3"/>
    <n v="98"/>
    <n v="9.8000000000000004E-2"/>
    <n v="34"/>
    <n v="3.4000000000000002E-2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3.5"/>
    <s v="C"/>
    <s v="C"/>
    <n v="173"/>
    <n v="0.17300000000000001"/>
    <s v="S/O"/>
    <n v="0.82699999999999996"/>
    <s v="Fernanda Delgado"/>
    <n v="0"/>
    <n v="0"/>
    <x v="0"/>
    <x v="0"/>
    <x v="3"/>
  </r>
  <r>
    <x v="0"/>
    <n v="3"/>
    <n v="1"/>
    <n v="3"/>
    <n v="304231000"/>
    <x v="0"/>
    <s v=" PSP"/>
    <x v="3"/>
    <x v="0"/>
    <n v="1000"/>
    <n v="0.40833333333333333"/>
    <s v="N/A"/>
    <n v="12565"/>
    <n v="-11.6"/>
    <s v="C"/>
    <s v="C"/>
    <n v="0.91300000000000003"/>
    <n v="84"/>
    <n v="8.4000000000000005E-2"/>
    <n v="0"/>
    <n v="0"/>
    <n v="0"/>
    <n v="0"/>
    <n v="3"/>
    <n v="3.0000000000000001E-3"/>
    <n v="0"/>
    <n v="0"/>
    <n v="0"/>
    <n v="0"/>
    <n v="2"/>
    <n v="0"/>
    <s v="aplastado"/>
    <n v="15"/>
    <n v="1.4999999999999999E-2"/>
    <m/>
    <n v="0"/>
    <n v="0"/>
    <n v="0"/>
    <n v="0"/>
    <n v="0"/>
    <n v="0"/>
    <s v="S/A"/>
    <s v="S/A"/>
    <s v="S/A"/>
    <s v="S/A"/>
    <s v="S/A"/>
    <s v="S/A"/>
    <s v="S/A"/>
    <n v="13.8"/>
    <s v="C"/>
    <s v="C"/>
    <n v="87"/>
    <n v="8.7000000000000008E-2"/>
    <s v="S/O"/>
    <n v="0.91300000000000003"/>
    <s v="Fernanda Delgado"/>
    <n v="0"/>
    <n v="0"/>
    <x v="0"/>
    <x v="0"/>
    <x v="3"/>
  </r>
  <r>
    <x v="0"/>
    <n v="3"/>
    <n v="1"/>
    <n v="3"/>
    <n v="304231000"/>
    <x v="0"/>
    <s v=" PSP"/>
    <x v="4"/>
    <x v="0"/>
    <n v="1000"/>
    <n v="0.42291666666666666"/>
    <s v="N/A"/>
    <n v="12515"/>
    <n v="-10.8"/>
    <s v="C"/>
    <s v="C"/>
    <n v="0.91300000000000003"/>
    <n v="34"/>
    <n v="3.4000000000000002E-2"/>
    <n v="0"/>
    <n v="0"/>
    <n v="0"/>
    <n v="0"/>
    <n v="49"/>
    <n v="4.9000000000000002E-2"/>
    <n v="0"/>
    <n v="0"/>
    <n v="4"/>
    <n v="4.0000000000000001E-3"/>
    <n v="6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4.8"/>
    <s v="C"/>
    <s v="C"/>
    <n v="87"/>
    <n v="8.7000000000000008E-2"/>
    <s v="S/O"/>
    <n v="0.91300000000000003"/>
    <s v="Fernanda Delgado"/>
    <n v="0"/>
    <n v="0"/>
    <x v="0"/>
    <x v="0"/>
    <x v="4"/>
  </r>
  <r>
    <x v="0"/>
    <n v="3"/>
    <n v="1"/>
    <n v="3"/>
    <n v="304231000"/>
    <x v="0"/>
    <s v=" PSP"/>
    <x v="5"/>
    <x v="0"/>
    <n v="1000"/>
    <n v="0.43680555555555556"/>
    <s v="N/A"/>
    <n v="12565"/>
    <n v="-11.6"/>
    <s v="C"/>
    <s v="C"/>
    <n v="0.93300000000000005"/>
    <n v="33"/>
    <n v="3.3000000000000002E-2"/>
    <n v="0"/>
    <n v="0"/>
    <n v="0"/>
    <n v="0"/>
    <n v="34"/>
    <n v="3.4000000000000002E-2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6.100000000000001"/>
    <s v="C"/>
    <s v="C"/>
    <n v="67"/>
    <n v="6.7000000000000004E-2"/>
    <s v="S/O"/>
    <n v="0.93300000000000005"/>
    <s v="Fernanda Delgado"/>
    <n v="0"/>
    <n v="0"/>
    <x v="0"/>
    <x v="0"/>
    <x v="5"/>
  </r>
  <r>
    <x v="0"/>
    <n v="3"/>
    <n v="1"/>
    <n v="3"/>
    <n v="304231000"/>
    <x v="0"/>
    <s v=" PSP"/>
    <x v="5"/>
    <x v="0"/>
    <n v="1000"/>
    <n v="0.44027777777777777"/>
    <s v="N/A"/>
    <n v="12575"/>
    <n v="-10.4"/>
    <s v="C"/>
    <s v="C"/>
    <n v="0.85499999999999998"/>
    <n v="54"/>
    <n v="5.3999999999999999E-2"/>
    <n v="0"/>
    <n v="0"/>
    <n v="0"/>
    <n v="0"/>
    <n v="77"/>
    <n v="7.6999999999999999E-2"/>
    <n v="14"/>
    <n v="1.4E-2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3.6"/>
    <s v="C"/>
    <s v="C"/>
    <n v="145"/>
    <n v="0.14500000000000002"/>
    <s v="S/O"/>
    <n v="0.85499999999999998"/>
    <s v="Fernanda Delgado"/>
    <n v="0"/>
    <n v="0"/>
    <x v="0"/>
    <x v="0"/>
    <x v="5"/>
  </r>
  <r>
    <x v="0"/>
    <n v="3"/>
    <n v="1"/>
    <n v="3"/>
    <n v="304231000"/>
    <x v="0"/>
    <s v=" PSP"/>
    <x v="6"/>
    <x v="0"/>
    <n v="1000"/>
    <n v="0.45555555555555555"/>
    <s v="N/A"/>
    <n v="12560"/>
    <n v="-14"/>
    <s v="C"/>
    <s v="C"/>
    <n v="0.92300000000000004"/>
    <n v="70"/>
    <n v="7.0000000000000007E-2"/>
    <n v="0"/>
    <n v="0"/>
    <n v="0"/>
    <n v="0"/>
    <n v="7"/>
    <n v="7.0000000000000001E-3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5.4"/>
    <s v="C"/>
    <s v="C"/>
    <n v="77"/>
    <n v="7.7000000000000013E-2"/>
    <s v="S/O"/>
    <n v="0.92300000000000004"/>
    <s v="Benjamin Navarro"/>
    <n v="0"/>
    <n v="0"/>
    <x v="0"/>
    <x v="0"/>
    <x v="6"/>
  </r>
  <r>
    <x v="0"/>
    <n v="3"/>
    <n v="1"/>
    <n v="3"/>
    <n v="304231000"/>
    <x v="0"/>
    <s v=" PSP"/>
    <x v="7"/>
    <x v="0"/>
    <n v="1000"/>
    <n v="0.46736111111111112"/>
    <s v="N/A"/>
    <n v="12575"/>
    <n v="-14"/>
    <s v="C"/>
    <s v="C"/>
    <n v="0.93399999999999994"/>
    <n v="6"/>
    <n v="6.0000000000000001E-3"/>
    <n v="0"/>
    <n v="0"/>
    <n v="0"/>
    <n v="0"/>
    <n v="60"/>
    <n v="0.06"/>
    <n v="0"/>
    <n v="0"/>
    <n v="0"/>
    <n v="0"/>
    <n v="2"/>
    <n v="0"/>
    <s v="Materia Vegetal (unid)"/>
    <n v="1"/>
    <m/>
    <m/>
    <n v="0"/>
    <n v="0"/>
    <n v="0"/>
    <n v="0"/>
    <n v="0"/>
    <n v="0"/>
    <s v="S/A"/>
    <s v="S/A"/>
    <s v="S/A"/>
    <s v="S/A"/>
    <s v="S/A"/>
    <s v="S/A"/>
    <s v="S/A"/>
    <n v="15.6"/>
    <s v="C"/>
    <s v="C"/>
    <n v="66"/>
    <n v="6.6000000000000003E-2"/>
    <s v="S/O"/>
    <n v="0.93399999999999994"/>
    <s v="Benjamin Navarro"/>
    <n v="0"/>
    <n v="0"/>
    <x v="0"/>
    <x v="0"/>
    <x v="7"/>
  </r>
  <r>
    <x v="0"/>
    <n v="3"/>
    <n v="1"/>
    <n v="3"/>
    <n v="304231000"/>
    <x v="0"/>
    <s v=" PSP"/>
    <x v="8"/>
    <x v="0"/>
    <n v="1000"/>
    <n v="0.47638888888888886"/>
    <s v="N/A"/>
    <n v="12570"/>
    <n v="-14.7"/>
    <s v="C"/>
    <s v="C"/>
    <n v="0.9"/>
    <n v="12"/>
    <n v="1.2E-2"/>
    <n v="0"/>
    <n v="0"/>
    <n v="0"/>
    <n v="0"/>
    <n v="88"/>
    <n v="8.7999999999999995E-2"/>
    <n v="0"/>
    <n v="0"/>
    <n v="0"/>
    <n v="0"/>
    <n v="3"/>
    <n v="0"/>
    <s v="Materia Vegetal (unid)"/>
    <n v="1"/>
    <m/>
    <m/>
    <n v="0"/>
    <n v="0"/>
    <n v="0"/>
    <n v="0"/>
    <n v="0"/>
    <n v="0"/>
    <s v="S/A"/>
    <s v="S/A"/>
    <s v="S/A"/>
    <s v="S/A"/>
    <s v="S/A"/>
    <s v="S/A"/>
    <s v="S/A"/>
    <n v="13.7"/>
    <s v="C"/>
    <s v="C"/>
    <n v="100"/>
    <n v="9.9999999999999992E-2"/>
    <s v="S/O"/>
    <n v="0.9"/>
    <s v="Benjamin Navarro"/>
    <n v="0"/>
    <n v="0"/>
    <x v="0"/>
    <x v="0"/>
    <x v="8"/>
  </r>
  <r>
    <x v="0"/>
    <n v="3"/>
    <n v="1"/>
    <n v="3"/>
    <n v="304231000"/>
    <x v="0"/>
    <s v=" PSP"/>
    <x v="9"/>
    <x v="0"/>
    <n v="1000"/>
    <n v="0.49166666666666664"/>
    <s v="N/A"/>
    <n v="12560"/>
    <n v="-12.2"/>
    <s v="C"/>
    <s v="C"/>
    <n v="0.88300000000000001"/>
    <n v="26"/>
    <n v="2.5999999999999999E-2"/>
    <n v="0"/>
    <n v="0"/>
    <n v="0"/>
    <n v="0"/>
    <n v="62"/>
    <n v="6.2E-2"/>
    <n v="23"/>
    <n v="2.3E-2"/>
    <n v="6"/>
    <n v="6.0000000000000001E-3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5.6"/>
    <s v="C"/>
    <s v="C"/>
    <n v="117"/>
    <n v="0.11699999999999999"/>
    <s v="S/O"/>
    <n v="0.88300000000000001"/>
    <s v="Benjamin Navarro"/>
    <n v="0"/>
    <n v="0"/>
    <x v="0"/>
    <x v="0"/>
    <x v="9"/>
  </r>
  <r>
    <x v="0"/>
    <n v="3"/>
    <n v="1"/>
    <n v="3"/>
    <n v="304231000"/>
    <x v="0"/>
    <s v=" PSP"/>
    <x v="10"/>
    <x v="0"/>
    <n v="1000"/>
    <n v="0.54027777777777775"/>
    <s v="N/A"/>
    <n v="12595"/>
    <n v="-15.5"/>
    <s v="C"/>
    <s v="C"/>
    <n v="0.83099999999999996"/>
    <n v="26"/>
    <n v="2.5999999999999999E-2"/>
    <n v="0"/>
    <n v="0"/>
    <n v="0"/>
    <n v="0"/>
    <n v="143"/>
    <n v="0.14299999999999999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3.5"/>
    <s v="C"/>
    <s v="C"/>
    <n v="169"/>
    <n v="0.16899999999999998"/>
    <s v="S/O"/>
    <n v="0.83099999999999996"/>
    <s v="Benjamin Navarro"/>
    <n v="0"/>
    <n v="0"/>
    <x v="0"/>
    <x v="0"/>
    <x v="10"/>
  </r>
  <r>
    <x v="0"/>
    <n v="3"/>
    <n v="1"/>
    <n v="3"/>
    <n v="304231000"/>
    <x v="0"/>
    <s v=" PSP"/>
    <x v="11"/>
    <x v="0"/>
    <n v="1000"/>
    <n v="0.58611111111111114"/>
    <s v="N/A"/>
    <n v="12550"/>
    <n v="-12"/>
    <s v="C"/>
    <s v="C"/>
    <n v="0.86599999999999999"/>
    <n v="4"/>
    <n v="4.0000000000000001E-3"/>
    <n v="0"/>
    <n v="0"/>
    <n v="9"/>
    <n v="8.9999999999999993E-3"/>
    <n v="121"/>
    <n v="0.121"/>
    <n v="0"/>
    <n v="0"/>
    <n v="0"/>
    <n v="0"/>
    <n v="0"/>
    <n v="0"/>
    <s v="deshidratado "/>
    <n v="2"/>
    <n v="2E-3"/>
    <m/>
    <n v="0"/>
    <n v="0"/>
    <n v="0"/>
    <n v="0"/>
    <n v="0"/>
    <n v="0"/>
    <s v="S/A"/>
    <s v="S/A"/>
    <s v="S/A"/>
    <s v="S/A"/>
    <s v="S/A"/>
    <s v="S/A"/>
    <s v="S/A"/>
    <n v="12.2"/>
    <s v="C"/>
    <s v="C"/>
    <n v="134"/>
    <n v="0.13400000000000001"/>
    <s v="S/O"/>
    <n v="0.86599999999999999"/>
    <s v="Fernanda Delgado"/>
    <n v="0"/>
    <n v="0"/>
    <x v="0"/>
    <x v="0"/>
    <x v="11"/>
  </r>
  <r>
    <x v="0"/>
    <n v="3"/>
    <n v="1"/>
    <n v="3"/>
    <n v="304231000"/>
    <x v="0"/>
    <s v=" PSP"/>
    <x v="12"/>
    <x v="0"/>
    <n v="1000"/>
    <n v="0.59375"/>
    <s v="N/A"/>
    <n v="12555"/>
    <n v="-14.2"/>
    <s v="C"/>
    <s v="C"/>
    <n v="0.91600000000000004"/>
    <n v="43"/>
    <n v="4.2999999999999997E-2"/>
    <n v="0"/>
    <n v="0"/>
    <n v="0"/>
    <n v="0"/>
    <n v="27"/>
    <n v="2.7E-2"/>
    <n v="11"/>
    <n v="1.0999999999999999E-2"/>
    <n v="3"/>
    <n v="3.0000000000000001E-3"/>
    <n v="3"/>
    <n v="0"/>
    <s v="deshidratado "/>
    <n v="4"/>
    <n v="4.0000000000000001E-3"/>
    <m/>
    <n v="0"/>
    <n v="0"/>
    <n v="0"/>
    <n v="0"/>
    <n v="0"/>
    <n v="0"/>
    <s v="S/A"/>
    <s v="S/A"/>
    <s v="S/A"/>
    <s v="S/A"/>
    <s v="S/A"/>
    <s v="S/A"/>
    <s v="S/A"/>
    <n v="14.1"/>
    <s v="C"/>
    <s v="C"/>
    <n v="84"/>
    <n v="8.3999999999999991E-2"/>
    <s v="S/O"/>
    <n v="0.91600000000000004"/>
    <s v="Fernanda Delgado"/>
    <n v="0"/>
    <n v="0"/>
    <x v="0"/>
    <x v="0"/>
    <x v="12"/>
  </r>
  <r>
    <x v="0"/>
    <n v="3"/>
    <n v="1"/>
    <n v="3"/>
    <n v="304231000"/>
    <x v="0"/>
    <s v=" PSP"/>
    <x v="12"/>
    <x v="0"/>
    <n v="1000"/>
    <n v="0.59375"/>
    <s v="N/A"/>
    <n v="12565"/>
    <n v="-15.4"/>
    <s v="C"/>
    <s v="C"/>
    <n v="0.878"/>
    <n v="59"/>
    <n v="5.8999999999999997E-2"/>
    <n v="0"/>
    <n v="0"/>
    <n v="2"/>
    <n v="2E-3"/>
    <n v="61"/>
    <n v="6.0999999999999999E-2"/>
    <n v="0"/>
    <n v="0"/>
    <n v="0"/>
    <n v="0"/>
    <n v="0"/>
    <n v="0"/>
    <s v="deshidratado "/>
    <n v="2"/>
    <n v="2E-3"/>
    <m/>
    <n v="0"/>
    <n v="0"/>
    <n v="0"/>
    <n v="0"/>
    <n v="0"/>
    <n v="0"/>
    <s v="S/A"/>
    <s v="S/A"/>
    <s v="S/A"/>
    <s v="S/A"/>
    <s v="S/A"/>
    <s v="S/A"/>
    <s v="S/A"/>
    <n v="11.4"/>
    <s v="C"/>
    <s v="C"/>
    <n v="122"/>
    <n v="0.122"/>
    <s v="S/O"/>
    <n v="0.878"/>
    <s v="Fernanda Delgado"/>
    <n v="0"/>
    <n v="0"/>
    <x v="0"/>
    <x v="0"/>
    <x v="12"/>
  </r>
  <r>
    <x v="0"/>
    <n v="3"/>
    <n v="1"/>
    <n v="3"/>
    <n v="304231000"/>
    <x v="0"/>
    <s v=" PSP"/>
    <x v="13"/>
    <x v="0"/>
    <n v="1000"/>
    <n v="0.61319444444444449"/>
    <s v="N/A"/>
    <n v="12555"/>
    <n v="-14.4"/>
    <s v="C"/>
    <s v="C"/>
    <n v="0.80400000000000005"/>
    <n v="54"/>
    <n v="5.3999999999999999E-2"/>
    <n v="0"/>
    <n v="0"/>
    <n v="13"/>
    <n v="1.2999999999999999E-2"/>
    <n v="95"/>
    <n v="9.5000000000000001E-2"/>
    <n v="34"/>
    <n v="3.4000000000000002E-2"/>
    <n v="0"/>
    <n v="0"/>
    <n v="4"/>
    <n v="0"/>
    <s v="Materia Vegetal (unid)"/>
    <n v="1"/>
    <m/>
    <m/>
    <n v="0"/>
    <n v="0"/>
    <n v="0"/>
    <n v="0"/>
    <n v="0"/>
    <n v="0"/>
    <s v="S/A"/>
    <s v="S/A"/>
    <s v="S/A"/>
    <s v="S/A"/>
    <s v="S/A"/>
    <s v="S/A"/>
    <s v="S/A"/>
    <n v="12.5"/>
    <s v="C"/>
    <s v="C"/>
    <n v="196"/>
    <n v="0.19600000000000001"/>
    <s v="S/O"/>
    <n v="0.80400000000000005"/>
    <s v="Fernanda Delgado"/>
    <n v="0"/>
    <n v="0"/>
    <x v="0"/>
    <x v="0"/>
    <x v="13"/>
  </r>
  <r>
    <x v="0"/>
    <n v="3"/>
    <n v="1"/>
    <n v="3"/>
    <n v="304231000"/>
    <x v="0"/>
    <s v=" PSP"/>
    <x v="14"/>
    <x v="0"/>
    <n v="1000"/>
    <n v="0.62847222222222221"/>
    <s v="N/A"/>
    <n v="12550"/>
    <n v="-11.6"/>
    <s v="C"/>
    <s v="C"/>
    <n v="0.91700000000000004"/>
    <n v="16"/>
    <n v="1.6E-2"/>
    <n v="0"/>
    <n v="0"/>
    <n v="22"/>
    <n v="2.1999999999999999E-2"/>
    <n v="40"/>
    <n v="0.04"/>
    <n v="3"/>
    <n v="3.0000000000000001E-3"/>
    <n v="2"/>
    <n v="2E-3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6.100000000000001"/>
    <s v="C"/>
    <s v="C"/>
    <n v="83"/>
    <n v="8.3000000000000004E-2"/>
    <s v="S/O"/>
    <n v="0.91700000000000004"/>
    <s v="Fernanda Delgado"/>
    <n v="0"/>
    <n v="0"/>
    <x v="0"/>
    <x v="0"/>
    <x v="14"/>
  </r>
  <r>
    <x v="0"/>
    <n v="3"/>
    <n v="1"/>
    <n v="3"/>
    <n v="304231000"/>
    <x v="0"/>
    <s v=" PSP"/>
    <x v="15"/>
    <x v="0"/>
    <n v="1000"/>
    <n v="0.64097222222222228"/>
    <s v="N/A"/>
    <n v="12570"/>
    <n v="-9.4"/>
    <s v="C"/>
    <s v="C"/>
    <n v="0.84899999999999998"/>
    <n v="10"/>
    <n v="0.01"/>
    <n v="0"/>
    <n v="0"/>
    <n v="0"/>
    <n v="0"/>
    <n v="139"/>
    <n v="0.13900000000000001"/>
    <n v="0"/>
    <n v="0"/>
    <n v="2"/>
    <n v="2E-3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3.7"/>
    <s v="C"/>
    <s v="C"/>
    <n v="151"/>
    <n v="0.15100000000000002"/>
    <s v="S/O"/>
    <n v="0.84899999999999998"/>
    <s v="Benjamin Navarro"/>
    <n v="0"/>
    <n v="0"/>
    <x v="0"/>
    <x v="0"/>
    <x v="15"/>
  </r>
  <r>
    <x v="0"/>
    <n v="3"/>
    <n v="1"/>
    <n v="3"/>
    <n v="304231000"/>
    <x v="0"/>
    <s v=" PSP"/>
    <x v="16"/>
    <x v="0"/>
    <n v="1000"/>
    <n v="0.65416666666666667"/>
    <s v="N/A"/>
    <n v="12550"/>
    <n v="-10.8"/>
    <s v="C"/>
    <s v="C"/>
    <n v="0.90200000000000002"/>
    <n v="22"/>
    <n v="2.1999999999999999E-2"/>
    <n v="0"/>
    <n v="0"/>
    <n v="0"/>
    <n v="0"/>
    <n v="76"/>
    <n v="7.5999999999999998E-2"/>
    <n v="0"/>
    <n v="0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2.9"/>
    <s v="C"/>
    <s v="C"/>
    <n v="98"/>
    <n v="9.8000000000000004E-2"/>
    <s v="S/O"/>
    <n v="0.90200000000000002"/>
    <s v="Benjamin Navarro"/>
    <n v="0"/>
    <n v="0"/>
    <x v="0"/>
    <x v="0"/>
    <x v="16"/>
  </r>
  <r>
    <x v="1"/>
    <n v="3"/>
    <n v="2"/>
    <n v="3"/>
    <n v="304231000"/>
    <x v="0"/>
    <s v=" PSP"/>
    <x v="17"/>
    <x v="1"/>
    <n v="1000"/>
    <n v="0.9145833333333333"/>
    <s v="N/A"/>
    <n v="12560"/>
    <n v="-10.3"/>
    <s v="C"/>
    <s v="C"/>
    <n v="0.88"/>
    <n v="60"/>
    <n v="0.06"/>
    <n v="0"/>
    <n v="0"/>
    <n v="0"/>
    <n v="0"/>
    <n v="60"/>
    <n v="0.06"/>
    <n v="0"/>
    <n v="0"/>
    <n v="0"/>
    <n v="0"/>
    <n v="1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20"/>
    <n v="0.12"/>
    <s v="Producto no pasado por DM "/>
    <n v="0.88"/>
    <s v="Fernanda Jara "/>
    <n v="0"/>
    <n v="0"/>
    <x v="0"/>
    <x v="1"/>
    <x v="17"/>
  </r>
  <r>
    <x v="1"/>
    <n v="3"/>
    <n v="2"/>
    <n v="3"/>
    <n v="304231000"/>
    <x v="0"/>
    <s v=" PSP"/>
    <x v="18"/>
    <x v="1"/>
    <n v="1000"/>
    <n v="0.9194444444444444"/>
    <s v="N/A"/>
    <n v="12535"/>
    <n v="-10.8"/>
    <s v="C"/>
    <s v="C"/>
    <n v="0.85899999999999999"/>
    <n v="70"/>
    <n v="7.0000000000000007E-2"/>
    <n v="0"/>
    <n v="0"/>
    <n v="0"/>
    <n v="0"/>
    <n v="70"/>
    <n v="7.0000000000000007E-2"/>
    <n v="0"/>
    <n v="0"/>
    <n v="1"/>
    <n v="1E-3"/>
    <n v="8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41"/>
    <n v="0.14100000000000001"/>
    <s v="Producto no pasado por DM "/>
    <n v="0.85899999999999999"/>
    <s v="Fernanda Jara "/>
    <n v="0"/>
    <n v="0"/>
    <x v="0"/>
    <x v="1"/>
    <x v="18"/>
  </r>
  <r>
    <x v="1"/>
    <n v="3"/>
    <n v="2"/>
    <n v="3"/>
    <n v="304231000"/>
    <x v="0"/>
    <s v=" PSP"/>
    <x v="19"/>
    <x v="1"/>
    <n v="1000"/>
    <n v="0.93402777777777779"/>
    <s v="N/A"/>
    <n v="12540"/>
    <n v="-13.8"/>
    <s v="C"/>
    <s v="C"/>
    <n v="0.80999999999999994"/>
    <n v="80"/>
    <n v="0.08"/>
    <n v="0"/>
    <n v="0"/>
    <n v="0"/>
    <n v="0"/>
    <n v="70"/>
    <n v="7.0000000000000007E-2"/>
    <n v="40"/>
    <n v="0.04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90"/>
    <n v="0.19000000000000003"/>
    <s v="Producto no pasado por DM "/>
    <n v="0.80999999999999994"/>
    <s v="Fernanda Jara "/>
    <n v="0"/>
    <n v="0"/>
    <x v="0"/>
    <x v="1"/>
    <x v="19"/>
  </r>
  <r>
    <x v="1"/>
    <n v="3"/>
    <n v="2"/>
    <n v="3"/>
    <n v="304231000"/>
    <x v="0"/>
    <s v=" PSP"/>
    <x v="20"/>
    <x v="1"/>
    <n v="1000"/>
    <n v="0.94166666666666665"/>
    <s v="N/A"/>
    <n v="12575"/>
    <n v="-14.7"/>
    <s v="C"/>
    <s v="C"/>
    <n v="0.81499999999999995"/>
    <n v="50"/>
    <n v="0.05"/>
    <n v="0"/>
    <n v="0"/>
    <n v="0"/>
    <n v="0"/>
    <n v="105"/>
    <n v="0.105"/>
    <n v="30"/>
    <n v="0.03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85"/>
    <n v="0.185"/>
    <s v="Producto no pasado por DM "/>
    <n v="0.81499999999999995"/>
    <s v="Fernanda Jara "/>
    <n v="0"/>
    <n v="0"/>
    <x v="0"/>
    <x v="1"/>
    <x v="20"/>
  </r>
  <r>
    <x v="1"/>
    <n v="3"/>
    <n v="2"/>
    <n v="3"/>
    <n v="304231000"/>
    <x v="0"/>
    <s v=" PSP"/>
    <x v="21"/>
    <x v="0"/>
    <n v="1000"/>
    <n v="0.77847222222222223"/>
    <s v="N/A"/>
    <n v="12570"/>
    <n v="-9.1999999999999993"/>
    <s v="C"/>
    <s v="C"/>
    <n v="0.88500000000000001"/>
    <n v="30"/>
    <n v="0.03"/>
    <n v="0"/>
    <n v="0"/>
    <n v="0"/>
    <n v="0"/>
    <n v="70"/>
    <n v="7.0000000000000007E-2"/>
    <n v="15"/>
    <n v="1.4999999999999999E-2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15"/>
    <n v="0.115"/>
    <s v="Producto no pasado por DM "/>
    <n v="0.88500000000000001"/>
    <s v="Fernanda Jara "/>
    <n v="0"/>
    <n v="0"/>
    <x v="0"/>
    <x v="0"/>
    <x v="21"/>
  </r>
  <r>
    <x v="1"/>
    <n v="3"/>
    <n v="2"/>
    <n v="3"/>
    <n v="304231000"/>
    <x v="0"/>
    <s v=" PSP"/>
    <x v="22"/>
    <x v="1"/>
    <n v="1000"/>
    <n v="0.78680555555555554"/>
    <s v="N/A"/>
    <n v="12535"/>
    <n v="-10.3"/>
    <s v="C"/>
    <s v="C"/>
    <n v="0.91"/>
    <n v="70"/>
    <n v="7.0000000000000007E-2"/>
    <n v="0"/>
    <n v="0"/>
    <n v="0"/>
    <n v="0"/>
    <n v="20"/>
    <n v="0.02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90"/>
    <n v="9.0000000000000011E-2"/>
    <s v="Producto no pasado por DM "/>
    <n v="0.91"/>
    <s v="Fernanda Jara "/>
    <n v="0"/>
    <n v="0"/>
    <x v="0"/>
    <x v="1"/>
    <x v="22"/>
  </r>
  <r>
    <x v="1"/>
    <n v="3"/>
    <n v="2"/>
    <n v="3"/>
    <n v="304231000"/>
    <x v="0"/>
    <s v=" PSP"/>
    <x v="23"/>
    <x v="1"/>
    <n v="1000"/>
    <n v="0.79861111111111116"/>
    <s v="N/A"/>
    <n v="12535"/>
    <n v="-11.6"/>
    <s v="C"/>
    <s v="C"/>
    <n v="0.87"/>
    <n v="40"/>
    <n v="0.04"/>
    <n v="0"/>
    <n v="0"/>
    <n v="0"/>
    <n v="0"/>
    <n v="90"/>
    <n v="0.09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30"/>
    <n v="0.13"/>
    <s v="Producto no pasado por DM "/>
    <n v="0.87"/>
    <s v="Fernanda Jara "/>
    <n v="0"/>
    <n v="0"/>
    <x v="0"/>
    <x v="1"/>
    <x v="23"/>
  </r>
  <r>
    <x v="1"/>
    <n v="3"/>
    <n v="2"/>
    <n v="3"/>
    <n v="304231000"/>
    <x v="0"/>
    <s v=" PSP"/>
    <x v="24"/>
    <x v="1"/>
    <n v="1000"/>
    <n v="0.8125"/>
    <s v="N/A"/>
    <n v="12520"/>
    <n v="-12.8"/>
    <s v="C"/>
    <s v="C"/>
    <n v="0.84"/>
    <n v="90"/>
    <n v="0.09"/>
    <n v="0"/>
    <n v="0"/>
    <n v="10"/>
    <n v="0.01"/>
    <n v="50"/>
    <n v="0.05"/>
    <n v="10"/>
    <n v="0.01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160"/>
    <n v="0.16"/>
    <s v="Producto no pasado por DM "/>
    <n v="0.84"/>
    <s v="Fernanda Jara "/>
    <n v="0"/>
    <n v="0"/>
    <x v="0"/>
    <x v="1"/>
    <x v="24"/>
  </r>
  <r>
    <x v="1"/>
    <n v="3"/>
    <n v="2"/>
    <n v="3"/>
    <n v="304231000"/>
    <x v="0"/>
    <s v=" PSP"/>
    <x v="25"/>
    <x v="1"/>
    <n v="1000"/>
    <n v="0.90902777777777777"/>
    <s v="N/A"/>
    <n v="12525"/>
    <n v="-12.6"/>
    <s v="C"/>
    <s v="C"/>
    <n v="0.94899999999999995"/>
    <n v="0"/>
    <n v="0"/>
    <n v="0"/>
    <n v="0"/>
    <n v="0"/>
    <n v="0"/>
    <n v="50"/>
    <n v="0.05"/>
    <n v="0"/>
    <n v="0"/>
    <n v="1"/>
    <n v="1E-3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s v="-"/>
    <s v="C"/>
    <s v="C"/>
    <n v="51"/>
    <n v="5.1000000000000004E-2"/>
    <s v="Producto no pasado por DM "/>
    <n v="0.94899999999999995"/>
    <s v="Fernanda Jara "/>
    <n v="0"/>
    <n v="0"/>
    <x v="0"/>
    <x v="1"/>
    <x v="25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3"/>
    <n v="8"/>
    <n v="2"/>
    <n v="1"/>
    <n v="404221000"/>
    <x v="2"/>
    <s v=" PTT"/>
    <x v="27"/>
    <x v="3"/>
    <n v="1000"/>
    <n v="0.70833333333333337"/>
    <s v="N/A"/>
    <n v="14163"/>
    <n v="-14.2"/>
    <s v="C"/>
    <s v="C"/>
    <n v="0.91300000000000003"/>
    <n v="86"/>
    <n v="8.5999999999999993E-2"/>
    <n v="1"/>
    <n v="1E-3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9.4"/>
    <s v="C"/>
    <s v="C"/>
    <n v="87"/>
    <n v="8.6999999999999994E-2"/>
    <s v="8,6% desviación de color. Se da aviso a supervisora."/>
    <n v="0.91300000000000003"/>
    <s v="Tonka Irarrazabal"/>
    <n v="0"/>
    <n v="0"/>
    <x v="2"/>
    <x v="3"/>
    <x v="27"/>
  </r>
  <r>
    <x v="3"/>
    <n v="8"/>
    <n v="2"/>
    <n v="1"/>
    <n v="404221000"/>
    <x v="2"/>
    <s v=" PTT"/>
    <x v="28"/>
    <x v="3"/>
    <n v="1000"/>
    <n v="0.76041666666666663"/>
    <s v="N/A"/>
    <n v="14162"/>
    <n v="-13.1"/>
    <s v="C"/>
    <s v="C"/>
    <n v="0.88400000000000001"/>
    <n v="91"/>
    <n v="9.0999999999999998E-2"/>
    <n v="0"/>
    <n v="0"/>
    <n v="24"/>
    <n v="2.4E-2"/>
    <n v="1"/>
    <n v="1E-3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9.6"/>
    <s v="C"/>
    <s v="C"/>
    <n v="116"/>
    <n v="0.11599999999999999"/>
    <s v="9,1% desviación de color. Se da aviso a supervisora"/>
    <n v="0.88400000000000001"/>
    <s v="Tonka Irarrazabal"/>
    <n v="0"/>
    <n v="0"/>
    <x v="2"/>
    <x v="3"/>
    <x v="28"/>
  </r>
  <r>
    <x v="3"/>
    <n v="8"/>
    <n v="2"/>
    <n v="1"/>
    <n v="404221000"/>
    <x v="2"/>
    <s v=" PTT"/>
    <x v="28"/>
    <x v="3"/>
    <n v="1000"/>
    <n v="0.79166666666666663"/>
    <s v="N/A"/>
    <n v="14160"/>
    <n v="-12.1"/>
    <s v="C"/>
    <s v="C"/>
    <n v="0.91900000000000004"/>
    <n v="72"/>
    <n v="7.1999999999999995E-2"/>
    <n v="5"/>
    <n v="5.0000000000000001E-3"/>
    <n v="4"/>
    <n v="4.0000000000000001E-3"/>
    <n v="0"/>
    <n v="0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9.6999999999999993"/>
    <s v="C"/>
    <s v="C"/>
    <n v="81"/>
    <n v="8.1000000000000003E-2"/>
    <s v="S/O"/>
    <n v="0.91900000000000004"/>
    <s v="Tonka Irarrazabal"/>
    <n v="0"/>
    <n v="0"/>
    <x v="2"/>
    <x v="3"/>
    <x v="28"/>
  </r>
  <r>
    <x v="3"/>
    <n v="8"/>
    <n v="2"/>
    <n v="1"/>
    <n v="404221000"/>
    <x v="2"/>
    <s v=" PTT"/>
    <x v="29"/>
    <x v="3"/>
    <n v="1000"/>
    <n v="0.81458333333333333"/>
    <s v="N/A"/>
    <n v="14163"/>
    <n v="-10.5"/>
    <s v="C"/>
    <s v="C"/>
    <n v="0.88600000000000001"/>
    <n v="81"/>
    <n v="8.1000000000000003E-2"/>
    <n v="4"/>
    <n v="4.0000000000000001E-3"/>
    <n v="11"/>
    <n v="1.0999999999999999E-2"/>
    <n v="18"/>
    <n v="1.7999999999999999E-2"/>
    <n v="0"/>
    <n v="0"/>
    <n v="0"/>
    <n v="0"/>
    <n v="0"/>
    <n v="5"/>
    <m/>
    <n v="0"/>
    <n v="0"/>
    <m/>
    <n v="0"/>
    <n v="0"/>
    <n v="0"/>
    <n v="0"/>
    <n v="0"/>
    <n v="0"/>
    <s v="S/A"/>
    <s v="S/A"/>
    <s v="S/A"/>
    <s v="S/A"/>
    <s v="S/A"/>
    <s v="S/A"/>
    <s v="S/A"/>
    <n v="9.3000000000000007"/>
    <s v="C"/>
    <s v="C"/>
    <n v="114"/>
    <n v="0.114"/>
    <s v="S/O"/>
    <n v="0.88600000000000001"/>
    <s v="Tonka Irarrazabal"/>
    <n v="0"/>
    <n v="0"/>
    <x v="2"/>
    <x v="3"/>
    <x v="29"/>
  </r>
  <r>
    <x v="3"/>
    <n v="8"/>
    <n v="2"/>
    <n v="1"/>
    <n v="404221000"/>
    <x v="2"/>
    <s v=" PTT"/>
    <x v="29"/>
    <x v="3"/>
    <n v="1000"/>
    <n v="0.83333333333333337"/>
    <s v="N/A"/>
    <n v="14161"/>
    <n v="-14.3"/>
    <s v="C"/>
    <s v="C"/>
    <n v="0.85399999999999998"/>
    <n v="48"/>
    <n v="4.8000000000000001E-2"/>
    <n v="0"/>
    <n v="0"/>
    <n v="0"/>
    <n v="0"/>
    <n v="98"/>
    <n v="9.8000000000000004E-2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0"/>
    <s v="C"/>
    <s v="C"/>
    <n v="146"/>
    <n v="0.14600000000000002"/>
    <s v="S/O"/>
    <n v="0.85399999999999998"/>
    <s v="Tonka Irarrazabal"/>
    <n v="0"/>
    <n v="0"/>
    <x v="2"/>
    <x v="3"/>
    <x v="29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  <r>
    <x v="2"/>
    <n v="52"/>
    <m/>
    <m/>
    <m/>
    <x v="1"/>
    <s v=" "/>
    <x v="26"/>
    <x v="2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2"/>
    <x v="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n v="8"/>
    <n v="2"/>
    <n v="1"/>
    <n v="404221000"/>
    <x v="0"/>
    <s v=" PTT"/>
    <x v="0"/>
    <x v="0"/>
    <n v="1000"/>
    <d v="1899-12-30T17:00:00"/>
    <s v="N/A"/>
    <n v="14163"/>
    <n v="-14.2"/>
    <s v="C"/>
    <s v="C"/>
    <n v="0.91300000000000003"/>
    <n v="86"/>
    <n v="8.5999999999999993E-2"/>
    <n v="1"/>
    <n v="1E-3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9.4"/>
    <s v="C"/>
    <s v="C"/>
    <n v="87"/>
    <n v="8.6999999999999994E-2"/>
    <s v="8,6% desviación de color. Se da aviso a supervisora."/>
    <n v="0.91300000000000003"/>
    <s v="Tonka Irarrazabal"/>
    <n v="0"/>
    <n v="0"/>
    <x v="0"/>
    <x v="0"/>
    <x v="0"/>
  </r>
  <r>
    <x v="0"/>
    <n v="8"/>
    <n v="2"/>
    <n v="1"/>
    <n v="404221000"/>
    <x v="0"/>
    <s v=" PTT"/>
    <x v="1"/>
    <x v="0"/>
    <n v="1000"/>
    <d v="1899-12-30T18:15:00"/>
    <s v="N/A"/>
    <n v="14162"/>
    <n v="-13.1"/>
    <s v="C"/>
    <s v="C"/>
    <n v="0.88400000000000001"/>
    <n v="91"/>
    <n v="9.0999999999999998E-2"/>
    <n v="0"/>
    <n v="0"/>
    <n v="24"/>
    <n v="2.4E-2"/>
    <n v="1"/>
    <n v="1E-3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9.6"/>
    <s v="C"/>
    <s v="C"/>
    <n v="116"/>
    <n v="0.11599999999999999"/>
    <s v="9,1% desviación de color. Se da aviso a supervisora"/>
    <n v="0.88400000000000001"/>
    <s v="Tonka Irarrazabal"/>
    <n v="0"/>
    <n v="0"/>
    <x v="0"/>
    <x v="0"/>
    <x v="1"/>
  </r>
  <r>
    <x v="0"/>
    <n v="8"/>
    <n v="2"/>
    <n v="1"/>
    <n v="404221000"/>
    <x v="0"/>
    <s v=" PTT"/>
    <x v="1"/>
    <x v="0"/>
    <n v="1000"/>
    <d v="1899-12-30T19:00:00"/>
    <s v="N/A"/>
    <n v="14160"/>
    <n v="-12.1"/>
    <s v="C"/>
    <s v="C"/>
    <n v="0.91900000000000004"/>
    <n v="72"/>
    <n v="7.1999999999999995E-2"/>
    <n v="5"/>
    <n v="5.0000000000000001E-3"/>
    <n v="4"/>
    <n v="4.0000000000000001E-3"/>
    <n v="0"/>
    <n v="0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9.6999999999999993"/>
    <s v="C"/>
    <s v="C"/>
    <n v="81"/>
    <n v="8.1000000000000003E-2"/>
    <s v="S/O"/>
    <n v="0.91900000000000004"/>
    <s v="Tonka Irarrazabal"/>
    <n v="0"/>
    <n v="0"/>
    <x v="0"/>
    <x v="0"/>
    <x v="1"/>
  </r>
  <r>
    <x v="0"/>
    <n v="8"/>
    <n v="2"/>
    <n v="1"/>
    <n v="404221000"/>
    <x v="0"/>
    <s v=" PTT"/>
    <x v="2"/>
    <x v="0"/>
    <n v="1000"/>
    <d v="1899-12-30T19:33:00"/>
    <s v="N/A"/>
    <n v="14163"/>
    <n v="-10.5"/>
    <s v="C"/>
    <s v="C"/>
    <n v="0.88600000000000001"/>
    <n v="81"/>
    <n v="8.1000000000000003E-2"/>
    <n v="4"/>
    <n v="4.0000000000000001E-3"/>
    <n v="11"/>
    <n v="1.0999999999999999E-2"/>
    <n v="18"/>
    <n v="1.7999999999999999E-2"/>
    <n v="0"/>
    <n v="0"/>
    <n v="0"/>
    <n v="0"/>
    <n v="0"/>
    <n v="5"/>
    <m/>
    <n v="0"/>
    <n v="0"/>
    <m/>
    <n v="0"/>
    <n v="0"/>
    <n v="0"/>
    <n v="0"/>
    <n v="0"/>
    <n v="0"/>
    <s v="S/A"/>
    <s v="S/A"/>
    <s v="S/A"/>
    <s v="S/A"/>
    <s v="S/A"/>
    <s v="S/A"/>
    <s v="S/A"/>
    <n v="9.3000000000000007"/>
    <s v="C"/>
    <s v="C"/>
    <n v="114"/>
    <n v="0.114"/>
    <s v="S/O"/>
    <n v="0.88600000000000001"/>
    <s v="Tonka Irarrazabal"/>
    <n v="0"/>
    <n v="0"/>
    <x v="0"/>
    <x v="0"/>
    <x v="2"/>
  </r>
  <r>
    <x v="0"/>
    <n v="8"/>
    <n v="2"/>
    <n v="1"/>
    <n v="404221000"/>
    <x v="0"/>
    <s v=" PTT"/>
    <x v="2"/>
    <x v="0"/>
    <n v="1000"/>
    <d v="1899-12-30T20:00:00"/>
    <s v="N/A"/>
    <n v="14161"/>
    <n v="-14.3"/>
    <s v="C"/>
    <s v="C"/>
    <n v="0.85399999999999998"/>
    <n v="48"/>
    <n v="4.8000000000000001E-2"/>
    <n v="0"/>
    <n v="0"/>
    <n v="0"/>
    <n v="0"/>
    <n v="98"/>
    <n v="9.8000000000000004E-2"/>
    <n v="0"/>
    <n v="0"/>
    <n v="0"/>
    <n v="0"/>
    <n v="0"/>
    <n v="0"/>
    <m/>
    <n v="0"/>
    <n v="0"/>
    <m/>
    <n v="0"/>
    <n v="0"/>
    <n v="0"/>
    <n v="0"/>
    <n v="0"/>
    <n v="0"/>
    <s v="S/A"/>
    <s v="S/A"/>
    <s v="S/A"/>
    <s v="S/A"/>
    <s v="S/A"/>
    <s v="S/A"/>
    <s v="S/A"/>
    <n v="10"/>
    <s v="C"/>
    <s v="C"/>
    <n v="146"/>
    <n v="0.14600000000000002"/>
    <s v="S/O"/>
    <n v="0.85399999999999998"/>
    <s v="Tonka Irarrazabal"/>
    <n v="0"/>
    <n v="0"/>
    <x v="0"/>
    <x v="0"/>
    <x v="2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  <r>
    <x v="1"/>
    <n v="52"/>
    <m/>
    <m/>
    <m/>
    <x v="1"/>
    <s v=" "/>
    <x v="3"/>
    <x v="1"/>
    <n v="1000"/>
    <m/>
    <s v="N/A"/>
    <m/>
    <m/>
    <s v="C"/>
    <s v="C"/>
    <n v="1"/>
    <n v="0"/>
    <n v="0"/>
    <n v="0"/>
    <n v="0"/>
    <n v="0"/>
    <n v="0"/>
    <n v="0"/>
    <n v="0"/>
    <n v="0"/>
    <n v="0"/>
    <n v="0"/>
    <n v="0"/>
    <n v="0"/>
    <n v="0"/>
    <m/>
    <n v="0"/>
    <n v="0"/>
    <m/>
    <n v="0"/>
    <n v="0"/>
    <n v="0"/>
    <n v="0"/>
    <n v="0"/>
    <n v="0"/>
    <m/>
    <m/>
    <m/>
    <m/>
    <m/>
    <m/>
    <m/>
    <s v="-"/>
    <s v="C"/>
    <s v="C"/>
    <n v="0"/>
    <n v="0"/>
    <m/>
    <n v="1"/>
    <m/>
    <n v="0"/>
    <n v="0"/>
    <x v="1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E5178-20D8-498F-83CA-ABDA8C0126A0}" name="TD_MR_RF" cacheId="425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3:O41" firstHeaderRow="0" firstDataRow="1" firstDataCol="4" rowPageCount="3" colPageCount="1"/>
  <pivotFields count="61">
    <pivotField axis="axisRow" outline="0" showAll="0" defaultSubtotal="0">
      <items count="3">
        <item x="0"/>
        <item x="1"/>
        <item x="2"/>
      </items>
    </pivotField>
    <pivotField showAll="0"/>
    <pivotField showAll="0"/>
    <pivotField showAll="0"/>
    <pivotField showAll="0"/>
    <pivotField axis="axisRow" outline="0" showAll="0" defaultSubtotal="0">
      <items count="2">
        <item x="1"/>
        <item x="0"/>
      </items>
    </pivotField>
    <pivotField showAll="0"/>
    <pivotField axis="axisRow" outline="0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1"/>
        <item x="22"/>
        <item x="23"/>
        <item x="24"/>
        <item x="25"/>
        <item x="17"/>
        <item x="18"/>
        <item x="19"/>
        <item x="20"/>
        <item x="26"/>
      </items>
    </pivotField>
    <pivotField axis="axisRow" outline="0" showAll="0" defaultSubtotal="0">
      <items count="3">
        <item x="0"/>
        <item x="1"/>
        <item x="2"/>
      </items>
    </pivotField>
    <pivotField numFmtId="3"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dataField="1" numFmtId="166" showAll="0"/>
    <pivotField dataField="1" numFmtId="166" showAll="0"/>
    <pivotField showAll="0"/>
    <pivotField numFmtId="166" showAll="0"/>
    <pivotField showAll="0"/>
    <pivotField showAll="0"/>
    <pivotField numFmtId="166" showAll="0"/>
    <pivotField numFmtId="165" showAll="0"/>
    <pivotField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showAll="0"/>
    <pivotField numFmtId="165" showAll="0"/>
    <pivotField showAll="0"/>
    <pivotField dataField="1" showAll="0"/>
    <pivotField dataField="1" showAll="0"/>
    <pivotField axis="axisPage" showAll="0">
      <items count="3"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1"/>
        <item x="22"/>
        <item x="23"/>
        <item x="24"/>
        <item x="25"/>
        <item x="17"/>
        <item x="18"/>
        <item x="19"/>
        <item x="20"/>
        <item x="26"/>
        <item t="default"/>
      </items>
    </pivotField>
  </pivotFields>
  <rowFields count="4">
    <field x="0"/>
    <field x="5"/>
    <field x="8"/>
    <field x="7"/>
  </rowFields>
  <rowItems count="28">
    <i>
      <x/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>
      <x v="1"/>
      <x v="1"/>
      <x/>
      <x v="17"/>
    </i>
    <i r="2">
      <x v="1"/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>
      <x v="2"/>
      <x/>
      <x v="2"/>
      <x v="26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3">
    <pageField fld="58" hier="-1"/>
    <pageField fld="59" hier="-1"/>
    <pageField fld="60" hier="-1"/>
  </pageFields>
  <dataFields count="11">
    <dataField name="Promedio de % de IQF" fld="16" subtotal="average" baseField="0" baseItem="0" numFmtId="165"/>
    <dataField name="Promedio de % Desv. Color (≤5%)" fld="18" subtotal="average" baseField="0" baseItem="0" numFmtId="165"/>
    <dataField name="Promedio de % Sobremaduro (≤6%)" fld="20" subtotal="average" baseField="0" baseItem="0" numFmtId="165"/>
    <dataField name="Promedio de % Daño Mécanico (≤6%)" fld="22" subtotal="average" baseField="0" baseItem="0" numFmtId="165"/>
    <dataField name="Promedio de % Daño Insc. (≤5%)" fld="24" subtotal="average" baseField="0" baseItem="0" numFmtId="165"/>
    <dataField name="Promedio de % Block (≤5%)" fld="26" subtotal="average" baseField="0" baseItem="0" numFmtId="165"/>
    <dataField name="Promedio de % Mohos (0%)" fld="28" subtotal="average" baseField="0" baseItem="0" numFmtId="165"/>
    <dataField name="Promedio de Caliz (Und.) (≤2)" fld="29" subtotal="average" baseField="0" baseItem="0" numFmtId="1"/>
    <dataField name="Promedio de Larvas (Und.)" fld="30" subtotal="average" baseField="0" baseItem="0" numFmtId="1"/>
    <dataField name="Promedio de Mat. Extr. Endo." fld="56" subtotal="average" baseField="0" baseItem="0" numFmtId="1"/>
    <dataField name="Promedio de Mat. Extr. Exo." fld="57" subtotal="average" baseField="0" baseItem="0" numFmtId="1"/>
  </dataFields>
  <formats count="5">
    <format dxfId="188">
      <pivotArea field="0" type="button" dataOnly="0" labelOnly="1" outline="0" axis="axisRow" fieldPosition="0"/>
    </format>
    <format dxfId="189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90">
      <pivotArea outline="0" collapsedLevelsAreSubtotals="1" fieldPosition="0">
        <references count="1">
          <reference field="4294967294" count="4" selected="0">
            <x v="7"/>
            <x v="8"/>
            <x v="9"/>
            <x v="10"/>
          </reference>
        </references>
      </pivotArea>
    </format>
    <format dxfId="191">
      <pivotArea dataOnly="0" labelOnly="1" outline="0" fieldPosition="0">
        <references count="1">
          <reference field="4294967294" count="4">
            <x v="7"/>
            <x v="8"/>
            <x v="9"/>
            <x v="10"/>
          </reference>
        </references>
      </pivotArea>
    </format>
    <format dxfId="19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Dark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45A1B-08D2-49DF-817A-0EC0085B4681}" name="TablaDinámica2" cacheId="426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3:O18" firstHeaderRow="0" firstDataRow="1" firstDataCol="4" rowPageCount="3" colPageCount="1"/>
  <pivotFields count="61">
    <pivotField axis="axisRow" outline="0" showAll="0" defaultSubtotal="0">
      <items count="2">
        <item x="0"/>
        <item x="1"/>
      </items>
    </pivotField>
    <pivotField showAll="0"/>
    <pivotField showAll="0"/>
    <pivotField showAll="0"/>
    <pivotField showAll="0"/>
    <pivotField axis="axisRow" outline="0" showAll="0" defaultSubtotal="0">
      <items count="2">
        <item x="1"/>
        <item x="0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outline="0" showAll="0" defaultSubtotal="0">
      <items count="2">
        <item x="0"/>
        <item x="1"/>
      </items>
    </pivotField>
    <pivotField numFmtId="3"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numFmtId="166" showAll="0"/>
    <pivotField dataField="1" numFmtId="165" showAll="0"/>
    <pivotField dataField="1" numFmtId="166" showAll="0"/>
    <pivotField dataField="1" numFmtId="166" showAll="0"/>
    <pivotField showAll="0"/>
    <pivotField numFmtId="166" showAll="0"/>
    <pivotField numFmtId="165" showAll="0"/>
    <pivotField showAll="0"/>
    <pivotField numFmtId="166" showAll="0"/>
    <pivotField numFmtId="165" showAll="0"/>
    <pivotField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5" showAll="0"/>
    <pivotField showAll="0"/>
    <pivotField numFmtId="165" showAll="0"/>
    <pivotField showAll="0"/>
    <pivotField dataField="1" showAll="0"/>
    <pivotField dataField="1" showAll="0"/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4">
    <field x="0"/>
    <field x="5"/>
    <field x="8"/>
    <field x="7"/>
  </rowFields>
  <rowItems count="5">
    <i>
      <x/>
      <x v="1"/>
      <x/>
      <x/>
    </i>
    <i r="3">
      <x v="1"/>
    </i>
    <i r="3">
      <x v="2"/>
    </i>
    <i>
      <x v="1"/>
      <x/>
      <x v="1"/>
      <x v="3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3">
    <pageField fld="58" hier="-1"/>
    <pageField fld="59" hier="-1"/>
    <pageField fld="60" hier="-1"/>
  </pageFields>
  <dataFields count="11">
    <dataField name="Promedio de % de IQF" fld="16" subtotal="average" baseField="0" baseItem="0" numFmtId="165"/>
    <dataField name="Suma de % Desv. Color (≤5%)" fld="18" baseField="0" baseItem="0" numFmtId="165"/>
    <dataField name="Suma de % Sobremaduro (≤6%)" fld="20" baseField="0" baseItem="0" numFmtId="165"/>
    <dataField name="Suma de % Daño Mécanico (≤6%)" fld="22" baseField="0" baseItem="0" numFmtId="165"/>
    <dataField name="Suma de % Daño Insc. (≤5%)" fld="24" baseField="0" baseItem="0" numFmtId="165"/>
    <dataField name="Suma de % Block (≤5%)" fld="26" baseField="0" baseItem="0" numFmtId="165"/>
    <dataField name="Suma de % Mohos (0%)" fld="28" baseField="0" baseItem="0" numFmtId="165"/>
    <dataField name="Suma de Caliz (Und.) (≤2)" fld="29" baseField="0" baseItem="0" numFmtId="166"/>
    <dataField name="Suma de Larvas (Und.)" fld="30" baseField="0" baseItem="0" numFmtId="166"/>
    <dataField name="Suma de Mat. Extr. Endo." fld="56" baseField="0" baseItem="0"/>
    <dataField name="Suma de Mat. Extr. Exo." fld="57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44041-183E-4CB5-95D3-EF6B21E60378}" name="TablaDinámica1" cacheId="426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3:O44" firstHeaderRow="0" firstDataRow="1" firstDataCol="4" rowPageCount="3" colPageCount="1"/>
  <pivotFields count="61">
    <pivotField axis="axisRow" outline="0" showAll="0" defaultSubtotal="0">
      <items count="4">
        <item x="0"/>
        <item x="1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axis="axisRow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1"/>
        <item x="27"/>
        <item x="28"/>
        <item x="29"/>
        <item x="22"/>
        <item x="23"/>
        <item x="24"/>
        <item x="25"/>
        <item x="17"/>
        <item x="18"/>
        <item x="19"/>
        <item x="20"/>
        <item x="26"/>
        <item t="default"/>
      </items>
    </pivotField>
    <pivotField axis="axisRow" outline="0"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Page" showAll="0">
      <items count="4">
        <item x="1"/>
        <item x="2"/>
        <item x="0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axis="axisPage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1"/>
        <item x="27"/>
        <item x="28"/>
        <item x="29"/>
        <item x="22"/>
        <item x="23"/>
        <item x="24"/>
        <item x="25"/>
        <item x="17"/>
        <item x="18"/>
        <item x="19"/>
        <item x="20"/>
        <item x="26"/>
        <item t="default"/>
      </items>
    </pivotField>
  </pivotFields>
  <rowFields count="4">
    <field x="0"/>
    <field x="5"/>
    <field x="8"/>
    <field x="7"/>
  </rowFields>
  <rowItems count="31">
    <i>
      <x/>
      <x v="2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>
      <x v="1"/>
      <x v="2"/>
      <x/>
      <x v="17"/>
    </i>
    <i r="2">
      <x v="2"/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>
      <x v="2"/>
      <x v="1"/>
      <x v="1"/>
      <x v="18"/>
    </i>
    <i r="3">
      <x v="19"/>
    </i>
    <i r="3">
      <x v="20"/>
    </i>
    <i>
      <x v="3"/>
      <x/>
      <x v="3"/>
      <x v="29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3">
    <pageField fld="58" hier="-1"/>
    <pageField fld="59" hier="-1"/>
    <pageField fld="60" hier="-1"/>
  </pageFields>
  <dataFields count="11">
    <dataField name="Promedio de % de IQF" fld="16" subtotal="average" baseField="0" baseItem="0" numFmtId="165"/>
    <dataField name="Promedio de % Desv. Color (≤5%)" fld="18" subtotal="average" baseField="7" baseItem="0" numFmtId="165"/>
    <dataField name="Promedio de % Sobremaduro (≤6%)" fld="20" subtotal="average" baseField="7" baseItem="0" numFmtId="165"/>
    <dataField name="Promedio de % Daño Mécanico (≤6%)" fld="22" subtotal="average" baseField="7" baseItem="0" numFmtId="165"/>
    <dataField name="Promedio de % Daño Insc. (≤5%)" fld="24" subtotal="average" baseField="7" baseItem="0" numFmtId="165"/>
    <dataField name="Promedio de % Block (≤5%)" fld="26" subtotal="average" baseField="7" baseItem="0" numFmtId="165"/>
    <dataField name="Promedio de % Mohos (0%)" fld="28" subtotal="average" baseField="7" baseItem="0" numFmtId="165"/>
    <dataField name="Promedio de Caliz (Und.) (≤2)" fld="29" subtotal="average" baseField="7" baseItem="0" numFmtId="1"/>
    <dataField name="Promedio de Larvas (Und.)" fld="30" subtotal="average" baseField="7" baseItem="0" numFmtId="1"/>
    <dataField name="Promedio de Mat. Extr. Endo." fld="56" subtotal="average" baseField="7" baseItem="0" numFmtId="1"/>
    <dataField name="Promedio de Mat. Extr. Exo." fld="57" subtotal="average" baseField="7" baseItem="0" numFmtId="1"/>
  </dataFields>
  <formats count="5">
    <format dxfId="183">
      <pivotArea outline="0" collapsedLevelsAreSubtotals="1" fieldPosition="0">
        <references count="1">
          <reference field="429496729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8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85">
      <pivotArea outline="0" collapsedLevelsAreSubtotals="1" fieldPosition="0">
        <references count="1">
          <reference field="4294967294" count="4" selected="0">
            <x v="7"/>
            <x v="8"/>
            <x v="9"/>
            <x v="10"/>
          </reference>
        </references>
      </pivotArea>
    </format>
    <format dxfId="186">
      <pivotArea dataOnly="0" labelOnly="1" outline="0" fieldPosition="0">
        <references count="1">
          <reference field="4294967294" count="4">
            <x v="7"/>
            <x v="8"/>
            <x v="9"/>
            <x v="10"/>
          </reference>
        </references>
      </pivotArea>
    </format>
    <format dxfId="18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D9B70F6-BE64-4059-832D-5BC62E2913C7}" autoFormatId="16" applyNumberFormats="0" applyBorderFormats="0" applyFontFormats="0" applyPatternFormats="0" applyAlignmentFormats="0" applyWidthHeightFormats="0">
  <queryTableRefresh nextId="15">
    <queryTableFields count="14">
      <queryTableField id="1" name="SKU" tableColumnId="1"/>
      <queryTableField id="2" name="Descripción" tableColumnId="2"/>
      <queryTableField id="3" name="Especie" tableColumnId="3"/>
      <queryTableField id="4" name="Variedad" tableColumnId="4"/>
      <queryTableField id="5" name="Manejo" tableColumnId="5"/>
      <queryTableField id="6" name="Calibre" tableColumnId="6"/>
      <queryTableField id="7" name="Calidad" tableColumnId="7"/>
      <queryTableField id="8" name="Familia Calidad" tableColumnId="8"/>
      <queryTableField id="9" name="Formato" tableColumnId="9"/>
      <queryTableField id="10" name="Envase" tableColumnId="10"/>
      <queryTableField id="11" name="PSP/PTT" tableColumnId="11"/>
      <queryTableField id="12" name="Agrupa" tableColumnId="12"/>
      <queryTableField id="13" name="PRODUCTO" tableColumnId="13"/>
      <queryTableField id="14" name="Precio Odoo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9F868BA2-ADFE-4A6A-8973-3FD8902E8F76}" autoFormatId="16" applyNumberFormats="0" applyBorderFormats="0" applyFontFormats="0" applyPatternFormats="0" applyAlignmentFormats="0" applyWidthHeightFormats="0">
  <queryTableRefresh nextId="62">
    <queryTableFields count="61">
      <queryTableField id="1" name="Fecha" tableColumnId="1"/>
      <queryTableField id="2" name="Semana" tableColumnId="2"/>
      <queryTableField id="3" name="Turno" tableColumnId="3"/>
      <queryTableField id="4" name="Sala" tableColumnId="4"/>
      <queryTableField id="5" name="Código" tableColumnId="5"/>
      <queryTableField id="6" name="Descripción del Producto" tableColumnId="6"/>
      <queryTableField id="7" name="Familia Calidad" tableColumnId="7"/>
      <queryTableField id="8" name="N° Pallet" tableColumnId="8"/>
      <queryTableField id="9" name="N° Lote" tableColumnId="9"/>
      <queryTableField id="10" name="Muestra" tableColumnId="10"/>
      <queryTableField id="11" name="Hora Monitoreo" tableColumnId="11"/>
      <queryTableField id="12" name="Peso Bolsa" tableColumnId="12"/>
      <queryTableField id="13" name="Peso Caja P.T." tableColumnId="13"/>
      <queryTableField id="14" name="T° Prod. " tableColumnId="14"/>
      <queryTableField id="15" name="Sellado Bolsa" tableColumnId="15"/>
      <queryTableField id="16" name="Sellado Caja" tableColumnId="16"/>
      <queryTableField id="17" name="% de IQF" tableColumnId="17"/>
      <queryTableField id="18" name="Desviación de Color" tableColumnId="18"/>
      <queryTableField id="19" name="% Desv. Color (≤5%)" tableColumnId="19"/>
      <queryTableField id="20" name="Sobremaduro" tableColumnId="20"/>
      <queryTableField id="21" name="% Sobremaduro (≤6%)" tableColumnId="21"/>
      <queryTableField id="22" name="Daño Mécanico" tableColumnId="22"/>
      <queryTableField id="23" name="% Daño Mécanico (≤6%)" tableColumnId="23"/>
      <queryTableField id="24" name="Daño Insecto" tableColumnId="24"/>
      <queryTableField id="25" name="% Daño Insc. (≤5%)" tableColumnId="25"/>
      <queryTableField id="26" name="Block" tableColumnId="26"/>
      <queryTableField id="27" name="% Block (≤5%)" tableColumnId="27"/>
      <queryTableField id="28" name="Mohos" tableColumnId="28"/>
      <queryTableField id="29" name="% Mohos (0%)" tableColumnId="29"/>
      <queryTableField id="30" name="Caliz (Und.) (≤2)" tableColumnId="30"/>
      <queryTableField id="31" name="Larvas (Und.)" tableColumnId="31"/>
      <queryTableField id="32" name="Descripción extra 1" tableColumnId="32"/>
      <queryTableField id="33" name="Valor Extra 1" tableColumnId="33"/>
      <queryTableField id="34" name="% Extra 1" tableColumnId="34"/>
      <queryTableField id="35" name="Descripción Extra 2" tableColumnId="35"/>
      <queryTableField id="36" name="Valor Extra 2" tableColumnId="36"/>
      <queryTableField id="37" name="% Extra 2" tableColumnId="37"/>
      <queryTableField id="38" name="Calibre &gt;16" tableColumnId="38"/>
      <queryTableField id="39" name="% &gt;16" tableColumnId="39"/>
      <queryTableField id="40" name="Calibre &lt;16" tableColumnId="40"/>
      <queryTableField id="41" name="% &lt;16" tableColumnId="41"/>
      <queryTableField id="42" name="Palos (Un.) (≤18)" tableColumnId="42"/>
      <queryTableField id="43" name="Caliz (Un.) (≤18)" tableColumnId="43"/>
      <queryTableField id="44" name="Hojas (Un.) (≤18)" tableColumnId="44"/>
      <queryTableField id="45" name="Larvas (Un.) (≤24)" tableColumnId="45"/>
      <queryTableField id="46" name="Vidrio (Un.) (0)" tableColumnId="46"/>
      <queryTableField id="47" name="Madera (Un.) (0)" tableColumnId="47"/>
      <queryTableField id="48" name="Plástico (Un.) (0)" tableColumnId="48"/>
      <queryTableField id="49" name="°Brix (≥8°)" tableColumnId="49"/>
      <queryTableField id="50" name="Sabor" tableColumnId="50"/>
      <queryTableField id="51" name="Olor" tableColumnId="51"/>
      <queryTableField id="52" name="Suma Defectos" tableColumnId="52"/>
      <queryTableField id="53" name="% Defectos" tableColumnId="53"/>
      <queryTableField id="54" name="Observaciones" tableColumnId="54"/>
      <queryTableField id="55" name="% IQF" tableColumnId="55"/>
      <queryTableField id="56" name="Nombre del/la Análista" tableColumnId="56"/>
      <queryTableField id="57" name="Mat. Extr. Endo." tableColumnId="57"/>
      <queryTableField id="58" name="Mat. Extr. Exo." tableColumnId="58"/>
      <queryTableField id="59" name="Filtro Producto" tableColumnId="59"/>
      <queryTableField id="60" name="Filtro Lote" tableColumnId="60"/>
      <queryTableField id="61" name="Filtro Pallet" tableColumnId="6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B277BD-BAFE-4534-86A0-688B6FB2D5E4}" name="BD_Cod" displayName="BD_Cod" ref="A1:N598" tableType="queryTable" totalsRowShown="0">
  <autoFilter ref="A1:N598" xr:uid="{24B277BD-BAFE-4534-86A0-688B6FB2D5E4}"/>
  <tableColumns count="14">
    <tableColumn id="1" xr3:uid="{DC3F854A-8F66-498E-842C-68ED2E2354D8}" uniqueName="1" name="SKU" queryTableFieldId="1"/>
    <tableColumn id="2" xr3:uid="{DAAA559C-ED82-4446-83E2-8586B4134B5E}" uniqueName="2" name="Descripción" queryTableFieldId="2" dataDxfId="182"/>
    <tableColumn id="3" xr3:uid="{6D06C875-7D59-4AF5-A24C-1FD496913DCC}" uniqueName="3" name="Especie" queryTableFieldId="3" dataDxfId="181"/>
    <tableColumn id="4" xr3:uid="{10618F80-1E40-423C-89B6-B9342BB5E5EF}" uniqueName="4" name="Variedad" queryTableFieldId="4" dataDxfId="180"/>
    <tableColumn id="5" xr3:uid="{282B5A14-D99A-43B7-A324-0128D480103F}" uniqueName="5" name="Manejo" queryTableFieldId="5" dataDxfId="179"/>
    <tableColumn id="6" xr3:uid="{40F67E95-0497-4F7C-9C17-4861A239A027}" uniqueName="6" name="Calibre" queryTableFieldId="6" dataDxfId="178"/>
    <tableColumn id="7" xr3:uid="{6BB6B6A5-A0B8-4054-B89E-1F9889B78DED}" uniqueName="7" name="Calidad" queryTableFieldId="7" dataDxfId="177"/>
    <tableColumn id="8" xr3:uid="{0F8CC976-47A2-446D-92A7-1B8E1AC21E75}" uniqueName="8" name="Familia Calidad" queryTableFieldId="8" dataDxfId="176"/>
    <tableColumn id="9" xr3:uid="{EFB91953-A421-47CA-8AE9-DF938F95A714}" uniqueName="9" name="Formato" queryTableFieldId="9" dataDxfId="175"/>
    <tableColumn id="10" xr3:uid="{DDE2CAB2-A3DA-443F-9686-61CC680D7A9B}" uniqueName="10" name="Envase" queryTableFieldId="10" dataDxfId="174"/>
    <tableColumn id="11" xr3:uid="{2D62A9AD-8121-4074-955F-45428AD89084}" uniqueName="11" name="PSP/PTT" queryTableFieldId="11" dataDxfId="173"/>
    <tableColumn id="12" xr3:uid="{296D2B65-4AF4-4857-A901-57D0E345DB69}" uniqueName="12" name="Agrupa" queryTableFieldId="12" dataDxfId="172"/>
    <tableColumn id="13" xr3:uid="{918E1117-C375-4858-AD89-FC570678A957}" uniqueName="13" name="PRODUCTO" queryTableFieldId="13"/>
    <tableColumn id="14" xr3:uid="{6D6F1E61-9F59-4FDF-A33F-214C237ED9E7}" uniqueName="14" name="Precio Odoo" queryTableField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CF410-8216-40C5-AEDD-074EF8E52DEE}" name="BD_MR_RF" displayName="BD_MR_RF" ref="A1:BI91" totalsRowShown="0" headerRowDxfId="157" dataDxfId="156">
  <autoFilter ref="A1:BI91" xr:uid="{B6EF53A0-060E-4F2A-8C56-B8E8930BE4A3}"/>
  <tableColumns count="61">
    <tableColumn id="1" xr3:uid="{B6933187-EFD6-4125-A235-A3A89CABE962}" name="Fecha" dataDxfId="155"/>
    <tableColumn id="2" xr3:uid="{1E5EA088-FBD1-45E0-8ECB-5295D9B462E7}" name="Semana" dataDxfId="154">
      <calculatedColumnFormula>_xlfn.ISOWEEKNUM(BD_MR_RF[[#This Row],[Fecha]])</calculatedColumnFormula>
    </tableColumn>
    <tableColumn id="3" xr3:uid="{B0827226-E526-4B1F-9064-497F92F45283}" name="Turno" dataDxfId="153"/>
    <tableColumn id="4" xr3:uid="{98D552A0-0036-4CB5-9A0F-0DBD6969328E}" name="Sala" dataDxfId="152"/>
    <tableColumn id="5" xr3:uid="{F2E06014-7F36-4EC7-9B68-260D60CB5413}" name="Código" dataDxfId="151"/>
    <tableColumn id="6" xr3:uid="{C560F2B1-DD3B-41F1-B90A-BE9ECCF37BFD}" name="Descripción del Producto" dataDxfId="150">
      <calculatedColumnFormula>IFERROR("" &amp; _xlfn.XLOOKUP(BD_MR_RF[[#This Row],[Código]],BD_Cod!A:A,BD_Cod!B:B), "")</calculatedColumnFormula>
    </tableColumn>
    <tableColumn id="7" xr3:uid="{D1796857-1A91-4E65-BBAF-66F4719DA609}" name="Familia Calidad" dataDxfId="149">
      <calculatedColumnFormula>IFERROR(" " &amp;_xlfn.XLOOKUP(BD_MR_RF[[#This Row],[Código]],BD_Cod!A:A,BD_Cod!H:H," ")," ")</calculatedColumnFormula>
    </tableColumn>
    <tableColumn id="8" xr3:uid="{45A0CF2A-E1FF-4181-BDA1-92C19AA9DDD7}" name="N° Pallet" dataDxfId="148"/>
    <tableColumn id="9" xr3:uid="{4906AC6F-D018-404A-B019-1F9B8EDC71DB}" name="N° Lote" dataDxfId="147"/>
    <tableColumn id="10" xr3:uid="{757FB7BE-048B-432B-A061-77664543CB5E}" name="Muestra" dataDxfId="146"/>
    <tableColumn id="11" xr3:uid="{988F8F3D-9AD0-4CFE-ACA1-09C26BD7AB27}" name="Hora Monitoreo" dataDxfId="145"/>
    <tableColumn id="12" xr3:uid="{0785D236-0F13-4392-8B9C-ACC465649835}" name="Peso Bolsa" dataDxfId="144"/>
    <tableColumn id="13" xr3:uid="{0458A75E-803F-43C5-9BAA-DA2F79117D70}" name="Peso Caja P.T." dataDxfId="143"/>
    <tableColumn id="14" xr3:uid="{CB798215-75D6-4587-B417-2B09923AFA95}" name="T° Prod. " dataDxfId="142"/>
    <tableColumn id="15" xr3:uid="{408FE3B7-E200-4864-8131-2BD5BC922E9B}" name="Sellado Bolsa" dataDxfId="141"/>
    <tableColumn id="16" xr3:uid="{DABB9139-6C9C-4366-91F0-BBC8F00844B9}" name="Sellado Caja" dataDxfId="140"/>
    <tableColumn id="17" xr3:uid="{FD23457C-4EF2-488D-9F92-095FC2E0C7B4}" name="% de IQF" dataDxfId="139" dataCellStyle="Porcentaje">
      <calculatedColumnFormula>1-BD_MR_RF[[#This Row],[% Defectos]]</calculatedColumnFormula>
    </tableColumn>
    <tableColumn id="18" xr3:uid="{CBC56F35-BFBF-4B4A-938F-E3273C6E7A6B}" name="Desviación de Color" dataDxfId="138"/>
    <tableColumn id="19" xr3:uid="{4EC694E5-C891-4DB2-9D02-9A6AA29AB02B}" name="% Desv. Color (≤5%)" dataDxfId="137" dataCellStyle="Porcentaje">
      <calculatedColumnFormula>+IFERROR((BD_MR_RF[[#This Row],[Desviación de Color]]/BD_MR_RF[[#This Row],[Muestra]]),"0")</calculatedColumnFormula>
    </tableColumn>
    <tableColumn id="20" xr3:uid="{B1A1282A-23E9-42C1-BB1D-26A55A86AEEB}" name="Sobremaduro" dataDxfId="136"/>
    <tableColumn id="21" xr3:uid="{67DE39C9-91C9-495C-A7C8-D70408FE058F}" name="% Sobremaduro (≤6%)" dataDxfId="135" dataCellStyle="Porcentaje">
      <calculatedColumnFormula>+IFERROR((BD_MR_RF[[#This Row],[Sobremaduro]]/BD_MR_RF[[#This Row],[Muestra]]),"0")</calculatedColumnFormula>
    </tableColumn>
    <tableColumn id="22" xr3:uid="{CD987D94-5983-48E0-8755-580ED5116D29}" name="Daño Mécanico" dataDxfId="134"/>
    <tableColumn id="23" xr3:uid="{FEA12644-A385-4A9B-A28F-EEAAAED72A3A}" name="% Daño Mécanico (≤6%)" dataDxfId="133" dataCellStyle="Porcentaje">
      <calculatedColumnFormula>+IFERROR((BD_MR_RF[[#This Row],[Daño Mécanico]]/BD_MR_RF[[#This Row],[Muestra]]),"0")</calculatedColumnFormula>
    </tableColumn>
    <tableColumn id="24" xr3:uid="{E91DAE02-26A4-4403-9208-C47B012EB817}" name="Daño Insecto" dataDxfId="132"/>
    <tableColumn id="25" xr3:uid="{FF0886A1-FF3F-4CDD-91DF-44690F351A7C}" name="% Daño Insc. (≤5%)" dataDxfId="131" dataCellStyle="Porcentaje">
      <calculatedColumnFormula>+IFERROR((BD_MR_RF[[#This Row],[Daño Insecto]]/BD_MR_RF[[#This Row],[Muestra]]),"0")</calculatedColumnFormula>
    </tableColumn>
    <tableColumn id="26" xr3:uid="{6333E9A3-EC70-4788-8ED4-E3F97213EA36}" name="Block" dataDxfId="130"/>
    <tableColumn id="27" xr3:uid="{FFA0C21B-5E9D-40C9-B7FB-7E40EE6FCB99}" name="% Block (≤5%)" dataDxfId="129" dataCellStyle="Porcentaje">
      <calculatedColumnFormula>+IFERROR((BD_MR_RF[[#This Row],[Block]]/BD_MR_RF[[#This Row],[Muestra]]),"0")</calculatedColumnFormula>
    </tableColumn>
    <tableColumn id="28" xr3:uid="{DCED1CE5-49A3-433E-9153-75B888B593C1}" name="Mohos" dataDxfId="128"/>
    <tableColumn id="54" xr3:uid="{5AA3293D-EC0B-47C3-8F3C-4E230374E10A}" name="% Mohos (0%)" dataDxfId="127" dataCellStyle="Porcentaje">
      <calculatedColumnFormula>+IFERROR((BD_MR_RF[[#This Row],[Mohos]]/BD_MR_RF[[#This Row],[Muestra]]),"0")</calculatedColumnFormula>
    </tableColumn>
    <tableColumn id="29" xr3:uid="{2F64458F-AE4B-44DC-8EF8-41C2CF24E2BF}" name="Caliz (Und.) (≤2)" dataDxfId="126"/>
    <tableColumn id="30" xr3:uid="{869BE987-8224-477A-846A-BB2287C47BAC}" name="Larvas (Und.)" dataDxfId="125"/>
    <tableColumn id="59" xr3:uid="{6F906CC6-1F8C-4D41-9C4E-9DAA693B8043}" name="Descripción extra 1" dataDxfId="124"/>
    <tableColumn id="55" xr3:uid="{D97BFD7C-3D18-4B87-A503-A26283A989C8}" name="Valor Extra 1" dataDxfId="123"/>
    <tableColumn id="56" xr3:uid="{31F10D6B-DDDD-4162-9166-71CCB901D490}" name="% Extra 1" dataDxfId="122" dataCellStyle="Porcentaje">
      <calculatedColumnFormula>+IFERROR((BD_MR_RF[[#This Row],[Valor Extra 1]]/BD_MR_RF[[#This Row],[Muestra]]),"0")</calculatedColumnFormula>
    </tableColumn>
    <tableColumn id="57" xr3:uid="{7E546A49-B761-4977-83AE-70DDA17B871A}" name="Descripción Extra 2" dataDxfId="121"/>
    <tableColumn id="58" xr3:uid="{7215BA5C-DF61-46E5-BC3F-3E569369115F}" name="Valor Extra 2" dataDxfId="120"/>
    <tableColumn id="60" xr3:uid="{24221D62-9275-4C8C-A706-D81821E4DD8C}" name="% Extra 2" dataDxfId="119" dataCellStyle="Porcentaje">
      <calculatedColumnFormula>+IFERROR((BD_MR_RF[[#This Row],[Valor Extra 2]]/BD_MR_RF[[#This Row],[Muestra]]),"0")</calculatedColumnFormula>
    </tableColumn>
    <tableColumn id="31" xr3:uid="{8429FFAD-CA1C-4626-A54F-CC0DFFA19168}" name="Calibre &gt;16" dataDxfId="118"/>
    <tableColumn id="32" xr3:uid="{90ECB65F-1635-4D43-B31B-5B35F2016ECC}" name="% &gt;16" dataDxfId="117" dataCellStyle="Porcentaje">
      <calculatedColumnFormula>+IFERROR((BD_MR_RF[[#This Row],[Calibre &gt;16]]/BD_MR_RF[[#This Row],[Muestra]]),"0")</calculatedColumnFormula>
    </tableColumn>
    <tableColumn id="33" xr3:uid="{2B1794EF-9EDA-4443-8DB8-00F8D4565CD5}" name="Calibre &lt;16" dataDxfId="116"/>
    <tableColumn id="34" xr3:uid="{C55C3422-C2AF-4658-94C7-98B8A7F8AAB9}" name="% &lt;16" dataDxfId="115" dataCellStyle="Porcentaje">
      <calculatedColumnFormula>+IFERROR((BD_MR_RF[[#This Row],[Calibre &lt;16]]/BD_MR_RF[[#This Row],[Muestra]]),"0")</calculatedColumnFormula>
    </tableColumn>
    <tableColumn id="35" xr3:uid="{10176DC1-67AE-44B1-81C5-720D0DD43F62}" name="Palos (Un.) (≤18)" dataDxfId="114"/>
    <tableColumn id="36" xr3:uid="{4F413323-6258-45EF-BA2C-70D253474993}" name="Caliz (Un.) (≤18)" dataDxfId="113"/>
    <tableColumn id="37" xr3:uid="{424B5DFB-0A7D-4ADA-AEE9-84D04E7C6983}" name="Hojas (Un.) (≤18)" dataDxfId="112"/>
    <tableColumn id="38" xr3:uid="{07E1033E-CE2F-4B0A-8E77-CC29191295A5}" name="Larvas (Un.) (≤24)" dataDxfId="111"/>
    <tableColumn id="39" xr3:uid="{7D13DFC1-F7D3-4C7C-8F0F-2F63AA3E5EC0}" name="Vidrio (Un.) (0)" dataDxfId="110"/>
    <tableColumn id="40" xr3:uid="{1FF73F78-22E2-484A-A29C-F8EA3FF29F03}" name="Madera (Un.) (0)" dataDxfId="109"/>
    <tableColumn id="41" xr3:uid="{3D753A06-216F-4077-944E-61E3D07F0A6F}" name="Plástico (Un.) (0)" dataDxfId="108"/>
    <tableColumn id="42" xr3:uid="{36982473-9114-48EC-AA62-E595FE7D450E}" name="°Brix (≥8°)" dataDxfId="107"/>
    <tableColumn id="43" xr3:uid="{3B1ABDC3-6E0D-4DD6-99BC-B054885EA386}" name="Sabor" dataDxfId="106"/>
    <tableColumn id="44" xr3:uid="{CBA7CC4D-5280-43ED-B282-6DBA0DF2D87C}" name="Olor" dataDxfId="105"/>
    <tableColumn id="45" xr3:uid="{A4CE4942-E2EF-4A12-BA21-38258941A635}" name="Suma Defectos" dataDxfId="104" dataCellStyle="Porcentaje">
      <calculatedColumnFormula>SUM(BD_MR_RF[[#This Row],[Desviación de Color]]+BD_MR_RF[[#This Row],[Sobremaduro]]+BD_MR_RF[[#This Row],[Daño Mécanico]]+BD_MR_RF[[#This Row],[Daño Insecto]]+BD_MR_RF[[#This Row],[Block]]+BD_MR_RF[[#This Row],[Mohos]])</calculatedColumnFormula>
    </tableColumn>
    <tableColumn id="46" xr3:uid="{233CCA23-F3F8-42A5-A59F-3EABF653CFCA}" name="% Defectos" dataDxfId="103" dataCellStyle="Porcentaje">
      <calculatedColumnFormula>SUM(BD_MR_RF[[#This Row],[% Desv. Color (≤5%)]]+BD_MR_RF[[#This Row],[% Sobremaduro (≤6%)]]+BD_MR_RF[[#This Row],[% Daño Mécanico (≤6%)]]+BD_MR_RF[[#This Row],[% Daño Insc. (≤5%)]]+BD_MR_RF[[#This Row],[% Block (≤5%)]]+BD_MR_RF[[#This Row],[% Mohos (0%)]])</calculatedColumnFormula>
    </tableColumn>
    <tableColumn id="47" xr3:uid="{EC9D58AF-B5AA-4646-BDB4-423BC3DD3847}" name="Observaciones" dataDxfId="102"/>
    <tableColumn id="48" xr3:uid="{85E900B2-2CEF-47CF-8E55-EEAAB92B5F1A}" name="% IQF" dataDxfId="101" dataCellStyle="Porcentaje">
      <calculatedColumnFormula>1-BD_MR_RF[[#This Row],[% Defectos]]</calculatedColumnFormula>
    </tableColumn>
    <tableColumn id="49" xr3:uid="{E0146D0F-B87A-4E12-8365-5BAC66EBB3F9}" name="Nombre del/la Análista" dataDxfId="100"/>
    <tableColumn id="61" xr3:uid="{9B2A5D63-AFF6-47D1-A80D-D027B61669A5}" name="Mat. Extr. Endo." dataDxfId="99">
      <calculatedColumnFormula>SUM(BD_MR_RF[[#This Row],[Palos (Un.) (≤18)]:[Larvas (Un.) (≤24)]])</calculatedColumnFormula>
    </tableColumn>
    <tableColumn id="62" xr3:uid="{2A032772-5F0D-47D0-9A1B-009723289B5F}" name="Mat. Extr. Exo." dataDxfId="98">
      <calculatedColumnFormula>SUM(BD_MR_RF[[#This Row],[Vidrio (Un.) (0)]:[Plástico (Un.) (0)]])</calculatedColumnFormula>
    </tableColumn>
    <tableColumn id="50" xr3:uid="{BED466A5-B0EC-4E9D-A82C-2641BB155264}" name="Filtro Producto" dataDxfId="97">
      <calculatedColumnFormula>IF(ISBLANK(BD_MR_RF[[#This Row],[Descripción del Producto]]),"",BD_MR_RF[[#This Row],[Descripción del Producto]])</calculatedColumnFormula>
    </tableColumn>
    <tableColumn id="51" xr3:uid="{F173459E-FF54-417C-BAED-F7F58AD1655B}" name="Filtro Lote" dataDxfId="96">
      <calculatedColumnFormula>IF(ISBLANK(BD_MR_RF[[#This Row],[N° Lote]]),"",BD_MR_RF[[#This Row],[N° Lote]])</calculatedColumnFormula>
    </tableColumn>
    <tableColumn id="52" xr3:uid="{A81C8077-FA58-480C-9F40-234F1FF281A1}" name="Filtro Pallet" dataDxfId="95">
      <calculatedColumnFormula>IF(ISBLANK(BD_MR_RF[[#This Row],[N° Pallet]]),"",BD_MR_RF[[#This Row],[N° Pallet]])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6C63BE-6DCE-45BD-AEF4-4FB65C5FAA4F}" name="BD_MR_FF" displayName="BD_MR_FF" ref="A1:BI60" totalsRowShown="0" headerRowDxfId="80" dataDxfId="79">
  <autoFilter ref="A1:BI60" xr:uid="{B6EF53A0-060E-4F2A-8C56-B8E8930BE4A3}"/>
  <tableColumns count="61">
    <tableColumn id="1" xr3:uid="{F19A2BFA-A03F-44A4-A583-943BE2B04949}" name="Fecha" dataDxfId="78"/>
    <tableColumn id="2" xr3:uid="{1126EA34-0A83-44C6-AD66-A78D5A5074C0}" name="Semana" dataDxfId="77">
      <calculatedColumnFormula>_xlfn.ISOWEEKNUM(BD_MR_FF[[#This Row],[Fecha]])</calculatedColumnFormula>
    </tableColumn>
    <tableColumn id="3" xr3:uid="{A7E8E836-0026-44E5-9280-61D37165B589}" name="Turno" dataDxfId="76"/>
    <tableColumn id="4" xr3:uid="{2AC7AB95-8428-4373-8E06-187DE9FE938A}" name="Sala" dataDxfId="75"/>
    <tableColumn id="5" xr3:uid="{28E330ED-35B3-4A82-9056-386301BDD584}" name="Código" dataDxfId="74"/>
    <tableColumn id="6" xr3:uid="{D7C33E54-8B75-402E-93A1-C48E43379B27}" name="Descripción del Producto" dataDxfId="73">
      <calculatedColumnFormula>IFERROR("" &amp; _xlfn.XLOOKUP(BD_MR_FF[[#This Row],[Código]],BD_Cod!A:A,BD_Cod!B:B), "")</calculatedColumnFormula>
    </tableColumn>
    <tableColumn id="7" xr3:uid="{4551B5E0-DD6D-4174-86E2-4953A17CC5EE}" name="Familia Calidad" dataDxfId="72">
      <calculatedColumnFormula>IFERROR(" " &amp;_xlfn.XLOOKUP(BD_MR_FF[[#This Row],[Código]],BD_Cod!A:A,BD_Cod!H:H," ")," ")</calculatedColumnFormula>
    </tableColumn>
    <tableColumn id="8" xr3:uid="{ADA911E1-270B-4BB9-A14C-05180C4B9E21}" name="N° Pallet" dataDxfId="71"/>
    <tableColumn id="9" xr3:uid="{D998C46E-C820-4DB8-870D-C9BB962EB724}" name="N° Lote" dataDxfId="70"/>
    <tableColumn id="10" xr3:uid="{98D63F46-9D69-448E-B5FB-DB82AA4DD13F}" name="Muestra" dataDxfId="69"/>
    <tableColumn id="11" xr3:uid="{AD25A955-E10E-4234-A308-90C18B26211B}" name="Hora Monitoreo" dataDxfId="68"/>
    <tableColumn id="12" xr3:uid="{8E93EA3C-4A29-4A7D-9ACD-AE81D8E165D0}" name="Peso Bolsa" dataDxfId="67"/>
    <tableColumn id="13" xr3:uid="{E63E9E27-50BE-4964-9B1C-4547948ADAD3}" name="Peso Caja P.T." dataDxfId="66"/>
    <tableColumn id="14" xr3:uid="{42352FD3-6BEF-4F39-B93B-E9637A08A3B7}" name="T° Prod. " dataDxfId="65"/>
    <tableColumn id="15" xr3:uid="{CD8952A1-EB33-4850-B082-108EBB5301E4}" name="Sellado Bolsa" dataDxfId="64"/>
    <tableColumn id="16" xr3:uid="{0DFF6940-F323-4174-911A-791A8AB2D687}" name="Sellado Caja" dataDxfId="63"/>
    <tableColumn id="17" xr3:uid="{B4239629-E8BF-41CC-8D3C-8E2EB7BACA2F}" name="% de IQF" dataDxfId="62" dataCellStyle="Porcentaje">
      <calculatedColumnFormula>1-BD_MR_FF[[#This Row],[% Defectos]]</calculatedColumnFormula>
    </tableColumn>
    <tableColumn id="18" xr3:uid="{3827E8F3-D6A2-4E3F-8A1A-D9CD2E2894C4}" name="Desviación de Color" dataDxfId="61"/>
    <tableColumn id="19" xr3:uid="{AE56DBBF-4E5B-4030-A8D1-CD0667A44F31}" name="% Desv. Color (≤5%)" dataDxfId="60" dataCellStyle="Porcentaje">
      <calculatedColumnFormula>+IFERROR((BD_MR_FF[[#This Row],[Desviación de Color]]/BD_MR_FF[[#This Row],[Muestra]]),"0")</calculatedColumnFormula>
    </tableColumn>
    <tableColumn id="20" xr3:uid="{B7ED8109-7F10-4A80-9884-DC494D40CE9C}" name="Sobremaduro" dataDxfId="59"/>
    <tableColumn id="21" xr3:uid="{4B5AF6E7-DB87-4484-94F9-BB3BD8B2BDE4}" name="% Sobremaduro (≤6%)" dataDxfId="58" dataCellStyle="Porcentaje">
      <calculatedColumnFormula>+IFERROR((BD_MR_FF[[#This Row],[Sobremaduro]]/BD_MR_FF[[#This Row],[Muestra]]),"0")</calculatedColumnFormula>
    </tableColumn>
    <tableColumn id="22" xr3:uid="{9BFA63E0-5B1C-4C6A-8CE2-8F035813DBC7}" name="Daño Mécanico" dataDxfId="57"/>
    <tableColumn id="23" xr3:uid="{81FC4954-E529-4413-9FE0-5438F44B812D}" name="% Daño Mécanico (≤6%)" dataDxfId="56" dataCellStyle="Porcentaje">
      <calculatedColumnFormula>+IFERROR((BD_MR_FF[[#This Row],[Daño Mécanico]]/BD_MR_FF[[#This Row],[Muestra]]),"0")</calculatedColumnFormula>
    </tableColumn>
    <tableColumn id="24" xr3:uid="{89BA10D8-CB6A-4B47-A526-6F960DC265CB}" name="Daño Insecto" dataDxfId="55"/>
    <tableColumn id="25" xr3:uid="{52309B1C-DA20-476E-A10D-D25D5A48D723}" name="% Daño Insc. (≤5%)" dataDxfId="54" dataCellStyle="Porcentaje">
      <calculatedColumnFormula>+IFERROR((BD_MR_FF[[#This Row],[Daño Insecto]]/BD_MR_FF[[#This Row],[Muestra]]),"0")</calculatedColumnFormula>
    </tableColumn>
    <tableColumn id="26" xr3:uid="{C9754950-972A-4100-AFEC-1AADAF2DBCB8}" name="Block" dataDxfId="53"/>
    <tableColumn id="27" xr3:uid="{67F287DE-0C01-4C4F-9729-3B48071CD9A3}" name="% Block (≤5%)" dataDxfId="52" dataCellStyle="Porcentaje">
      <calculatedColumnFormula>+IFERROR((BD_MR_FF[[#This Row],[Block]]/BD_MR_FF[[#This Row],[Muestra]]),"0")</calculatedColumnFormula>
    </tableColumn>
    <tableColumn id="28" xr3:uid="{69BA8120-FEBC-4FDA-90F8-D5A2B1D27DCB}" name="Mohos" dataDxfId="51"/>
    <tableColumn id="54" xr3:uid="{1C57A470-2357-4CFE-85D6-035B76D89981}" name="% Mohos (0%)" dataDxfId="50" dataCellStyle="Porcentaje">
      <calculatedColumnFormula>+IFERROR((BD_MR_FF[[#This Row],[Mohos]]/BD_MR_FF[[#This Row],[Muestra]]),"0")</calculatedColumnFormula>
    </tableColumn>
    <tableColumn id="29" xr3:uid="{2083FB84-A88B-41E0-9346-2475145D547E}" name="Caliz (Und.) (≤2)" dataDxfId="49"/>
    <tableColumn id="30" xr3:uid="{621BFCB8-4450-4217-ABE6-281130E41125}" name="Larvas (Und.)" dataDxfId="48"/>
    <tableColumn id="59" xr3:uid="{3E2145FB-4567-4B30-AE0F-4CC2870A9786}" name="Descripción extra 1" dataDxfId="47"/>
    <tableColumn id="55" xr3:uid="{C2411892-27C9-4D84-979A-9A621DCE25F1}" name="Valor Extra 1" dataDxfId="46"/>
    <tableColumn id="56" xr3:uid="{20AE3D06-8D09-469C-A6E4-BB29805FC1D2}" name="% Extra 1" dataDxfId="45" dataCellStyle="Porcentaje">
      <calculatedColumnFormula>+IFERROR((BD_MR_FF[[#This Row],[Valor Extra 1]]/BD_MR_FF[[#This Row],[Muestra]]),"0")</calculatedColumnFormula>
    </tableColumn>
    <tableColumn id="57" xr3:uid="{74625B62-8477-42EB-93B0-805E48E22CE0}" name="Descripción Extra 2" dataDxfId="44"/>
    <tableColumn id="58" xr3:uid="{73E9E167-2063-4501-A9E5-5F378E14A9D9}" name="Valor Extra 2" dataDxfId="43"/>
    <tableColumn id="60" xr3:uid="{94307A3B-1D7D-4CE2-A899-90FCB2E71629}" name="% Extra 2" dataDxfId="42" dataCellStyle="Porcentaje">
      <calculatedColumnFormula>+IFERROR((BD_MR_FF[[#This Row],[Valor Extra 2]]/BD_MR_FF[[#This Row],[Muestra]]),"0")</calculatedColumnFormula>
    </tableColumn>
    <tableColumn id="31" xr3:uid="{E0FEDE90-300B-4331-86B3-CEF744A61381}" name="Calibre &gt;16" dataDxfId="41"/>
    <tableColumn id="32" xr3:uid="{72FA7782-E8A4-4826-AEFF-6CE73F5A4F79}" name="% &gt;16" dataDxfId="40" dataCellStyle="Porcentaje">
      <calculatedColumnFormula>+IFERROR((BD_MR_FF[[#This Row],[Calibre &gt;16]]/BD_MR_FF[[#This Row],[Muestra]]),"0")</calculatedColumnFormula>
    </tableColumn>
    <tableColumn id="33" xr3:uid="{A4C4A05D-FA0A-4B57-8ED4-686615D51C8A}" name="Calibre &lt;16" dataDxfId="39"/>
    <tableColumn id="34" xr3:uid="{179C9F53-F1CA-4A61-9C76-6AA257113D12}" name="% &lt;16" dataDxfId="38" dataCellStyle="Porcentaje">
      <calculatedColumnFormula>+IFERROR((BD_MR_FF[[#This Row],[Calibre &lt;16]]/BD_MR_FF[[#This Row],[Muestra]]),"0")</calculatedColumnFormula>
    </tableColumn>
    <tableColumn id="35" xr3:uid="{55C8112E-39BF-46AF-BB09-70CA113DC5AF}" name="Palos (Un.) (≤18)" dataDxfId="37"/>
    <tableColumn id="36" xr3:uid="{A4C9D155-78B3-4542-B81B-776B583175A4}" name="Caliz (Un.) (≤18)" dataDxfId="36"/>
    <tableColumn id="37" xr3:uid="{E6562E4F-6C8D-42CB-85F2-1727A58F602F}" name="Hojas (Un.) (≤18)" dataDxfId="35"/>
    <tableColumn id="38" xr3:uid="{970244EE-CC97-4414-9D6C-798E51C931C6}" name="Larvas (Un.) (≤24)" dataDxfId="34"/>
    <tableColumn id="39" xr3:uid="{06BAED37-A777-474F-80E8-656F601ACC99}" name="Vidrio (Un.) (0)" dataDxfId="33"/>
    <tableColumn id="40" xr3:uid="{384B2302-6D50-4BF4-8C79-D344693123C7}" name="Madera (Un.) (0)" dataDxfId="32"/>
    <tableColumn id="41" xr3:uid="{B5459254-4FB4-4588-B562-7A9051B2AE94}" name="Plástico (Un.) (0)" dataDxfId="31"/>
    <tableColumn id="42" xr3:uid="{1B0DCE51-751D-423E-BDCE-C25053FB95D4}" name="°Brix (≥8°)" dataDxfId="30"/>
    <tableColumn id="43" xr3:uid="{D427B8CF-09FB-44B4-92E5-51B9DE5F4981}" name="Sabor" dataDxfId="29"/>
    <tableColumn id="44" xr3:uid="{0507B072-7AEA-4283-817F-83B81A9CA657}" name="Olor" dataDxfId="28"/>
    <tableColumn id="45" xr3:uid="{E0AAD76C-DE76-4577-9677-55D97F321E75}" name="Suma Defectos" dataDxfId="27" dataCellStyle="Porcentaje">
      <calculatedColumnFormula>SUM(BD_MR_FF[[#This Row],[Desviación de Color]]+BD_MR_FF[[#This Row],[Sobremaduro]]+BD_MR_FF[[#This Row],[Daño Mécanico]]+BD_MR_FF[[#This Row],[Daño Insecto]]+BD_MR_FF[[#This Row],[Block]]+BD_MR_FF[[#This Row],[Mohos]])</calculatedColumnFormula>
    </tableColumn>
    <tableColumn id="46" xr3:uid="{F5C1A861-98A5-4746-B7ED-052EBB3B8ADD}" name="% Defectos" dataDxfId="26" dataCellStyle="Porcentaje">
      <calculatedColumnFormula>SUM(BD_MR_FF[[#This Row],[% Desv. Color (≤5%)]]+BD_MR_FF[[#This Row],[% Sobremaduro (≤6%)]]+BD_MR_FF[[#This Row],[% Daño Mécanico (≤6%)]]+BD_MR_FF[[#This Row],[% Daño Insc. (≤5%)]]+BD_MR_FF[[#This Row],[% Block (≤5%)]]+BD_MR_FF[[#This Row],[% Mohos (0%)]])</calculatedColumnFormula>
    </tableColumn>
    <tableColumn id="47" xr3:uid="{227D9057-0A59-4D0D-BBC3-F202F89DDF0D}" name="Observaciones" dataDxfId="25"/>
    <tableColumn id="48" xr3:uid="{1CCDC7DC-1BC3-4DC8-805B-69E587C48DDC}" name="% IQF" dataDxfId="24" dataCellStyle="Porcentaje">
      <calculatedColumnFormula>1-BD_MR_FF[[#This Row],[% Defectos]]</calculatedColumnFormula>
    </tableColumn>
    <tableColumn id="49" xr3:uid="{D1C2A18E-5FE3-4224-8FF7-C8779C52EF08}" name="Nombre del/la Análista" dataDxfId="23"/>
    <tableColumn id="61" xr3:uid="{8433C023-E6CC-4A8E-9CED-EBA4FED599BE}" name="Mat. Extr. Endo." dataDxfId="22">
      <calculatedColumnFormula>SUM(BD_MR_FF[[#This Row],[Palos (Un.) (≤18)]:[Larvas (Un.) (≤24)]])</calculatedColumnFormula>
    </tableColumn>
    <tableColumn id="62" xr3:uid="{86A3C911-1D2E-4271-B346-378994F37392}" name="Mat. Extr. Exo." dataDxfId="21">
      <calculatedColumnFormula>SUM(BD_MR_FF[[#This Row],[Vidrio (Un.) (0)]:[Plástico (Un.) (0)]])</calculatedColumnFormula>
    </tableColumn>
    <tableColumn id="50" xr3:uid="{F25256B4-D208-4587-868F-1EE3029E30BC}" name="Filtro Producto" dataDxfId="20">
      <calculatedColumnFormula>IF(ISBLANK(BD_MR_FF[[#This Row],[Descripción del Producto]]),"",BD_MR_FF[[#This Row],[Descripción del Producto]])</calculatedColumnFormula>
    </tableColumn>
    <tableColumn id="51" xr3:uid="{1126AFD1-71E8-4978-80AC-EDD5B6D88467}" name="Filtro Lote" dataDxfId="19">
      <calculatedColumnFormula>IF(ISBLANK(BD_MR_FF[[#This Row],[N° Lote]]),"",BD_MR_FF[[#This Row],[N° Lote]])</calculatedColumnFormula>
    </tableColumn>
    <tableColumn id="52" xr3:uid="{93B53896-3D1F-48AF-B495-A4578DEC59D1}" name="Filtro Pallet" dataDxfId="18">
      <calculatedColumnFormula>IF(ISBLANK(BD_MR_FF[[#This Row],[N° Pallet]]),"",BD_MR_FF[[#This Row],[N° Pallet]])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164CB6-1D06-47CD-A7BF-281D6428B82D}" name="DB_MR_TOTAL" displayName="DB_MR_TOTAL" ref="A1:BI150" tableType="queryTable" totalsRowShown="0">
  <autoFilter ref="A1:BI150" xr:uid="{AA164CB6-1D06-47CD-A7BF-281D6428B82D}"/>
  <tableColumns count="61">
    <tableColumn id="1" xr3:uid="{6134A5E9-A8B9-4033-ABA8-4710BE7DA0D4}" uniqueName="1" name="Fecha" queryTableFieldId="1" dataDxfId="17"/>
    <tableColumn id="2" xr3:uid="{F006E9FE-43B8-4400-AB76-31AE21278B17}" uniqueName="2" name="Semana" queryTableFieldId="2"/>
    <tableColumn id="3" xr3:uid="{4CCC06FE-6005-47D5-BC58-E3EB414CF20C}" uniqueName="3" name="Turno" queryTableFieldId="3"/>
    <tableColumn id="4" xr3:uid="{5A09BF3F-1E90-4BDE-ABC7-FAC69A8B4D23}" uniqueName="4" name="Sala" queryTableFieldId="4"/>
    <tableColumn id="5" xr3:uid="{AF2B8FA7-8110-4B5E-BF8E-CC9DCB0C3096}" uniqueName="5" name="Código" queryTableFieldId="5"/>
    <tableColumn id="6" xr3:uid="{B0D730A8-E62A-4563-85AA-7253416A2036}" uniqueName="6" name="Descripción del Producto" queryTableFieldId="6" dataDxfId="16"/>
    <tableColumn id="7" xr3:uid="{D7083F05-7A6C-4483-BE03-D55E97D7E181}" uniqueName="7" name="Familia Calidad" queryTableFieldId="7" dataDxfId="15"/>
    <tableColumn id="8" xr3:uid="{26E5E17B-7777-4D73-98AA-6A6147262A61}" uniqueName="8" name="N° Pallet" queryTableFieldId="8"/>
    <tableColumn id="9" xr3:uid="{B92145AE-5D91-49B1-91F5-D46139CA2702}" uniqueName="9" name="N° Lote" queryTableFieldId="9"/>
    <tableColumn id="10" xr3:uid="{12D35B56-BFBF-4ADF-ABDD-A115D60DF29B}" uniqueName="10" name="Muestra" queryTableFieldId="10"/>
    <tableColumn id="11" xr3:uid="{4E620FB8-AC76-4FCF-B236-EC02EF39E0FD}" uniqueName="11" name="Hora Monitoreo" queryTableFieldId="11"/>
    <tableColumn id="12" xr3:uid="{6B87627E-23D6-44DC-8D0E-3C5FEAEB6E91}" uniqueName="12" name="Peso Bolsa" queryTableFieldId="12" dataDxfId="14"/>
    <tableColumn id="13" xr3:uid="{EE81E53D-3414-4B21-A989-8753C0201868}" uniqueName="13" name="Peso Caja P.T." queryTableFieldId="13"/>
    <tableColumn id="14" xr3:uid="{5DD48E7C-0D79-472F-8447-30860BE89FF3}" uniqueName="14" name="T° Prod. " queryTableFieldId="14"/>
    <tableColumn id="15" xr3:uid="{BC5349CF-3A94-4C91-B2E6-1D3F59BBD516}" uniqueName="15" name="Sellado Bolsa" queryTableFieldId="15" dataDxfId="13"/>
    <tableColumn id="16" xr3:uid="{D1E69E2E-554C-47A1-8172-182D532D46AB}" uniqueName="16" name="Sellado Caja" queryTableFieldId="16" dataDxfId="12"/>
    <tableColumn id="17" xr3:uid="{9BCB1309-1C7F-46F0-8E75-2D65AD16A2F2}" uniqueName="17" name="% de IQF" queryTableFieldId="17"/>
    <tableColumn id="18" xr3:uid="{78E47ECD-3BA4-4297-A3D0-839FF9F07A3F}" uniqueName="18" name="Desviación de Color" queryTableFieldId="18"/>
    <tableColumn id="19" xr3:uid="{E34DF9EC-4C43-4012-BED8-0D645E02994D}" uniqueName="19" name="% Desv. Color (≤5%)" queryTableFieldId="19"/>
    <tableColumn id="20" xr3:uid="{1627DD58-3F65-4039-A74F-3CEFC2BE3CD2}" uniqueName="20" name="Sobremaduro" queryTableFieldId="20"/>
    <tableColumn id="21" xr3:uid="{8CA0153D-7964-4AE9-9E80-D8F4468BF730}" uniqueName="21" name="% Sobremaduro (≤6%)" queryTableFieldId="21"/>
    <tableColumn id="22" xr3:uid="{6D5A7343-1EE7-4FD0-8717-C1A88CB93CF7}" uniqueName="22" name="Daño Mécanico" queryTableFieldId="22"/>
    <tableColumn id="23" xr3:uid="{CDFF5359-4360-44A8-988A-9926D430AFC8}" uniqueName="23" name="% Daño Mécanico (≤6%)" queryTableFieldId="23"/>
    <tableColumn id="24" xr3:uid="{3890DEB6-BFE7-47CF-BECB-50A66CEE0613}" uniqueName="24" name="Daño Insecto" queryTableFieldId="24"/>
    <tableColumn id="25" xr3:uid="{6800373A-A2C1-407E-8297-E2AEBFE2D650}" uniqueName="25" name="% Daño Insc. (≤5%)" queryTableFieldId="25"/>
    <tableColumn id="26" xr3:uid="{07F201F6-D7EA-4F10-947E-261639682373}" uniqueName="26" name="Block" queryTableFieldId="26"/>
    <tableColumn id="27" xr3:uid="{04D36887-ABAC-481B-B4F5-77DE671F2E8C}" uniqueName="27" name="% Block (≤5%)" queryTableFieldId="27"/>
    <tableColumn id="28" xr3:uid="{84D9AF07-A0AD-48EF-A3B0-F2F80173F571}" uniqueName="28" name="Mohos" queryTableFieldId="28"/>
    <tableColumn id="29" xr3:uid="{B989A28F-3772-4C8A-A590-A502B3F4977E}" uniqueName="29" name="% Mohos (0%)" queryTableFieldId="29"/>
    <tableColumn id="30" xr3:uid="{CC22E891-8CF0-4625-BA67-1041CCB2D33E}" uniqueName="30" name="Caliz (Und.) (≤2)" queryTableFieldId="30"/>
    <tableColumn id="31" xr3:uid="{C5D4FB5A-64CF-405C-A6D9-9A09B19C25B9}" uniqueName="31" name="Larvas (Und.)" queryTableFieldId="31"/>
    <tableColumn id="32" xr3:uid="{16AD7680-4381-4F1B-942C-4951305B1935}" uniqueName="32" name="Descripción extra 1" queryTableFieldId="32"/>
    <tableColumn id="33" xr3:uid="{F75E5E7A-1FD5-462D-B5E7-E272C36AD083}" uniqueName="33" name="Valor Extra 1" queryTableFieldId="33"/>
    <tableColumn id="34" xr3:uid="{6A3FD94C-B6DB-42CD-A4DE-DDBD2687988B}" uniqueName="34" name="% Extra 1" queryTableFieldId="34"/>
    <tableColumn id="35" xr3:uid="{A10B416B-8549-442D-A020-7E5CFBDB13E6}" uniqueName="35" name="Descripción Extra 2" queryTableFieldId="35"/>
    <tableColumn id="36" xr3:uid="{2BBD7DCF-C1A7-47D3-A7E3-992D69090151}" uniqueName="36" name="Valor Extra 2" queryTableFieldId="36"/>
    <tableColumn id="37" xr3:uid="{F8C900DC-3613-46FD-AA3B-948F15BFE368}" uniqueName="37" name="% Extra 2" queryTableFieldId="37"/>
    <tableColumn id="38" xr3:uid="{5B2AF23D-82F6-4F86-9C2A-119D3DABD277}" uniqueName="38" name="Calibre &gt;16" queryTableFieldId="38"/>
    <tableColumn id="39" xr3:uid="{B5ACF6E5-11AF-4D72-9A00-8832B4591218}" uniqueName="39" name="% &gt;16" queryTableFieldId="39"/>
    <tableColumn id="40" xr3:uid="{0074E2DA-05A5-446F-8F96-5AD035B1E132}" uniqueName="40" name="Calibre &lt;16" queryTableFieldId="40"/>
    <tableColumn id="41" xr3:uid="{6221E726-6CCA-4F4B-AEE2-A068951FBE3E}" uniqueName="41" name="% &lt;16" queryTableFieldId="41"/>
    <tableColumn id="42" xr3:uid="{CC806861-034B-45AC-BAA2-75D784C19BDD}" uniqueName="42" name="Palos (Un.) (≤18)" queryTableFieldId="42" dataDxfId="11"/>
    <tableColumn id="43" xr3:uid="{33DAE8A3-18B6-484C-90A3-90CEFC67767D}" uniqueName="43" name="Caliz (Un.) (≤18)" queryTableFieldId="43" dataDxfId="10"/>
    <tableColumn id="44" xr3:uid="{502F43E7-E509-4667-AD00-1D8C60826B15}" uniqueName="44" name="Hojas (Un.) (≤18)" queryTableFieldId="44" dataDxfId="9"/>
    <tableColumn id="45" xr3:uid="{FAB53E5B-DE3C-4566-B151-10F9FB2A0E9D}" uniqueName="45" name="Larvas (Un.) (≤24)" queryTableFieldId="45" dataDxfId="8"/>
    <tableColumn id="46" xr3:uid="{64301A83-CFE4-4C48-B8A8-49155257EE79}" uniqueName="46" name="Vidrio (Un.) (0)" queryTableFieldId="46" dataDxfId="7"/>
    <tableColumn id="47" xr3:uid="{5BFAEB17-283C-432F-B4D0-DAA15EE3C41B}" uniqueName="47" name="Madera (Un.) (0)" queryTableFieldId="47" dataDxfId="6"/>
    <tableColumn id="48" xr3:uid="{C9C1EA2A-332C-48A4-BF8A-FE55920C2830}" uniqueName="48" name="Plástico (Un.) (0)" queryTableFieldId="48" dataDxfId="5"/>
    <tableColumn id="49" xr3:uid="{FBAECEB5-0D2C-43C0-9882-A9083CA620DB}" uniqueName="49" name="°Brix (≥8°)" queryTableFieldId="49"/>
    <tableColumn id="50" xr3:uid="{C329193C-05DF-44A0-8796-9487F559E462}" uniqueName="50" name="Sabor" queryTableFieldId="50" dataDxfId="4"/>
    <tableColumn id="51" xr3:uid="{30620C73-9334-4268-83D9-75E0FA2A357D}" uniqueName="51" name="Olor" queryTableFieldId="51" dataDxfId="3"/>
    <tableColumn id="52" xr3:uid="{A67341C9-5E51-4EB6-A2AE-9016F9E8D65D}" uniqueName="52" name="Suma Defectos" queryTableFieldId="52"/>
    <tableColumn id="53" xr3:uid="{595F528B-1B1C-4956-904F-16F6061A663F}" uniqueName="53" name="% Defectos" queryTableFieldId="53"/>
    <tableColumn id="54" xr3:uid="{4AE062B1-2E89-4A9D-95A3-0F9ABC039F87}" uniqueName="54" name="Observaciones" queryTableFieldId="54" dataDxfId="2"/>
    <tableColumn id="55" xr3:uid="{FE724672-80FA-482D-B009-EB34D4D3A4D8}" uniqueName="55" name="% IQF" queryTableFieldId="55"/>
    <tableColumn id="56" xr3:uid="{FA3C827C-15AD-4496-A05A-9065F2091710}" uniqueName="56" name="Nombre del/la Análista" queryTableFieldId="56" dataDxfId="1"/>
    <tableColumn id="57" xr3:uid="{C266108F-E555-4DD2-8F5A-061B82DE4CD5}" uniqueName="57" name="Mat. Extr. Endo." queryTableFieldId="57"/>
    <tableColumn id="58" xr3:uid="{AF266088-60C4-4D76-8364-6CAD2D7A8160}" uniqueName="58" name="Mat. Extr. Exo." queryTableFieldId="58"/>
    <tableColumn id="59" xr3:uid="{D438ED78-4A60-4A6F-8683-FB4BF29449AF}" uniqueName="59" name="Filtro Producto" queryTableFieldId="59" dataDxfId="0"/>
    <tableColumn id="60" xr3:uid="{DEA6DD3D-6E78-4B04-840F-1A26410218F9}" uniqueName="60" name="Filtro Lote" queryTableFieldId="60"/>
    <tableColumn id="61" xr3:uid="{41815C6A-6619-417D-9A04-BF72B810E7E1}" uniqueName="61" name="Filtro Pallet" queryTableField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F3208F5A-0C97-4285-860E-E6A30C943D02}" sourceName="Fecha">
  <pivotTables>
    <pivotTable tabId="4" name="TD_MR_RF"/>
  </pivotTables>
  <state minimalRefreshVersion="6" lastRefreshVersion="6" pivotCacheId="1521106477" filterType="unknown">
    <bounds startDate="2026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1" xr10:uid="{57F8AC68-A5A4-49B4-B2B0-A7D5472B46B4}" sourceName="Fecha">
  <pivotTables>
    <pivotTable tabId="12" name="TablaDinámica1"/>
  </pivotTables>
  <state minimalRefreshVersion="6" lastRefreshVersion="6" pivotCacheId="530953281" filterType="unknown">
    <bounds startDate="2026-01-01T00:00:00" endDate="2027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2" xr10:uid="{699EA001-E485-46A9-BC63-F47B31AAEA29}" sourceName="Fecha">
  <pivotTables>
    <pivotTable tabId="6" name="TablaDinámica2"/>
  </pivotTables>
  <state minimalRefreshVersion="6" lastRefreshVersion="6" pivotCacheId="820032388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2F632CD8-A36A-435D-90E6-8F216838952D}" cache="NativeTimeline_Fecha" caption="Fecha" level="2" selectionLevel="2" scrollPosition="2026-05-29T00:00:00" style="TimeSlicerStyleDark5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2" xr10:uid="{0A18BCFF-6417-4CFA-8DC5-1563771A9B01}" cache="NativeTimeline_Fecha2" caption="Fecha" level="2" selectionLevel="2" scrollPosition="2026-05-28T00:00:00" style="TimeSlicerStyleDark5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B928DDEE-9AF0-4DDF-9AF6-B81A8202B4C9}" cache="NativeTimeline_Fecha1" caption="Fecha" level="2" selectionLevel="2" scrollPosition="2026-05-28T00:00:00" style="TimeSlicerStyleDark5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5E04-6074-4EF1-8890-D56A5FA649F9}">
  <dimension ref="A1:N519"/>
  <sheetViews>
    <sheetView workbookViewId="0">
      <selection activeCell="B13" sqref="B13"/>
    </sheetView>
  </sheetViews>
  <sheetFormatPr defaultColWidth="11.42578125" defaultRowHeight="14.45"/>
  <cols>
    <col min="1" max="1" width="10" bestFit="1" customWidth="1"/>
    <col min="2" max="2" width="57.5703125" bestFit="1" customWidth="1"/>
    <col min="3" max="3" width="24.42578125" bestFit="1" customWidth="1"/>
    <col min="4" max="4" width="10.85546875" bestFit="1" customWidth="1"/>
    <col min="5" max="5" width="9.140625" bestFit="1" customWidth="1"/>
    <col min="6" max="6" width="9.85546875" bestFit="1" customWidth="1"/>
    <col min="7" max="7" width="15.42578125" bestFit="1" customWidth="1"/>
    <col min="8" max="8" width="16.42578125" bestFit="1" customWidth="1"/>
    <col min="9" max="9" width="13.5703125" bestFit="1" customWidth="1"/>
    <col min="10" max="10" width="9" bestFit="1" customWidth="1"/>
    <col min="11" max="11" width="25" bestFit="1" customWidth="1"/>
    <col min="12" max="12" width="18.85546875" bestFit="1" customWidth="1"/>
    <col min="13" max="13" width="12.5703125" bestFit="1" customWidth="1"/>
    <col min="14" max="14" width="13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4">
      <c r="A3">
        <v>100002</v>
      </c>
      <c r="B3" t="s">
        <v>25</v>
      </c>
      <c r="C3" t="s">
        <v>15</v>
      </c>
      <c r="D3" t="s">
        <v>16</v>
      </c>
      <c r="E3" t="s">
        <v>17</v>
      </c>
      <c r="F3" t="s">
        <v>26</v>
      </c>
      <c r="G3" t="s">
        <v>27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14">
      <c r="A4">
        <v>100003</v>
      </c>
      <c r="B4" t="s">
        <v>28</v>
      </c>
      <c r="C4" t="s">
        <v>15</v>
      </c>
      <c r="D4" t="s">
        <v>29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30</v>
      </c>
      <c r="L4" t="s">
        <v>31</v>
      </c>
    </row>
    <row r="5" spans="1:14">
      <c r="A5">
        <v>100004</v>
      </c>
      <c r="B5" t="s">
        <v>32</v>
      </c>
      <c r="C5" t="s">
        <v>15</v>
      </c>
      <c r="D5" t="s">
        <v>29</v>
      </c>
      <c r="E5" t="s">
        <v>17</v>
      </c>
      <c r="F5" t="s">
        <v>18</v>
      </c>
      <c r="G5" t="s">
        <v>27</v>
      </c>
      <c r="H5" t="s">
        <v>20</v>
      </c>
      <c r="I5" t="s">
        <v>21</v>
      </c>
      <c r="J5" t="s">
        <v>22</v>
      </c>
      <c r="K5" t="s">
        <v>30</v>
      </c>
      <c r="L5" t="s">
        <v>31</v>
      </c>
    </row>
    <row r="6" spans="1:14">
      <c r="A6">
        <v>100005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35</v>
      </c>
      <c r="L6" t="s">
        <v>36</v>
      </c>
    </row>
    <row r="7" spans="1:14">
      <c r="A7">
        <v>100006</v>
      </c>
      <c r="B7" t="s">
        <v>37</v>
      </c>
      <c r="C7" t="s">
        <v>15</v>
      </c>
      <c r="D7" t="s">
        <v>16</v>
      </c>
      <c r="E7" t="s">
        <v>34</v>
      </c>
      <c r="F7" t="s">
        <v>18</v>
      </c>
      <c r="G7" t="s">
        <v>27</v>
      </c>
      <c r="H7" t="s">
        <v>20</v>
      </c>
      <c r="I7" t="s">
        <v>21</v>
      </c>
      <c r="J7" t="s">
        <v>22</v>
      </c>
      <c r="K7" t="s">
        <v>35</v>
      </c>
      <c r="L7" t="s">
        <v>36</v>
      </c>
    </row>
    <row r="8" spans="1:14">
      <c r="A8">
        <v>100007</v>
      </c>
      <c r="B8" t="s">
        <v>38</v>
      </c>
      <c r="C8" t="s">
        <v>15</v>
      </c>
      <c r="D8" t="s">
        <v>29</v>
      </c>
      <c r="E8" t="s">
        <v>34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39</v>
      </c>
      <c r="L8" t="s">
        <v>40</v>
      </c>
    </row>
    <row r="9" spans="1:14">
      <c r="A9">
        <v>100008</v>
      </c>
      <c r="B9" t="s">
        <v>41</v>
      </c>
      <c r="C9" t="s">
        <v>15</v>
      </c>
      <c r="D9" t="s">
        <v>29</v>
      </c>
      <c r="E9" t="s">
        <v>34</v>
      </c>
      <c r="F9" t="s">
        <v>26</v>
      </c>
      <c r="G9" t="s">
        <v>27</v>
      </c>
      <c r="H9" t="s">
        <v>20</v>
      </c>
      <c r="I9" t="s">
        <v>21</v>
      </c>
      <c r="J9" t="s">
        <v>22</v>
      </c>
      <c r="K9" t="s">
        <v>39</v>
      </c>
      <c r="L9" t="s">
        <v>40</v>
      </c>
    </row>
    <row r="10" spans="1:14">
      <c r="A10">
        <v>100009</v>
      </c>
      <c r="B10" t="s">
        <v>42</v>
      </c>
      <c r="C10" t="s">
        <v>43</v>
      </c>
      <c r="D10" t="s">
        <v>44</v>
      </c>
      <c r="E10" t="s">
        <v>17</v>
      </c>
      <c r="F10" t="s">
        <v>18</v>
      </c>
      <c r="G10" t="s">
        <v>19</v>
      </c>
      <c r="H10" t="s">
        <v>20</v>
      </c>
      <c r="I10" t="s">
        <v>45</v>
      </c>
      <c r="J10" t="s">
        <v>22</v>
      </c>
      <c r="K10" t="s">
        <v>46</v>
      </c>
      <c r="L10" t="s">
        <v>47</v>
      </c>
    </row>
    <row r="11" spans="1:14">
      <c r="A11">
        <v>100010</v>
      </c>
      <c r="B11" t="s">
        <v>48</v>
      </c>
      <c r="C11" t="s">
        <v>43</v>
      </c>
      <c r="D11" t="s">
        <v>49</v>
      </c>
      <c r="E11" t="s">
        <v>17</v>
      </c>
      <c r="F11" t="s">
        <v>18</v>
      </c>
      <c r="G11" t="s">
        <v>19</v>
      </c>
      <c r="H11" t="s">
        <v>20</v>
      </c>
      <c r="I11" t="s">
        <v>45</v>
      </c>
      <c r="J11" t="s">
        <v>22</v>
      </c>
      <c r="K11" t="s">
        <v>46</v>
      </c>
      <c r="L11" t="s">
        <v>50</v>
      </c>
    </row>
    <row r="12" spans="1:14">
      <c r="A12">
        <v>100011</v>
      </c>
      <c r="B12" t="s">
        <v>51</v>
      </c>
      <c r="C12" t="s">
        <v>43</v>
      </c>
      <c r="D12" t="s">
        <v>44</v>
      </c>
      <c r="E12" t="s">
        <v>34</v>
      </c>
      <c r="F12" t="s">
        <v>18</v>
      </c>
      <c r="G12" t="s">
        <v>19</v>
      </c>
      <c r="H12" t="s">
        <v>20</v>
      </c>
      <c r="I12" t="s">
        <v>45</v>
      </c>
      <c r="J12" t="s">
        <v>22</v>
      </c>
      <c r="K12" t="s">
        <v>46</v>
      </c>
      <c r="L12" t="s">
        <v>52</v>
      </c>
    </row>
    <row r="13" spans="1:14">
      <c r="A13">
        <v>100012</v>
      </c>
      <c r="B13" t="s">
        <v>53</v>
      </c>
      <c r="C13" t="s">
        <v>43</v>
      </c>
      <c r="D13" t="s">
        <v>49</v>
      </c>
      <c r="E13" t="s">
        <v>34</v>
      </c>
      <c r="F13" t="s">
        <v>18</v>
      </c>
      <c r="G13" t="s">
        <v>19</v>
      </c>
      <c r="H13" t="s">
        <v>20</v>
      </c>
      <c r="I13" t="s">
        <v>45</v>
      </c>
      <c r="J13" t="s">
        <v>22</v>
      </c>
      <c r="K13" t="s">
        <v>54</v>
      </c>
      <c r="L13" t="s">
        <v>55</v>
      </c>
    </row>
    <row r="14" spans="1:14">
      <c r="A14">
        <v>100013</v>
      </c>
      <c r="B14" t="s">
        <v>56</v>
      </c>
      <c r="C14" t="s">
        <v>43</v>
      </c>
      <c r="D14" t="s">
        <v>44</v>
      </c>
      <c r="E14" t="s">
        <v>17</v>
      </c>
      <c r="F14" t="s">
        <v>18</v>
      </c>
      <c r="G14" t="s">
        <v>19</v>
      </c>
      <c r="H14" t="s">
        <v>20</v>
      </c>
      <c r="I14" t="s">
        <v>57</v>
      </c>
      <c r="J14" t="s">
        <v>22</v>
      </c>
      <c r="K14" t="s">
        <v>46</v>
      </c>
      <c r="L14" t="s">
        <v>47</v>
      </c>
    </row>
    <row r="15" spans="1:14">
      <c r="A15">
        <v>100014</v>
      </c>
      <c r="B15" t="s">
        <v>58</v>
      </c>
      <c r="C15" t="s">
        <v>43</v>
      </c>
      <c r="D15" t="s">
        <v>49</v>
      </c>
      <c r="E15" t="s">
        <v>17</v>
      </c>
      <c r="F15" t="s">
        <v>18</v>
      </c>
      <c r="G15" t="s">
        <v>19</v>
      </c>
      <c r="H15" t="s">
        <v>20</v>
      </c>
      <c r="I15" t="s">
        <v>57</v>
      </c>
      <c r="J15" t="s">
        <v>22</v>
      </c>
      <c r="K15" t="s">
        <v>46</v>
      </c>
      <c r="L15" t="s">
        <v>50</v>
      </c>
    </row>
    <row r="16" spans="1:14">
      <c r="A16">
        <v>100015</v>
      </c>
      <c r="B16" t="s">
        <v>59</v>
      </c>
      <c r="C16" t="s">
        <v>43</v>
      </c>
      <c r="D16" t="s">
        <v>44</v>
      </c>
      <c r="E16" t="s">
        <v>17</v>
      </c>
      <c r="F16" t="s">
        <v>18</v>
      </c>
      <c r="G16" t="s">
        <v>27</v>
      </c>
      <c r="H16" t="s">
        <v>20</v>
      </c>
      <c r="I16" t="s">
        <v>57</v>
      </c>
      <c r="J16" t="s">
        <v>22</v>
      </c>
      <c r="K16" t="s">
        <v>46</v>
      </c>
      <c r="L16" t="s">
        <v>47</v>
      </c>
    </row>
    <row r="17" spans="1:12">
      <c r="A17">
        <v>100016</v>
      </c>
      <c r="B17" t="s">
        <v>60</v>
      </c>
      <c r="C17" t="s">
        <v>43</v>
      </c>
      <c r="D17" t="s">
        <v>44</v>
      </c>
      <c r="E17" t="s">
        <v>17</v>
      </c>
      <c r="F17" t="s">
        <v>61</v>
      </c>
      <c r="G17" t="s">
        <v>19</v>
      </c>
      <c r="H17" t="s">
        <v>20</v>
      </c>
      <c r="I17" t="s">
        <v>57</v>
      </c>
      <c r="J17" t="s">
        <v>22</v>
      </c>
      <c r="K17" t="s">
        <v>46</v>
      </c>
      <c r="L17" t="s">
        <v>47</v>
      </c>
    </row>
    <row r="18" spans="1:12">
      <c r="A18">
        <v>100017</v>
      </c>
      <c r="B18" t="s">
        <v>62</v>
      </c>
      <c r="C18" t="s">
        <v>43</v>
      </c>
      <c r="D18" t="s">
        <v>44</v>
      </c>
      <c r="E18" t="s">
        <v>17</v>
      </c>
      <c r="F18" t="s">
        <v>61</v>
      </c>
      <c r="G18" t="s">
        <v>27</v>
      </c>
      <c r="H18" t="s">
        <v>20</v>
      </c>
      <c r="I18" t="s">
        <v>57</v>
      </c>
      <c r="J18" t="s">
        <v>22</v>
      </c>
      <c r="K18" t="s">
        <v>46</v>
      </c>
      <c r="L18" t="s">
        <v>47</v>
      </c>
    </row>
    <row r="19" spans="1:12">
      <c r="A19">
        <v>100018</v>
      </c>
      <c r="B19" t="s">
        <v>63</v>
      </c>
      <c r="C19" t="s">
        <v>64</v>
      </c>
      <c r="D19" t="s">
        <v>65</v>
      </c>
      <c r="E19" t="s">
        <v>17</v>
      </c>
      <c r="F19" t="s">
        <v>66</v>
      </c>
      <c r="G19" t="s">
        <v>19</v>
      </c>
      <c r="H19" t="s">
        <v>20</v>
      </c>
      <c r="I19" t="s">
        <v>57</v>
      </c>
      <c r="J19" t="s">
        <v>22</v>
      </c>
      <c r="K19" t="s">
        <v>67</v>
      </c>
      <c r="L19" t="s">
        <v>68</v>
      </c>
    </row>
    <row r="20" spans="1:12">
      <c r="A20">
        <v>100019</v>
      </c>
      <c r="B20" t="s">
        <v>69</v>
      </c>
      <c r="C20" t="s">
        <v>64</v>
      </c>
      <c r="D20" t="s">
        <v>65</v>
      </c>
      <c r="E20" t="s">
        <v>17</v>
      </c>
      <c r="F20" t="s">
        <v>66</v>
      </c>
      <c r="G20" t="s">
        <v>27</v>
      </c>
      <c r="H20" t="s">
        <v>20</v>
      </c>
      <c r="I20" t="s">
        <v>57</v>
      </c>
      <c r="J20" t="s">
        <v>22</v>
      </c>
      <c r="K20" t="s">
        <v>67</v>
      </c>
      <c r="L20" t="s">
        <v>68</v>
      </c>
    </row>
    <row r="21" spans="1:12">
      <c r="A21">
        <v>100020</v>
      </c>
      <c r="B21" t="s">
        <v>70</v>
      </c>
      <c r="C21" t="s">
        <v>15</v>
      </c>
      <c r="D21" t="s">
        <v>16</v>
      </c>
      <c r="E21" t="s">
        <v>17</v>
      </c>
      <c r="F21" t="s">
        <v>26</v>
      </c>
      <c r="G21" t="s">
        <v>71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</row>
    <row r="22" spans="1:12">
      <c r="A22">
        <v>100021</v>
      </c>
      <c r="B22" t="s">
        <v>72</v>
      </c>
      <c r="C22" t="s">
        <v>15</v>
      </c>
      <c r="D22" t="s">
        <v>16</v>
      </c>
      <c r="E22" t="s">
        <v>17</v>
      </c>
      <c r="F22" t="s">
        <v>73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</row>
    <row r="23" spans="1:12">
      <c r="A23">
        <v>100022</v>
      </c>
      <c r="B23" t="s">
        <v>74</v>
      </c>
      <c r="C23" t="s">
        <v>15</v>
      </c>
      <c r="D23" t="s">
        <v>16</v>
      </c>
      <c r="E23" t="s">
        <v>34</v>
      </c>
      <c r="F23" t="s">
        <v>73</v>
      </c>
      <c r="G23" t="s">
        <v>19</v>
      </c>
      <c r="H23" t="s">
        <v>20</v>
      </c>
      <c r="I23" t="s">
        <v>21</v>
      </c>
      <c r="J23" t="s">
        <v>22</v>
      </c>
      <c r="K23" t="s">
        <v>35</v>
      </c>
      <c r="L23" t="s">
        <v>36</v>
      </c>
    </row>
    <row r="24" spans="1:12">
      <c r="A24">
        <v>100023</v>
      </c>
      <c r="B24" t="s">
        <v>75</v>
      </c>
      <c r="C24" t="s">
        <v>15</v>
      </c>
      <c r="D24" t="s">
        <v>16</v>
      </c>
      <c r="E24" t="s">
        <v>34</v>
      </c>
      <c r="F24" t="s">
        <v>26</v>
      </c>
      <c r="G24" t="s">
        <v>71</v>
      </c>
      <c r="H24" t="s">
        <v>20</v>
      </c>
      <c r="I24" t="s">
        <v>21</v>
      </c>
      <c r="J24" t="s">
        <v>22</v>
      </c>
      <c r="K24" t="s">
        <v>35</v>
      </c>
      <c r="L24" t="s">
        <v>36</v>
      </c>
    </row>
    <row r="25" spans="1:12">
      <c r="A25">
        <v>100024</v>
      </c>
      <c r="B25" t="s">
        <v>76</v>
      </c>
      <c r="C25" t="s">
        <v>15</v>
      </c>
      <c r="D25" t="s">
        <v>29</v>
      </c>
      <c r="E25" t="s">
        <v>17</v>
      </c>
      <c r="F25" t="s">
        <v>26</v>
      </c>
      <c r="G25" t="s">
        <v>71</v>
      </c>
      <c r="H25" t="s">
        <v>20</v>
      </c>
      <c r="I25" t="s">
        <v>21</v>
      </c>
      <c r="J25" t="s">
        <v>22</v>
      </c>
      <c r="K25" t="s">
        <v>30</v>
      </c>
      <c r="L25" t="s">
        <v>31</v>
      </c>
    </row>
    <row r="26" spans="1:12">
      <c r="A26">
        <v>100025</v>
      </c>
      <c r="B26" t="s">
        <v>77</v>
      </c>
      <c r="C26" t="s">
        <v>43</v>
      </c>
      <c r="D26" t="s">
        <v>65</v>
      </c>
      <c r="E26" t="s">
        <v>17</v>
      </c>
      <c r="F26" t="s">
        <v>66</v>
      </c>
      <c r="G26" t="s">
        <v>78</v>
      </c>
      <c r="H26" t="s">
        <v>20</v>
      </c>
      <c r="I26" t="s">
        <v>21</v>
      </c>
      <c r="J26" t="s">
        <v>22</v>
      </c>
      <c r="K26" t="s">
        <v>46</v>
      </c>
      <c r="L26" t="s">
        <v>47</v>
      </c>
    </row>
    <row r="27" spans="1:12">
      <c r="A27">
        <v>100026</v>
      </c>
      <c r="B27" t="s">
        <v>79</v>
      </c>
      <c r="C27" t="s">
        <v>15</v>
      </c>
      <c r="D27" t="s">
        <v>16</v>
      </c>
      <c r="E27" t="s">
        <v>17</v>
      </c>
      <c r="F27" t="s">
        <v>80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</row>
    <row r="28" spans="1:12">
      <c r="A28">
        <v>100027</v>
      </c>
      <c r="B28" t="s">
        <v>81</v>
      </c>
      <c r="C28" t="s">
        <v>15</v>
      </c>
      <c r="D28" t="s">
        <v>16</v>
      </c>
      <c r="E28" t="s">
        <v>17</v>
      </c>
      <c r="F28" t="s">
        <v>82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</row>
    <row r="29" spans="1:12">
      <c r="A29">
        <v>100028</v>
      </c>
      <c r="B29" t="s">
        <v>83</v>
      </c>
      <c r="C29" t="s">
        <v>15</v>
      </c>
      <c r="D29" t="s">
        <v>16</v>
      </c>
      <c r="E29" t="s">
        <v>17</v>
      </c>
      <c r="F29" t="s">
        <v>84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</row>
    <row r="30" spans="1:12">
      <c r="A30">
        <v>100029</v>
      </c>
      <c r="B30" t="s">
        <v>85</v>
      </c>
      <c r="C30" t="s">
        <v>15</v>
      </c>
      <c r="D30" t="s">
        <v>16</v>
      </c>
      <c r="E30" t="s">
        <v>34</v>
      </c>
      <c r="F30" t="s">
        <v>82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</row>
    <row r="31" spans="1:12">
      <c r="A31">
        <v>100030</v>
      </c>
      <c r="B31" t="s">
        <v>86</v>
      </c>
      <c r="C31" t="s">
        <v>15</v>
      </c>
      <c r="D31" t="s">
        <v>16</v>
      </c>
      <c r="E31" t="s">
        <v>34</v>
      </c>
      <c r="F31" t="s">
        <v>84</v>
      </c>
      <c r="G31" t="s">
        <v>19</v>
      </c>
      <c r="H31" t="s">
        <v>20</v>
      </c>
      <c r="I31" t="s">
        <v>21</v>
      </c>
      <c r="J31" t="s">
        <v>22</v>
      </c>
      <c r="K31" t="s">
        <v>35</v>
      </c>
      <c r="L31" t="s">
        <v>36</v>
      </c>
    </row>
    <row r="32" spans="1:12">
      <c r="A32">
        <v>100031</v>
      </c>
      <c r="B32" t="s">
        <v>87</v>
      </c>
      <c r="C32" t="s">
        <v>43</v>
      </c>
      <c r="D32" t="s">
        <v>49</v>
      </c>
      <c r="E32" t="s">
        <v>34</v>
      </c>
      <c r="F32" t="s">
        <v>18</v>
      </c>
      <c r="G32" t="s">
        <v>19</v>
      </c>
      <c r="H32" t="s">
        <v>20</v>
      </c>
      <c r="I32" t="s">
        <v>57</v>
      </c>
      <c r="J32" t="s">
        <v>22</v>
      </c>
      <c r="K32" t="s">
        <v>54</v>
      </c>
      <c r="L32" t="s">
        <v>55</v>
      </c>
    </row>
    <row r="33" spans="1:12">
      <c r="A33">
        <v>100032</v>
      </c>
      <c r="B33" t="s">
        <v>88</v>
      </c>
      <c r="C33" t="s">
        <v>43</v>
      </c>
      <c r="D33" t="s">
        <v>89</v>
      </c>
      <c r="E33" t="s">
        <v>34</v>
      </c>
      <c r="F33" t="s">
        <v>18</v>
      </c>
      <c r="G33" t="s">
        <v>19</v>
      </c>
      <c r="H33" t="s">
        <v>20</v>
      </c>
      <c r="I33" t="s">
        <v>45</v>
      </c>
      <c r="J33" t="s">
        <v>22</v>
      </c>
      <c r="K33" t="s">
        <v>90</v>
      </c>
      <c r="L33" t="s">
        <v>91</v>
      </c>
    </row>
    <row r="34" spans="1:12">
      <c r="A34">
        <v>100033</v>
      </c>
      <c r="B34" t="s">
        <v>92</v>
      </c>
      <c r="C34" t="s">
        <v>93</v>
      </c>
      <c r="D34" t="s">
        <v>94</v>
      </c>
      <c r="E34" t="s">
        <v>17</v>
      </c>
      <c r="F34" t="s">
        <v>18</v>
      </c>
      <c r="G34" t="s">
        <v>19</v>
      </c>
      <c r="H34" t="s">
        <v>95</v>
      </c>
      <c r="I34" t="s">
        <v>96</v>
      </c>
      <c r="J34" t="s">
        <v>22</v>
      </c>
      <c r="K34" t="s">
        <v>23</v>
      </c>
      <c r="L34" t="s">
        <v>97</v>
      </c>
    </row>
    <row r="35" spans="1:12">
      <c r="A35">
        <v>100034</v>
      </c>
      <c r="B35" t="s">
        <v>98</v>
      </c>
      <c r="C35" t="s">
        <v>99</v>
      </c>
      <c r="D35" t="s">
        <v>94</v>
      </c>
      <c r="E35" t="s">
        <v>17</v>
      </c>
      <c r="F35" t="s">
        <v>18</v>
      </c>
      <c r="G35" t="s">
        <v>19</v>
      </c>
      <c r="H35" t="s">
        <v>20</v>
      </c>
      <c r="I35" t="s">
        <v>57</v>
      </c>
      <c r="J35" t="s">
        <v>22</v>
      </c>
      <c r="K35" t="s">
        <v>23</v>
      </c>
      <c r="L35" t="s">
        <v>24</v>
      </c>
    </row>
    <row r="36" spans="1:12">
      <c r="A36">
        <v>100035</v>
      </c>
      <c r="B36" t="s">
        <v>100</v>
      </c>
      <c r="C36" t="s">
        <v>93</v>
      </c>
      <c r="D36" t="s">
        <v>94</v>
      </c>
      <c r="E36" t="s">
        <v>17</v>
      </c>
      <c r="F36" t="s">
        <v>18</v>
      </c>
      <c r="G36" t="s">
        <v>19</v>
      </c>
      <c r="H36" t="s">
        <v>95</v>
      </c>
      <c r="I36" t="s">
        <v>101</v>
      </c>
      <c r="J36" t="s">
        <v>22</v>
      </c>
      <c r="K36" t="s">
        <v>23</v>
      </c>
      <c r="L36" t="s">
        <v>97</v>
      </c>
    </row>
    <row r="37" spans="1:12">
      <c r="A37">
        <v>100036</v>
      </c>
      <c r="B37" t="s">
        <v>102</v>
      </c>
      <c r="C37" t="s">
        <v>43</v>
      </c>
      <c r="D37" t="s">
        <v>103</v>
      </c>
      <c r="E37" t="s">
        <v>17</v>
      </c>
      <c r="F37" t="s">
        <v>18</v>
      </c>
      <c r="G37" t="s">
        <v>19</v>
      </c>
      <c r="H37" t="s">
        <v>20</v>
      </c>
      <c r="I37" t="s">
        <v>104</v>
      </c>
      <c r="J37" t="s">
        <v>22</v>
      </c>
      <c r="K37" t="s">
        <v>105</v>
      </c>
      <c r="L37" t="s">
        <v>106</v>
      </c>
    </row>
    <row r="38" spans="1:12">
      <c r="A38">
        <v>100037</v>
      </c>
      <c r="B38" t="s">
        <v>107</v>
      </c>
      <c r="C38" t="s">
        <v>43</v>
      </c>
      <c r="D38" t="s">
        <v>103</v>
      </c>
      <c r="E38" t="s">
        <v>34</v>
      </c>
      <c r="F38" t="s">
        <v>18</v>
      </c>
      <c r="G38" t="s">
        <v>19</v>
      </c>
      <c r="H38" t="s">
        <v>20</v>
      </c>
      <c r="I38" t="s">
        <v>104</v>
      </c>
      <c r="J38" t="s">
        <v>22</v>
      </c>
      <c r="K38" t="s">
        <v>108</v>
      </c>
      <c r="L38" t="s">
        <v>109</v>
      </c>
    </row>
    <row r="39" spans="1:12">
      <c r="A39">
        <v>100038</v>
      </c>
      <c r="B39" t="s">
        <v>110</v>
      </c>
      <c r="C39" t="s">
        <v>64</v>
      </c>
      <c r="D39" t="s">
        <v>65</v>
      </c>
      <c r="E39" t="s">
        <v>34</v>
      </c>
      <c r="F39" t="s">
        <v>66</v>
      </c>
      <c r="G39" t="s">
        <v>19</v>
      </c>
      <c r="H39" t="s">
        <v>20</v>
      </c>
      <c r="I39" t="s">
        <v>57</v>
      </c>
      <c r="J39" t="s">
        <v>22</v>
      </c>
      <c r="K39" t="s">
        <v>111</v>
      </c>
      <c r="L39" t="s">
        <v>68</v>
      </c>
    </row>
    <row r="40" spans="1:12">
      <c r="A40">
        <v>100039</v>
      </c>
      <c r="B40" t="s">
        <v>112</v>
      </c>
      <c r="C40" t="s">
        <v>113</v>
      </c>
      <c r="D40" t="s">
        <v>94</v>
      </c>
      <c r="E40" t="s">
        <v>17</v>
      </c>
      <c r="F40" t="s">
        <v>18</v>
      </c>
      <c r="G40" t="s">
        <v>19</v>
      </c>
      <c r="H40" t="s">
        <v>95</v>
      </c>
      <c r="I40" t="s">
        <v>114</v>
      </c>
      <c r="J40" t="s">
        <v>22</v>
      </c>
      <c r="K40" t="s">
        <v>23</v>
      </c>
      <c r="L40" t="s">
        <v>97</v>
      </c>
    </row>
    <row r="41" spans="1:12">
      <c r="A41">
        <v>100040</v>
      </c>
      <c r="B41" t="s">
        <v>115</v>
      </c>
      <c r="C41" t="s">
        <v>116</v>
      </c>
      <c r="D41" t="s">
        <v>117</v>
      </c>
      <c r="E41" t="s">
        <v>17</v>
      </c>
      <c r="F41" t="s">
        <v>66</v>
      </c>
      <c r="G41" t="s">
        <v>19</v>
      </c>
      <c r="H41" t="s">
        <v>95</v>
      </c>
      <c r="I41" t="s">
        <v>118</v>
      </c>
      <c r="K41" t="s">
        <v>119</v>
      </c>
      <c r="L41" t="s">
        <v>120</v>
      </c>
    </row>
    <row r="42" spans="1:12">
      <c r="A42">
        <v>100041</v>
      </c>
      <c r="B42" t="s">
        <v>121</v>
      </c>
      <c r="C42" t="s">
        <v>116</v>
      </c>
      <c r="D42" t="s">
        <v>117</v>
      </c>
      <c r="E42" t="s">
        <v>17</v>
      </c>
      <c r="F42" t="s">
        <v>66</v>
      </c>
      <c r="G42" t="s">
        <v>122</v>
      </c>
      <c r="H42" t="s">
        <v>20</v>
      </c>
      <c r="I42" t="s">
        <v>114</v>
      </c>
      <c r="J42" t="s">
        <v>22</v>
      </c>
      <c r="K42" t="s">
        <v>123</v>
      </c>
      <c r="L42" t="s">
        <v>120</v>
      </c>
    </row>
    <row r="43" spans="1:12">
      <c r="A43">
        <v>100042</v>
      </c>
      <c r="B43" t="s">
        <v>124</v>
      </c>
      <c r="C43" t="s">
        <v>116</v>
      </c>
      <c r="D43" t="s">
        <v>125</v>
      </c>
      <c r="E43" t="s">
        <v>17</v>
      </c>
      <c r="F43" t="s">
        <v>66</v>
      </c>
      <c r="G43" t="s">
        <v>19</v>
      </c>
      <c r="H43" t="s">
        <v>95</v>
      </c>
      <c r="I43" t="s">
        <v>118</v>
      </c>
      <c r="J43" t="s">
        <v>22</v>
      </c>
      <c r="K43" t="s">
        <v>119</v>
      </c>
      <c r="L43" t="s">
        <v>120</v>
      </c>
    </row>
    <row r="44" spans="1:12">
      <c r="A44">
        <v>100043</v>
      </c>
      <c r="B44" t="s">
        <v>126</v>
      </c>
      <c r="C44" t="s">
        <v>15</v>
      </c>
      <c r="D44" t="s">
        <v>16</v>
      </c>
      <c r="E44" t="s">
        <v>17</v>
      </c>
      <c r="F44" t="s">
        <v>127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</row>
    <row r="45" spans="1:12">
      <c r="A45">
        <v>100044</v>
      </c>
      <c r="B45" t="s">
        <v>128</v>
      </c>
      <c r="C45" t="s">
        <v>129</v>
      </c>
      <c r="D45" t="s">
        <v>65</v>
      </c>
      <c r="E45" t="s">
        <v>17</v>
      </c>
      <c r="F45" t="s">
        <v>66</v>
      </c>
      <c r="G45" t="s">
        <v>19</v>
      </c>
      <c r="H45" t="s">
        <v>20</v>
      </c>
      <c r="I45" t="s">
        <v>21</v>
      </c>
      <c r="J45" t="s">
        <v>22</v>
      </c>
      <c r="K45" t="s">
        <v>130</v>
      </c>
      <c r="L45" t="s">
        <v>131</v>
      </c>
    </row>
    <row r="46" spans="1:12">
      <c r="A46">
        <v>100045</v>
      </c>
      <c r="B46" t="s">
        <v>132</v>
      </c>
      <c r="C46" t="s">
        <v>64</v>
      </c>
      <c r="D46" t="s">
        <v>65</v>
      </c>
      <c r="E46" t="s">
        <v>17</v>
      </c>
      <c r="F46" t="s">
        <v>66</v>
      </c>
      <c r="G46" t="s">
        <v>19</v>
      </c>
      <c r="H46" t="s">
        <v>133</v>
      </c>
      <c r="I46" t="s">
        <v>134</v>
      </c>
      <c r="J46" t="s">
        <v>22</v>
      </c>
      <c r="K46" t="s">
        <v>67</v>
      </c>
      <c r="L46" t="s">
        <v>68</v>
      </c>
    </row>
    <row r="47" spans="1:12">
      <c r="A47">
        <v>100046</v>
      </c>
      <c r="B47" t="s">
        <v>135</v>
      </c>
      <c r="C47" t="s">
        <v>15</v>
      </c>
      <c r="D47" t="s">
        <v>16</v>
      </c>
      <c r="E47" t="s">
        <v>17</v>
      </c>
      <c r="F47" t="s">
        <v>136</v>
      </c>
      <c r="G47" t="s">
        <v>19</v>
      </c>
      <c r="H47" t="s">
        <v>20</v>
      </c>
      <c r="I47" t="s">
        <v>21</v>
      </c>
      <c r="J47" t="s">
        <v>22</v>
      </c>
      <c r="K47" t="s">
        <v>137</v>
      </c>
      <c r="L47" t="s">
        <v>24</v>
      </c>
    </row>
    <row r="48" spans="1:12">
      <c r="A48">
        <v>100047</v>
      </c>
      <c r="B48" t="s">
        <v>138</v>
      </c>
      <c r="C48" t="s">
        <v>15</v>
      </c>
      <c r="D48" t="s">
        <v>16</v>
      </c>
      <c r="E48" t="s">
        <v>34</v>
      </c>
      <c r="F48" t="s">
        <v>61</v>
      </c>
      <c r="G48" t="s">
        <v>19</v>
      </c>
      <c r="H48" t="s">
        <v>139</v>
      </c>
      <c r="I48" t="s">
        <v>21</v>
      </c>
      <c r="J48" t="s">
        <v>22</v>
      </c>
      <c r="K48" t="s">
        <v>137</v>
      </c>
      <c r="L48" t="s">
        <v>24</v>
      </c>
    </row>
    <row r="49" spans="1:12">
      <c r="A49">
        <v>100048</v>
      </c>
      <c r="B49" t="s">
        <v>140</v>
      </c>
      <c r="C49" t="s">
        <v>15</v>
      </c>
      <c r="D49" t="s">
        <v>16</v>
      </c>
      <c r="E49" t="s">
        <v>17</v>
      </c>
      <c r="F49" t="s">
        <v>61</v>
      </c>
      <c r="G49" t="s">
        <v>139</v>
      </c>
      <c r="H49" t="s">
        <v>139</v>
      </c>
      <c r="I49" t="s">
        <v>21</v>
      </c>
      <c r="J49" t="s">
        <v>22</v>
      </c>
      <c r="K49" t="s">
        <v>137</v>
      </c>
      <c r="L49" t="s">
        <v>24</v>
      </c>
    </row>
    <row r="50" spans="1:12">
      <c r="A50">
        <v>100049</v>
      </c>
      <c r="B50" t="s">
        <v>37</v>
      </c>
      <c r="C50" t="s">
        <v>15</v>
      </c>
      <c r="D50" t="s">
        <v>16</v>
      </c>
      <c r="E50" t="s">
        <v>34</v>
      </c>
      <c r="F50" t="s">
        <v>18</v>
      </c>
      <c r="G50" t="s">
        <v>27</v>
      </c>
      <c r="H50" t="s">
        <v>20</v>
      </c>
      <c r="I50" t="s">
        <v>21</v>
      </c>
      <c r="J50" t="s">
        <v>22</v>
      </c>
      <c r="K50" t="s">
        <v>35</v>
      </c>
      <c r="L50" t="s">
        <v>36</v>
      </c>
    </row>
    <row r="51" spans="1:12">
      <c r="A51">
        <v>100050</v>
      </c>
      <c r="B51" t="s">
        <v>141</v>
      </c>
      <c r="C51" t="s">
        <v>15</v>
      </c>
      <c r="D51" t="s">
        <v>16</v>
      </c>
      <c r="E51" t="s">
        <v>34</v>
      </c>
      <c r="F51" t="s">
        <v>18</v>
      </c>
      <c r="G51" t="s">
        <v>139</v>
      </c>
      <c r="H51" t="s">
        <v>139</v>
      </c>
      <c r="I51" t="s">
        <v>21</v>
      </c>
      <c r="J51" t="s">
        <v>22</v>
      </c>
      <c r="K51" t="s">
        <v>142</v>
      </c>
      <c r="L51" t="s">
        <v>36</v>
      </c>
    </row>
    <row r="52" spans="1:12">
      <c r="A52">
        <v>100051</v>
      </c>
      <c r="B52" t="s">
        <v>143</v>
      </c>
      <c r="C52" t="s">
        <v>15</v>
      </c>
      <c r="D52" t="s">
        <v>16</v>
      </c>
      <c r="E52" t="s">
        <v>17</v>
      </c>
      <c r="F52" t="s">
        <v>18</v>
      </c>
      <c r="G52" t="s">
        <v>144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</row>
    <row r="53" spans="1:12">
      <c r="A53">
        <v>100052</v>
      </c>
      <c r="B53" t="s">
        <v>145</v>
      </c>
      <c r="C53" t="s">
        <v>15</v>
      </c>
      <c r="D53" t="s">
        <v>29</v>
      </c>
      <c r="E53" t="s">
        <v>17</v>
      </c>
      <c r="F53" t="s">
        <v>84</v>
      </c>
      <c r="G53" t="s">
        <v>19</v>
      </c>
      <c r="H53" t="s">
        <v>20</v>
      </c>
      <c r="I53" t="s">
        <v>21</v>
      </c>
      <c r="J53" t="s">
        <v>22</v>
      </c>
      <c r="K53" t="s">
        <v>30</v>
      </c>
      <c r="L53" t="s">
        <v>31</v>
      </c>
    </row>
    <row r="54" spans="1:12">
      <c r="A54">
        <v>100053</v>
      </c>
      <c r="B54" t="s">
        <v>146</v>
      </c>
      <c r="C54" t="s">
        <v>15</v>
      </c>
      <c r="D54" t="s">
        <v>29</v>
      </c>
      <c r="E54" t="s">
        <v>34</v>
      </c>
      <c r="F54" t="s">
        <v>84</v>
      </c>
      <c r="G54" t="s">
        <v>19</v>
      </c>
      <c r="H54" t="s">
        <v>20</v>
      </c>
      <c r="I54" t="s">
        <v>21</v>
      </c>
      <c r="J54" t="s">
        <v>22</v>
      </c>
      <c r="K54" t="s">
        <v>39</v>
      </c>
      <c r="L54" t="s">
        <v>31</v>
      </c>
    </row>
    <row r="55" spans="1:12">
      <c r="A55">
        <v>100054</v>
      </c>
      <c r="B55" t="s">
        <v>147</v>
      </c>
      <c r="C55" t="s">
        <v>15</v>
      </c>
      <c r="D55" t="s">
        <v>29</v>
      </c>
      <c r="E55" t="s">
        <v>17</v>
      </c>
      <c r="F55" t="s">
        <v>80</v>
      </c>
      <c r="G55" t="s">
        <v>19</v>
      </c>
      <c r="H55" t="s">
        <v>20</v>
      </c>
      <c r="I55" t="s">
        <v>21</v>
      </c>
      <c r="J55" t="s">
        <v>22</v>
      </c>
      <c r="K55" t="s">
        <v>30</v>
      </c>
      <c r="L55" t="s">
        <v>31</v>
      </c>
    </row>
    <row r="56" spans="1:12">
      <c r="A56">
        <v>100055</v>
      </c>
      <c r="B56" t="s">
        <v>148</v>
      </c>
      <c r="C56" t="s">
        <v>149</v>
      </c>
      <c r="D56" t="s">
        <v>150</v>
      </c>
      <c r="E56" t="s">
        <v>17</v>
      </c>
      <c r="F56" t="s">
        <v>151</v>
      </c>
      <c r="G56" t="s">
        <v>19</v>
      </c>
      <c r="H56" t="s">
        <v>95</v>
      </c>
      <c r="I56" t="s">
        <v>152</v>
      </c>
      <c r="J56" t="s">
        <v>22</v>
      </c>
      <c r="K56" t="s">
        <v>23</v>
      </c>
      <c r="L56" t="s">
        <v>97</v>
      </c>
    </row>
    <row r="57" spans="1:12">
      <c r="A57">
        <v>100056</v>
      </c>
      <c r="B57" t="s">
        <v>153</v>
      </c>
      <c r="C57" t="s">
        <v>15</v>
      </c>
      <c r="D57" t="s">
        <v>16</v>
      </c>
      <c r="E57" t="s">
        <v>17</v>
      </c>
      <c r="F57" t="s">
        <v>151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</row>
    <row r="58" spans="1:12">
      <c r="A58">
        <v>100057</v>
      </c>
      <c r="B58" t="s">
        <v>154</v>
      </c>
      <c r="C58" t="s">
        <v>15</v>
      </c>
      <c r="D58" t="s">
        <v>16</v>
      </c>
      <c r="E58" t="s">
        <v>17</v>
      </c>
      <c r="F58" t="s">
        <v>155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</row>
    <row r="59" spans="1:12">
      <c r="A59">
        <v>100058</v>
      </c>
      <c r="B59" t="s">
        <v>156</v>
      </c>
      <c r="C59" t="s">
        <v>15</v>
      </c>
      <c r="D59" t="s">
        <v>16</v>
      </c>
      <c r="E59" t="s">
        <v>17</v>
      </c>
      <c r="F59" t="s">
        <v>151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</row>
    <row r="60" spans="1:12">
      <c r="A60">
        <v>100059</v>
      </c>
      <c r="B60" t="s">
        <v>157</v>
      </c>
      <c r="C60" t="s">
        <v>15</v>
      </c>
      <c r="D60" t="s">
        <v>16</v>
      </c>
      <c r="E60" t="s">
        <v>17</v>
      </c>
      <c r="F60" t="s">
        <v>155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</row>
    <row r="61" spans="1:12">
      <c r="A61">
        <v>100063</v>
      </c>
      <c r="B61" t="s">
        <v>158</v>
      </c>
      <c r="C61" t="s">
        <v>149</v>
      </c>
      <c r="D61" t="s">
        <v>150</v>
      </c>
      <c r="E61" t="s">
        <v>17</v>
      </c>
      <c r="F61" t="s">
        <v>151</v>
      </c>
      <c r="G61" t="s">
        <v>159</v>
      </c>
      <c r="H61" t="s">
        <v>95</v>
      </c>
      <c r="I61" t="s">
        <v>152</v>
      </c>
      <c r="J61" t="s">
        <v>22</v>
      </c>
      <c r="K61" t="s">
        <v>23</v>
      </c>
      <c r="L61" t="s">
        <v>97</v>
      </c>
    </row>
    <row r="62" spans="1:12">
      <c r="A62">
        <v>100064</v>
      </c>
      <c r="B62" t="s">
        <v>160</v>
      </c>
      <c r="C62" t="s">
        <v>15</v>
      </c>
      <c r="D62" t="s">
        <v>16</v>
      </c>
      <c r="E62" t="s">
        <v>17</v>
      </c>
      <c r="F62" t="s">
        <v>161</v>
      </c>
      <c r="G62" t="s">
        <v>19</v>
      </c>
      <c r="H62" t="s">
        <v>95</v>
      </c>
      <c r="I62" t="s">
        <v>114</v>
      </c>
      <c r="J62" t="s">
        <v>22</v>
      </c>
      <c r="K62" t="s">
        <v>23</v>
      </c>
      <c r="L62" t="s">
        <v>97</v>
      </c>
    </row>
    <row r="63" spans="1:12">
      <c r="A63">
        <v>100065</v>
      </c>
      <c r="B63" t="s">
        <v>162</v>
      </c>
      <c r="C63" t="s">
        <v>116</v>
      </c>
      <c r="D63" t="s">
        <v>65</v>
      </c>
      <c r="E63" t="s">
        <v>17</v>
      </c>
      <c r="F63" t="s">
        <v>66</v>
      </c>
      <c r="G63" t="s">
        <v>19</v>
      </c>
      <c r="H63" t="s">
        <v>95</v>
      </c>
      <c r="I63" t="s">
        <v>114</v>
      </c>
      <c r="J63" t="s">
        <v>22</v>
      </c>
      <c r="K63" t="s">
        <v>119</v>
      </c>
      <c r="L63" t="s">
        <v>120</v>
      </c>
    </row>
    <row r="64" spans="1:12">
      <c r="A64">
        <v>100066</v>
      </c>
      <c r="B64" t="s">
        <v>163</v>
      </c>
      <c r="C64" t="s">
        <v>64</v>
      </c>
      <c r="D64" t="s">
        <v>65</v>
      </c>
      <c r="E64" t="s">
        <v>17</v>
      </c>
      <c r="F64" t="s">
        <v>66</v>
      </c>
      <c r="G64" t="s">
        <v>19</v>
      </c>
      <c r="H64" t="s">
        <v>20</v>
      </c>
      <c r="I64" t="s">
        <v>21</v>
      </c>
      <c r="J64" t="s">
        <v>22</v>
      </c>
      <c r="K64" t="s">
        <v>164</v>
      </c>
      <c r="L64" t="s">
        <v>68</v>
      </c>
    </row>
    <row r="65" spans="1:12">
      <c r="A65">
        <v>100067</v>
      </c>
      <c r="B65" t="s">
        <v>165</v>
      </c>
      <c r="C65" t="s">
        <v>15</v>
      </c>
      <c r="D65" t="s">
        <v>65</v>
      </c>
      <c r="E65" t="s">
        <v>17</v>
      </c>
      <c r="F65" t="s">
        <v>66</v>
      </c>
      <c r="G65" t="s">
        <v>19</v>
      </c>
      <c r="H65" t="s">
        <v>20</v>
      </c>
      <c r="I65" t="s">
        <v>166</v>
      </c>
      <c r="J65" t="s">
        <v>22</v>
      </c>
      <c r="K65" t="s">
        <v>23</v>
      </c>
      <c r="L65" t="s">
        <v>24</v>
      </c>
    </row>
    <row r="66" spans="1:12">
      <c r="A66">
        <v>100068</v>
      </c>
      <c r="B66" t="s">
        <v>167</v>
      </c>
      <c r="C66" t="s">
        <v>43</v>
      </c>
      <c r="D66" t="s">
        <v>44</v>
      </c>
      <c r="E66" t="s">
        <v>17</v>
      </c>
      <c r="F66" t="s">
        <v>161</v>
      </c>
      <c r="G66" t="s">
        <v>19</v>
      </c>
      <c r="H66" t="s">
        <v>95</v>
      </c>
      <c r="I66" t="s">
        <v>168</v>
      </c>
      <c r="J66" t="s">
        <v>22</v>
      </c>
      <c r="K66" t="s">
        <v>46</v>
      </c>
      <c r="L66" t="s">
        <v>47</v>
      </c>
    </row>
    <row r="67" spans="1:12">
      <c r="A67">
        <v>100069</v>
      </c>
      <c r="B67" t="s">
        <v>169</v>
      </c>
      <c r="C67" t="s">
        <v>43</v>
      </c>
      <c r="D67" t="s">
        <v>44</v>
      </c>
      <c r="E67" t="s">
        <v>17</v>
      </c>
      <c r="F67" t="s">
        <v>161</v>
      </c>
      <c r="G67" t="s">
        <v>19</v>
      </c>
      <c r="H67" t="s">
        <v>95</v>
      </c>
      <c r="I67" t="s">
        <v>168</v>
      </c>
      <c r="J67" t="s">
        <v>22</v>
      </c>
      <c r="K67" t="s">
        <v>46</v>
      </c>
      <c r="L67" t="s">
        <v>47</v>
      </c>
    </row>
    <row r="68" spans="1:12">
      <c r="A68">
        <v>100070</v>
      </c>
      <c r="B68" t="s">
        <v>170</v>
      </c>
      <c r="C68" t="s">
        <v>43</v>
      </c>
      <c r="D68" t="s">
        <v>44</v>
      </c>
      <c r="E68" t="s">
        <v>17</v>
      </c>
      <c r="F68" t="s">
        <v>161</v>
      </c>
      <c r="G68" t="s">
        <v>19</v>
      </c>
      <c r="H68" t="s">
        <v>95</v>
      </c>
      <c r="I68" t="s">
        <v>168</v>
      </c>
      <c r="J68" t="s">
        <v>22</v>
      </c>
      <c r="K68" t="s">
        <v>46</v>
      </c>
      <c r="L68" t="s">
        <v>47</v>
      </c>
    </row>
    <row r="69" spans="1:12">
      <c r="A69">
        <v>100071</v>
      </c>
      <c r="B69" t="s">
        <v>171</v>
      </c>
      <c r="C69" t="s">
        <v>15</v>
      </c>
      <c r="D69" t="s">
        <v>16</v>
      </c>
      <c r="E69" t="s">
        <v>17</v>
      </c>
      <c r="F69" t="s">
        <v>161</v>
      </c>
      <c r="G69" t="s">
        <v>19</v>
      </c>
      <c r="H69" t="s">
        <v>95</v>
      </c>
      <c r="I69" t="s">
        <v>168</v>
      </c>
      <c r="J69" t="s">
        <v>22</v>
      </c>
      <c r="K69" t="s">
        <v>23</v>
      </c>
      <c r="L69" t="s">
        <v>97</v>
      </c>
    </row>
    <row r="70" spans="1:12">
      <c r="A70">
        <v>100072</v>
      </c>
      <c r="B70" t="s">
        <v>172</v>
      </c>
      <c r="C70" t="s">
        <v>43</v>
      </c>
      <c r="D70" t="s">
        <v>89</v>
      </c>
      <c r="E70" t="s">
        <v>17</v>
      </c>
      <c r="F70" t="s">
        <v>18</v>
      </c>
      <c r="G70" t="s">
        <v>19</v>
      </c>
      <c r="H70" t="s">
        <v>20</v>
      </c>
      <c r="I70" t="s">
        <v>45</v>
      </c>
      <c r="J70" t="s">
        <v>22</v>
      </c>
      <c r="K70" t="s">
        <v>173</v>
      </c>
      <c r="L70" t="s">
        <v>174</v>
      </c>
    </row>
    <row r="71" spans="1:12">
      <c r="A71">
        <v>100073</v>
      </c>
      <c r="B71" t="s">
        <v>175</v>
      </c>
      <c r="C71" t="s">
        <v>129</v>
      </c>
      <c r="D71" t="s">
        <v>65</v>
      </c>
      <c r="E71" t="s">
        <v>34</v>
      </c>
      <c r="F71" t="s">
        <v>66</v>
      </c>
      <c r="G71" t="s">
        <v>19</v>
      </c>
      <c r="H71" t="s">
        <v>20</v>
      </c>
      <c r="I71" t="s">
        <v>21</v>
      </c>
      <c r="J71" t="s">
        <v>22</v>
      </c>
      <c r="K71" t="s">
        <v>176</v>
      </c>
      <c r="L71" t="s">
        <v>177</v>
      </c>
    </row>
    <row r="72" spans="1:12">
      <c r="A72">
        <v>100074</v>
      </c>
      <c r="B72" t="s">
        <v>178</v>
      </c>
      <c r="C72" t="s">
        <v>64</v>
      </c>
      <c r="D72" t="s">
        <v>65</v>
      </c>
      <c r="E72" t="s">
        <v>34</v>
      </c>
      <c r="F72" t="s">
        <v>66</v>
      </c>
      <c r="G72" t="s">
        <v>19</v>
      </c>
      <c r="H72" t="s">
        <v>133</v>
      </c>
      <c r="I72" t="s">
        <v>134</v>
      </c>
      <c r="J72" t="s">
        <v>22</v>
      </c>
      <c r="K72" t="s">
        <v>179</v>
      </c>
      <c r="L72" t="s">
        <v>180</v>
      </c>
    </row>
    <row r="73" spans="1:12">
      <c r="A73">
        <v>100075</v>
      </c>
      <c r="B73" t="s">
        <v>181</v>
      </c>
      <c r="C73" t="s">
        <v>64</v>
      </c>
      <c r="D73" t="s">
        <v>65</v>
      </c>
      <c r="E73" t="s">
        <v>34</v>
      </c>
      <c r="F73" t="s">
        <v>66</v>
      </c>
      <c r="G73" t="s">
        <v>27</v>
      </c>
      <c r="H73" t="s">
        <v>133</v>
      </c>
      <c r="I73" t="s">
        <v>182</v>
      </c>
      <c r="J73" t="s">
        <v>22</v>
      </c>
      <c r="K73" t="s">
        <v>179</v>
      </c>
      <c r="L73" t="s">
        <v>180</v>
      </c>
    </row>
    <row r="74" spans="1:12">
      <c r="A74">
        <v>100076</v>
      </c>
      <c r="B74" t="s">
        <v>183</v>
      </c>
      <c r="C74" t="s">
        <v>43</v>
      </c>
      <c r="D74" t="s">
        <v>65</v>
      </c>
      <c r="E74" t="s">
        <v>34</v>
      </c>
      <c r="F74" t="s">
        <v>18</v>
      </c>
      <c r="G74" t="s">
        <v>27</v>
      </c>
      <c r="H74" t="s">
        <v>20</v>
      </c>
      <c r="I74" t="s">
        <v>184</v>
      </c>
      <c r="J74" t="s">
        <v>185</v>
      </c>
      <c r="K74" t="s">
        <v>186</v>
      </c>
      <c r="L74" t="s">
        <v>52</v>
      </c>
    </row>
    <row r="75" spans="1:12">
      <c r="A75">
        <v>100077</v>
      </c>
      <c r="B75" t="s">
        <v>187</v>
      </c>
      <c r="C75" t="s">
        <v>64</v>
      </c>
      <c r="D75" t="s">
        <v>65</v>
      </c>
      <c r="E75" t="s">
        <v>17</v>
      </c>
      <c r="F75" t="s">
        <v>66</v>
      </c>
      <c r="G75" t="s">
        <v>27</v>
      </c>
      <c r="H75" t="s">
        <v>20</v>
      </c>
      <c r="I75" t="s">
        <v>21</v>
      </c>
      <c r="J75" t="s">
        <v>22</v>
      </c>
      <c r="K75" t="s">
        <v>67</v>
      </c>
      <c r="L75" t="s">
        <v>68</v>
      </c>
    </row>
    <row r="76" spans="1:12">
      <c r="A76">
        <v>100078</v>
      </c>
      <c r="B76" t="s">
        <v>188</v>
      </c>
      <c r="C76" t="s">
        <v>43</v>
      </c>
      <c r="D76" t="s">
        <v>89</v>
      </c>
      <c r="E76" t="s">
        <v>34</v>
      </c>
      <c r="F76" t="s">
        <v>18</v>
      </c>
      <c r="G76" t="s">
        <v>19</v>
      </c>
      <c r="H76" t="s">
        <v>20</v>
      </c>
      <c r="I76" t="s">
        <v>189</v>
      </c>
      <c r="J76" t="s">
        <v>22</v>
      </c>
      <c r="K76" t="s">
        <v>190</v>
      </c>
      <c r="L76" t="s">
        <v>91</v>
      </c>
    </row>
    <row r="77" spans="1:12">
      <c r="A77">
        <v>100079</v>
      </c>
      <c r="B77" t="s">
        <v>191</v>
      </c>
      <c r="C77" t="s">
        <v>15</v>
      </c>
      <c r="D77" t="s">
        <v>192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193</v>
      </c>
      <c r="L77" t="s">
        <v>194</v>
      </c>
    </row>
    <row r="78" spans="1:12">
      <c r="A78">
        <v>100080</v>
      </c>
      <c r="B78" t="s">
        <v>195</v>
      </c>
      <c r="C78" t="s">
        <v>15</v>
      </c>
      <c r="D78" t="s">
        <v>192</v>
      </c>
      <c r="E78" t="s">
        <v>17</v>
      </c>
      <c r="F78" t="s">
        <v>26</v>
      </c>
      <c r="G78" t="s">
        <v>27</v>
      </c>
      <c r="H78" t="s">
        <v>20</v>
      </c>
      <c r="I78" t="s">
        <v>21</v>
      </c>
      <c r="J78" t="s">
        <v>22</v>
      </c>
      <c r="K78" t="s">
        <v>193</v>
      </c>
      <c r="L78" t="s">
        <v>194</v>
      </c>
    </row>
    <row r="79" spans="1:12">
      <c r="A79">
        <v>100081</v>
      </c>
      <c r="B79" t="s">
        <v>196</v>
      </c>
      <c r="C79" t="s">
        <v>15</v>
      </c>
      <c r="D79" t="s">
        <v>192</v>
      </c>
      <c r="E79" t="s">
        <v>34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197</v>
      </c>
      <c r="L79" t="s">
        <v>198</v>
      </c>
    </row>
    <row r="80" spans="1:12">
      <c r="A80">
        <v>100082</v>
      </c>
      <c r="B80" t="s">
        <v>199</v>
      </c>
      <c r="C80" t="s">
        <v>15</v>
      </c>
      <c r="D80" t="s">
        <v>192</v>
      </c>
      <c r="E80" t="s">
        <v>34</v>
      </c>
      <c r="F80" t="s">
        <v>18</v>
      </c>
      <c r="G80" t="s">
        <v>27</v>
      </c>
      <c r="H80" t="s">
        <v>20</v>
      </c>
      <c r="I80" t="s">
        <v>21</v>
      </c>
      <c r="J80" t="s">
        <v>22</v>
      </c>
      <c r="K80" t="s">
        <v>197</v>
      </c>
      <c r="L80" t="s">
        <v>198</v>
      </c>
    </row>
    <row r="81" spans="1:12">
      <c r="A81">
        <v>100083</v>
      </c>
      <c r="B81" t="s">
        <v>200</v>
      </c>
      <c r="C81" t="s">
        <v>15</v>
      </c>
      <c r="D81" t="s">
        <v>192</v>
      </c>
      <c r="E81" t="s">
        <v>17</v>
      </c>
      <c r="F81" t="s">
        <v>201</v>
      </c>
      <c r="G81" t="s">
        <v>19</v>
      </c>
      <c r="H81" t="s">
        <v>20</v>
      </c>
      <c r="I81" t="s">
        <v>21</v>
      </c>
      <c r="J81" t="s">
        <v>22</v>
      </c>
      <c r="K81" t="s">
        <v>193</v>
      </c>
      <c r="L81" t="s">
        <v>194</v>
      </c>
    </row>
    <row r="82" spans="1:12">
      <c r="A82">
        <v>100084</v>
      </c>
      <c r="B82" t="s">
        <v>202</v>
      </c>
      <c r="C82" t="s">
        <v>15</v>
      </c>
      <c r="D82" t="s">
        <v>192</v>
      </c>
      <c r="E82" t="s">
        <v>17</v>
      </c>
      <c r="F82" t="s">
        <v>201</v>
      </c>
      <c r="G82" t="s">
        <v>27</v>
      </c>
      <c r="H82" t="s">
        <v>139</v>
      </c>
      <c r="I82" t="s">
        <v>21</v>
      </c>
      <c r="J82" t="s">
        <v>22</v>
      </c>
      <c r="K82" t="s">
        <v>203</v>
      </c>
      <c r="L82" t="s">
        <v>194</v>
      </c>
    </row>
    <row r="83" spans="1:12">
      <c r="A83">
        <v>100085</v>
      </c>
      <c r="B83" t="s">
        <v>204</v>
      </c>
      <c r="C83" t="s">
        <v>15</v>
      </c>
      <c r="D83" t="s">
        <v>192</v>
      </c>
      <c r="E83" t="s">
        <v>34</v>
      </c>
      <c r="F83" t="s">
        <v>201</v>
      </c>
      <c r="G83" t="s">
        <v>19</v>
      </c>
      <c r="H83" t="s">
        <v>139</v>
      </c>
      <c r="I83" t="s">
        <v>21</v>
      </c>
      <c r="J83" t="s">
        <v>22</v>
      </c>
      <c r="K83" t="s">
        <v>205</v>
      </c>
      <c r="L83" t="s">
        <v>198</v>
      </c>
    </row>
    <row r="84" spans="1:12">
      <c r="A84">
        <v>100086</v>
      </c>
      <c r="B84" t="s">
        <v>206</v>
      </c>
      <c r="C84" t="s">
        <v>15</v>
      </c>
      <c r="D84" t="s">
        <v>192</v>
      </c>
      <c r="E84" t="s">
        <v>34</v>
      </c>
      <c r="F84" t="s">
        <v>201</v>
      </c>
      <c r="G84" t="s">
        <v>27</v>
      </c>
      <c r="H84" t="s">
        <v>139</v>
      </c>
      <c r="I84" t="s">
        <v>21</v>
      </c>
      <c r="J84" t="s">
        <v>22</v>
      </c>
      <c r="K84" t="s">
        <v>205</v>
      </c>
      <c r="L84" t="s">
        <v>198</v>
      </c>
    </row>
    <row r="85" spans="1:12">
      <c r="A85">
        <v>100087</v>
      </c>
      <c r="B85" t="s">
        <v>207</v>
      </c>
      <c r="C85" t="s">
        <v>93</v>
      </c>
      <c r="D85" t="s">
        <v>208</v>
      </c>
      <c r="E85" t="s">
        <v>17</v>
      </c>
      <c r="F85" t="s">
        <v>84</v>
      </c>
      <c r="G85" t="s">
        <v>19</v>
      </c>
      <c r="H85" t="s">
        <v>95</v>
      </c>
      <c r="I85" t="s">
        <v>96</v>
      </c>
      <c r="J85" t="s">
        <v>22</v>
      </c>
      <c r="K85" t="s">
        <v>46</v>
      </c>
      <c r="L85" t="s">
        <v>47</v>
      </c>
    </row>
    <row r="86" spans="1:12">
      <c r="A86">
        <v>100088</v>
      </c>
      <c r="B86" t="s">
        <v>209</v>
      </c>
      <c r="C86" t="s">
        <v>93</v>
      </c>
      <c r="D86" t="s">
        <v>117</v>
      </c>
      <c r="E86" t="s">
        <v>17</v>
      </c>
      <c r="F86" t="s">
        <v>66</v>
      </c>
      <c r="G86" t="s">
        <v>19</v>
      </c>
      <c r="H86" t="s">
        <v>95</v>
      </c>
      <c r="I86" t="s">
        <v>101</v>
      </c>
      <c r="J86" t="s">
        <v>22</v>
      </c>
      <c r="K86" t="s">
        <v>119</v>
      </c>
      <c r="L86" t="s">
        <v>120</v>
      </c>
    </row>
    <row r="87" spans="1:12">
      <c r="A87">
        <v>100089</v>
      </c>
      <c r="B87" t="s">
        <v>210</v>
      </c>
      <c r="C87" t="s">
        <v>211</v>
      </c>
      <c r="D87" t="s">
        <v>212</v>
      </c>
      <c r="E87" t="s">
        <v>17</v>
      </c>
      <c r="F87" t="s">
        <v>66</v>
      </c>
      <c r="G87" t="s">
        <v>19</v>
      </c>
      <c r="H87" t="s">
        <v>95</v>
      </c>
      <c r="I87" t="s">
        <v>114</v>
      </c>
      <c r="J87" t="s">
        <v>22</v>
      </c>
      <c r="K87" t="s">
        <v>119</v>
      </c>
      <c r="L87" t="s">
        <v>120</v>
      </c>
    </row>
    <row r="88" spans="1:12">
      <c r="A88">
        <v>100090</v>
      </c>
      <c r="B88" t="s">
        <v>213</v>
      </c>
      <c r="C88" t="s">
        <v>15</v>
      </c>
      <c r="D88" t="s">
        <v>16</v>
      </c>
      <c r="E88" t="s">
        <v>17</v>
      </c>
      <c r="F88" t="s">
        <v>214</v>
      </c>
      <c r="G88" t="s">
        <v>27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</row>
    <row r="89" spans="1:12">
      <c r="A89">
        <v>100091</v>
      </c>
      <c r="B89" t="s">
        <v>215</v>
      </c>
      <c r="C89" t="s">
        <v>15</v>
      </c>
      <c r="D89" t="s">
        <v>16</v>
      </c>
      <c r="E89" t="s">
        <v>34</v>
      </c>
      <c r="F89" t="s">
        <v>214</v>
      </c>
      <c r="G89" t="s">
        <v>27</v>
      </c>
      <c r="H89" t="s">
        <v>20</v>
      </c>
      <c r="I89" t="s">
        <v>21</v>
      </c>
      <c r="J89" t="s">
        <v>22</v>
      </c>
      <c r="K89" t="s">
        <v>35</v>
      </c>
      <c r="L89" t="s">
        <v>36</v>
      </c>
    </row>
    <row r="90" spans="1:12">
      <c r="A90">
        <v>100092</v>
      </c>
      <c r="B90" t="s">
        <v>216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217</v>
      </c>
      <c r="J90" t="s">
        <v>22</v>
      </c>
      <c r="K90" t="s">
        <v>23</v>
      </c>
      <c r="L90" t="s">
        <v>24</v>
      </c>
    </row>
    <row r="91" spans="1:12">
      <c r="A91">
        <v>100093</v>
      </c>
      <c r="B91" t="s">
        <v>218</v>
      </c>
      <c r="C91" t="s">
        <v>15</v>
      </c>
      <c r="D91" t="s">
        <v>16</v>
      </c>
      <c r="E91" t="s">
        <v>17</v>
      </c>
      <c r="F91" t="s">
        <v>26</v>
      </c>
      <c r="G91" t="s">
        <v>27</v>
      </c>
      <c r="H91" t="s">
        <v>20</v>
      </c>
      <c r="I91" t="s">
        <v>217</v>
      </c>
      <c r="J91" t="s">
        <v>22</v>
      </c>
      <c r="K91" t="s">
        <v>23</v>
      </c>
      <c r="L91" t="s">
        <v>24</v>
      </c>
    </row>
    <row r="92" spans="1:12">
      <c r="A92">
        <v>100094</v>
      </c>
      <c r="B92" t="s">
        <v>219</v>
      </c>
      <c r="C92" t="s">
        <v>15</v>
      </c>
      <c r="D92" t="s">
        <v>16</v>
      </c>
      <c r="E92" t="s">
        <v>17</v>
      </c>
      <c r="F92" t="s">
        <v>61</v>
      </c>
      <c r="G92" t="s">
        <v>139</v>
      </c>
      <c r="H92" t="s">
        <v>139</v>
      </c>
      <c r="I92" t="s">
        <v>217</v>
      </c>
      <c r="J92" t="s">
        <v>22</v>
      </c>
      <c r="K92" t="s">
        <v>137</v>
      </c>
      <c r="L92" t="s">
        <v>24</v>
      </c>
    </row>
    <row r="93" spans="1:12">
      <c r="A93">
        <v>100095</v>
      </c>
      <c r="B93" t="s">
        <v>220</v>
      </c>
      <c r="C93" t="s">
        <v>15</v>
      </c>
      <c r="D93" t="s">
        <v>29</v>
      </c>
      <c r="E93" t="s">
        <v>17</v>
      </c>
      <c r="F93" t="s">
        <v>155</v>
      </c>
      <c r="G93" t="s">
        <v>27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</row>
    <row r="94" spans="1:12">
      <c r="A94">
        <v>100096</v>
      </c>
      <c r="B94" t="s">
        <v>221</v>
      </c>
      <c r="C94" t="s">
        <v>43</v>
      </c>
      <c r="D94" t="s">
        <v>49</v>
      </c>
      <c r="E94" t="s">
        <v>34</v>
      </c>
      <c r="F94" t="s">
        <v>18</v>
      </c>
      <c r="G94" t="s">
        <v>27</v>
      </c>
      <c r="H94" t="s">
        <v>20</v>
      </c>
      <c r="I94" t="s">
        <v>45</v>
      </c>
      <c r="J94" t="s">
        <v>22</v>
      </c>
      <c r="K94" t="s">
        <v>54</v>
      </c>
      <c r="L94" t="s">
        <v>55</v>
      </c>
    </row>
    <row r="95" spans="1:12">
      <c r="A95">
        <v>100097</v>
      </c>
      <c r="B95" t="s">
        <v>222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</row>
    <row r="96" spans="1:12">
      <c r="A96">
        <v>100098</v>
      </c>
      <c r="B96" t="s">
        <v>223</v>
      </c>
      <c r="C96" t="s">
        <v>15</v>
      </c>
      <c r="D96" t="s">
        <v>16</v>
      </c>
      <c r="E96" t="s">
        <v>34</v>
      </c>
      <c r="F96" t="s">
        <v>155</v>
      </c>
      <c r="G96" t="s">
        <v>19</v>
      </c>
      <c r="H96" t="s">
        <v>20</v>
      </c>
      <c r="I96" t="s">
        <v>21</v>
      </c>
      <c r="J96" t="s">
        <v>22</v>
      </c>
      <c r="K96" t="s">
        <v>35</v>
      </c>
      <c r="L96" t="s">
        <v>36</v>
      </c>
    </row>
    <row r="97" spans="1:12">
      <c r="A97">
        <v>100099</v>
      </c>
      <c r="B97" t="s">
        <v>224</v>
      </c>
      <c r="C97" t="s">
        <v>15</v>
      </c>
      <c r="D97" t="s">
        <v>29</v>
      </c>
      <c r="E97" t="s">
        <v>34</v>
      </c>
      <c r="F97" t="s">
        <v>155</v>
      </c>
      <c r="G97" t="s">
        <v>19</v>
      </c>
      <c r="H97" t="s">
        <v>20</v>
      </c>
      <c r="I97" t="s">
        <v>21</v>
      </c>
      <c r="J97" t="s">
        <v>22</v>
      </c>
      <c r="K97" t="s">
        <v>39</v>
      </c>
      <c r="L97" t="s">
        <v>40</v>
      </c>
    </row>
    <row r="98" spans="1:12">
      <c r="A98">
        <v>100100</v>
      </c>
      <c r="B98" t="s">
        <v>225</v>
      </c>
      <c r="C98" t="s">
        <v>15</v>
      </c>
      <c r="D98" t="s">
        <v>29</v>
      </c>
      <c r="E98" t="s">
        <v>34</v>
      </c>
      <c r="F98" t="s">
        <v>155</v>
      </c>
      <c r="G98" t="s">
        <v>27</v>
      </c>
      <c r="H98" t="s">
        <v>20</v>
      </c>
      <c r="I98" t="s">
        <v>21</v>
      </c>
      <c r="J98" t="s">
        <v>22</v>
      </c>
      <c r="K98" t="s">
        <v>39</v>
      </c>
      <c r="L98" t="s">
        <v>40</v>
      </c>
    </row>
    <row r="99" spans="1:12">
      <c r="A99">
        <v>100101</v>
      </c>
      <c r="B99" t="s">
        <v>226</v>
      </c>
      <c r="C99" t="s">
        <v>15</v>
      </c>
      <c r="D99" t="s">
        <v>192</v>
      </c>
      <c r="E99" t="s">
        <v>34</v>
      </c>
      <c r="F99" t="s">
        <v>155</v>
      </c>
      <c r="G99" t="s">
        <v>19</v>
      </c>
      <c r="H99" t="s">
        <v>20</v>
      </c>
      <c r="I99" t="s">
        <v>21</v>
      </c>
      <c r="J99" t="s">
        <v>22</v>
      </c>
      <c r="K99" t="s">
        <v>227</v>
      </c>
      <c r="L99" t="s">
        <v>198</v>
      </c>
    </row>
    <row r="100" spans="1:12">
      <c r="A100">
        <v>100102</v>
      </c>
      <c r="B100" t="s">
        <v>228</v>
      </c>
      <c r="C100" t="s">
        <v>15</v>
      </c>
      <c r="D100" t="s">
        <v>192</v>
      </c>
      <c r="E100" t="s">
        <v>34</v>
      </c>
      <c r="F100" t="s">
        <v>155</v>
      </c>
      <c r="G100" t="s">
        <v>27</v>
      </c>
      <c r="H100" t="s">
        <v>20</v>
      </c>
      <c r="I100" t="s">
        <v>21</v>
      </c>
      <c r="J100" t="s">
        <v>22</v>
      </c>
      <c r="K100" t="s">
        <v>227</v>
      </c>
      <c r="L100" t="s">
        <v>198</v>
      </c>
    </row>
    <row r="101" spans="1:12">
      <c r="A101">
        <v>100103</v>
      </c>
      <c r="B101" t="s">
        <v>229</v>
      </c>
      <c r="C101" t="s">
        <v>15</v>
      </c>
      <c r="D101" t="s">
        <v>192</v>
      </c>
      <c r="E101" t="s">
        <v>17</v>
      </c>
      <c r="F101" t="s">
        <v>155</v>
      </c>
      <c r="G101" t="s">
        <v>19</v>
      </c>
      <c r="H101" t="s">
        <v>20</v>
      </c>
      <c r="I101" t="s">
        <v>21</v>
      </c>
      <c r="J101" t="s">
        <v>22</v>
      </c>
      <c r="K101" t="s">
        <v>193</v>
      </c>
      <c r="L101" t="s">
        <v>194</v>
      </c>
    </row>
    <row r="102" spans="1:12">
      <c r="A102">
        <v>100104</v>
      </c>
      <c r="B102" t="s">
        <v>230</v>
      </c>
      <c r="C102" t="s">
        <v>15</v>
      </c>
      <c r="D102" t="s">
        <v>192</v>
      </c>
      <c r="E102" t="s">
        <v>17</v>
      </c>
      <c r="F102" t="s">
        <v>155</v>
      </c>
      <c r="G102" t="s">
        <v>27</v>
      </c>
      <c r="H102" t="s">
        <v>20</v>
      </c>
      <c r="I102" t="s">
        <v>21</v>
      </c>
      <c r="J102" t="s">
        <v>22</v>
      </c>
      <c r="K102" t="s">
        <v>193</v>
      </c>
      <c r="L102" t="s">
        <v>194</v>
      </c>
    </row>
    <row r="103" spans="1:12">
      <c r="A103">
        <v>100105</v>
      </c>
      <c r="B103" t="s">
        <v>163</v>
      </c>
      <c r="C103" t="s">
        <v>64</v>
      </c>
      <c r="D103" t="s">
        <v>65</v>
      </c>
      <c r="E103" t="s">
        <v>17</v>
      </c>
      <c r="F103" t="s">
        <v>66</v>
      </c>
      <c r="G103" t="s">
        <v>19</v>
      </c>
      <c r="H103" t="s">
        <v>20</v>
      </c>
      <c r="I103" t="s">
        <v>182</v>
      </c>
      <c r="J103" t="s">
        <v>22</v>
      </c>
      <c r="K103" t="s">
        <v>164</v>
      </c>
      <c r="L103" t="s">
        <v>68</v>
      </c>
    </row>
    <row r="104" spans="1:12">
      <c r="A104">
        <v>100106</v>
      </c>
      <c r="B104" t="s">
        <v>231</v>
      </c>
      <c r="C104" t="s">
        <v>15</v>
      </c>
      <c r="D104" t="s">
        <v>192</v>
      </c>
      <c r="E104" t="s">
        <v>34</v>
      </c>
      <c r="F104" t="s">
        <v>232</v>
      </c>
      <c r="G104" t="s">
        <v>19</v>
      </c>
      <c r="H104" t="s">
        <v>20</v>
      </c>
      <c r="I104" t="s">
        <v>21</v>
      </c>
      <c r="J104" t="s">
        <v>22</v>
      </c>
      <c r="K104" t="s">
        <v>227</v>
      </c>
      <c r="L104" t="s">
        <v>198</v>
      </c>
    </row>
    <row r="105" spans="1:12">
      <c r="A105">
        <v>100107</v>
      </c>
      <c r="B105" t="s">
        <v>233</v>
      </c>
      <c r="C105" t="s">
        <v>15</v>
      </c>
      <c r="D105" t="s">
        <v>192</v>
      </c>
      <c r="E105" t="s">
        <v>34</v>
      </c>
      <c r="F105" t="s">
        <v>232</v>
      </c>
      <c r="G105" t="s">
        <v>19</v>
      </c>
      <c r="H105" t="s">
        <v>20</v>
      </c>
      <c r="I105" t="s">
        <v>21</v>
      </c>
      <c r="J105" t="s">
        <v>22</v>
      </c>
      <c r="K105" t="s">
        <v>227</v>
      </c>
      <c r="L105" t="s">
        <v>198</v>
      </c>
    </row>
    <row r="106" spans="1:12">
      <c r="A106">
        <v>100108</v>
      </c>
      <c r="B106" t="s">
        <v>234</v>
      </c>
      <c r="C106" t="s">
        <v>15</v>
      </c>
      <c r="D106" t="s">
        <v>65</v>
      </c>
      <c r="E106" t="s">
        <v>17</v>
      </c>
      <c r="F106" t="s">
        <v>18</v>
      </c>
      <c r="G106" t="s">
        <v>19</v>
      </c>
      <c r="H106" t="s">
        <v>95</v>
      </c>
      <c r="I106" t="s">
        <v>235</v>
      </c>
      <c r="J106" t="s">
        <v>22</v>
      </c>
    </row>
    <row r="107" spans="1:12">
      <c r="A107">
        <v>100109</v>
      </c>
      <c r="B107" t="s">
        <v>236</v>
      </c>
      <c r="C107" t="s">
        <v>43</v>
      </c>
      <c r="D107" t="s">
        <v>65</v>
      </c>
      <c r="E107" t="s">
        <v>17</v>
      </c>
      <c r="F107" t="s">
        <v>18</v>
      </c>
      <c r="G107" t="s">
        <v>19</v>
      </c>
      <c r="H107" t="s">
        <v>95</v>
      </c>
      <c r="I107" t="s">
        <v>235</v>
      </c>
      <c r="J107" t="s">
        <v>22</v>
      </c>
    </row>
    <row r="108" spans="1:12">
      <c r="A108">
        <v>100110</v>
      </c>
      <c r="B108" t="s">
        <v>237</v>
      </c>
    </row>
    <row r="109" spans="1:12">
      <c r="A109">
        <v>100111</v>
      </c>
      <c r="B109" t="s">
        <v>238</v>
      </c>
    </row>
    <row r="110" spans="1:12">
      <c r="A110">
        <v>100112</v>
      </c>
      <c r="B110" t="s">
        <v>239</v>
      </c>
      <c r="C110" t="s">
        <v>15</v>
      </c>
      <c r="D110" t="s">
        <v>65</v>
      </c>
      <c r="E110" t="s">
        <v>17</v>
      </c>
      <c r="F110" t="s">
        <v>66</v>
      </c>
      <c r="G110" t="s">
        <v>19</v>
      </c>
      <c r="H110" t="s">
        <v>95</v>
      </c>
      <c r="I110" t="s">
        <v>114</v>
      </c>
      <c r="J110" t="s">
        <v>22</v>
      </c>
      <c r="K110" t="s">
        <v>23</v>
      </c>
      <c r="L110" t="s">
        <v>24</v>
      </c>
    </row>
    <row r="111" spans="1:12">
      <c r="A111">
        <v>100113</v>
      </c>
      <c r="B111" t="s">
        <v>240</v>
      </c>
      <c r="C111" t="s">
        <v>241</v>
      </c>
      <c r="D111" t="s">
        <v>65</v>
      </c>
      <c r="E111" t="s">
        <v>17</v>
      </c>
      <c r="F111" t="s">
        <v>66</v>
      </c>
      <c r="G111" t="s">
        <v>19</v>
      </c>
      <c r="H111" t="s">
        <v>95</v>
      </c>
      <c r="I111" t="s">
        <v>114</v>
      </c>
      <c r="J111" t="s">
        <v>22</v>
      </c>
    </row>
    <row r="112" spans="1:12">
      <c r="A112">
        <v>100114</v>
      </c>
      <c r="B112" t="s">
        <v>242</v>
      </c>
      <c r="C112" t="s">
        <v>116</v>
      </c>
      <c r="D112" t="s">
        <v>65</v>
      </c>
      <c r="E112" t="s">
        <v>17</v>
      </c>
      <c r="F112" t="s">
        <v>66</v>
      </c>
      <c r="G112" t="s">
        <v>243</v>
      </c>
      <c r="H112" t="s">
        <v>244</v>
      </c>
      <c r="I112" t="s">
        <v>114</v>
      </c>
      <c r="J112" t="s">
        <v>22</v>
      </c>
      <c r="L112" t="s">
        <v>120</v>
      </c>
    </row>
    <row r="113" spans="1:12">
      <c r="A113">
        <v>100115</v>
      </c>
      <c r="B113" t="s">
        <v>245</v>
      </c>
      <c r="C113" t="s">
        <v>15</v>
      </c>
      <c r="D113" t="s">
        <v>65</v>
      </c>
      <c r="E113" t="s">
        <v>17</v>
      </c>
      <c r="F113" t="s">
        <v>66</v>
      </c>
      <c r="G113" t="s">
        <v>243</v>
      </c>
      <c r="H113" t="s">
        <v>244</v>
      </c>
      <c r="I113" t="s">
        <v>114</v>
      </c>
      <c r="J113" t="s">
        <v>22</v>
      </c>
      <c r="L113" t="s">
        <v>97</v>
      </c>
    </row>
    <row r="114" spans="1:12">
      <c r="A114">
        <v>100116</v>
      </c>
      <c r="B114" t="s">
        <v>246</v>
      </c>
      <c r="C114" t="s">
        <v>247</v>
      </c>
      <c r="D114" t="s">
        <v>65</v>
      </c>
      <c r="E114" t="s">
        <v>17</v>
      </c>
      <c r="F114" t="s">
        <v>248</v>
      </c>
      <c r="G114" t="s">
        <v>19</v>
      </c>
      <c r="H114" t="s">
        <v>244</v>
      </c>
      <c r="I114" t="s">
        <v>249</v>
      </c>
    </row>
    <row r="115" spans="1:12">
      <c r="A115">
        <v>100117</v>
      </c>
      <c r="B115" t="s">
        <v>250</v>
      </c>
      <c r="C115" t="s">
        <v>15</v>
      </c>
      <c r="D115" t="s">
        <v>29</v>
      </c>
      <c r="E115" t="s">
        <v>34</v>
      </c>
      <c r="F115" t="s">
        <v>18</v>
      </c>
      <c r="G115" t="s">
        <v>19</v>
      </c>
      <c r="H115" t="s">
        <v>20</v>
      </c>
      <c r="I115" t="s">
        <v>189</v>
      </c>
      <c r="J115" t="s">
        <v>22</v>
      </c>
      <c r="K115" t="s">
        <v>39</v>
      </c>
      <c r="L115" t="s">
        <v>40</v>
      </c>
    </row>
    <row r="116" spans="1:12">
      <c r="A116">
        <v>100118</v>
      </c>
      <c r="B116" t="s">
        <v>251</v>
      </c>
      <c r="C116" t="s">
        <v>64</v>
      </c>
      <c r="D116" t="s">
        <v>65</v>
      </c>
      <c r="E116" t="s">
        <v>34</v>
      </c>
      <c r="F116" t="s">
        <v>66</v>
      </c>
      <c r="G116" t="s">
        <v>19</v>
      </c>
      <c r="H116" t="s">
        <v>133</v>
      </c>
      <c r="I116" t="s">
        <v>182</v>
      </c>
      <c r="J116" t="s">
        <v>22</v>
      </c>
      <c r="K116" t="s">
        <v>179</v>
      </c>
      <c r="L116" t="s">
        <v>180</v>
      </c>
    </row>
    <row r="117" spans="1:12">
      <c r="A117">
        <v>100130</v>
      </c>
      <c r="B117" t="s">
        <v>252</v>
      </c>
      <c r="C117" t="s">
        <v>43</v>
      </c>
      <c r="D117" t="s">
        <v>65</v>
      </c>
      <c r="E117" t="s">
        <v>34</v>
      </c>
      <c r="F117" t="s">
        <v>66</v>
      </c>
      <c r="G117" t="s">
        <v>19</v>
      </c>
      <c r="H117" t="s">
        <v>20</v>
      </c>
      <c r="I117" t="s">
        <v>45</v>
      </c>
      <c r="J117" t="s">
        <v>22</v>
      </c>
    </row>
    <row r="118" spans="1:12">
      <c r="A118">
        <v>200001</v>
      </c>
      <c r="B118" t="s">
        <v>253</v>
      </c>
      <c r="C118" t="s">
        <v>15</v>
      </c>
      <c r="D118" t="s">
        <v>16</v>
      </c>
      <c r="E118" t="s">
        <v>17</v>
      </c>
      <c r="F118" t="s">
        <v>201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</row>
    <row r="119" spans="1:12">
      <c r="A119">
        <v>200002</v>
      </c>
      <c r="B119" t="s">
        <v>254</v>
      </c>
      <c r="C119" t="s">
        <v>15</v>
      </c>
      <c r="D119" t="s">
        <v>16</v>
      </c>
      <c r="E119" t="s">
        <v>17</v>
      </c>
      <c r="F119" t="s">
        <v>201</v>
      </c>
      <c r="G119" t="s">
        <v>27</v>
      </c>
      <c r="H119" t="s">
        <v>139</v>
      </c>
      <c r="I119" t="s">
        <v>21</v>
      </c>
      <c r="J119" t="s">
        <v>22</v>
      </c>
      <c r="K119" t="s">
        <v>137</v>
      </c>
      <c r="L119" t="s">
        <v>24</v>
      </c>
    </row>
    <row r="120" spans="1:12">
      <c r="A120">
        <v>200003</v>
      </c>
      <c r="B120" t="s">
        <v>255</v>
      </c>
      <c r="C120" t="s">
        <v>15</v>
      </c>
      <c r="D120" t="s">
        <v>16</v>
      </c>
      <c r="E120" t="s">
        <v>17</v>
      </c>
      <c r="F120" t="s">
        <v>201</v>
      </c>
      <c r="G120" t="s">
        <v>139</v>
      </c>
      <c r="H120" t="s">
        <v>139</v>
      </c>
      <c r="I120" t="s">
        <v>21</v>
      </c>
      <c r="J120" t="s">
        <v>22</v>
      </c>
      <c r="K120" t="s">
        <v>137</v>
      </c>
      <c r="L120" t="s">
        <v>24</v>
      </c>
    </row>
    <row r="121" spans="1:12">
      <c r="A121">
        <v>100122</v>
      </c>
      <c r="B121" t="s">
        <v>256</v>
      </c>
      <c r="C121" t="s">
        <v>247</v>
      </c>
      <c r="D121" t="s">
        <v>65</v>
      </c>
      <c r="E121" t="s">
        <v>17</v>
      </c>
      <c r="F121" t="s">
        <v>66</v>
      </c>
      <c r="G121" t="s">
        <v>27</v>
      </c>
      <c r="H121" t="s">
        <v>20</v>
      </c>
      <c r="I121" t="s">
        <v>257</v>
      </c>
      <c r="J121" t="s">
        <v>22</v>
      </c>
    </row>
    <row r="122" spans="1:12">
      <c r="A122">
        <v>100156</v>
      </c>
      <c r="B122" t="s">
        <v>258</v>
      </c>
      <c r="C122" t="s">
        <v>259</v>
      </c>
      <c r="D122" t="s">
        <v>65</v>
      </c>
      <c r="E122" t="s">
        <v>17</v>
      </c>
      <c r="F122" t="s">
        <v>66</v>
      </c>
      <c r="G122" t="s">
        <v>19</v>
      </c>
      <c r="H122" t="s">
        <v>95</v>
      </c>
      <c r="I122" t="s">
        <v>168</v>
      </c>
      <c r="J122" t="s">
        <v>22</v>
      </c>
      <c r="K122" t="s">
        <v>260</v>
      </c>
      <c r="L122" t="s">
        <v>261</v>
      </c>
    </row>
    <row r="123" spans="1:12">
      <c r="A123">
        <v>100157</v>
      </c>
      <c r="B123" t="s">
        <v>262</v>
      </c>
      <c r="C123" t="s">
        <v>15</v>
      </c>
      <c r="D123" t="s">
        <v>65</v>
      </c>
      <c r="E123" t="s">
        <v>17</v>
      </c>
      <c r="F123" t="s">
        <v>66</v>
      </c>
      <c r="G123" t="s">
        <v>19</v>
      </c>
      <c r="H123" t="s">
        <v>95</v>
      </c>
      <c r="I123" t="s">
        <v>168</v>
      </c>
      <c r="J123" t="s">
        <v>22</v>
      </c>
      <c r="K123" t="s">
        <v>263</v>
      </c>
      <c r="L123" t="s">
        <v>97</v>
      </c>
    </row>
    <row r="124" spans="1:12">
      <c r="A124">
        <v>200004</v>
      </c>
      <c r="B124" t="s">
        <v>264</v>
      </c>
      <c r="C124" t="s">
        <v>15</v>
      </c>
      <c r="D124" t="s">
        <v>16</v>
      </c>
      <c r="E124" t="s">
        <v>17</v>
      </c>
      <c r="F124" t="s">
        <v>26</v>
      </c>
      <c r="G124" t="s">
        <v>139</v>
      </c>
      <c r="H124" t="s">
        <v>139</v>
      </c>
      <c r="I124" t="s">
        <v>21</v>
      </c>
      <c r="J124" t="s">
        <v>22</v>
      </c>
      <c r="K124" t="s">
        <v>137</v>
      </c>
      <c r="L124" t="s">
        <v>24</v>
      </c>
    </row>
    <row r="125" spans="1:12">
      <c r="A125">
        <v>200005</v>
      </c>
      <c r="B125" t="s">
        <v>265</v>
      </c>
      <c r="C125" t="s">
        <v>15</v>
      </c>
      <c r="D125" t="s">
        <v>29</v>
      </c>
      <c r="E125" t="s">
        <v>17</v>
      </c>
      <c r="F125" t="s">
        <v>201</v>
      </c>
      <c r="G125" t="s">
        <v>19</v>
      </c>
      <c r="H125" t="s">
        <v>139</v>
      </c>
      <c r="I125" t="s">
        <v>21</v>
      </c>
      <c r="J125" t="s">
        <v>22</v>
      </c>
      <c r="K125" t="s">
        <v>266</v>
      </c>
      <c r="L125" t="s">
        <v>31</v>
      </c>
    </row>
    <row r="126" spans="1:12">
      <c r="A126">
        <v>200006</v>
      </c>
      <c r="B126" t="s">
        <v>267</v>
      </c>
      <c r="C126" t="s">
        <v>15</v>
      </c>
      <c r="D126" t="s">
        <v>29</v>
      </c>
      <c r="E126" t="s">
        <v>17</v>
      </c>
      <c r="F126" t="s">
        <v>201</v>
      </c>
      <c r="G126" t="s">
        <v>27</v>
      </c>
      <c r="H126" t="s">
        <v>139</v>
      </c>
      <c r="I126" t="s">
        <v>21</v>
      </c>
      <c r="J126" t="s">
        <v>22</v>
      </c>
      <c r="K126" t="s">
        <v>266</v>
      </c>
      <c r="L126" t="s">
        <v>31</v>
      </c>
    </row>
    <row r="127" spans="1:12">
      <c r="A127">
        <v>200007</v>
      </c>
      <c r="B127" t="s">
        <v>268</v>
      </c>
      <c r="C127" t="s">
        <v>15</v>
      </c>
      <c r="D127" t="s">
        <v>29</v>
      </c>
      <c r="E127" t="s">
        <v>17</v>
      </c>
      <c r="F127" t="s">
        <v>201</v>
      </c>
      <c r="G127" t="s">
        <v>139</v>
      </c>
      <c r="H127" t="s">
        <v>139</v>
      </c>
      <c r="I127" t="s">
        <v>21</v>
      </c>
      <c r="J127" t="s">
        <v>22</v>
      </c>
      <c r="K127" t="s">
        <v>266</v>
      </c>
      <c r="L127" t="s">
        <v>31</v>
      </c>
    </row>
    <row r="128" spans="1:12">
      <c r="A128">
        <v>200008</v>
      </c>
      <c r="B128" t="s">
        <v>269</v>
      </c>
      <c r="C128" t="s">
        <v>15</v>
      </c>
      <c r="D128" t="s">
        <v>29</v>
      </c>
      <c r="E128" t="s">
        <v>17</v>
      </c>
      <c r="F128" t="s">
        <v>26</v>
      </c>
      <c r="G128" t="s">
        <v>139</v>
      </c>
      <c r="H128" t="s">
        <v>139</v>
      </c>
      <c r="I128" t="s">
        <v>21</v>
      </c>
      <c r="J128" t="s">
        <v>22</v>
      </c>
      <c r="K128" t="s">
        <v>266</v>
      </c>
      <c r="L128" t="s">
        <v>31</v>
      </c>
    </row>
    <row r="129" spans="1:12">
      <c r="A129">
        <v>200009</v>
      </c>
      <c r="B129" t="s">
        <v>270</v>
      </c>
      <c r="C129" t="s">
        <v>15</v>
      </c>
      <c r="D129" t="s">
        <v>16</v>
      </c>
      <c r="E129" t="s">
        <v>34</v>
      </c>
      <c r="F129" t="s">
        <v>201</v>
      </c>
      <c r="G129" t="s">
        <v>19</v>
      </c>
      <c r="H129" t="s">
        <v>139</v>
      </c>
      <c r="I129" t="s">
        <v>21</v>
      </c>
      <c r="J129" t="s">
        <v>22</v>
      </c>
      <c r="K129" t="s">
        <v>142</v>
      </c>
      <c r="L129" t="s">
        <v>36</v>
      </c>
    </row>
    <row r="130" spans="1:12">
      <c r="A130">
        <v>200010</v>
      </c>
      <c r="B130" t="s">
        <v>271</v>
      </c>
      <c r="C130" t="s">
        <v>15</v>
      </c>
      <c r="D130" t="s">
        <v>16</v>
      </c>
      <c r="E130" t="s">
        <v>34</v>
      </c>
      <c r="F130" t="s">
        <v>201</v>
      </c>
      <c r="G130" t="s">
        <v>27</v>
      </c>
      <c r="H130" t="s">
        <v>139</v>
      </c>
      <c r="I130" t="s">
        <v>21</v>
      </c>
      <c r="J130" t="s">
        <v>22</v>
      </c>
      <c r="K130" t="s">
        <v>142</v>
      </c>
      <c r="L130" t="s">
        <v>36</v>
      </c>
    </row>
    <row r="131" spans="1:12">
      <c r="A131">
        <v>200011</v>
      </c>
      <c r="B131" t="s">
        <v>272</v>
      </c>
      <c r="C131" t="s">
        <v>15</v>
      </c>
      <c r="D131" t="s">
        <v>16</v>
      </c>
      <c r="E131" t="s">
        <v>34</v>
      </c>
      <c r="F131" t="s">
        <v>201</v>
      </c>
      <c r="G131" t="s">
        <v>139</v>
      </c>
      <c r="H131" t="s">
        <v>139</v>
      </c>
      <c r="I131" t="s">
        <v>21</v>
      </c>
      <c r="J131" t="s">
        <v>22</v>
      </c>
      <c r="K131" t="s">
        <v>142</v>
      </c>
      <c r="L131" t="s">
        <v>36</v>
      </c>
    </row>
    <row r="132" spans="1:12">
      <c r="A132">
        <v>100133</v>
      </c>
      <c r="B132" t="s">
        <v>273</v>
      </c>
      <c r="C132" t="s">
        <v>43</v>
      </c>
      <c r="D132" t="s">
        <v>89</v>
      </c>
      <c r="E132" t="s">
        <v>17</v>
      </c>
      <c r="F132" t="s">
        <v>18</v>
      </c>
      <c r="G132" t="s">
        <v>274</v>
      </c>
      <c r="H132" t="s">
        <v>20</v>
      </c>
      <c r="I132" t="s">
        <v>189</v>
      </c>
      <c r="J132" t="s">
        <v>22</v>
      </c>
    </row>
    <row r="133" spans="1:12">
      <c r="A133">
        <v>200012</v>
      </c>
      <c r="B133" t="s">
        <v>275</v>
      </c>
      <c r="C133" t="s">
        <v>15</v>
      </c>
      <c r="D133" t="s">
        <v>16</v>
      </c>
      <c r="E133" t="s">
        <v>34</v>
      </c>
      <c r="F133" t="s">
        <v>18</v>
      </c>
      <c r="G133" t="s">
        <v>139</v>
      </c>
      <c r="H133" t="s">
        <v>139</v>
      </c>
      <c r="I133" t="s">
        <v>21</v>
      </c>
      <c r="J133" t="s">
        <v>22</v>
      </c>
      <c r="K133" t="s">
        <v>142</v>
      </c>
      <c r="L133" t="s">
        <v>36</v>
      </c>
    </row>
    <row r="134" spans="1:12">
      <c r="A134">
        <v>200013</v>
      </c>
      <c r="B134" t="s">
        <v>276</v>
      </c>
      <c r="C134" t="s">
        <v>15</v>
      </c>
      <c r="D134" t="s">
        <v>29</v>
      </c>
      <c r="E134" t="s">
        <v>34</v>
      </c>
      <c r="F134" t="s">
        <v>201</v>
      </c>
      <c r="G134" t="s">
        <v>19</v>
      </c>
      <c r="H134" t="s">
        <v>139</v>
      </c>
      <c r="I134" t="s">
        <v>21</v>
      </c>
      <c r="J134" t="s">
        <v>22</v>
      </c>
      <c r="K134" t="s">
        <v>277</v>
      </c>
      <c r="L134" t="s">
        <v>40</v>
      </c>
    </row>
    <row r="135" spans="1:12">
      <c r="A135">
        <v>200014</v>
      </c>
      <c r="B135" t="s">
        <v>278</v>
      </c>
      <c r="C135" t="s">
        <v>15</v>
      </c>
      <c r="D135" t="s">
        <v>29</v>
      </c>
      <c r="E135" t="s">
        <v>34</v>
      </c>
      <c r="F135" t="s">
        <v>201</v>
      </c>
      <c r="G135" t="s">
        <v>27</v>
      </c>
      <c r="H135" t="s">
        <v>139</v>
      </c>
      <c r="I135" t="s">
        <v>21</v>
      </c>
      <c r="J135" t="s">
        <v>22</v>
      </c>
      <c r="K135" t="s">
        <v>277</v>
      </c>
      <c r="L135" t="s">
        <v>40</v>
      </c>
    </row>
    <row r="136" spans="1:12">
      <c r="A136">
        <v>200015</v>
      </c>
      <c r="B136" t="s">
        <v>279</v>
      </c>
      <c r="C136" t="s">
        <v>15</v>
      </c>
      <c r="D136" t="s">
        <v>29</v>
      </c>
      <c r="E136" t="s">
        <v>34</v>
      </c>
      <c r="F136" t="s">
        <v>61</v>
      </c>
      <c r="G136" t="s">
        <v>139</v>
      </c>
      <c r="H136" t="s">
        <v>139</v>
      </c>
      <c r="I136" t="s">
        <v>21</v>
      </c>
      <c r="J136" t="s">
        <v>22</v>
      </c>
      <c r="K136" t="s">
        <v>277</v>
      </c>
      <c r="L136" t="s">
        <v>40</v>
      </c>
    </row>
    <row r="137" spans="1:12">
      <c r="A137">
        <v>200016</v>
      </c>
      <c r="B137" t="s">
        <v>280</v>
      </c>
      <c r="C137" t="s">
        <v>15</v>
      </c>
      <c r="D137" t="s">
        <v>29</v>
      </c>
      <c r="E137" t="s">
        <v>34</v>
      </c>
      <c r="F137" t="s">
        <v>26</v>
      </c>
      <c r="G137" t="s">
        <v>139</v>
      </c>
      <c r="H137" t="s">
        <v>139</v>
      </c>
      <c r="I137" t="s">
        <v>21</v>
      </c>
      <c r="J137" t="s">
        <v>22</v>
      </c>
      <c r="K137" t="s">
        <v>277</v>
      </c>
      <c r="L137" t="s">
        <v>40</v>
      </c>
    </row>
    <row r="138" spans="1:12">
      <c r="A138">
        <v>200017</v>
      </c>
      <c r="B138" t="s">
        <v>281</v>
      </c>
      <c r="C138" t="s">
        <v>43</v>
      </c>
      <c r="D138" t="s">
        <v>44</v>
      </c>
      <c r="E138" t="s">
        <v>17</v>
      </c>
      <c r="F138" t="s">
        <v>66</v>
      </c>
      <c r="G138" t="s">
        <v>139</v>
      </c>
      <c r="H138" t="s">
        <v>139</v>
      </c>
      <c r="I138" t="s">
        <v>189</v>
      </c>
      <c r="J138" t="s">
        <v>22</v>
      </c>
      <c r="K138" t="s">
        <v>282</v>
      </c>
      <c r="L138" t="s">
        <v>47</v>
      </c>
    </row>
    <row r="139" spans="1:12">
      <c r="A139">
        <v>200018</v>
      </c>
      <c r="B139" t="s">
        <v>283</v>
      </c>
      <c r="C139" t="s">
        <v>43</v>
      </c>
      <c r="D139" t="s">
        <v>44</v>
      </c>
      <c r="E139" t="s">
        <v>34</v>
      </c>
      <c r="F139" t="s">
        <v>66</v>
      </c>
      <c r="G139" t="s">
        <v>139</v>
      </c>
      <c r="H139" t="s">
        <v>139</v>
      </c>
      <c r="I139" t="s">
        <v>189</v>
      </c>
      <c r="J139" t="s">
        <v>22</v>
      </c>
      <c r="K139" t="s">
        <v>284</v>
      </c>
      <c r="L139" t="s">
        <v>47</v>
      </c>
    </row>
    <row r="140" spans="1:12">
      <c r="A140">
        <v>200019</v>
      </c>
      <c r="B140" t="s">
        <v>285</v>
      </c>
      <c r="C140" t="s">
        <v>43</v>
      </c>
      <c r="D140" t="s">
        <v>49</v>
      </c>
      <c r="E140" t="s">
        <v>17</v>
      </c>
      <c r="F140" t="s">
        <v>66</v>
      </c>
      <c r="G140" t="s">
        <v>139</v>
      </c>
      <c r="H140" t="s">
        <v>139</v>
      </c>
      <c r="I140" t="s">
        <v>189</v>
      </c>
      <c r="J140" t="s">
        <v>22</v>
      </c>
      <c r="K140" t="s">
        <v>286</v>
      </c>
      <c r="L140" t="s">
        <v>50</v>
      </c>
    </row>
    <row r="141" spans="1:12">
      <c r="A141">
        <v>200020</v>
      </c>
      <c r="B141" t="s">
        <v>287</v>
      </c>
      <c r="C141" t="s">
        <v>43</v>
      </c>
      <c r="D141" t="s">
        <v>49</v>
      </c>
      <c r="E141" t="s">
        <v>34</v>
      </c>
      <c r="F141" t="s">
        <v>66</v>
      </c>
      <c r="G141" t="s">
        <v>139</v>
      </c>
      <c r="H141" t="s">
        <v>139</v>
      </c>
      <c r="I141" t="s">
        <v>189</v>
      </c>
      <c r="J141" t="s">
        <v>22</v>
      </c>
      <c r="K141" t="s">
        <v>288</v>
      </c>
      <c r="L141" t="s">
        <v>55</v>
      </c>
    </row>
    <row r="142" spans="1:12">
      <c r="A142">
        <v>200021</v>
      </c>
      <c r="B142" t="s">
        <v>289</v>
      </c>
      <c r="C142" t="s">
        <v>43</v>
      </c>
      <c r="D142" t="s">
        <v>89</v>
      </c>
      <c r="E142" t="s">
        <v>17</v>
      </c>
      <c r="F142" t="s">
        <v>66</v>
      </c>
      <c r="G142" t="s">
        <v>139</v>
      </c>
      <c r="H142" t="s">
        <v>139</v>
      </c>
      <c r="I142" t="s">
        <v>189</v>
      </c>
      <c r="J142" t="s">
        <v>22</v>
      </c>
      <c r="K142" t="s">
        <v>290</v>
      </c>
      <c r="L142" t="s">
        <v>174</v>
      </c>
    </row>
    <row r="143" spans="1:12">
      <c r="A143">
        <v>200022</v>
      </c>
      <c r="B143" t="s">
        <v>291</v>
      </c>
      <c r="C143" t="s">
        <v>43</v>
      </c>
      <c r="D143" t="s">
        <v>89</v>
      </c>
      <c r="E143" t="s">
        <v>34</v>
      </c>
      <c r="F143" t="s">
        <v>66</v>
      </c>
      <c r="G143" t="s">
        <v>139</v>
      </c>
      <c r="H143" t="s">
        <v>139</v>
      </c>
      <c r="I143" t="s">
        <v>189</v>
      </c>
      <c r="J143" t="s">
        <v>22</v>
      </c>
      <c r="K143" t="s">
        <v>292</v>
      </c>
      <c r="L143" t="s">
        <v>91</v>
      </c>
    </row>
    <row r="144" spans="1:12">
      <c r="A144">
        <v>200023</v>
      </c>
      <c r="B144" t="s">
        <v>293</v>
      </c>
      <c r="C144" t="s">
        <v>43</v>
      </c>
      <c r="D144" t="s">
        <v>44</v>
      </c>
      <c r="E144" t="s">
        <v>17</v>
      </c>
      <c r="F144" t="s">
        <v>66</v>
      </c>
      <c r="G144" t="s">
        <v>19</v>
      </c>
      <c r="H144" t="s">
        <v>139</v>
      </c>
      <c r="I144" t="s">
        <v>189</v>
      </c>
      <c r="J144" t="s">
        <v>22</v>
      </c>
      <c r="K144" t="s">
        <v>46</v>
      </c>
      <c r="L144" t="s">
        <v>47</v>
      </c>
    </row>
    <row r="145" spans="1:12">
      <c r="A145">
        <v>200024</v>
      </c>
      <c r="B145" t="s">
        <v>294</v>
      </c>
      <c r="C145" t="s">
        <v>43</v>
      </c>
      <c r="D145" t="s">
        <v>44</v>
      </c>
      <c r="E145" t="s">
        <v>34</v>
      </c>
      <c r="F145" t="s">
        <v>66</v>
      </c>
      <c r="G145" t="s">
        <v>19</v>
      </c>
      <c r="H145" t="s">
        <v>139</v>
      </c>
      <c r="I145" t="s">
        <v>189</v>
      </c>
      <c r="J145" t="s">
        <v>22</v>
      </c>
      <c r="K145" t="s">
        <v>186</v>
      </c>
      <c r="L145" t="s">
        <v>52</v>
      </c>
    </row>
    <row r="146" spans="1:12">
      <c r="A146">
        <v>200025</v>
      </c>
      <c r="B146" t="s">
        <v>295</v>
      </c>
      <c r="C146" t="s">
        <v>43</v>
      </c>
      <c r="D146" t="s">
        <v>49</v>
      </c>
      <c r="E146" t="s">
        <v>17</v>
      </c>
      <c r="F146" t="s">
        <v>66</v>
      </c>
      <c r="G146" t="s">
        <v>19</v>
      </c>
      <c r="H146" t="s">
        <v>139</v>
      </c>
      <c r="I146" t="s">
        <v>189</v>
      </c>
      <c r="J146" t="s">
        <v>22</v>
      </c>
      <c r="K146" t="s">
        <v>286</v>
      </c>
      <c r="L146" t="s">
        <v>50</v>
      </c>
    </row>
    <row r="147" spans="1:12">
      <c r="A147">
        <v>200026</v>
      </c>
      <c r="B147" t="s">
        <v>296</v>
      </c>
      <c r="C147" t="s">
        <v>43</v>
      </c>
      <c r="D147" t="s">
        <v>49</v>
      </c>
      <c r="E147" t="s">
        <v>34</v>
      </c>
      <c r="F147" t="s">
        <v>66</v>
      </c>
      <c r="G147" t="s">
        <v>19</v>
      </c>
      <c r="H147" t="s">
        <v>139</v>
      </c>
      <c r="I147" t="s">
        <v>189</v>
      </c>
      <c r="J147" t="s">
        <v>22</v>
      </c>
      <c r="K147" t="s">
        <v>288</v>
      </c>
      <c r="L147" t="s">
        <v>55</v>
      </c>
    </row>
    <row r="148" spans="1:12">
      <c r="A148">
        <v>200027</v>
      </c>
      <c r="B148" t="s">
        <v>297</v>
      </c>
      <c r="C148" t="s">
        <v>43</v>
      </c>
      <c r="D148" t="s">
        <v>89</v>
      </c>
      <c r="E148" t="s">
        <v>17</v>
      </c>
      <c r="F148" t="s">
        <v>66</v>
      </c>
      <c r="G148" t="s">
        <v>19</v>
      </c>
      <c r="H148" t="s">
        <v>139</v>
      </c>
      <c r="I148" t="s">
        <v>189</v>
      </c>
      <c r="J148" t="s">
        <v>22</v>
      </c>
      <c r="K148" t="s">
        <v>173</v>
      </c>
      <c r="L148" t="s">
        <v>174</v>
      </c>
    </row>
    <row r="149" spans="1:12">
      <c r="A149">
        <v>200029</v>
      </c>
      <c r="B149" t="s">
        <v>298</v>
      </c>
      <c r="C149" t="s">
        <v>43</v>
      </c>
      <c r="D149" t="s">
        <v>44</v>
      </c>
      <c r="E149" t="s">
        <v>17</v>
      </c>
      <c r="F149" t="s">
        <v>66</v>
      </c>
      <c r="G149" t="s">
        <v>243</v>
      </c>
      <c r="H149" t="s">
        <v>139</v>
      </c>
      <c r="I149" t="s">
        <v>299</v>
      </c>
      <c r="J149" t="s">
        <v>300</v>
      </c>
      <c r="K149" t="s">
        <v>282</v>
      </c>
      <c r="L149" t="s">
        <v>47</v>
      </c>
    </row>
    <row r="150" spans="1:12">
      <c r="A150">
        <v>200030</v>
      </c>
      <c r="B150" t="s">
        <v>301</v>
      </c>
      <c r="C150" t="s">
        <v>43</v>
      </c>
      <c r="D150" t="s">
        <v>89</v>
      </c>
      <c r="E150" t="s">
        <v>17</v>
      </c>
      <c r="F150" t="s">
        <v>66</v>
      </c>
      <c r="G150" t="s">
        <v>243</v>
      </c>
      <c r="H150" t="s">
        <v>139</v>
      </c>
      <c r="I150" t="s">
        <v>299</v>
      </c>
      <c r="J150" t="s">
        <v>300</v>
      </c>
      <c r="K150" t="s">
        <v>302</v>
      </c>
      <c r="L150" t="s">
        <v>174</v>
      </c>
    </row>
    <row r="151" spans="1:12">
      <c r="A151">
        <v>200031</v>
      </c>
      <c r="B151" t="s">
        <v>303</v>
      </c>
      <c r="C151" t="s">
        <v>15</v>
      </c>
      <c r="D151" t="s">
        <v>16</v>
      </c>
      <c r="E151" t="s">
        <v>17</v>
      </c>
      <c r="F151" t="s">
        <v>66</v>
      </c>
      <c r="G151" t="s">
        <v>243</v>
      </c>
      <c r="H151" t="s">
        <v>139</v>
      </c>
      <c r="I151" t="s">
        <v>299</v>
      </c>
      <c r="J151" t="s">
        <v>300</v>
      </c>
      <c r="K151" t="s">
        <v>137</v>
      </c>
      <c r="L151" t="s">
        <v>24</v>
      </c>
    </row>
    <row r="152" spans="1:12">
      <c r="A152">
        <v>200032</v>
      </c>
      <c r="B152" t="s">
        <v>304</v>
      </c>
      <c r="C152" t="s">
        <v>15</v>
      </c>
      <c r="D152" t="s">
        <v>29</v>
      </c>
      <c r="E152" t="s">
        <v>17</v>
      </c>
      <c r="F152" t="s">
        <v>66</v>
      </c>
      <c r="G152" t="s">
        <v>243</v>
      </c>
      <c r="H152" t="s">
        <v>139</v>
      </c>
      <c r="I152" t="s">
        <v>299</v>
      </c>
      <c r="J152" t="s">
        <v>300</v>
      </c>
      <c r="K152" t="s">
        <v>266</v>
      </c>
      <c r="L152" t="s">
        <v>31</v>
      </c>
    </row>
    <row r="153" spans="1:12">
      <c r="A153">
        <v>200033</v>
      </c>
      <c r="B153" t="s">
        <v>305</v>
      </c>
      <c r="C153" t="s">
        <v>43</v>
      </c>
      <c r="D153" t="s">
        <v>44</v>
      </c>
      <c r="E153" t="s">
        <v>34</v>
      </c>
      <c r="F153" t="s">
        <v>66</v>
      </c>
      <c r="G153" t="s">
        <v>243</v>
      </c>
      <c r="H153" t="s">
        <v>139</v>
      </c>
      <c r="I153" t="s">
        <v>299</v>
      </c>
      <c r="J153" t="s">
        <v>300</v>
      </c>
      <c r="K153" t="s">
        <v>284</v>
      </c>
      <c r="L153" t="s">
        <v>47</v>
      </c>
    </row>
    <row r="154" spans="1:12">
      <c r="A154">
        <v>200034</v>
      </c>
      <c r="B154" t="s">
        <v>306</v>
      </c>
      <c r="C154" t="s">
        <v>43</v>
      </c>
      <c r="D154" t="s">
        <v>89</v>
      </c>
      <c r="E154" t="s">
        <v>34</v>
      </c>
      <c r="F154" t="s">
        <v>66</v>
      </c>
      <c r="G154" t="s">
        <v>243</v>
      </c>
      <c r="H154" t="s">
        <v>139</v>
      </c>
      <c r="I154" t="s">
        <v>299</v>
      </c>
      <c r="J154" t="s">
        <v>300</v>
      </c>
      <c r="K154" t="s">
        <v>307</v>
      </c>
      <c r="L154" t="s">
        <v>91</v>
      </c>
    </row>
    <row r="155" spans="1:12">
      <c r="A155">
        <v>200035</v>
      </c>
      <c r="B155" t="s">
        <v>308</v>
      </c>
      <c r="C155" t="s">
        <v>15</v>
      </c>
      <c r="D155" t="s">
        <v>16</v>
      </c>
      <c r="E155" t="s">
        <v>34</v>
      </c>
      <c r="F155" t="s">
        <v>66</v>
      </c>
      <c r="G155" t="s">
        <v>243</v>
      </c>
      <c r="H155" t="s">
        <v>139</v>
      </c>
      <c r="I155" t="s">
        <v>299</v>
      </c>
      <c r="J155" t="s">
        <v>300</v>
      </c>
      <c r="K155" t="s">
        <v>142</v>
      </c>
      <c r="L155" t="s">
        <v>36</v>
      </c>
    </row>
    <row r="156" spans="1:12">
      <c r="A156">
        <v>200036</v>
      </c>
      <c r="B156" t="s">
        <v>309</v>
      </c>
      <c r="C156" t="s">
        <v>15</v>
      </c>
      <c r="D156" t="s">
        <v>29</v>
      </c>
      <c r="E156" t="s">
        <v>34</v>
      </c>
      <c r="F156" t="s">
        <v>66</v>
      </c>
      <c r="G156" t="s">
        <v>243</v>
      </c>
      <c r="H156" t="s">
        <v>139</v>
      </c>
      <c r="I156" t="s">
        <v>299</v>
      </c>
      <c r="J156" t="s">
        <v>300</v>
      </c>
      <c r="K156" t="s">
        <v>277</v>
      </c>
      <c r="L156" t="s">
        <v>40</v>
      </c>
    </row>
    <row r="157" spans="1:12">
      <c r="A157">
        <v>200037</v>
      </c>
      <c r="B157" t="s">
        <v>310</v>
      </c>
      <c r="C157" t="s">
        <v>43</v>
      </c>
      <c r="D157" t="s">
        <v>44</v>
      </c>
      <c r="E157" t="s">
        <v>17</v>
      </c>
      <c r="F157" t="s">
        <v>66</v>
      </c>
      <c r="G157" t="s">
        <v>122</v>
      </c>
      <c r="H157" t="s">
        <v>139</v>
      </c>
      <c r="I157" t="s">
        <v>299</v>
      </c>
      <c r="J157" t="s">
        <v>300</v>
      </c>
      <c r="K157" t="s">
        <v>282</v>
      </c>
      <c r="L157" t="s">
        <v>47</v>
      </c>
    </row>
    <row r="158" spans="1:12">
      <c r="A158">
        <v>200038</v>
      </c>
      <c r="B158" t="s">
        <v>311</v>
      </c>
      <c r="C158" t="s">
        <v>43</v>
      </c>
      <c r="D158" t="s">
        <v>89</v>
      </c>
      <c r="E158" t="s">
        <v>17</v>
      </c>
      <c r="F158" t="s">
        <v>66</v>
      </c>
      <c r="G158" t="s">
        <v>122</v>
      </c>
      <c r="H158" t="s">
        <v>139</v>
      </c>
      <c r="I158" t="s">
        <v>299</v>
      </c>
      <c r="J158" t="s">
        <v>300</v>
      </c>
      <c r="K158" t="s">
        <v>302</v>
      </c>
      <c r="L158" t="s">
        <v>174</v>
      </c>
    </row>
    <row r="159" spans="1:12">
      <c r="A159">
        <v>200039</v>
      </c>
      <c r="B159" t="s">
        <v>312</v>
      </c>
      <c r="C159" t="s">
        <v>15</v>
      </c>
      <c r="D159" t="s">
        <v>16</v>
      </c>
      <c r="E159" t="s">
        <v>17</v>
      </c>
      <c r="F159" t="s">
        <v>66</v>
      </c>
      <c r="G159" t="s">
        <v>122</v>
      </c>
      <c r="H159" t="s">
        <v>139</v>
      </c>
      <c r="I159" t="s">
        <v>299</v>
      </c>
      <c r="J159" t="s">
        <v>300</v>
      </c>
      <c r="K159" t="s">
        <v>137</v>
      </c>
      <c r="L159" t="s">
        <v>24</v>
      </c>
    </row>
    <row r="160" spans="1:12">
      <c r="A160">
        <v>200040</v>
      </c>
      <c r="B160" t="s">
        <v>313</v>
      </c>
      <c r="C160" t="s">
        <v>15</v>
      </c>
      <c r="D160" t="s">
        <v>29</v>
      </c>
      <c r="E160" t="s">
        <v>17</v>
      </c>
      <c r="F160" t="s">
        <v>66</v>
      </c>
      <c r="G160" t="s">
        <v>122</v>
      </c>
      <c r="H160" t="s">
        <v>139</v>
      </c>
      <c r="I160" t="s">
        <v>299</v>
      </c>
      <c r="J160" t="s">
        <v>300</v>
      </c>
      <c r="K160" t="s">
        <v>266</v>
      </c>
      <c r="L160" t="s">
        <v>31</v>
      </c>
    </row>
    <row r="161" spans="1:12">
      <c r="A161">
        <v>200041</v>
      </c>
      <c r="B161" t="s">
        <v>314</v>
      </c>
      <c r="C161" t="s">
        <v>43</v>
      </c>
      <c r="D161" t="s">
        <v>44</v>
      </c>
      <c r="E161" t="s">
        <v>34</v>
      </c>
      <c r="F161" t="s">
        <v>66</v>
      </c>
      <c r="G161" t="s">
        <v>122</v>
      </c>
      <c r="H161" t="s">
        <v>139</v>
      </c>
      <c r="I161" t="s">
        <v>299</v>
      </c>
      <c r="J161" t="s">
        <v>300</v>
      </c>
      <c r="K161" t="s">
        <v>284</v>
      </c>
      <c r="L161" t="s">
        <v>52</v>
      </c>
    </row>
    <row r="162" spans="1:12">
      <c r="A162">
        <v>200042</v>
      </c>
      <c r="B162" t="s">
        <v>315</v>
      </c>
      <c r="C162" t="s">
        <v>43</v>
      </c>
      <c r="D162" t="s">
        <v>89</v>
      </c>
      <c r="E162" t="s">
        <v>34</v>
      </c>
      <c r="F162" t="s">
        <v>66</v>
      </c>
      <c r="G162" t="s">
        <v>122</v>
      </c>
      <c r="H162" t="s">
        <v>139</v>
      </c>
      <c r="I162" t="s">
        <v>299</v>
      </c>
      <c r="J162" t="s">
        <v>300</v>
      </c>
      <c r="K162" t="s">
        <v>307</v>
      </c>
      <c r="L162" t="s">
        <v>91</v>
      </c>
    </row>
    <row r="163" spans="1:12">
      <c r="A163">
        <v>200043</v>
      </c>
      <c r="B163" t="s">
        <v>316</v>
      </c>
      <c r="C163" t="s">
        <v>15</v>
      </c>
      <c r="D163" t="s">
        <v>16</v>
      </c>
      <c r="E163" t="s">
        <v>34</v>
      </c>
      <c r="F163" t="s">
        <v>66</v>
      </c>
      <c r="G163" t="s">
        <v>122</v>
      </c>
      <c r="H163" t="s">
        <v>139</v>
      </c>
      <c r="I163" t="s">
        <v>299</v>
      </c>
      <c r="J163" t="s">
        <v>300</v>
      </c>
      <c r="K163" t="s">
        <v>142</v>
      </c>
      <c r="L163" t="s">
        <v>36</v>
      </c>
    </row>
    <row r="164" spans="1:12">
      <c r="A164">
        <v>200044</v>
      </c>
      <c r="B164" t="s">
        <v>317</v>
      </c>
      <c r="C164" t="s">
        <v>15</v>
      </c>
      <c r="D164" t="s">
        <v>29</v>
      </c>
      <c r="E164" t="s">
        <v>34</v>
      </c>
      <c r="F164" t="s">
        <v>66</v>
      </c>
      <c r="G164" t="s">
        <v>122</v>
      </c>
      <c r="H164" t="s">
        <v>139</v>
      </c>
      <c r="I164" t="s">
        <v>299</v>
      </c>
      <c r="J164" t="s">
        <v>300</v>
      </c>
      <c r="K164" t="s">
        <v>277</v>
      </c>
      <c r="L164" t="s">
        <v>40</v>
      </c>
    </row>
    <row r="165" spans="1:12">
      <c r="A165">
        <v>200045</v>
      </c>
      <c r="B165" t="s">
        <v>318</v>
      </c>
      <c r="C165" t="s">
        <v>43</v>
      </c>
      <c r="D165" t="s">
        <v>49</v>
      </c>
      <c r="E165" t="s">
        <v>34</v>
      </c>
      <c r="F165" t="s">
        <v>66</v>
      </c>
      <c r="G165" t="s">
        <v>243</v>
      </c>
      <c r="H165" t="s">
        <v>139</v>
      </c>
      <c r="I165" t="s">
        <v>299</v>
      </c>
      <c r="J165" t="s">
        <v>300</v>
      </c>
      <c r="K165" t="s">
        <v>288</v>
      </c>
      <c r="L165" t="s">
        <v>55</v>
      </c>
    </row>
    <row r="166" spans="1:12">
      <c r="A166">
        <v>200046</v>
      </c>
      <c r="B166" t="s">
        <v>319</v>
      </c>
      <c r="C166" t="s">
        <v>43</v>
      </c>
      <c r="D166" t="s">
        <v>49</v>
      </c>
      <c r="E166" t="s">
        <v>34</v>
      </c>
      <c r="F166" t="s">
        <v>66</v>
      </c>
      <c r="G166" t="s">
        <v>122</v>
      </c>
      <c r="H166" t="s">
        <v>139</v>
      </c>
      <c r="I166" t="s">
        <v>299</v>
      </c>
      <c r="J166" t="s">
        <v>300</v>
      </c>
      <c r="K166" t="s">
        <v>288</v>
      </c>
      <c r="L166" t="s">
        <v>55</v>
      </c>
    </row>
    <row r="167" spans="1:12">
      <c r="A167">
        <v>200047</v>
      </c>
      <c r="B167" t="s">
        <v>320</v>
      </c>
      <c r="C167" t="s">
        <v>43</v>
      </c>
      <c r="D167" t="s">
        <v>49</v>
      </c>
      <c r="E167" t="s">
        <v>17</v>
      </c>
      <c r="F167" t="s">
        <v>66</v>
      </c>
      <c r="G167" t="s">
        <v>243</v>
      </c>
      <c r="H167" t="s">
        <v>139</v>
      </c>
      <c r="I167" t="s">
        <v>299</v>
      </c>
      <c r="J167" t="s">
        <v>300</v>
      </c>
      <c r="K167" t="s">
        <v>286</v>
      </c>
      <c r="L167" t="s">
        <v>50</v>
      </c>
    </row>
    <row r="168" spans="1:12">
      <c r="A168">
        <v>200048</v>
      </c>
      <c r="B168" t="s">
        <v>321</v>
      </c>
      <c r="C168" t="s">
        <v>43</v>
      </c>
      <c r="D168" t="s">
        <v>49</v>
      </c>
      <c r="E168" t="s">
        <v>17</v>
      </c>
      <c r="F168" t="s">
        <v>66</v>
      </c>
      <c r="G168" t="s">
        <v>122</v>
      </c>
      <c r="H168" t="s">
        <v>139</v>
      </c>
      <c r="I168" t="s">
        <v>299</v>
      </c>
      <c r="J168" t="s">
        <v>300</v>
      </c>
      <c r="K168" t="s">
        <v>286</v>
      </c>
      <c r="L168" t="s">
        <v>50</v>
      </c>
    </row>
    <row r="169" spans="1:12">
      <c r="A169">
        <v>200049</v>
      </c>
      <c r="B169" t="s">
        <v>322</v>
      </c>
      <c r="C169" t="s">
        <v>43</v>
      </c>
      <c r="D169" t="s">
        <v>49</v>
      </c>
      <c r="E169" t="s">
        <v>17</v>
      </c>
      <c r="F169" t="s">
        <v>66</v>
      </c>
      <c r="G169" t="s">
        <v>27</v>
      </c>
      <c r="H169" t="s">
        <v>139</v>
      </c>
      <c r="I169" t="s">
        <v>189</v>
      </c>
      <c r="J169" t="s">
        <v>22</v>
      </c>
      <c r="K169" t="s">
        <v>286</v>
      </c>
      <c r="L169" t="s">
        <v>50</v>
      </c>
    </row>
    <row r="170" spans="1:12">
      <c r="A170">
        <v>200050</v>
      </c>
      <c r="B170" t="s">
        <v>323</v>
      </c>
      <c r="C170" t="s">
        <v>64</v>
      </c>
      <c r="D170" t="s">
        <v>65</v>
      </c>
      <c r="E170" t="s">
        <v>17</v>
      </c>
      <c r="F170" t="s">
        <v>66</v>
      </c>
      <c r="G170" t="s">
        <v>243</v>
      </c>
      <c r="H170" t="s">
        <v>139</v>
      </c>
      <c r="I170" t="s">
        <v>299</v>
      </c>
      <c r="J170" t="s">
        <v>300</v>
      </c>
      <c r="K170" t="s">
        <v>324</v>
      </c>
      <c r="L170" t="s">
        <v>68</v>
      </c>
    </row>
    <row r="171" spans="1:12">
      <c r="A171">
        <v>200051</v>
      </c>
      <c r="B171" t="s">
        <v>325</v>
      </c>
      <c r="C171" t="s">
        <v>43</v>
      </c>
      <c r="D171" t="s">
        <v>44</v>
      </c>
      <c r="E171" t="s">
        <v>17</v>
      </c>
      <c r="F171" t="s">
        <v>66</v>
      </c>
      <c r="G171" t="s">
        <v>27</v>
      </c>
      <c r="H171" t="s">
        <v>139</v>
      </c>
      <c r="I171" t="s">
        <v>189</v>
      </c>
      <c r="J171" t="s">
        <v>22</v>
      </c>
      <c r="K171" t="s">
        <v>282</v>
      </c>
      <c r="L171" t="s">
        <v>47</v>
      </c>
    </row>
    <row r="172" spans="1:12">
      <c r="A172">
        <v>200052</v>
      </c>
      <c r="B172" t="s">
        <v>326</v>
      </c>
      <c r="C172" t="s">
        <v>43</v>
      </c>
      <c r="D172" t="s">
        <v>103</v>
      </c>
      <c r="E172" t="s">
        <v>17</v>
      </c>
      <c r="F172" t="s">
        <v>66</v>
      </c>
      <c r="G172" t="s">
        <v>243</v>
      </c>
      <c r="H172" t="s">
        <v>139</v>
      </c>
      <c r="I172" t="s">
        <v>299</v>
      </c>
      <c r="J172" t="s">
        <v>300</v>
      </c>
      <c r="K172" t="s">
        <v>327</v>
      </c>
      <c r="L172" t="s">
        <v>106</v>
      </c>
    </row>
    <row r="173" spans="1:12">
      <c r="A173">
        <v>200053</v>
      </c>
      <c r="B173" t="s">
        <v>328</v>
      </c>
      <c r="C173" t="s">
        <v>43</v>
      </c>
      <c r="D173" t="s">
        <v>103</v>
      </c>
      <c r="E173" t="s">
        <v>17</v>
      </c>
      <c r="F173" t="s">
        <v>66</v>
      </c>
      <c r="G173" t="s">
        <v>139</v>
      </c>
      <c r="H173" t="s">
        <v>139</v>
      </c>
      <c r="I173" t="s">
        <v>329</v>
      </c>
      <c r="J173" t="s">
        <v>22</v>
      </c>
      <c r="K173" t="s">
        <v>327</v>
      </c>
      <c r="L173" t="s">
        <v>106</v>
      </c>
    </row>
    <row r="174" spans="1:12">
      <c r="A174">
        <v>200054</v>
      </c>
      <c r="B174" t="s">
        <v>330</v>
      </c>
      <c r="C174" t="s">
        <v>43</v>
      </c>
      <c r="D174" t="s">
        <v>103</v>
      </c>
      <c r="E174" t="s">
        <v>34</v>
      </c>
      <c r="F174" t="s">
        <v>66</v>
      </c>
      <c r="G174" t="s">
        <v>243</v>
      </c>
      <c r="H174" t="s">
        <v>139</v>
      </c>
      <c r="I174" t="s">
        <v>299</v>
      </c>
      <c r="J174" t="s">
        <v>300</v>
      </c>
      <c r="K174" t="s">
        <v>331</v>
      </c>
      <c r="L174" t="s">
        <v>109</v>
      </c>
    </row>
    <row r="175" spans="1:12">
      <c r="A175">
        <v>200055</v>
      </c>
      <c r="B175" t="s">
        <v>332</v>
      </c>
      <c r="C175" t="s">
        <v>43</v>
      </c>
      <c r="D175" t="s">
        <v>103</v>
      </c>
      <c r="E175" t="s">
        <v>34</v>
      </c>
      <c r="F175" t="s">
        <v>66</v>
      </c>
      <c r="G175" t="s">
        <v>139</v>
      </c>
      <c r="H175" t="s">
        <v>139</v>
      </c>
      <c r="I175" t="s">
        <v>329</v>
      </c>
      <c r="J175" t="s">
        <v>22</v>
      </c>
      <c r="K175" t="s">
        <v>331</v>
      </c>
      <c r="L175" t="s">
        <v>109</v>
      </c>
    </row>
    <row r="176" spans="1:12">
      <c r="A176">
        <v>200057</v>
      </c>
      <c r="B176" t="s">
        <v>333</v>
      </c>
      <c r="C176" t="s">
        <v>64</v>
      </c>
      <c r="D176" t="s">
        <v>65</v>
      </c>
      <c r="E176" t="s">
        <v>34</v>
      </c>
      <c r="F176" t="s">
        <v>66</v>
      </c>
      <c r="G176" t="s">
        <v>122</v>
      </c>
      <c r="H176" t="s">
        <v>334</v>
      </c>
      <c r="I176" t="s">
        <v>189</v>
      </c>
      <c r="J176" t="s">
        <v>22</v>
      </c>
      <c r="K176" t="s">
        <v>111</v>
      </c>
      <c r="L176" t="s">
        <v>180</v>
      </c>
    </row>
    <row r="177" spans="1:12">
      <c r="A177">
        <v>200058</v>
      </c>
      <c r="B177" t="s">
        <v>335</v>
      </c>
      <c r="C177" t="s">
        <v>64</v>
      </c>
      <c r="D177" t="s">
        <v>65</v>
      </c>
      <c r="E177" t="s">
        <v>34</v>
      </c>
      <c r="F177" t="s">
        <v>66</v>
      </c>
      <c r="G177" t="s">
        <v>243</v>
      </c>
      <c r="H177" t="s">
        <v>139</v>
      </c>
      <c r="I177" t="s">
        <v>299</v>
      </c>
      <c r="J177" t="s">
        <v>300</v>
      </c>
      <c r="K177" t="s">
        <v>111</v>
      </c>
      <c r="L177" t="s">
        <v>180</v>
      </c>
    </row>
    <row r="178" spans="1:12">
      <c r="A178">
        <v>200059</v>
      </c>
      <c r="B178" t="s">
        <v>336</v>
      </c>
      <c r="C178" t="s">
        <v>43</v>
      </c>
      <c r="D178" t="s">
        <v>65</v>
      </c>
      <c r="E178" t="s">
        <v>34</v>
      </c>
      <c r="F178" t="s">
        <v>66</v>
      </c>
      <c r="G178" t="s">
        <v>337</v>
      </c>
      <c r="H178" t="s">
        <v>334</v>
      </c>
      <c r="I178" t="s">
        <v>166</v>
      </c>
      <c r="J178" t="s">
        <v>22</v>
      </c>
      <c r="K178" t="s">
        <v>338</v>
      </c>
      <c r="L178" t="s">
        <v>52</v>
      </c>
    </row>
    <row r="179" spans="1:12">
      <c r="A179">
        <v>100119</v>
      </c>
      <c r="B179" t="s">
        <v>339</v>
      </c>
      <c r="C179" t="s">
        <v>64</v>
      </c>
      <c r="D179" t="s">
        <v>65</v>
      </c>
      <c r="E179" t="s">
        <v>34</v>
      </c>
      <c r="F179" t="s">
        <v>66</v>
      </c>
      <c r="G179" t="s">
        <v>139</v>
      </c>
      <c r="H179" t="s">
        <v>139</v>
      </c>
      <c r="I179" t="s">
        <v>340</v>
      </c>
      <c r="J179" t="s">
        <v>22</v>
      </c>
      <c r="K179" t="s">
        <v>341</v>
      </c>
      <c r="L179" t="s">
        <v>180</v>
      </c>
    </row>
    <row r="180" spans="1:12">
      <c r="A180">
        <v>200060</v>
      </c>
      <c r="B180" t="s">
        <v>342</v>
      </c>
      <c r="C180" t="s">
        <v>64</v>
      </c>
      <c r="D180" t="s">
        <v>65</v>
      </c>
      <c r="E180" t="s">
        <v>34</v>
      </c>
      <c r="F180" t="s">
        <v>66</v>
      </c>
      <c r="G180" t="s">
        <v>139</v>
      </c>
      <c r="H180" t="s">
        <v>139</v>
      </c>
      <c r="I180" t="s">
        <v>329</v>
      </c>
      <c r="J180" t="s">
        <v>22</v>
      </c>
      <c r="K180" t="s">
        <v>341</v>
      </c>
      <c r="L180" t="s">
        <v>180</v>
      </c>
    </row>
    <row r="181" spans="1:12">
      <c r="A181">
        <v>200061</v>
      </c>
      <c r="B181" t="s">
        <v>343</v>
      </c>
      <c r="C181" t="s">
        <v>64</v>
      </c>
      <c r="D181" t="s">
        <v>65</v>
      </c>
      <c r="E181" t="s">
        <v>17</v>
      </c>
      <c r="F181" t="s">
        <v>66</v>
      </c>
      <c r="G181" t="s">
        <v>139</v>
      </c>
      <c r="H181" t="s">
        <v>139</v>
      </c>
      <c r="I181" t="s">
        <v>329</v>
      </c>
      <c r="J181" t="s">
        <v>22</v>
      </c>
      <c r="K181" t="s">
        <v>164</v>
      </c>
      <c r="L181" t="s">
        <v>68</v>
      </c>
    </row>
    <row r="182" spans="1:12">
      <c r="A182">
        <v>200062</v>
      </c>
      <c r="B182" t="s">
        <v>344</v>
      </c>
      <c r="C182" t="s">
        <v>64</v>
      </c>
      <c r="D182" t="s">
        <v>65</v>
      </c>
      <c r="E182" t="s">
        <v>17</v>
      </c>
      <c r="F182" t="s">
        <v>66</v>
      </c>
      <c r="G182" t="s">
        <v>122</v>
      </c>
      <c r="H182" t="s">
        <v>334</v>
      </c>
      <c r="I182" t="s">
        <v>345</v>
      </c>
      <c r="J182" t="s">
        <v>22</v>
      </c>
      <c r="K182" t="s">
        <v>324</v>
      </c>
      <c r="L182" t="s">
        <v>68</v>
      </c>
    </row>
    <row r="183" spans="1:12">
      <c r="A183">
        <v>200063</v>
      </c>
      <c r="B183" t="s">
        <v>346</v>
      </c>
      <c r="C183" t="s">
        <v>64</v>
      </c>
      <c r="D183" t="s">
        <v>65</v>
      </c>
      <c r="E183" t="s">
        <v>17</v>
      </c>
      <c r="F183" t="s">
        <v>66</v>
      </c>
      <c r="G183" t="s">
        <v>122</v>
      </c>
      <c r="H183" t="s">
        <v>334</v>
      </c>
      <c r="I183" t="s">
        <v>345</v>
      </c>
      <c r="J183" t="s">
        <v>22</v>
      </c>
      <c r="K183" t="s">
        <v>324</v>
      </c>
      <c r="L183" t="s">
        <v>68</v>
      </c>
    </row>
    <row r="184" spans="1:12">
      <c r="A184">
        <v>200064</v>
      </c>
      <c r="B184" t="s">
        <v>347</v>
      </c>
      <c r="C184" t="s">
        <v>64</v>
      </c>
      <c r="D184" t="s">
        <v>65</v>
      </c>
      <c r="E184" t="s">
        <v>17</v>
      </c>
      <c r="F184" t="s">
        <v>66</v>
      </c>
      <c r="G184" t="s">
        <v>122</v>
      </c>
      <c r="H184" t="s">
        <v>334</v>
      </c>
      <c r="I184" t="s">
        <v>345</v>
      </c>
      <c r="J184" t="s">
        <v>22</v>
      </c>
      <c r="K184" t="s">
        <v>324</v>
      </c>
      <c r="L184" t="s">
        <v>68</v>
      </c>
    </row>
    <row r="185" spans="1:12">
      <c r="A185">
        <v>200065</v>
      </c>
      <c r="B185" t="s">
        <v>348</v>
      </c>
      <c r="C185" t="s">
        <v>15</v>
      </c>
      <c r="D185" t="s">
        <v>192</v>
      </c>
      <c r="E185" t="s">
        <v>17</v>
      </c>
      <c r="F185" t="s">
        <v>66</v>
      </c>
      <c r="G185" t="s">
        <v>243</v>
      </c>
      <c r="H185" t="s">
        <v>139</v>
      </c>
      <c r="I185" t="s">
        <v>299</v>
      </c>
      <c r="J185" t="s">
        <v>300</v>
      </c>
      <c r="K185" t="s">
        <v>203</v>
      </c>
      <c r="L185" t="s">
        <v>194</v>
      </c>
    </row>
    <row r="186" spans="1:12">
      <c r="A186">
        <v>200066</v>
      </c>
      <c r="B186" t="s">
        <v>349</v>
      </c>
      <c r="C186" t="s">
        <v>15</v>
      </c>
      <c r="D186" t="s">
        <v>192</v>
      </c>
      <c r="E186" t="s">
        <v>34</v>
      </c>
      <c r="F186" t="s">
        <v>66</v>
      </c>
      <c r="G186" t="s">
        <v>243</v>
      </c>
      <c r="H186" t="s">
        <v>139</v>
      </c>
      <c r="I186" t="s">
        <v>299</v>
      </c>
      <c r="J186" t="s">
        <v>300</v>
      </c>
      <c r="K186" t="s">
        <v>205</v>
      </c>
      <c r="L186" t="s">
        <v>198</v>
      </c>
    </row>
    <row r="187" spans="1:12">
      <c r="A187">
        <v>200067</v>
      </c>
      <c r="B187" t="s">
        <v>350</v>
      </c>
      <c r="C187" t="s">
        <v>15</v>
      </c>
      <c r="D187" t="s">
        <v>192</v>
      </c>
      <c r="E187" t="s">
        <v>17</v>
      </c>
      <c r="F187" t="s">
        <v>66</v>
      </c>
      <c r="G187" t="s">
        <v>122</v>
      </c>
      <c r="H187" t="s">
        <v>139</v>
      </c>
      <c r="I187" t="s">
        <v>299</v>
      </c>
      <c r="J187" t="s">
        <v>300</v>
      </c>
      <c r="K187" t="s">
        <v>203</v>
      </c>
      <c r="L187" t="s">
        <v>194</v>
      </c>
    </row>
    <row r="188" spans="1:12">
      <c r="A188">
        <v>200068</v>
      </c>
      <c r="B188" t="s">
        <v>351</v>
      </c>
      <c r="C188" t="s">
        <v>15</v>
      </c>
      <c r="D188" t="s">
        <v>192</v>
      </c>
      <c r="E188" t="s">
        <v>34</v>
      </c>
      <c r="F188" t="s">
        <v>66</v>
      </c>
      <c r="G188" t="s">
        <v>122</v>
      </c>
      <c r="H188" t="s">
        <v>139</v>
      </c>
      <c r="I188" t="s">
        <v>299</v>
      </c>
      <c r="J188" t="s">
        <v>300</v>
      </c>
      <c r="K188" t="s">
        <v>205</v>
      </c>
      <c r="L188" t="s">
        <v>198</v>
      </c>
    </row>
    <row r="189" spans="1:12">
      <c r="A189">
        <v>200069</v>
      </c>
      <c r="B189" t="s">
        <v>352</v>
      </c>
      <c r="C189" t="s">
        <v>15</v>
      </c>
      <c r="D189" t="s">
        <v>16</v>
      </c>
      <c r="E189" t="s">
        <v>17</v>
      </c>
      <c r="F189" t="s">
        <v>155</v>
      </c>
      <c r="G189" t="s">
        <v>27</v>
      </c>
      <c r="H189" t="s">
        <v>139</v>
      </c>
      <c r="I189" t="s">
        <v>21</v>
      </c>
      <c r="J189" t="s">
        <v>22</v>
      </c>
      <c r="K189" t="s">
        <v>137</v>
      </c>
      <c r="L189" t="s">
        <v>24</v>
      </c>
    </row>
    <row r="190" spans="1:12">
      <c r="A190">
        <v>200070</v>
      </c>
      <c r="B190" t="s">
        <v>353</v>
      </c>
      <c r="C190" t="s">
        <v>15</v>
      </c>
      <c r="D190" t="s">
        <v>16</v>
      </c>
      <c r="E190" t="s">
        <v>34</v>
      </c>
      <c r="F190" t="s">
        <v>155</v>
      </c>
      <c r="G190" t="s">
        <v>27</v>
      </c>
      <c r="H190" t="s">
        <v>139</v>
      </c>
      <c r="I190" t="s">
        <v>21</v>
      </c>
      <c r="J190" t="s">
        <v>22</v>
      </c>
      <c r="K190" t="s">
        <v>35</v>
      </c>
      <c r="L190" t="s">
        <v>36</v>
      </c>
    </row>
    <row r="191" spans="1:12">
      <c r="A191">
        <v>200071</v>
      </c>
      <c r="B191" t="s">
        <v>354</v>
      </c>
      <c r="C191" t="s">
        <v>64</v>
      </c>
      <c r="D191" t="s">
        <v>65</v>
      </c>
      <c r="E191" t="s">
        <v>17</v>
      </c>
      <c r="F191" t="s">
        <v>66</v>
      </c>
      <c r="G191" t="s">
        <v>139</v>
      </c>
      <c r="H191" t="s">
        <v>139</v>
      </c>
      <c r="I191" t="s">
        <v>21</v>
      </c>
      <c r="J191" t="s">
        <v>22</v>
      </c>
      <c r="K191" t="s">
        <v>164</v>
      </c>
      <c r="L191" t="s">
        <v>68</v>
      </c>
    </row>
    <row r="192" spans="1:12">
      <c r="A192">
        <v>200072</v>
      </c>
      <c r="B192" t="s">
        <v>355</v>
      </c>
      <c r="C192" t="s">
        <v>15</v>
      </c>
      <c r="D192" t="s">
        <v>16</v>
      </c>
      <c r="E192" t="s">
        <v>17</v>
      </c>
      <c r="F192" t="s">
        <v>155</v>
      </c>
      <c r="G192" t="s">
        <v>27</v>
      </c>
      <c r="H192" t="s">
        <v>139</v>
      </c>
      <c r="I192" t="s">
        <v>217</v>
      </c>
      <c r="J192" t="s">
        <v>22</v>
      </c>
      <c r="K192" t="s">
        <v>137</v>
      </c>
      <c r="L192" t="s">
        <v>24</v>
      </c>
    </row>
    <row r="193" spans="1:12">
      <c r="A193">
        <v>200073</v>
      </c>
      <c r="B193" t="s">
        <v>356</v>
      </c>
      <c r="C193" t="s">
        <v>15</v>
      </c>
      <c r="D193" t="s">
        <v>16</v>
      </c>
      <c r="E193" t="s">
        <v>17</v>
      </c>
      <c r="F193" t="s">
        <v>66</v>
      </c>
      <c r="G193" t="s">
        <v>139</v>
      </c>
      <c r="H193" t="s">
        <v>139</v>
      </c>
      <c r="I193" t="s">
        <v>21</v>
      </c>
      <c r="J193" t="s">
        <v>22</v>
      </c>
      <c r="K193" t="s">
        <v>137</v>
      </c>
      <c r="L193" t="s">
        <v>24</v>
      </c>
    </row>
    <row r="194" spans="1:12">
      <c r="A194">
        <v>200074</v>
      </c>
      <c r="B194" t="s">
        <v>357</v>
      </c>
      <c r="C194" t="s">
        <v>15</v>
      </c>
      <c r="D194" t="s">
        <v>29</v>
      </c>
      <c r="E194" t="s">
        <v>17</v>
      </c>
      <c r="F194" t="s">
        <v>66</v>
      </c>
      <c r="G194" t="s">
        <v>139</v>
      </c>
      <c r="H194" t="s">
        <v>139</v>
      </c>
      <c r="I194" t="s">
        <v>21</v>
      </c>
      <c r="J194" t="s">
        <v>22</v>
      </c>
      <c r="K194" t="s">
        <v>266</v>
      </c>
      <c r="L194" t="s">
        <v>31</v>
      </c>
    </row>
    <row r="195" spans="1:12">
      <c r="A195">
        <v>200075</v>
      </c>
      <c r="B195" t="s">
        <v>358</v>
      </c>
      <c r="C195" t="s">
        <v>15</v>
      </c>
      <c r="D195" t="s">
        <v>192</v>
      </c>
      <c r="E195" t="s">
        <v>34</v>
      </c>
      <c r="F195" t="s">
        <v>18</v>
      </c>
      <c r="G195" t="s">
        <v>139</v>
      </c>
      <c r="H195" t="s">
        <v>139</v>
      </c>
      <c r="I195" t="s">
        <v>21</v>
      </c>
      <c r="J195" t="s">
        <v>22</v>
      </c>
      <c r="K195" t="s">
        <v>205</v>
      </c>
      <c r="L195" t="s">
        <v>198</v>
      </c>
    </row>
    <row r="196" spans="1:12">
      <c r="A196">
        <v>200076</v>
      </c>
      <c r="B196" t="s">
        <v>359</v>
      </c>
      <c r="C196" t="s">
        <v>15</v>
      </c>
      <c r="D196" t="s">
        <v>192</v>
      </c>
      <c r="E196" t="s">
        <v>17</v>
      </c>
      <c r="F196" t="s">
        <v>18</v>
      </c>
      <c r="G196" t="s">
        <v>139</v>
      </c>
      <c r="H196" t="s">
        <v>139</v>
      </c>
      <c r="I196" t="s">
        <v>21</v>
      </c>
      <c r="J196" t="s">
        <v>22</v>
      </c>
      <c r="K196" t="s">
        <v>203</v>
      </c>
      <c r="L196" t="s">
        <v>194</v>
      </c>
    </row>
    <row r="197" spans="1:12">
      <c r="A197">
        <v>200077</v>
      </c>
      <c r="B197" t="s">
        <v>360</v>
      </c>
      <c r="C197" t="s">
        <v>64</v>
      </c>
      <c r="D197" t="s">
        <v>65</v>
      </c>
      <c r="E197" t="s">
        <v>34</v>
      </c>
      <c r="F197" t="s">
        <v>66</v>
      </c>
      <c r="G197" t="s">
        <v>122</v>
      </c>
      <c r="H197" t="s">
        <v>334</v>
      </c>
      <c r="I197" t="s">
        <v>21</v>
      </c>
      <c r="J197" t="s">
        <v>22</v>
      </c>
      <c r="K197" t="s">
        <v>111</v>
      </c>
      <c r="L197" t="s">
        <v>180</v>
      </c>
    </row>
    <row r="198" spans="1:12">
      <c r="A198">
        <v>200078</v>
      </c>
      <c r="B198" t="s">
        <v>361</v>
      </c>
      <c r="C198" t="s">
        <v>64</v>
      </c>
      <c r="D198" t="s">
        <v>65</v>
      </c>
      <c r="E198" t="s">
        <v>34</v>
      </c>
      <c r="F198" t="s">
        <v>66</v>
      </c>
      <c r="G198" t="s">
        <v>122</v>
      </c>
      <c r="H198" t="s">
        <v>334</v>
      </c>
      <c r="I198" t="s">
        <v>21</v>
      </c>
      <c r="J198" t="s">
        <v>22</v>
      </c>
      <c r="K198" t="s">
        <v>111</v>
      </c>
      <c r="L198" t="s">
        <v>180</v>
      </c>
    </row>
    <row r="199" spans="1:12">
      <c r="A199">
        <v>200079</v>
      </c>
      <c r="B199" t="s">
        <v>362</v>
      </c>
      <c r="C199" t="s">
        <v>64</v>
      </c>
      <c r="D199" t="s">
        <v>65</v>
      </c>
      <c r="E199" t="s">
        <v>34</v>
      </c>
      <c r="F199" t="s">
        <v>66</v>
      </c>
      <c r="G199" t="s">
        <v>122</v>
      </c>
      <c r="H199" t="s">
        <v>334</v>
      </c>
      <c r="I199" t="s">
        <v>21</v>
      </c>
      <c r="J199" t="s">
        <v>22</v>
      </c>
      <c r="K199" t="s">
        <v>111</v>
      </c>
      <c r="L199" t="s">
        <v>180</v>
      </c>
    </row>
    <row r="200" spans="1:12">
      <c r="A200">
        <v>200080</v>
      </c>
      <c r="B200" t="s">
        <v>363</v>
      </c>
      <c r="C200" t="s">
        <v>64</v>
      </c>
      <c r="D200" t="s">
        <v>65</v>
      </c>
      <c r="E200" t="s">
        <v>17</v>
      </c>
      <c r="F200" t="s">
        <v>66</v>
      </c>
      <c r="G200" t="s">
        <v>122</v>
      </c>
      <c r="H200" t="s">
        <v>334</v>
      </c>
      <c r="I200" t="s">
        <v>21</v>
      </c>
      <c r="J200" t="s">
        <v>22</v>
      </c>
      <c r="K200" t="s">
        <v>324</v>
      </c>
      <c r="L200" t="s">
        <v>68</v>
      </c>
    </row>
    <row r="201" spans="1:12">
      <c r="A201">
        <v>200081</v>
      </c>
      <c r="B201" t="s">
        <v>364</v>
      </c>
      <c r="C201" t="s">
        <v>64</v>
      </c>
      <c r="D201" t="s">
        <v>65</v>
      </c>
      <c r="E201" t="s">
        <v>17</v>
      </c>
      <c r="F201" t="s">
        <v>66</v>
      </c>
      <c r="G201" t="s">
        <v>122</v>
      </c>
      <c r="H201" t="s">
        <v>334</v>
      </c>
      <c r="I201" t="s">
        <v>21</v>
      </c>
      <c r="J201" t="s">
        <v>22</v>
      </c>
      <c r="K201" t="s">
        <v>324</v>
      </c>
      <c r="L201" t="s">
        <v>68</v>
      </c>
    </row>
    <row r="202" spans="1:12">
      <c r="A202">
        <v>200082</v>
      </c>
      <c r="B202" t="s">
        <v>365</v>
      </c>
      <c r="C202" t="s">
        <v>64</v>
      </c>
      <c r="D202" t="s">
        <v>65</v>
      </c>
      <c r="E202" t="s">
        <v>17</v>
      </c>
      <c r="F202" t="s">
        <v>66</v>
      </c>
      <c r="G202" t="s">
        <v>139</v>
      </c>
      <c r="H202" t="s">
        <v>139</v>
      </c>
      <c r="I202" t="s">
        <v>345</v>
      </c>
      <c r="J202" t="s">
        <v>22</v>
      </c>
      <c r="K202" t="s">
        <v>324</v>
      </c>
      <c r="L202" t="s">
        <v>68</v>
      </c>
    </row>
    <row r="203" spans="1:12">
      <c r="A203">
        <v>200083</v>
      </c>
      <c r="B203" t="s">
        <v>88</v>
      </c>
    </row>
    <row r="204" spans="1:12">
      <c r="A204">
        <v>300001</v>
      </c>
      <c r="B204" t="s">
        <v>366</v>
      </c>
      <c r="C204" t="s">
        <v>15</v>
      </c>
      <c r="D204" t="s">
        <v>65</v>
      </c>
      <c r="E204" t="s">
        <v>17</v>
      </c>
      <c r="F204" t="s">
        <v>66</v>
      </c>
      <c r="G204" t="s">
        <v>122</v>
      </c>
      <c r="H204" t="s">
        <v>334</v>
      </c>
      <c r="I204" t="s">
        <v>21</v>
      </c>
      <c r="J204" t="s">
        <v>22</v>
      </c>
      <c r="K204" t="s">
        <v>137</v>
      </c>
      <c r="L204" t="s">
        <v>24</v>
      </c>
    </row>
    <row r="205" spans="1:12">
      <c r="A205">
        <v>300002</v>
      </c>
      <c r="B205" t="s">
        <v>367</v>
      </c>
      <c r="C205" t="s">
        <v>15</v>
      </c>
      <c r="D205" t="s">
        <v>65</v>
      </c>
      <c r="E205" t="s">
        <v>17</v>
      </c>
      <c r="F205" t="s">
        <v>66</v>
      </c>
      <c r="G205" t="s">
        <v>122</v>
      </c>
      <c r="H205" t="s">
        <v>334</v>
      </c>
      <c r="I205" t="s">
        <v>368</v>
      </c>
      <c r="J205" t="s">
        <v>368</v>
      </c>
      <c r="K205" t="s">
        <v>137</v>
      </c>
      <c r="L205" t="s">
        <v>24</v>
      </c>
    </row>
    <row r="206" spans="1:12">
      <c r="A206">
        <v>300003</v>
      </c>
      <c r="B206" t="s">
        <v>369</v>
      </c>
      <c r="C206" t="s">
        <v>15</v>
      </c>
      <c r="D206" t="s">
        <v>65</v>
      </c>
      <c r="E206" t="s">
        <v>34</v>
      </c>
      <c r="F206" t="s">
        <v>66</v>
      </c>
      <c r="G206" t="s">
        <v>122</v>
      </c>
      <c r="H206" t="s">
        <v>334</v>
      </c>
      <c r="I206" t="s">
        <v>21</v>
      </c>
      <c r="J206" t="s">
        <v>22</v>
      </c>
      <c r="K206" t="s">
        <v>142</v>
      </c>
      <c r="L206" t="s">
        <v>36</v>
      </c>
    </row>
    <row r="207" spans="1:12">
      <c r="A207">
        <v>300004</v>
      </c>
      <c r="B207" t="s">
        <v>370</v>
      </c>
      <c r="C207" t="s">
        <v>15</v>
      </c>
      <c r="D207" t="s">
        <v>65</v>
      </c>
      <c r="E207" t="s">
        <v>34</v>
      </c>
      <c r="F207" t="s">
        <v>66</v>
      </c>
      <c r="G207" t="s">
        <v>122</v>
      </c>
      <c r="H207" t="s">
        <v>334</v>
      </c>
      <c r="I207" t="s">
        <v>368</v>
      </c>
      <c r="J207" t="s">
        <v>368</v>
      </c>
      <c r="K207" t="s">
        <v>142</v>
      </c>
      <c r="L207" t="s">
        <v>36</v>
      </c>
    </row>
    <row r="208" spans="1:12">
      <c r="A208">
        <v>300005</v>
      </c>
      <c r="B208" t="s">
        <v>371</v>
      </c>
      <c r="C208" t="s">
        <v>43</v>
      </c>
      <c r="D208" t="s">
        <v>65</v>
      </c>
      <c r="E208" t="s">
        <v>17</v>
      </c>
      <c r="F208" t="s">
        <v>66</v>
      </c>
      <c r="G208" t="s">
        <v>372</v>
      </c>
      <c r="H208" t="s">
        <v>334</v>
      </c>
      <c r="I208" t="s">
        <v>189</v>
      </c>
      <c r="J208" t="s">
        <v>22</v>
      </c>
      <c r="K208" t="s">
        <v>282</v>
      </c>
      <c r="L208" t="s">
        <v>47</v>
      </c>
    </row>
    <row r="209" spans="1:12">
      <c r="A209">
        <v>300006</v>
      </c>
      <c r="B209" t="s">
        <v>373</v>
      </c>
      <c r="C209" t="s">
        <v>43</v>
      </c>
      <c r="D209" t="s">
        <v>65</v>
      </c>
      <c r="E209" t="s">
        <v>17</v>
      </c>
      <c r="F209" t="s">
        <v>66</v>
      </c>
      <c r="G209" t="s">
        <v>122</v>
      </c>
      <c r="H209" t="s">
        <v>334</v>
      </c>
      <c r="I209" t="s">
        <v>189</v>
      </c>
      <c r="J209" t="s">
        <v>22</v>
      </c>
      <c r="K209" t="s">
        <v>282</v>
      </c>
      <c r="L209" t="s">
        <v>47</v>
      </c>
    </row>
    <row r="210" spans="1:12">
      <c r="A210">
        <v>300007</v>
      </c>
      <c r="B210" t="s">
        <v>374</v>
      </c>
      <c r="C210" t="s">
        <v>43</v>
      </c>
      <c r="D210" t="s">
        <v>65</v>
      </c>
      <c r="E210" t="s">
        <v>17</v>
      </c>
      <c r="F210" t="s">
        <v>66</v>
      </c>
      <c r="G210" t="s">
        <v>122</v>
      </c>
      <c r="H210" t="s">
        <v>334</v>
      </c>
      <c r="I210" t="s">
        <v>368</v>
      </c>
      <c r="J210" t="s">
        <v>368</v>
      </c>
      <c r="K210" t="s">
        <v>137</v>
      </c>
      <c r="L210" t="s">
        <v>24</v>
      </c>
    </row>
    <row r="211" spans="1:12">
      <c r="A211">
        <v>300008</v>
      </c>
      <c r="B211" t="s">
        <v>375</v>
      </c>
      <c r="C211" t="s">
        <v>43</v>
      </c>
      <c r="D211" t="s">
        <v>65</v>
      </c>
      <c r="E211" t="s">
        <v>34</v>
      </c>
      <c r="F211" t="s">
        <v>66</v>
      </c>
      <c r="G211" t="s">
        <v>372</v>
      </c>
      <c r="H211" t="s">
        <v>334</v>
      </c>
      <c r="I211" t="s">
        <v>189</v>
      </c>
      <c r="J211" t="s">
        <v>22</v>
      </c>
      <c r="K211" t="s">
        <v>338</v>
      </c>
      <c r="L211" t="s">
        <v>55</v>
      </c>
    </row>
    <row r="212" spans="1:12">
      <c r="A212">
        <v>300009</v>
      </c>
      <c r="B212" t="s">
        <v>376</v>
      </c>
      <c r="C212" t="s">
        <v>43</v>
      </c>
      <c r="D212" t="s">
        <v>65</v>
      </c>
      <c r="E212" t="s">
        <v>34</v>
      </c>
      <c r="F212" t="s">
        <v>66</v>
      </c>
      <c r="G212" t="s">
        <v>122</v>
      </c>
      <c r="H212" t="s">
        <v>334</v>
      </c>
      <c r="I212" t="s">
        <v>189</v>
      </c>
      <c r="J212" t="s">
        <v>22</v>
      </c>
      <c r="K212" t="s">
        <v>338</v>
      </c>
      <c r="L212" t="s">
        <v>55</v>
      </c>
    </row>
    <row r="213" spans="1:12">
      <c r="A213">
        <v>300010</v>
      </c>
      <c r="B213" t="s">
        <v>377</v>
      </c>
      <c r="C213" t="s">
        <v>43</v>
      </c>
      <c r="D213" t="s">
        <v>65</v>
      </c>
      <c r="E213" t="s">
        <v>34</v>
      </c>
      <c r="F213" t="s">
        <v>66</v>
      </c>
      <c r="G213" t="s">
        <v>122</v>
      </c>
      <c r="H213" t="s">
        <v>334</v>
      </c>
      <c r="I213" t="s">
        <v>368</v>
      </c>
      <c r="J213" t="s">
        <v>368</v>
      </c>
      <c r="K213" t="s">
        <v>338</v>
      </c>
      <c r="L213" t="s">
        <v>52</v>
      </c>
    </row>
    <row r="214" spans="1:12">
      <c r="A214">
        <v>300011</v>
      </c>
      <c r="B214" t="s">
        <v>378</v>
      </c>
      <c r="C214" t="s">
        <v>64</v>
      </c>
      <c r="D214" t="s">
        <v>65</v>
      </c>
      <c r="E214" t="s">
        <v>17</v>
      </c>
      <c r="F214" t="s">
        <v>66</v>
      </c>
      <c r="G214" t="s">
        <v>122</v>
      </c>
      <c r="H214" t="s">
        <v>334</v>
      </c>
      <c r="I214" t="s">
        <v>189</v>
      </c>
      <c r="J214" t="s">
        <v>22</v>
      </c>
      <c r="K214" t="s">
        <v>324</v>
      </c>
      <c r="L214" t="s">
        <v>68</v>
      </c>
    </row>
    <row r="215" spans="1:12">
      <c r="A215">
        <v>300012</v>
      </c>
      <c r="B215" t="s">
        <v>379</v>
      </c>
      <c r="C215" t="s">
        <v>15</v>
      </c>
      <c r="D215" t="s">
        <v>65</v>
      </c>
      <c r="E215" t="s">
        <v>244</v>
      </c>
      <c r="F215" t="s">
        <v>66</v>
      </c>
      <c r="G215" t="s">
        <v>380</v>
      </c>
      <c r="H215" t="s">
        <v>334</v>
      </c>
      <c r="I215" t="s">
        <v>368</v>
      </c>
      <c r="J215" t="s">
        <v>368</v>
      </c>
      <c r="K215" t="s">
        <v>137</v>
      </c>
      <c r="L215" t="s">
        <v>24</v>
      </c>
    </row>
    <row r="216" spans="1:12">
      <c r="A216">
        <v>300013</v>
      </c>
      <c r="B216" t="s">
        <v>381</v>
      </c>
      <c r="C216" t="s">
        <v>15</v>
      </c>
      <c r="D216" t="s">
        <v>382</v>
      </c>
      <c r="E216" t="s">
        <v>17</v>
      </c>
      <c r="F216" t="s">
        <v>66</v>
      </c>
      <c r="G216" t="s">
        <v>122</v>
      </c>
      <c r="H216" t="s">
        <v>334</v>
      </c>
      <c r="I216" t="s">
        <v>21</v>
      </c>
      <c r="J216" t="s">
        <v>22</v>
      </c>
      <c r="K216" t="s">
        <v>137</v>
      </c>
      <c r="L216" t="s">
        <v>24</v>
      </c>
    </row>
    <row r="217" spans="1:12">
      <c r="A217">
        <v>300014</v>
      </c>
      <c r="B217" t="s">
        <v>383</v>
      </c>
      <c r="C217" t="s">
        <v>15</v>
      </c>
      <c r="D217" t="s">
        <v>382</v>
      </c>
      <c r="E217" t="s">
        <v>34</v>
      </c>
      <c r="F217" t="s">
        <v>66</v>
      </c>
      <c r="G217" t="s">
        <v>122</v>
      </c>
      <c r="H217" t="s">
        <v>334</v>
      </c>
      <c r="I217" t="s">
        <v>22</v>
      </c>
      <c r="J217" t="s">
        <v>22</v>
      </c>
      <c r="K217" t="s">
        <v>142</v>
      </c>
      <c r="L217" t="s">
        <v>36</v>
      </c>
    </row>
    <row r="218" spans="1:12">
      <c r="A218">
        <v>300015</v>
      </c>
      <c r="B218" t="s">
        <v>384</v>
      </c>
      <c r="C218" t="s">
        <v>43</v>
      </c>
      <c r="D218" t="s">
        <v>382</v>
      </c>
      <c r="E218" t="s">
        <v>17</v>
      </c>
      <c r="F218" t="s">
        <v>66</v>
      </c>
      <c r="G218" t="s">
        <v>122</v>
      </c>
      <c r="H218" t="s">
        <v>334</v>
      </c>
      <c r="I218" t="s">
        <v>22</v>
      </c>
      <c r="J218" t="s">
        <v>22</v>
      </c>
      <c r="K218" t="s">
        <v>282</v>
      </c>
      <c r="L218" t="s">
        <v>47</v>
      </c>
    </row>
    <row r="219" spans="1:12">
      <c r="A219">
        <v>300016</v>
      </c>
      <c r="B219" t="s">
        <v>385</v>
      </c>
      <c r="C219" t="s">
        <v>43</v>
      </c>
      <c r="D219" t="s">
        <v>382</v>
      </c>
      <c r="E219" t="s">
        <v>34</v>
      </c>
      <c r="F219" t="s">
        <v>66</v>
      </c>
      <c r="G219" t="s">
        <v>122</v>
      </c>
      <c r="H219" t="s">
        <v>334</v>
      </c>
      <c r="I219" t="s">
        <v>22</v>
      </c>
      <c r="J219" t="s">
        <v>22</v>
      </c>
      <c r="K219" t="s">
        <v>338</v>
      </c>
      <c r="L219" t="s">
        <v>52</v>
      </c>
    </row>
    <row r="220" spans="1:12">
      <c r="A220">
        <v>300017</v>
      </c>
      <c r="B220" t="s">
        <v>386</v>
      </c>
      <c r="C220" t="s">
        <v>43</v>
      </c>
      <c r="D220" t="s">
        <v>44</v>
      </c>
      <c r="E220" t="s">
        <v>17</v>
      </c>
      <c r="F220" t="s">
        <v>66</v>
      </c>
      <c r="G220" t="s">
        <v>387</v>
      </c>
      <c r="H220" t="s">
        <v>334</v>
      </c>
      <c r="I220" t="s">
        <v>189</v>
      </c>
      <c r="J220" t="s">
        <v>22</v>
      </c>
      <c r="K220" t="s">
        <v>282</v>
      </c>
      <c r="L220" t="s">
        <v>47</v>
      </c>
    </row>
    <row r="221" spans="1:12">
      <c r="A221">
        <v>300018</v>
      </c>
      <c r="B221" t="s">
        <v>388</v>
      </c>
      <c r="C221" t="s">
        <v>43</v>
      </c>
      <c r="D221" t="s">
        <v>49</v>
      </c>
      <c r="E221" t="s">
        <v>34</v>
      </c>
      <c r="F221" t="s">
        <v>66</v>
      </c>
      <c r="G221" t="s">
        <v>387</v>
      </c>
      <c r="H221" t="s">
        <v>334</v>
      </c>
      <c r="I221" t="s">
        <v>189</v>
      </c>
      <c r="J221" t="s">
        <v>22</v>
      </c>
      <c r="K221" t="s">
        <v>288</v>
      </c>
      <c r="L221" t="s">
        <v>55</v>
      </c>
    </row>
    <row r="222" spans="1:12">
      <c r="A222">
        <v>300019</v>
      </c>
      <c r="B222" t="s">
        <v>389</v>
      </c>
      <c r="C222" t="s">
        <v>15</v>
      </c>
      <c r="D222" t="s">
        <v>16</v>
      </c>
      <c r="E222" t="s">
        <v>17</v>
      </c>
      <c r="F222" t="s">
        <v>66</v>
      </c>
      <c r="G222" t="s">
        <v>122</v>
      </c>
      <c r="H222" t="s">
        <v>334</v>
      </c>
      <c r="I222" t="s">
        <v>21</v>
      </c>
      <c r="J222" t="s">
        <v>22</v>
      </c>
      <c r="K222" t="s">
        <v>137</v>
      </c>
      <c r="L222" t="s">
        <v>24</v>
      </c>
    </row>
    <row r="223" spans="1:12">
      <c r="A223">
        <v>300020</v>
      </c>
      <c r="B223" t="s">
        <v>390</v>
      </c>
      <c r="C223" t="s">
        <v>15</v>
      </c>
      <c r="D223" t="s">
        <v>16</v>
      </c>
      <c r="E223" t="s">
        <v>34</v>
      </c>
      <c r="F223" t="s">
        <v>66</v>
      </c>
      <c r="G223" t="s">
        <v>122</v>
      </c>
      <c r="H223" t="s">
        <v>334</v>
      </c>
      <c r="I223" t="s">
        <v>21</v>
      </c>
      <c r="J223" t="s">
        <v>22</v>
      </c>
      <c r="K223" t="s">
        <v>142</v>
      </c>
      <c r="L223" t="s">
        <v>36</v>
      </c>
    </row>
    <row r="224" spans="1:12">
      <c r="A224">
        <v>300021</v>
      </c>
      <c r="B224" t="s">
        <v>391</v>
      </c>
      <c r="C224" t="s">
        <v>15</v>
      </c>
      <c r="D224" t="s">
        <v>65</v>
      </c>
      <c r="E224" t="s">
        <v>34</v>
      </c>
      <c r="F224" t="s">
        <v>66</v>
      </c>
      <c r="G224" t="s">
        <v>392</v>
      </c>
      <c r="H224" t="s">
        <v>334</v>
      </c>
      <c r="I224" t="s">
        <v>21</v>
      </c>
      <c r="J224" t="s">
        <v>22</v>
      </c>
      <c r="K224" t="s">
        <v>142</v>
      </c>
      <c r="L224" t="s">
        <v>36</v>
      </c>
    </row>
    <row r="225" spans="1:12">
      <c r="A225">
        <v>300022</v>
      </c>
      <c r="B225" t="s">
        <v>393</v>
      </c>
      <c r="C225" t="s">
        <v>15</v>
      </c>
      <c r="D225" t="s">
        <v>65</v>
      </c>
      <c r="E225" t="s">
        <v>17</v>
      </c>
      <c r="F225" t="s">
        <v>66</v>
      </c>
      <c r="G225" t="s">
        <v>392</v>
      </c>
      <c r="H225" t="s">
        <v>334</v>
      </c>
      <c r="I225" t="s">
        <v>21</v>
      </c>
      <c r="J225" t="s">
        <v>22</v>
      </c>
      <c r="K225" t="s">
        <v>137</v>
      </c>
      <c r="L225" t="s">
        <v>24</v>
      </c>
    </row>
    <row r="226" spans="1:12">
      <c r="A226">
        <v>300023</v>
      </c>
      <c r="B226" t="s">
        <v>394</v>
      </c>
      <c r="C226" t="s">
        <v>15</v>
      </c>
      <c r="D226" t="s">
        <v>65</v>
      </c>
      <c r="E226" t="s">
        <v>17</v>
      </c>
      <c r="F226" t="s">
        <v>66</v>
      </c>
      <c r="G226" t="s">
        <v>122</v>
      </c>
      <c r="H226" t="s">
        <v>334</v>
      </c>
      <c r="I226" t="s">
        <v>21</v>
      </c>
      <c r="J226" t="s">
        <v>22</v>
      </c>
      <c r="K226" t="s">
        <v>137</v>
      </c>
      <c r="L226" t="s">
        <v>24</v>
      </c>
    </row>
    <row r="227" spans="1:12">
      <c r="A227">
        <v>300024</v>
      </c>
      <c r="B227" t="s">
        <v>395</v>
      </c>
      <c r="C227" t="s">
        <v>43</v>
      </c>
      <c r="D227" t="s">
        <v>65</v>
      </c>
      <c r="E227" t="s">
        <v>17</v>
      </c>
      <c r="F227" t="s">
        <v>66</v>
      </c>
      <c r="G227" t="s">
        <v>337</v>
      </c>
      <c r="H227" t="s">
        <v>334</v>
      </c>
      <c r="I227" t="s">
        <v>166</v>
      </c>
      <c r="J227" t="s">
        <v>22</v>
      </c>
      <c r="K227" t="s">
        <v>396</v>
      </c>
      <c r="L227" t="s">
        <v>52</v>
      </c>
    </row>
    <row r="228" spans="1:12">
      <c r="A228">
        <v>300025</v>
      </c>
      <c r="B228" t="s">
        <v>397</v>
      </c>
      <c r="C228" t="s">
        <v>64</v>
      </c>
      <c r="D228" t="s">
        <v>65</v>
      </c>
      <c r="E228" t="s">
        <v>17</v>
      </c>
      <c r="F228" t="s">
        <v>66</v>
      </c>
      <c r="G228" t="s">
        <v>337</v>
      </c>
      <c r="H228" t="s">
        <v>334</v>
      </c>
      <c r="I228" t="s">
        <v>166</v>
      </c>
      <c r="J228" t="s">
        <v>22</v>
      </c>
      <c r="K228" t="s">
        <v>164</v>
      </c>
      <c r="L228" t="s">
        <v>68</v>
      </c>
    </row>
    <row r="229" spans="1:12">
      <c r="A229">
        <v>300026</v>
      </c>
      <c r="B229" t="s">
        <v>398</v>
      </c>
      <c r="C229" t="s">
        <v>64</v>
      </c>
      <c r="D229" t="s">
        <v>65</v>
      </c>
      <c r="E229" t="s">
        <v>34</v>
      </c>
      <c r="F229" t="s">
        <v>66</v>
      </c>
      <c r="G229" t="s">
        <v>337</v>
      </c>
      <c r="H229" t="s">
        <v>334</v>
      </c>
      <c r="I229" t="s">
        <v>166</v>
      </c>
      <c r="J229" t="s">
        <v>22</v>
      </c>
      <c r="K229" t="s">
        <v>341</v>
      </c>
      <c r="L229" t="s">
        <v>180</v>
      </c>
    </row>
    <row r="230" spans="1:12">
      <c r="A230">
        <v>300027</v>
      </c>
      <c r="B230" t="s">
        <v>399</v>
      </c>
      <c r="C230" t="s">
        <v>116</v>
      </c>
      <c r="D230" t="s">
        <v>65</v>
      </c>
      <c r="E230" t="s">
        <v>17</v>
      </c>
      <c r="F230" t="s">
        <v>66</v>
      </c>
      <c r="G230" t="s">
        <v>122</v>
      </c>
      <c r="H230" t="s">
        <v>95</v>
      </c>
      <c r="I230" t="s">
        <v>114</v>
      </c>
      <c r="J230" t="s">
        <v>22</v>
      </c>
      <c r="K230" t="s">
        <v>123</v>
      </c>
      <c r="L230" t="s">
        <v>120</v>
      </c>
    </row>
    <row r="231" spans="1:12">
      <c r="A231">
        <v>300028</v>
      </c>
      <c r="B231" t="s">
        <v>400</v>
      </c>
      <c r="C231" t="s">
        <v>15</v>
      </c>
      <c r="D231" t="s">
        <v>65</v>
      </c>
      <c r="E231" t="s">
        <v>34</v>
      </c>
      <c r="F231" t="s">
        <v>66</v>
      </c>
      <c r="G231" t="s">
        <v>122</v>
      </c>
      <c r="H231" t="s">
        <v>334</v>
      </c>
      <c r="I231" t="s">
        <v>21</v>
      </c>
      <c r="J231" t="s">
        <v>22</v>
      </c>
      <c r="K231" t="s">
        <v>142</v>
      </c>
      <c r="L231" t="s">
        <v>36</v>
      </c>
    </row>
    <row r="232" spans="1:12">
      <c r="A232">
        <v>300029</v>
      </c>
      <c r="B232" t="s">
        <v>401</v>
      </c>
      <c r="C232" t="s">
        <v>43</v>
      </c>
      <c r="D232" t="s">
        <v>65</v>
      </c>
      <c r="E232" t="s">
        <v>17</v>
      </c>
      <c r="F232" t="s">
        <v>66</v>
      </c>
      <c r="G232" t="s">
        <v>392</v>
      </c>
      <c r="H232" t="s">
        <v>334</v>
      </c>
      <c r="I232" t="s">
        <v>21</v>
      </c>
      <c r="J232" t="s">
        <v>22</v>
      </c>
      <c r="K232" t="s">
        <v>396</v>
      </c>
      <c r="L232" t="s">
        <v>47</v>
      </c>
    </row>
    <row r="233" spans="1:12">
      <c r="A233">
        <v>300030</v>
      </c>
      <c r="B233" t="s">
        <v>402</v>
      </c>
      <c r="C233" t="s">
        <v>43</v>
      </c>
      <c r="D233" t="s">
        <v>44</v>
      </c>
      <c r="E233" t="s">
        <v>17</v>
      </c>
      <c r="F233" t="s">
        <v>66</v>
      </c>
      <c r="G233" t="s">
        <v>387</v>
      </c>
      <c r="H233" t="s">
        <v>334</v>
      </c>
      <c r="I233" t="s">
        <v>21</v>
      </c>
      <c r="J233" t="s">
        <v>22</v>
      </c>
      <c r="K233" t="s">
        <v>282</v>
      </c>
      <c r="L233" t="s">
        <v>47</v>
      </c>
    </row>
    <row r="234" spans="1:12">
      <c r="A234">
        <v>300031</v>
      </c>
      <c r="B234" t="s">
        <v>403</v>
      </c>
      <c r="C234" t="s">
        <v>43</v>
      </c>
      <c r="D234" t="s">
        <v>65</v>
      </c>
      <c r="E234" t="s">
        <v>17</v>
      </c>
      <c r="F234" t="s">
        <v>66</v>
      </c>
      <c r="G234" t="s">
        <v>122</v>
      </c>
      <c r="H234" t="s">
        <v>334</v>
      </c>
      <c r="I234" t="s">
        <v>189</v>
      </c>
      <c r="J234" t="s">
        <v>22</v>
      </c>
      <c r="K234" t="s">
        <v>396</v>
      </c>
      <c r="L234" t="s">
        <v>52</v>
      </c>
    </row>
    <row r="235" spans="1:12">
      <c r="A235">
        <v>300032</v>
      </c>
      <c r="B235" t="s">
        <v>404</v>
      </c>
      <c r="C235" t="s">
        <v>15</v>
      </c>
      <c r="D235" t="s">
        <v>65</v>
      </c>
      <c r="E235" t="s">
        <v>34</v>
      </c>
      <c r="F235" t="s">
        <v>66</v>
      </c>
      <c r="G235" t="s">
        <v>122</v>
      </c>
      <c r="H235" t="s">
        <v>334</v>
      </c>
      <c r="I235" t="s">
        <v>21</v>
      </c>
      <c r="J235" t="s">
        <v>22</v>
      </c>
      <c r="K235" t="s">
        <v>142</v>
      </c>
      <c r="L235" t="s">
        <v>36</v>
      </c>
    </row>
    <row r="236" spans="1:12">
      <c r="A236">
        <v>300033</v>
      </c>
      <c r="B236" t="s">
        <v>405</v>
      </c>
      <c r="C236" t="s">
        <v>15</v>
      </c>
      <c r="D236" t="s">
        <v>65</v>
      </c>
      <c r="E236" t="s">
        <v>17</v>
      </c>
      <c r="F236" t="s">
        <v>66</v>
      </c>
      <c r="G236" t="s">
        <v>406</v>
      </c>
      <c r="H236" t="s">
        <v>244</v>
      </c>
      <c r="I236" t="s">
        <v>21</v>
      </c>
      <c r="J236" t="s">
        <v>185</v>
      </c>
      <c r="K236" t="s">
        <v>407</v>
      </c>
      <c r="L236" t="s">
        <v>24</v>
      </c>
    </row>
    <row r="237" spans="1:12">
      <c r="A237">
        <v>300034</v>
      </c>
      <c r="B237" t="s">
        <v>408</v>
      </c>
      <c r="C237" t="s">
        <v>15</v>
      </c>
      <c r="D237" t="s">
        <v>192</v>
      </c>
      <c r="E237" t="s">
        <v>17</v>
      </c>
      <c r="F237" t="s">
        <v>66</v>
      </c>
      <c r="G237" t="s">
        <v>122</v>
      </c>
      <c r="H237" t="s">
        <v>334</v>
      </c>
      <c r="I237" t="s">
        <v>21</v>
      </c>
      <c r="J237" t="s">
        <v>22</v>
      </c>
      <c r="K237" t="s">
        <v>203</v>
      </c>
      <c r="L237" t="s">
        <v>194</v>
      </c>
    </row>
    <row r="238" spans="1:12">
      <c r="A238">
        <v>300035</v>
      </c>
      <c r="B238" t="s">
        <v>409</v>
      </c>
      <c r="C238" t="s">
        <v>15</v>
      </c>
      <c r="D238" t="s">
        <v>192</v>
      </c>
      <c r="E238" t="s">
        <v>34</v>
      </c>
      <c r="F238" t="s">
        <v>66</v>
      </c>
      <c r="G238" t="s">
        <v>122</v>
      </c>
      <c r="H238" t="s">
        <v>334</v>
      </c>
      <c r="I238" t="s">
        <v>21</v>
      </c>
      <c r="J238" t="s">
        <v>22</v>
      </c>
      <c r="K238" t="s">
        <v>205</v>
      </c>
      <c r="L238" t="s">
        <v>198</v>
      </c>
    </row>
    <row r="239" spans="1:12">
      <c r="A239">
        <v>300036</v>
      </c>
      <c r="B239" t="s">
        <v>410</v>
      </c>
      <c r="C239" t="s">
        <v>15</v>
      </c>
      <c r="D239" t="s">
        <v>192</v>
      </c>
      <c r="E239" t="s">
        <v>17</v>
      </c>
      <c r="F239" t="s">
        <v>66</v>
      </c>
      <c r="G239" t="s">
        <v>122</v>
      </c>
      <c r="H239" t="s">
        <v>334</v>
      </c>
      <c r="I239" t="s">
        <v>21</v>
      </c>
      <c r="J239" t="s">
        <v>22</v>
      </c>
      <c r="K239" t="s">
        <v>203</v>
      </c>
      <c r="L239" t="s">
        <v>194</v>
      </c>
    </row>
    <row r="240" spans="1:12">
      <c r="A240">
        <v>300037</v>
      </c>
      <c r="B240" t="s">
        <v>411</v>
      </c>
      <c r="C240" t="s">
        <v>15</v>
      </c>
      <c r="D240" t="s">
        <v>192</v>
      </c>
      <c r="E240" t="s">
        <v>34</v>
      </c>
      <c r="F240" t="s">
        <v>66</v>
      </c>
      <c r="G240" t="s">
        <v>122</v>
      </c>
      <c r="H240" t="s">
        <v>334</v>
      </c>
      <c r="I240" t="s">
        <v>21</v>
      </c>
      <c r="J240" t="s">
        <v>22</v>
      </c>
      <c r="K240" t="s">
        <v>205</v>
      </c>
      <c r="L240" t="s">
        <v>198</v>
      </c>
    </row>
    <row r="241" spans="1:12">
      <c r="A241">
        <v>300038</v>
      </c>
      <c r="B241" t="s">
        <v>412</v>
      </c>
      <c r="C241" t="s">
        <v>15</v>
      </c>
      <c r="D241" t="s">
        <v>192</v>
      </c>
      <c r="E241" t="s">
        <v>17</v>
      </c>
      <c r="F241" t="s">
        <v>66</v>
      </c>
      <c r="G241" t="s">
        <v>122</v>
      </c>
      <c r="H241" t="s">
        <v>334</v>
      </c>
      <c r="I241" t="s">
        <v>21</v>
      </c>
      <c r="J241" t="s">
        <v>22</v>
      </c>
      <c r="K241" t="s">
        <v>137</v>
      </c>
      <c r="L241" t="s">
        <v>194</v>
      </c>
    </row>
    <row r="242" spans="1:12">
      <c r="A242">
        <v>300039</v>
      </c>
      <c r="B242" t="s">
        <v>413</v>
      </c>
      <c r="C242" t="s">
        <v>15</v>
      </c>
      <c r="D242" t="s">
        <v>192</v>
      </c>
      <c r="E242" t="s">
        <v>34</v>
      </c>
      <c r="F242" t="s">
        <v>66</v>
      </c>
      <c r="G242" t="s">
        <v>122</v>
      </c>
      <c r="H242" t="s">
        <v>334</v>
      </c>
      <c r="I242" t="s">
        <v>21</v>
      </c>
      <c r="J242" t="s">
        <v>22</v>
      </c>
      <c r="K242" t="s">
        <v>142</v>
      </c>
      <c r="L242" t="s">
        <v>198</v>
      </c>
    </row>
    <row r="243" spans="1:12">
      <c r="A243">
        <v>300040</v>
      </c>
      <c r="B243" t="s">
        <v>414</v>
      </c>
      <c r="C243" t="s">
        <v>15</v>
      </c>
      <c r="D243" t="s">
        <v>65</v>
      </c>
      <c r="E243" t="s">
        <v>34</v>
      </c>
      <c r="F243" t="s">
        <v>66</v>
      </c>
      <c r="G243" t="s">
        <v>406</v>
      </c>
      <c r="H243" t="s">
        <v>244</v>
      </c>
      <c r="I243" t="s">
        <v>21</v>
      </c>
      <c r="J243" t="s">
        <v>185</v>
      </c>
      <c r="K243" t="s">
        <v>415</v>
      </c>
      <c r="L243" t="s">
        <v>36</v>
      </c>
    </row>
    <row r="244" spans="1:12">
      <c r="A244">
        <v>300041</v>
      </c>
      <c r="B244" t="s">
        <v>416</v>
      </c>
      <c r="C244" t="s">
        <v>15</v>
      </c>
      <c r="D244" t="s">
        <v>65</v>
      </c>
      <c r="E244" t="s">
        <v>17</v>
      </c>
      <c r="F244" t="s">
        <v>66</v>
      </c>
      <c r="G244" t="s">
        <v>122</v>
      </c>
      <c r="H244" t="s">
        <v>334</v>
      </c>
      <c r="I244" t="s">
        <v>217</v>
      </c>
      <c r="J244" t="s">
        <v>22</v>
      </c>
      <c r="K244" t="s">
        <v>137</v>
      </c>
      <c r="L244" t="s">
        <v>24</v>
      </c>
    </row>
    <row r="245" spans="1:12">
      <c r="A245">
        <v>300042</v>
      </c>
      <c r="B245" t="s">
        <v>381</v>
      </c>
      <c r="C245" t="s">
        <v>15</v>
      </c>
      <c r="D245" t="s">
        <v>382</v>
      </c>
      <c r="E245" t="s">
        <v>17</v>
      </c>
      <c r="F245" t="s">
        <v>66</v>
      </c>
      <c r="G245" t="s">
        <v>122</v>
      </c>
      <c r="H245" t="s">
        <v>334</v>
      </c>
      <c r="I245" t="s">
        <v>217</v>
      </c>
      <c r="J245" t="s">
        <v>22</v>
      </c>
      <c r="K245" t="s">
        <v>137</v>
      </c>
      <c r="L245" t="s">
        <v>24</v>
      </c>
    </row>
    <row r="246" spans="1:12">
      <c r="A246">
        <v>300043</v>
      </c>
      <c r="B246" t="s">
        <v>417</v>
      </c>
      <c r="C246" t="s">
        <v>15</v>
      </c>
      <c r="D246" t="s">
        <v>65</v>
      </c>
      <c r="E246" t="s">
        <v>17</v>
      </c>
      <c r="F246" t="s">
        <v>66</v>
      </c>
      <c r="G246" t="s">
        <v>122</v>
      </c>
      <c r="H246" t="s">
        <v>334</v>
      </c>
      <c r="I246" t="s">
        <v>217</v>
      </c>
      <c r="J246" t="s">
        <v>22</v>
      </c>
      <c r="K246" t="s">
        <v>137</v>
      </c>
      <c r="L246" t="s">
        <v>24</v>
      </c>
    </row>
    <row r="247" spans="1:12">
      <c r="A247">
        <v>300044</v>
      </c>
      <c r="B247" t="s">
        <v>418</v>
      </c>
      <c r="C247" t="s">
        <v>15</v>
      </c>
      <c r="D247" t="s">
        <v>65</v>
      </c>
      <c r="E247" t="s">
        <v>17</v>
      </c>
      <c r="F247" t="s">
        <v>66</v>
      </c>
      <c r="G247" t="s">
        <v>392</v>
      </c>
      <c r="H247" t="s">
        <v>334</v>
      </c>
      <c r="I247" t="s">
        <v>217</v>
      </c>
      <c r="J247" t="s">
        <v>22</v>
      </c>
      <c r="K247" t="s">
        <v>137</v>
      </c>
      <c r="L247" t="s">
        <v>24</v>
      </c>
    </row>
    <row r="248" spans="1:12">
      <c r="A248">
        <v>300045</v>
      </c>
      <c r="B248" t="s">
        <v>419</v>
      </c>
      <c r="C248" t="s">
        <v>15</v>
      </c>
      <c r="D248" t="s">
        <v>65</v>
      </c>
      <c r="E248" t="s">
        <v>17</v>
      </c>
      <c r="F248" t="s">
        <v>66</v>
      </c>
      <c r="G248" t="s">
        <v>406</v>
      </c>
      <c r="H248" t="s">
        <v>244</v>
      </c>
      <c r="I248" t="s">
        <v>217</v>
      </c>
      <c r="J248" t="s">
        <v>185</v>
      </c>
      <c r="K248" t="s">
        <v>407</v>
      </c>
      <c r="L248" t="s">
        <v>24</v>
      </c>
    </row>
    <row r="249" spans="1:12">
      <c r="A249">
        <v>400001</v>
      </c>
      <c r="B249" t="s">
        <v>420</v>
      </c>
      <c r="C249" t="s">
        <v>43</v>
      </c>
      <c r="D249" t="s">
        <v>44</v>
      </c>
      <c r="E249" t="s">
        <v>17</v>
      </c>
      <c r="F249" t="s">
        <v>66</v>
      </c>
      <c r="G249" t="s">
        <v>243</v>
      </c>
      <c r="H249" t="s">
        <v>421</v>
      </c>
      <c r="I249" t="s">
        <v>300</v>
      </c>
      <c r="J249" t="s">
        <v>300</v>
      </c>
      <c r="K249" t="s">
        <v>422</v>
      </c>
      <c r="L249" t="s">
        <v>47</v>
      </c>
    </row>
    <row r="250" spans="1:12">
      <c r="A250">
        <v>400002</v>
      </c>
      <c r="B250" t="s">
        <v>423</v>
      </c>
      <c r="C250" t="s">
        <v>43</v>
      </c>
      <c r="D250" t="s">
        <v>89</v>
      </c>
      <c r="E250" t="s">
        <v>17</v>
      </c>
      <c r="F250" t="s">
        <v>66</v>
      </c>
      <c r="G250" t="s">
        <v>243</v>
      </c>
      <c r="H250" t="s">
        <v>421</v>
      </c>
      <c r="I250" t="s">
        <v>300</v>
      </c>
      <c r="J250" t="s">
        <v>300</v>
      </c>
      <c r="K250" t="s">
        <v>424</v>
      </c>
      <c r="L250" t="s">
        <v>174</v>
      </c>
    </row>
    <row r="251" spans="1:12">
      <c r="A251">
        <v>400003</v>
      </c>
      <c r="B251" t="s">
        <v>425</v>
      </c>
      <c r="C251" t="s">
        <v>15</v>
      </c>
      <c r="D251" t="s">
        <v>16</v>
      </c>
      <c r="E251" t="s">
        <v>17</v>
      </c>
      <c r="F251" t="s">
        <v>66</v>
      </c>
      <c r="G251" t="s">
        <v>243</v>
      </c>
      <c r="H251" t="s">
        <v>421</v>
      </c>
      <c r="I251" t="s">
        <v>300</v>
      </c>
      <c r="J251" t="s">
        <v>300</v>
      </c>
      <c r="K251" t="s">
        <v>407</v>
      </c>
      <c r="L251" t="s">
        <v>24</v>
      </c>
    </row>
    <row r="252" spans="1:12">
      <c r="A252">
        <v>400004</v>
      </c>
      <c r="B252" t="s">
        <v>426</v>
      </c>
      <c r="C252" t="s">
        <v>15</v>
      </c>
      <c r="D252" t="s">
        <v>29</v>
      </c>
      <c r="E252" t="s">
        <v>17</v>
      </c>
      <c r="F252" t="s">
        <v>66</v>
      </c>
      <c r="G252" t="s">
        <v>243</v>
      </c>
      <c r="H252" t="s">
        <v>421</v>
      </c>
      <c r="I252" t="s">
        <v>300</v>
      </c>
      <c r="J252" t="s">
        <v>300</v>
      </c>
      <c r="K252" t="s">
        <v>427</v>
      </c>
      <c r="L252" t="s">
        <v>31</v>
      </c>
    </row>
    <row r="253" spans="1:12">
      <c r="A253">
        <v>400005</v>
      </c>
      <c r="B253" t="s">
        <v>428</v>
      </c>
      <c r="C253" t="s">
        <v>43</v>
      </c>
      <c r="D253" t="s">
        <v>44</v>
      </c>
      <c r="E253" t="s">
        <v>34</v>
      </c>
      <c r="F253" t="s">
        <v>66</v>
      </c>
      <c r="G253" t="s">
        <v>243</v>
      </c>
      <c r="H253" t="s">
        <v>421</v>
      </c>
      <c r="I253" t="s">
        <v>300</v>
      </c>
      <c r="J253" t="s">
        <v>300</v>
      </c>
      <c r="K253" t="s">
        <v>429</v>
      </c>
      <c r="L253" t="s">
        <v>52</v>
      </c>
    </row>
    <row r="254" spans="1:12">
      <c r="A254">
        <v>400006</v>
      </c>
      <c r="B254" t="s">
        <v>430</v>
      </c>
      <c r="C254" t="s">
        <v>43</v>
      </c>
      <c r="D254" t="s">
        <v>89</v>
      </c>
      <c r="E254" t="s">
        <v>34</v>
      </c>
      <c r="F254" t="s">
        <v>66</v>
      </c>
      <c r="G254" t="s">
        <v>243</v>
      </c>
      <c r="H254" t="s">
        <v>421</v>
      </c>
      <c r="I254" t="s">
        <v>300</v>
      </c>
      <c r="J254" t="s">
        <v>300</v>
      </c>
      <c r="K254" t="s">
        <v>431</v>
      </c>
      <c r="L254" t="s">
        <v>91</v>
      </c>
    </row>
    <row r="255" spans="1:12">
      <c r="A255">
        <v>400007</v>
      </c>
      <c r="B255" t="s">
        <v>432</v>
      </c>
      <c r="C255" t="s">
        <v>15</v>
      </c>
      <c r="D255" t="s">
        <v>16</v>
      </c>
      <c r="E255" t="s">
        <v>34</v>
      </c>
      <c r="F255" t="s">
        <v>66</v>
      </c>
      <c r="G255" t="s">
        <v>243</v>
      </c>
      <c r="H255" t="s">
        <v>421</v>
      </c>
      <c r="I255" t="s">
        <v>300</v>
      </c>
      <c r="J255" t="s">
        <v>300</v>
      </c>
      <c r="K255" t="s">
        <v>415</v>
      </c>
      <c r="L255" t="s">
        <v>36</v>
      </c>
    </row>
    <row r="256" spans="1:12">
      <c r="A256">
        <v>400008</v>
      </c>
      <c r="B256" t="s">
        <v>433</v>
      </c>
      <c r="C256" t="s">
        <v>15</v>
      </c>
      <c r="D256" t="s">
        <v>29</v>
      </c>
      <c r="E256" t="s">
        <v>34</v>
      </c>
      <c r="F256" t="s">
        <v>66</v>
      </c>
      <c r="G256" t="s">
        <v>243</v>
      </c>
      <c r="H256" t="s">
        <v>421</v>
      </c>
      <c r="I256" t="s">
        <v>300</v>
      </c>
      <c r="J256" t="s">
        <v>300</v>
      </c>
      <c r="K256" t="s">
        <v>434</v>
      </c>
      <c r="L256" t="s">
        <v>31</v>
      </c>
    </row>
    <row r="257" spans="1:12">
      <c r="A257">
        <v>400009</v>
      </c>
      <c r="B257" t="s">
        <v>435</v>
      </c>
      <c r="C257" t="s">
        <v>43</v>
      </c>
      <c r="D257" t="s">
        <v>44</v>
      </c>
      <c r="E257" t="s">
        <v>17</v>
      </c>
      <c r="F257" t="s">
        <v>66</v>
      </c>
      <c r="G257" t="s">
        <v>122</v>
      </c>
      <c r="H257" t="s">
        <v>421</v>
      </c>
      <c r="I257" t="s">
        <v>300</v>
      </c>
      <c r="J257" t="s">
        <v>300</v>
      </c>
      <c r="K257" t="s">
        <v>422</v>
      </c>
      <c r="L257" t="s">
        <v>47</v>
      </c>
    </row>
    <row r="258" spans="1:12">
      <c r="A258">
        <v>400010</v>
      </c>
      <c r="B258" t="s">
        <v>436</v>
      </c>
      <c r="C258" t="s">
        <v>43</v>
      </c>
      <c r="D258" t="s">
        <v>89</v>
      </c>
      <c r="E258" t="s">
        <v>17</v>
      </c>
      <c r="F258" t="s">
        <v>66</v>
      </c>
      <c r="G258" t="s">
        <v>122</v>
      </c>
      <c r="H258" t="s">
        <v>421</v>
      </c>
      <c r="I258" t="s">
        <v>300</v>
      </c>
      <c r="J258" t="s">
        <v>300</v>
      </c>
      <c r="K258" t="s">
        <v>424</v>
      </c>
      <c r="L258" t="s">
        <v>174</v>
      </c>
    </row>
    <row r="259" spans="1:12">
      <c r="A259">
        <v>400011</v>
      </c>
      <c r="B259" t="s">
        <v>437</v>
      </c>
      <c r="C259" t="s">
        <v>15</v>
      </c>
      <c r="D259" t="s">
        <v>16</v>
      </c>
      <c r="E259" t="s">
        <v>17</v>
      </c>
      <c r="F259" t="s">
        <v>66</v>
      </c>
      <c r="G259" t="s">
        <v>122</v>
      </c>
      <c r="H259" t="s">
        <v>421</v>
      </c>
      <c r="I259" t="s">
        <v>300</v>
      </c>
      <c r="J259" t="s">
        <v>300</v>
      </c>
      <c r="K259" t="s">
        <v>407</v>
      </c>
      <c r="L259" t="s">
        <v>24</v>
      </c>
    </row>
    <row r="260" spans="1:12">
      <c r="A260">
        <v>400012</v>
      </c>
      <c r="B260" t="s">
        <v>438</v>
      </c>
      <c r="C260" t="s">
        <v>15</v>
      </c>
      <c r="D260" t="s">
        <v>29</v>
      </c>
      <c r="E260" t="s">
        <v>17</v>
      </c>
      <c r="F260" t="s">
        <v>66</v>
      </c>
      <c r="G260" t="s">
        <v>122</v>
      </c>
      <c r="H260" t="s">
        <v>421</v>
      </c>
      <c r="I260" t="s">
        <v>300</v>
      </c>
      <c r="J260" t="s">
        <v>300</v>
      </c>
      <c r="K260" t="s">
        <v>427</v>
      </c>
      <c r="L260" t="s">
        <v>31</v>
      </c>
    </row>
    <row r="261" spans="1:12">
      <c r="A261">
        <v>400013</v>
      </c>
      <c r="B261" t="s">
        <v>439</v>
      </c>
      <c r="C261" t="s">
        <v>43</v>
      </c>
      <c r="D261" t="s">
        <v>44</v>
      </c>
      <c r="E261" t="s">
        <v>34</v>
      </c>
      <c r="F261" t="s">
        <v>66</v>
      </c>
      <c r="G261" t="s">
        <v>122</v>
      </c>
      <c r="H261" t="s">
        <v>421</v>
      </c>
      <c r="I261" t="s">
        <v>300</v>
      </c>
      <c r="J261" t="s">
        <v>300</v>
      </c>
      <c r="K261" t="s">
        <v>429</v>
      </c>
      <c r="L261" t="s">
        <v>52</v>
      </c>
    </row>
    <row r="262" spans="1:12">
      <c r="A262">
        <v>400014</v>
      </c>
      <c r="B262" t="s">
        <v>440</v>
      </c>
      <c r="C262" t="s">
        <v>43</v>
      </c>
      <c r="D262" t="s">
        <v>89</v>
      </c>
      <c r="E262" t="s">
        <v>34</v>
      </c>
      <c r="F262" t="s">
        <v>66</v>
      </c>
      <c r="G262" t="s">
        <v>122</v>
      </c>
      <c r="H262" t="s">
        <v>421</v>
      </c>
      <c r="I262" t="s">
        <v>300</v>
      </c>
      <c r="J262" t="s">
        <v>300</v>
      </c>
      <c r="K262" t="s">
        <v>431</v>
      </c>
      <c r="L262" t="s">
        <v>91</v>
      </c>
    </row>
    <row r="263" spans="1:12">
      <c r="A263">
        <v>400015</v>
      </c>
      <c r="B263" t="s">
        <v>441</v>
      </c>
      <c r="C263" t="s">
        <v>15</v>
      </c>
      <c r="D263" t="s">
        <v>16</v>
      </c>
      <c r="E263" t="s">
        <v>34</v>
      </c>
      <c r="F263" t="s">
        <v>66</v>
      </c>
      <c r="G263" t="s">
        <v>122</v>
      </c>
      <c r="H263" t="s">
        <v>421</v>
      </c>
      <c r="I263" t="s">
        <v>300</v>
      </c>
      <c r="J263" t="s">
        <v>300</v>
      </c>
      <c r="K263" t="s">
        <v>415</v>
      </c>
      <c r="L263" t="s">
        <v>36</v>
      </c>
    </row>
    <row r="264" spans="1:12">
      <c r="A264">
        <v>400016</v>
      </c>
      <c r="B264" t="s">
        <v>442</v>
      </c>
      <c r="C264" t="s">
        <v>15</v>
      </c>
      <c r="D264" t="s">
        <v>29</v>
      </c>
      <c r="E264" t="s">
        <v>34</v>
      </c>
      <c r="F264" t="s">
        <v>66</v>
      </c>
      <c r="G264" t="s">
        <v>122</v>
      </c>
      <c r="H264" t="s">
        <v>421</v>
      </c>
      <c r="I264" t="s">
        <v>300</v>
      </c>
      <c r="J264" t="s">
        <v>300</v>
      </c>
      <c r="K264" t="s">
        <v>434</v>
      </c>
      <c r="L264" t="s">
        <v>40</v>
      </c>
    </row>
    <row r="265" spans="1:12">
      <c r="A265">
        <v>400017</v>
      </c>
      <c r="B265" t="s">
        <v>443</v>
      </c>
      <c r="C265" t="s">
        <v>15</v>
      </c>
      <c r="D265" t="s">
        <v>16</v>
      </c>
      <c r="E265" t="s">
        <v>17</v>
      </c>
      <c r="F265" t="s">
        <v>66</v>
      </c>
      <c r="G265" t="s">
        <v>243</v>
      </c>
      <c r="H265" t="s">
        <v>421</v>
      </c>
      <c r="I265" t="s">
        <v>444</v>
      </c>
      <c r="J265" t="s">
        <v>300</v>
      </c>
      <c r="K265" t="s">
        <v>445</v>
      </c>
      <c r="L265" t="s">
        <v>24</v>
      </c>
    </row>
    <row r="266" spans="1:12">
      <c r="A266">
        <v>400018</v>
      </c>
      <c r="B266" t="s">
        <v>446</v>
      </c>
      <c r="C266" t="s">
        <v>15</v>
      </c>
      <c r="D266" t="s">
        <v>29</v>
      </c>
      <c r="E266" t="s">
        <v>17</v>
      </c>
      <c r="F266" t="s">
        <v>66</v>
      </c>
      <c r="G266" t="s">
        <v>243</v>
      </c>
      <c r="H266" t="s">
        <v>421</v>
      </c>
      <c r="I266" t="s">
        <v>444</v>
      </c>
      <c r="J266" t="s">
        <v>300</v>
      </c>
      <c r="K266" t="s">
        <v>445</v>
      </c>
      <c r="L266" t="s">
        <v>31</v>
      </c>
    </row>
    <row r="267" spans="1:12">
      <c r="A267">
        <v>400019</v>
      </c>
      <c r="B267" t="s">
        <v>447</v>
      </c>
      <c r="C267" t="s">
        <v>15</v>
      </c>
      <c r="D267" t="s">
        <v>16</v>
      </c>
      <c r="E267" t="s">
        <v>34</v>
      </c>
      <c r="F267" t="s">
        <v>66</v>
      </c>
      <c r="G267" t="s">
        <v>243</v>
      </c>
      <c r="H267" t="s">
        <v>421</v>
      </c>
      <c r="I267" t="s">
        <v>444</v>
      </c>
      <c r="J267" t="s">
        <v>300</v>
      </c>
      <c r="K267" t="s">
        <v>445</v>
      </c>
      <c r="L267" t="s">
        <v>36</v>
      </c>
    </row>
    <row r="268" spans="1:12">
      <c r="A268">
        <v>400020</v>
      </c>
      <c r="B268" t="s">
        <v>448</v>
      </c>
      <c r="C268" t="s">
        <v>15</v>
      </c>
      <c r="D268" t="s">
        <v>29</v>
      </c>
      <c r="E268" t="s">
        <v>34</v>
      </c>
      <c r="F268" t="s">
        <v>66</v>
      </c>
      <c r="G268" t="s">
        <v>243</v>
      </c>
      <c r="H268" t="s">
        <v>421</v>
      </c>
      <c r="I268" t="s">
        <v>444</v>
      </c>
      <c r="J268" t="s">
        <v>300</v>
      </c>
      <c r="K268" t="s">
        <v>449</v>
      </c>
      <c r="L268" t="s">
        <v>40</v>
      </c>
    </row>
    <row r="269" spans="1:12">
      <c r="A269">
        <v>400021</v>
      </c>
      <c r="B269" t="s">
        <v>450</v>
      </c>
      <c r="C269" t="s">
        <v>15</v>
      </c>
      <c r="D269" t="s">
        <v>16</v>
      </c>
      <c r="E269" t="s">
        <v>17</v>
      </c>
      <c r="F269" t="s">
        <v>66</v>
      </c>
      <c r="G269" t="s">
        <v>122</v>
      </c>
      <c r="H269" t="s">
        <v>421</v>
      </c>
      <c r="I269" t="s">
        <v>444</v>
      </c>
      <c r="J269" t="s">
        <v>300</v>
      </c>
      <c r="K269" t="s">
        <v>451</v>
      </c>
      <c r="L269" t="s">
        <v>36</v>
      </c>
    </row>
    <row r="270" spans="1:12">
      <c r="A270">
        <v>400022</v>
      </c>
      <c r="B270" t="s">
        <v>452</v>
      </c>
      <c r="C270" t="s">
        <v>15</v>
      </c>
      <c r="D270" t="s">
        <v>29</v>
      </c>
      <c r="E270" t="s">
        <v>17</v>
      </c>
      <c r="F270" t="s">
        <v>66</v>
      </c>
      <c r="G270" t="s">
        <v>122</v>
      </c>
      <c r="H270" t="s">
        <v>421</v>
      </c>
      <c r="I270" t="s">
        <v>444</v>
      </c>
      <c r="J270" t="s">
        <v>300</v>
      </c>
      <c r="K270" t="s">
        <v>453</v>
      </c>
      <c r="L270" t="s">
        <v>31</v>
      </c>
    </row>
    <row r="271" spans="1:12">
      <c r="A271">
        <v>400023</v>
      </c>
      <c r="B271" t="s">
        <v>454</v>
      </c>
      <c r="C271" t="s">
        <v>15</v>
      </c>
      <c r="D271" t="s">
        <v>16</v>
      </c>
      <c r="E271" t="s">
        <v>34</v>
      </c>
      <c r="F271" t="s">
        <v>66</v>
      </c>
      <c r="G271" t="s">
        <v>122</v>
      </c>
      <c r="H271" t="s">
        <v>421</v>
      </c>
      <c r="I271" t="s">
        <v>444</v>
      </c>
      <c r="J271" t="s">
        <v>300</v>
      </c>
      <c r="K271" t="s">
        <v>451</v>
      </c>
      <c r="L271" t="s">
        <v>36</v>
      </c>
    </row>
    <row r="272" spans="1:12">
      <c r="A272">
        <v>400024</v>
      </c>
      <c r="B272" t="s">
        <v>455</v>
      </c>
      <c r="C272" t="s">
        <v>15</v>
      </c>
      <c r="D272" t="s">
        <v>29</v>
      </c>
      <c r="E272" t="s">
        <v>34</v>
      </c>
      <c r="F272" t="s">
        <v>66</v>
      </c>
      <c r="G272" t="s">
        <v>122</v>
      </c>
      <c r="H272" t="s">
        <v>421</v>
      </c>
      <c r="I272" t="s">
        <v>444</v>
      </c>
      <c r="J272" t="s">
        <v>300</v>
      </c>
      <c r="K272" t="s">
        <v>449</v>
      </c>
      <c r="L272" t="s">
        <v>40</v>
      </c>
    </row>
    <row r="273" spans="1:12">
      <c r="A273">
        <v>400025</v>
      </c>
      <c r="B273" t="s">
        <v>456</v>
      </c>
      <c r="C273" t="s">
        <v>43</v>
      </c>
      <c r="D273" t="s">
        <v>49</v>
      </c>
      <c r="E273" t="s">
        <v>34</v>
      </c>
      <c r="F273" t="s">
        <v>66</v>
      </c>
      <c r="G273" t="s">
        <v>243</v>
      </c>
      <c r="H273" t="s">
        <v>421</v>
      </c>
      <c r="I273" t="s">
        <v>300</v>
      </c>
      <c r="J273" t="s">
        <v>300</v>
      </c>
      <c r="K273" t="s">
        <v>457</v>
      </c>
      <c r="L273" t="s">
        <v>55</v>
      </c>
    </row>
    <row r="274" spans="1:12">
      <c r="A274">
        <v>400026</v>
      </c>
      <c r="B274" t="s">
        <v>458</v>
      </c>
      <c r="C274" t="s">
        <v>43</v>
      </c>
      <c r="D274" t="s">
        <v>49</v>
      </c>
      <c r="E274" t="s">
        <v>34</v>
      </c>
      <c r="F274" t="s">
        <v>66</v>
      </c>
      <c r="G274" t="s">
        <v>122</v>
      </c>
      <c r="H274" t="s">
        <v>421</v>
      </c>
      <c r="I274" t="s">
        <v>300</v>
      </c>
      <c r="J274" t="s">
        <v>300</v>
      </c>
      <c r="K274" t="s">
        <v>457</v>
      </c>
      <c r="L274" t="s">
        <v>55</v>
      </c>
    </row>
    <row r="275" spans="1:12">
      <c r="A275">
        <v>400027</v>
      </c>
      <c r="B275" t="s">
        <v>459</v>
      </c>
      <c r="C275" t="s">
        <v>43</v>
      </c>
      <c r="D275" t="s">
        <v>49</v>
      </c>
      <c r="E275" t="s">
        <v>17</v>
      </c>
      <c r="F275" t="s">
        <v>66</v>
      </c>
      <c r="G275" t="s">
        <v>243</v>
      </c>
      <c r="H275" t="s">
        <v>421</v>
      </c>
      <c r="I275" t="s">
        <v>300</v>
      </c>
      <c r="J275" t="s">
        <v>300</v>
      </c>
      <c r="K275" t="s">
        <v>460</v>
      </c>
      <c r="L275" t="s">
        <v>50</v>
      </c>
    </row>
    <row r="276" spans="1:12">
      <c r="A276">
        <v>400028</v>
      </c>
      <c r="B276" t="s">
        <v>461</v>
      </c>
      <c r="C276" t="s">
        <v>43</v>
      </c>
      <c r="D276" t="s">
        <v>49</v>
      </c>
      <c r="E276" t="s">
        <v>17</v>
      </c>
      <c r="F276" t="s">
        <v>66</v>
      </c>
      <c r="G276" t="s">
        <v>122</v>
      </c>
      <c r="H276" t="s">
        <v>421</v>
      </c>
      <c r="I276" t="s">
        <v>300</v>
      </c>
      <c r="J276" t="s">
        <v>300</v>
      </c>
      <c r="K276" t="s">
        <v>460</v>
      </c>
      <c r="L276" t="s">
        <v>50</v>
      </c>
    </row>
    <row r="277" spans="1:12">
      <c r="A277">
        <v>400029</v>
      </c>
      <c r="B277" t="s">
        <v>462</v>
      </c>
      <c r="C277" t="s">
        <v>64</v>
      </c>
      <c r="D277" t="s">
        <v>65</v>
      </c>
      <c r="E277" t="s">
        <v>17</v>
      </c>
      <c r="F277" t="s">
        <v>66</v>
      </c>
      <c r="G277" t="s">
        <v>243</v>
      </c>
      <c r="H277" t="s">
        <v>421</v>
      </c>
      <c r="I277" t="s">
        <v>300</v>
      </c>
      <c r="J277" t="s">
        <v>300</v>
      </c>
      <c r="K277" t="s">
        <v>463</v>
      </c>
      <c r="L277" t="s">
        <v>68</v>
      </c>
    </row>
    <row r="278" spans="1:12">
      <c r="A278">
        <v>400030</v>
      </c>
      <c r="B278" t="s">
        <v>464</v>
      </c>
      <c r="L278" t="s">
        <v>465</v>
      </c>
    </row>
    <row r="279" spans="1:12">
      <c r="A279">
        <v>400031</v>
      </c>
      <c r="B279" t="s">
        <v>466</v>
      </c>
      <c r="L279" t="s">
        <v>465</v>
      </c>
    </row>
    <row r="280" spans="1:12">
      <c r="A280">
        <v>400032</v>
      </c>
      <c r="B280" t="s">
        <v>467</v>
      </c>
      <c r="L280" t="s">
        <v>465</v>
      </c>
    </row>
    <row r="281" spans="1:12">
      <c r="A281">
        <v>400033</v>
      </c>
      <c r="B281" t="s">
        <v>468</v>
      </c>
      <c r="L281" t="s">
        <v>465</v>
      </c>
    </row>
    <row r="282" spans="1:12">
      <c r="A282">
        <v>400034</v>
      </c>
      <c r="B282" t="s">
        <v>469</v>
      </c>
      <c r="L282" t="s">
        <v>465</v>
      </c>
    </row>
    <row r="283" spans="1:12">
      <c r="A283">
        <v>400035</v>
      </c>
      <c r="B283" t="s">
        <v>470</v>
      </c>
      <c r="L283" t="s">
        <v>465</v>
      </c>
    </row>
    <row r="284" spans="1:12">
      <c r="A284">
        <v>400036</v>
      </c>
      <c r="B284" t="s">
        <v>471</v>
      </c>
      <c r="L284" t="s">
        <v>465</v>
      </c>
    </row>
    <row r="285" spans="1:12">
      <c r="A285">
        <v>400037</v>
      </c>
      <c r="B285" t="s">
        <v>472</v>
      </c>
      <c r="L285" t="s">
        <v>465</v>
      </c>
    </row>
    <row r="286" spans="1:12">
      <c r="A286">
        <v>400038</v>
      </c>
      <c r="B286" t="s">
        <v>473</v>
      </c>
      <c r="L286" t="s">
        <v>465</v>
      </c>
    </row>
    <row r="287" spans="1:12">
      <c r="A287">
        <v>400039</v>
      </c>
      <c r="B287" t="s">
        <v>474</v>
      </c>
      <c r="L287" t="s">
        <v>465</v>
      </c>
    </row>
    <row r="288" spans="1:12">
      <c r="A288">
        <v>400040</v>
      </c>
      <c r="B288" t="s">
        <v>475</v>
      </c>
      <c r="L288" t="s">
        <v>465</v>
      </c>
    </row>
    <row r="289" spans="1:12">
      <c r="A289">
        <v>400041</v>
      </c>
      <c r="B289" t="s">
        <v>476</v>
      </c>
      <c r="L289" t="s">
        <v>465</v>
      </c>
    </row>
    <row r="290" spans="1:12">
      <c r="A290">
        <v>400042</v>
      </c>
      <c r="B290" t="s">
        <v>477</v>
      </c>
      <c r="L290" t="s">
        <v>465</v>
      </c>
    </row>
    <row r="291" spans="1:12">
      <c r="A291">
        <v>400043</v>
      </c>
      <c r="B291" t="s">
        <v>478</v>
      </c>
      <c r="L291" t="s">
        <v>465</v>
      </c>
    </row>
    <row r="292" spans="1:12">
      <c r="A292">
        <v>400044</v>
      </c>
      <c r="B292" t="s">
        <v>479</v>
      </c>
      <c r="C292" t="s">
        <v>43</v>
      </c>
      <c r="D292" t="s">
        <v>103</v>
      </c>
      <c r="E292" t="s">
        <v>17</v>
      </c>
      <c r="F292" t="s">
        <v>66</v>
      </c>
      <c r="G292" t="s">
        <v>243</v>
      </c>
      <c r="H292" t="s">
        <v>421</v>
      </c>
      <c r="I292" t="s">
        <v>300</v>
      </c>
      <c r="J292" t="s">
        <v>300</v>
      </c>
      <c r="K292" t="s">
        <v>480</v>
      </c>
      <c r="L292" t="s">
        <v>106</v>
      </c>
    </row>
    <row r="293" spans="1:12">
      <c r="A293">
        <v>400046</v>
      </c>
      <c r="B293" t="s">
        <v>481</v>
      </c>
      <c r="L293" t="s">
        <v>465</v>
      </c>
    </row>
    <row r="294" spans="1:12">
      <c r="A294">
        <v>400047</v>
      </c>
      <c r="B294" t="s">
        <v>482</v>
      </c>
      <c r="L294" t="s">
        <v>465</v>
      </c>
    </row>
    <row r="295" spans="1:12">
      <c r="A295">
        <v>400048</v>
      </c>
      <c r="B295" t="s">
        <v>483</v>
      </c>
      <c r="L295" t="s">
        <v>465</v>
      </c>
    </row>
    <row r="296" spans="1:12">
      <c r="A296">
        <v>400055</v>
      </c>
      <c r="B296" t="s">
        <v>484</v>
      </c>
      <c r="C296" t="s">
        <v>43</v>
      </c>
      <c r="D296" t="s">
        <v>103</v>
      </c>
      <c r="E296" t="s">
        <v>34</v>
      </c>
      <c r="F296" t="s">
        <v>66</v>
      </c>
      <c r="G296" t="s">
        <v>243</v>
      </c>
      <c r="H296" t="s">
        <v>421</v>
      </c>
      <c r="I296" t="s">
        <v>300</v>
      </c>
      <c r="J296" t="s">
        <v>300</v>
      </c>
      <c r="K296" t="s">
        <v>485</v>
      </c>
      <c r="L296" t="s">
        <v>109</v>
      </c>
    </row>
    <row r="297" spans="1:12">
      <c r="A297">
        <v>400056</v>
      </c>
      <c r="B297" t="s">
        <v>486</v>
      </c>
      <c r="C297" t="s">
        <v>64</v>
      </c>
      <c r="D297" t="s">
        <v>65</v>
      </c>
      <c r="E297" t="s">
        <v>34</v>
      </c>
      <c r="F297" t="s">
        <v>66</v>
      </c>
      <c r="G297" t="s">
        <v>243</v>
      </c>
      <c r="H297" t="s">
        <v>421</v>
      </c>
      <c r="I297" t="s">
        <v>300</v>
      </c>
      <c r="J297" t="s">
        <v>300</v>
      </c>
      <c r="K297" t="s">
        <v>487</v>
      </c>
      <c r="L297" t="s">
        <v>180</v>
      </c>
    </row>
    <row r="298" spans="1:12">
      <c r="A298">
        <v>400057</v>
      </c>
      <c r="B298" t="s">
        <v>488</v>
      </c>
      <c r="C298" t="s">
        <v>15</v>
      </c>
      <c r="D298" t="s">
        <v>192</v>
      </c>
      <c r="E298" t="s">
        <v>17</v>
      </c>
      <c r="F298" t="s">
        <v>66</v>
      </c>
      <c r="G298" t="s">
        <v>243</v>
      </c>
      <c r="H298" t="s">
        <v>421</v>
      </c>
      <c r="I298" t="s">
        <v>300</v>
      </c>
      <c r="J298" t="s">
        <v>300</v>
      </c>
      <c r="K298" t="s">
        <v>407</v>
      </c>
      <c r="L298" t="s">
        <v>24</v>
      </c>
    </row>
    <row r="299" spans="1:12">
      <c r="A299">
        <v>400058</v>
      </c>
      <c r="B299" t="s">
        <v>489</v>
      </c>
      <c r="C299" t="s">
        <v>15</v>
      </c>
      <c r="D299" t="s">
        <v>192</v>
      </c>
      <c r="E299" t="s">
        <v>34</v>
      </c>
      <c r="F299" t="s">
        <v>66</v>
      </c>
      <c r="G299" t="s">
        <v>243</v>
      </c>
      <c r="H299" t="s">
        <v>421</v>
      </c>
      <c r="I299" t="s">
        <v>300</v>
      </c>
      <c r="J299" t="s">
        <v>300</v>
      </c>
      <c r="K299" t="s">
        <v>415</v>
      </c>
      <c r="L299" t="s">
        <v>36</v>
      </c>
    </row>
    <row r="300" spans="1:12">
      <c r="A300">
        <v>400059</v>
      </c>
      <c r="B300" t="s">
        <v>490</v>
      </c>
      <c r="C300" t="s">
        <v>15</v>
      </c>
      <c r="D300" t="s">
        <v>192</v>
      </c>
      <c r="E300" t="s">
        <v>17</v>
      </c>
      <c r="F300" t="s">
        <v>66</v>
      </c>
      <c r="G300" t="s">
        <v>491</v>
      </c>
      <c r="H300" t="s">
        <v>334</v>
      </c>
      <c r="I300" t="s">
        <v>300</v>
      </c>
      <c r="J300" t="s">
        <v>300</v>
      </c>
      <c r="K300" t="s">
        <v>203</v>
      </c>
      <c r="L300" t="s">
        <v>194</v>
      </c>
    </row>
    <row r="301" spans="1:12">
      <c r="A301">
        <v>400060</v>
      </c>
      <c r="B301" t="s">
        <v>492</v>
      </c>
      <c r="C301" t="s">
        <v>15</v>
      </c>
      <c r="D301" t="s">
        <v>192</v>
      </c>
      <c r="E301" t="s">
        <v>34</v>
      </c>
      <c r="F301" t="s">
        <v>66</v>
      </c>
      <c r="G301" t="s">
        <v>491</v>
      </c>
      <c r="H301" t="s">
        <v>334</v>
      </c>
      <c r="I301" t="s">
        <v>300</v>
      </c>
      <c r="J301" t="s">
        <v>300</v>
      </c>
      <c r="K301" t="s">
        <v>205</v>
      </c>
      <c r="L301" t="s">
        <v>198</v>
      </c>
    </row>
    <row r="302" spans="1:12">
      <c r="A302">
        <v>400061</v>
      </c>
      <c r="B302" t="s">
        <v>493</v>
      </c>
      <c r="C302" t="s">
        <v>129</v>
      </c>
      <c r="D302" t="s">
        <v>65</v>
      </c>
      <c r="E302" t="s">
        <v>34</v>
      </c>
      <c r="F302" t="s">
        <v>66</v>
      </c>
      <c r="G302" t="s">
        <v>243</v>
      </c>
      <c r="H302" t="s">
        <v>494</v>
      </c>
      <c r="I302" t="s">
        <v>495</v>
      </c>
      <c r="J302" t="s">
        <v>300</v>
      </c>
      <c r="K302" t="s">
        <v>176</v>
      </c>
      <c r="L302" t="s">
        <v>177</v>
      </c>
    </row>
    <row r="303" spans="1:12">
      <c r="A303">
        <v>666666</v>
      </c>
      <c r="B303" t="s">
        <v>496</v>
      </c>
      <c r="C303" t="s">
        <v>93</v>
      </c>
      <c r="D303" t="s">
        <v>125</v>
      </c>
      <c r="E303" t="s">
        <v>17</v>
      </c>
      <c r="F303" t="s">
        <v>18</v>
      </c>
      <c r="G303" t="s">
        <v>19</v>
      </c>
      <c r="H303" t="s">
        <v>95</v>
      </c>
      <c r="I303" t="s">
        <v>497</v>
      </c>
      <c r="J303" t="s">
        <v>22</v>
      </c>
      <c r="L303" t="s">
        <v>465</v>
      </c>
    </row>
    <row r="304" spans="1:12">
      <c r="A304">
        <v>700007</v>
      </c>
      <c r="B304" t="s">
        <v>498</v>
      </c>
      <c r="C304" t="s">
        <v>93</v>
      </c>
      <c r="D304" t="s">
        <v>117</v>
      </c>
      <c r="E304" t="s">
        <v>17</v>
      </c>
      <c r="F304" t="s">
        <v>66</v>
      </c>
      <c r="G304" t="s">
        <v>19</v>
      </c>
      <c r="H304" t="s">
        <v>95</v>
      </c>
      <c r="I304" t="s">
        <v>101</v>
      </c>
      <c r="J304" t="s">
        <v>22</v>
      </c>
      <c r="K304" t="s">
        <v>119</v>
      </c>
      <c r="L304" t="s">
        <v>120</v>
      </c>
    </row>
    <row r="305" spans="1:12">
      <c r="A305">
        <v>700008</v>
      </c>
      <c r="B305" t="s">
        <v>499</v>
      </c>
      <c r="C305" t="s">
        <v>93</v>
      </c>
      <c r="D305" t="s">
        <v>117</v>
      </c>
      <c r="E305" t="s">
        <v>17</v>
      </c>
      <c r="F305" t="s">
        <v>66</v>
      </c>
      <c r="G305" t="s">
        <v>19</v>
      </c>
      <c r="H305" t="s">
        <v>95</v>
      </c>
      <c r="I305" t="s">
        <v>101</v>
      </c>
      <c r="J305" t="s">
        <v>22</v>
      </c>
      <c r="K305" t="s">
        <v>119</v>
      </c>
      <c r="L305" t="s">
        <v>120</v>
      </c>
    </row>
    <row r="306" spans="1:12">
      <c r="A306">
        <v>777777</v>
      </c>
      <c r="B306" t="s">
        <v>500</v>
      </c>
      <c r="C306" t="s">
        <v>406</v>
      </c>
      <c r="D306" t="s">
        <v>65</v>
      </c>
      <c r="E306" t="s">
        <v>17</v>
      </c>
      <c r="F306" t="s">
        <v>66</v>
      </c>
      <c r="G306" t="s">
        <v>406</v>
      </c>
      <c r="H306" t="s">
        <v>244</v>
      </c>
      <c r="I306" t="s">
        <v>368</v>
      </c>
      <c r="J306" t="s">
        <v>368</v>
      </c>
      <c r="L306" t="s">
        <v>465</v>
      </c>
    </row>
    <row r="307" spans="1:12">
      <c r="A307">
        <v>888888</v>
      </c>
      <c r="B307" t="s">
        <v>501</v>
      </c>
      <c r="C307" t="s">
        <v>406</v>
      </c>
      <c r="D307" t="s">
        <v>65</v>
      </c>
      <c r="E307" t="s">
        <v>34</v>
      </c>
      <c r="F307" t="s">
        <v>66</v>
      </c>
      <c r="G307" t="s">
        <v>406</v>
      </c>
      <c r="H307" t="s">
        <v>244</v>
      </c>
      <c r="I307" t="s">
        <v>368</v>
      </c>
      <c r="J307" t="s">
        <v>368</v>
      </c>
      <c r="L307" t="s">
        <v>465</v>
      </c>
    </row>
    <row r="308" spans="1:12">
      <c r="A308">
        <v>900001</v>
      </c>
      <c r="B308" t="s">
        <v>502</v>
      </c>
      <c r="C308" t="s">
        <v>15</v>
      </c>
      <c r="D308" t="s">
        <v>16</v>
      </c>
      <c r="E308" t="s">
        <v>34</v>
      </c>
      <c r="F308" t="s">
        <v>161</v>
      </c>
      <c r="G308" t="s">
        <v>19</v>
      </c>
      <c r="H308" t="s">
        <v>95</v>
      </c>
      <c r="I308" t="s">
        <v>114</v>
      </c>
      <c r="J308" t="s">
        <v>22</v>
      </c>
      <c r="K308" t="s">
        <v>503</v>
      </c>
      <c r="L308" t="s">
        <v>36</v>
      </c>
    </row>
    <row r="309" spans="1:12">
      <c r="A309">
        <v>900002</v>
      </c>
      <c r="B309" t="s">
        <v>504</v>
      </c>
      <c r="C309" t="s">
        <v>505</v>
      </c>
      <c r="D309" t="s">
        <v>117</v>
      </c>
      <c r="E309" t="s">
        <v>34</v>
      </c>
      <c r="F309" t="s">
        <v>66</v>
      </c>
      <c r="G309" t="s">
        <v>19</v>
      </c>
      <c r="H309" t="s">
        <v>95</v>
      </c>
      <c r="I309" t="s">
        <v>114</v>
      </c>
      <c r="J309" t="s">
        <v>22</v>
      </c>
      <c r="K309" t="s">
        <v>506</v>
      </c>
      <c r="L309" t="s">
        <v>507</v>
      </c>
    </row>
    <row r="310" spans="1:12">
      <c r="A310">
        <v>700009</v>
      </c>
      <c r="B310" t="s">
        <v>508</v>
      </c>
      <c r="C310" t="s">
        <v>509</v>
      </c>
      <c r="D310" t="s">
        <v>117</v>
      </c>
      <c r="E310" t="s">
        <v>34</v>
      </c>
      <c r="F310" t="s">
        <v>66</v>
      </c>
      <c r="G310" t="s">
        <v>491</v>
      </c>
      <c r="H310" t="s">
        <v>95</v>
      </c>
      <c r="I310" t="s">
        <v>21</v>
      </c>
      <c r="J310" t="s">
        <v>22</v>
      </c>
      <c r="K310" t="s">
        <v>510</v>
      </c>
      <c r="L310" t="s">
        <v>507</v>
      </c>
    </row>
    <row r="311" spans="1:12">
      <c r="A311">
        <v>700010</v>
      </c>
      <c r="B311" t="s">
        <v>511</v>
      </c>
      <c r="C311" t="s">
        <v>509</v>
      </c>
      <c r="D311" t="s">
        <v>65</v>
      </c>
      <c r="E311" t="s">
        <v>34</v>
      </c>
      <c r="F311" t="s">
        <v>66</v>
      </c>
      <c r="G311" t="s">
        <v>122</v>
      </c>
      <c r="H311" t="s">
        <v>95</v>
      </c>
      <c r="I311" t="s">
        <v>21</v>
      </c>
      <c r="J311" t="s">
        <v>22</v>
      </c>
      <c r="K311" t="s">
        <v>510</v>
      </c>
      <c r="L311" t="s">
        <v>507</v>
      </c>
    </row>
    <row r="312" spans="1:12">
      <c r="A312">
        <v>900003</v>
      </c>
      <c r="B312" t="s">
        <v>512</v>
      </c>
      <c r="C312" t="s">
        <v>43</v>
      </c>
      <c r="D312" t="s">
        <v>89</v>
      </c>
      <c r="E312" t="s">
        <v>34</v>
      </c>
      <c r="F312" t="s">
        <v>161</v>
      </c>
      <c r="G312" t="s">
        <v>19</v>
      </c>
      <c r="H312" t="s">
        <v>95</v>
      </c>
      <c r="I312" t="s">
        <v>114</v>
      </c>
      <c r="J312" t="s">
        <v>22</v>
      </c>
      <c r="K312" t="s">
        <v>513</v>
      </c>
      <c r="L312" t="s">
        <v>91</v>
      </c>
    </row>
    <row r="313" spans="1:12">
      <c r="A313">
        <v>100120</v>
      </c>
      <c r="B313" t="s">
        <v>514</v>
      </c>
      <c r="C313" t="s">
        <v>129</v>
      </c>
      <c r="D313" t="s">
        <v>65</v>
      </c>
      <c r="E313" t="s">
        <v>17</v>
      </c>
      <c r="G313" t="s">
        <v>19</v>
      </c>
      <c r="H313" t="s">
        <v>95</v>
      </c>
      <c r="I313" t="s">
        <v>114</v>
      </c>
      <c r="J313" t="s">
        <v>22</v>
      </c>
      <c r="K313" t="s">
        <v>515</v>
      </c>
      <c r="L313" t="s">
        <v>516</v>
      </c>
    </row>
    <row r="314" spans="1:12">
      <c r="A314">
        <v>300046</v>
      </c>
      <c r="B314" t="s">
        <v>517</v>
      </c>
      <c r="C314" t="s">
        <v>129</v>
      </c>
      <c r="D314" t="s">
        <v>65</v>
      </c>
      <c r="E314" t="s">
        <v>17</v>
      </c>
      <c r="F314" t="s">
        <v>66</v>
      </c>
      <c r="G314" t="s">
        <v>122</v>
      </c>
      <c r="H314" t="s">
        <v>334</v>
      </c>
      <c r="I314" t="s">
        <v>189</v>
      </c>
      <c r="J314" t="s">
        <v>22</v>
      </c>
      <c r="K314" t="s">
        <v>518</v>
      </c>
      <c r="L314" t="s">
        <v>131</v>
      </c>
    </row>
    <row r="315" spans="1:12">
      <c r="A315">
        <v>300047</v>
      </c>
      <c r="B315" t="s">
        <v>519</v>
      </c>
      <c r="C315" t="s">
        <v>129</v>
      </c>
      <c r="D315" t="s">
        <v>65</v>
      </c>
      <c r="E315" t="s">
        <v>17</v>
      </c>
      <c r="F315" t="s">
        <v>66</v>
      </c>
      <c r="G315" t="s">
        <v>122</v>
      </c>
      <c r="H315" t="s">
        <v>334</v>
      </c>
      <c r="I315" t="s">
        <v>189</v>
      </c>
      <c r="J315" t="s">
        <v>22</v>
      </c>
      <c r="K315" t="s">
        <v>520</v>
      </c>
      <c r="L315" t="s">
        <v>516</v>
      </c>
    </row>
    <row r="316" spans="1:12">
      <c r="A316">
        <v>100121</v>
      </c>
      <c r="B316" t="s">
        <v>521</v>
      </c>
      <c r="C316" t="s">
        <v>129</v>
      </c>
      <c r="D316" t="s">
        <v>65</v>
      </c>
      <c r="E316" t="s">
        <v>17</v>
      </c>
      <c r="F316" t="s">
        <v>66</v>
      </c>
      <c r="G316" t="s">
        <v>19</v>
      </c>
      <c r="H316" t="s">
        <v>133</v>
      </c>
      <c r="I316" t="s">
        <v>522</v>
      </c>
      <c r="J316" t="s">
        <v>22</v>
      </c>
      <c r="K316" t="s">
        <v>515</v>
      </c>
      <c r="L316" t="s">
        <v>516</v>
      </c>
    </row>
    <row r="317" spans="1:12">
      <c r="A317">
        <v>300048</v>
      </c>
      <c r="B317" t="s">
        <v>523</v>
      </c>
      <c r="C317" t="s">
        <v>15</v>
      </c>
      <c r="D317" t="s">
        <v>65</v>
      </c>
      <c r="E317" t="s">
        <v>524</v>
      </c>
      <c r="F317" t="s">
        <v>66</v>
      </c>
      <c r="G317" t="s">
        <v>392</v>
      </c>
      <c r="H317" t="s">
        <v>334</v>
      </c>
      <c r="I317" t="s">
        <v>525</v>
      </c>
      <c r="J317" t="s">
        <v>22</v>
      </c>
      <c r="K317" t="s">
        <v>526</v>
      </c>
      <c r="L317" t="s">
        <v>527</v>
      </c>
    </row>
    <row r="318" spans="1:12">
      <c r="A318">
        <v>300049</v>
      </c>
      <c r="B318" t="s">
        <v>528</v>
      </c>
      <c r="C318" t="s">
        <v>15</v>
      </c>
      <c r="D318" t="s">
        <v>65</v>
      </c>
      <c r="E318" t="s">
        <v>529</v>
      </c>
      <c r="F318" t="s">
        <v>66</v>
      </c>
      <c r="G318" t="s">
        <v>392</v>
      </c>
      <c r="H318" t="s">
        <v>334</v>
      </c>
      <c r="I318" t="s">
        <v>525</v>
      </c>
      <c r="J318" t="s">
        <v>22</v>
      </c>
      <c r="K318" t="s">
        <v>526</v>
      </c>
      <c r="L318" t="s">
        <v>527</v>
      </c>
    </row>
    <row r="319" spans="1:12">
      <c r="A319">
        <v>500000</v>
      </c>
      <c r="B319" t="s">
        <v>530</v>
      </c>
      <c r="C319" t="s">
        <v>15</v>
      </c>
      <c r="D319" t="s">
        <v>65</v>
      </c>
      <c r="E319" t="s">
        <v>17</v>
      </c>
      <c r="F319" t="s">
        <v>66</v>
      </c>
      <c r="G319" t="s">
        <v>19</v>
      </c>
      <c r="H319" t="s">
        <v>95</v>
      </c>
      <c r="I319" t="s">
        <v>531</v>
      </c>
      <c r="J319" t="s">
        <v>22</v>
      </c>
      <c r="K319" t="s">
        <v>532</v>
      </c>
      <c r="L319" t="s">
        <v>533</v>
      </c>
    </row>
    <row r="320" spans="1:12">
      <c r="A320">
        <v>520000</v>
      </c>
      <c r="B320" t="s">
        <v>534</v>
      </c>
      <c r="C320" t="s">
        <v>43</v>
      </c>
      <c r="D320" t="s">
        <v>65</v>
      </c>
      <c r="E320" t="s">
        <v>17</v>
      </c>
      <c r="F320" t="s">
        <v>66</v>
      </c>
      <c r="G320" t="s">
        <v>19</v>
      </c>
      <c r="H320" t="s">
        <v>95</v>
      </c>
      <c r="I320" t="s">
        <v>531</v>
      </c>
      <c r="J320" t="s">
        <v>22</v>
      </c>
      <c r="K320" t="s">
        <v>535</v>
      </c>
      <c r="L320" t="s">
        <v>536</v>
      </c>
    </row>
    <row r="321" spans="1:12">
      <c r="A321">
        <v>530000</v>
      </c>
      <c r="B321" t="s">
        <v>537</v>
      </c>
      <c r="C321" t="s">
        <v>129</v>
      </c>
      <c r="D321" t="s">
        <v>65</v>
      </c>
      <c r="E321" t="s">
        <v>17</v>
      </c>
      <c r="F321" t="s">
        <v>66</v>
      </c>
      <c r="G321" t="s">
        <v>19</v>
      </c>
      <c r="H321" t="s">
        <v>95</v>
      </c>
      <c r="I321" t="s">
        <v>531</v>
      </c>
      <c r="J321" t="s">
        <v>22</v>
      </c>
      <c r="K321" t="s">
        <v>538</v>
      </c>
      <c r="L321" t="s">
        <v>516</v>
      </c>
    </row>
    <row r="322" spans="1:12">
      <c r="A322">
        <v>540000</v>
      </c>
      <c r="B322" t="s">
        <v>539</v>
      </c>
      <c r="C322" t="s">
        <v>64</v>
      </c>
      <c r="D322" t="s">
        <v>65</v>
      </c>
      <c r="E322" t="s">
        <v>17</v>
      </c>
      <c r="F322" t="s">
        <v>66</v>
      </c>
      <c r="G322" t="s">
        <v>19</v>
      </c>
      <c r="H322" t="s">
        <v>95</v>
      </c>
      <c r="I322" t="s">
        <v>531</v>
      </c>
      <c r="J322" t="s">
        <v>22</v>
      </c>
      <c r="K322" t="s">
        <v>540</v>
      </c>
      <c r="L322" t="s">
        <v>68</v>
      </c>
    </row>
    <row r="323" spans="1:12">
      <c r="A323">
        <v>550000</v>
      </c>
      <c r="B323" t="s">
        <v>541</v>
      </c>
      <c r="C323" t="s">
        <v>247</v>
      </c>
      <c r="D323" t="s">
        <v>65</v>
      </c>
      <c r="E323" t="s">
        <v>17</v>
      </c>
      <c r="F323" t="s">
        <v>66</v>
      </c>
      <c r="G323" t="s">
        <v>19</v>
      </c>
      <c r="H323" t="s">
        <v>95</v>
      </c>
      <c r="I323" t="s">
        <v>531</v>
      </c>
      <c r="J323" t="s">
        <v>22</v>
      </c>
      <c r="K323" t="s">
        <v>542</v>
      </c>
      <c r="L323" t="s">
        <v>543</v>
      </c>
    </row>
    <row r="324" spans="1:12">
      <c r="A324">
        <v>560000</v>
      </c>
      <c r="B324" t="s">
        <v>544</v>
      </c>
      <c r="C324" t="s">
        <v>545</v>
      </c>
      <c r="D324" t="s">
        <v>65</v>
      </c>
      <c r="E324" t="s">
        <v>17</v>
      </c>
      <c r="F324" t="s">
        <v>66</v>
      </c>
      <c r="G324" t="s">
        <v>19</v>
      </c>
      <c r="H324" t="s">
        <v>95</v>
      </c>
      <c r="I324" t="s">
        <v>531</v>
      </c>
      <c r="J324" t="s">
        <v>22</v>
      </c>
      <c r="K324" t="s">
        <v>546</v>
      </c>
      <c r="L324" t="s">
        <v>547</v>
      </c>
    </row>
    <row r="325" spans="1:12">
      <c r="A325">
        <v>570000</v>
      </c>
      <c r="B325" t="s">
        <v>548</v>
      </c>
      <c r="C325" t="s">
        <v>549</v>
      </c>
      <c r="D325" t="s">
        <v>65</v>
      </c>
      <c r="E325" t="s">
        <v>17</v>
      </c>
      <c r="F325" t="s">
        <v>66</v>
      </c>
      <c r="G325" t="s">
        <v>19</v>
      </c>
      <c r="H325" t="s">
        <v>95</v>
      </c>
      <c r="I325" t="s">
        <v>531</v>
      </c>
      <c r="J325" t="s">
        <v>22</v>
      </c>
      <c r="K325" t="s">
        <v>260</v>
      </c>
      <c r="L325" t="s">
        <v>261</v>
      </c>
    </row>
    <row r="326" spans="1:12">
      <c r="A326">
        <v>580000</v>
      </c>
      <c r="B326" t="s">
        <v>550</v>
      </c>
      <c r="C326" t="s">
        <v>551</v>
      </c>
      <c r="D326" t="s">
        <v>65</v>
      </c>
      <c r="E326" t="s">
        <v>529</v>
      </c>
      <c r="F326" t="s">
        <v>66</v>
      </c>
      <c r="G326" t="s">
        <v>19</v>
      </c>
      <c r="H326" t="s">
        <v>95</v>
      </c>
      <c r="I326" t="s">
        <v>531</v>
      </c>
      <c r="J326" t="s">
        <v>22</v>
      </c>
      <c r="K326" t="s">
        <v>260</v>
      </c>
      <c r="L326" t="s">
        <v>261</v>
      </c>
    </row>
    <row r="327" spans="1:12">
      <c r="A327">
        <v>100125</v>
      </c>
      <c r="B327" t="s">
        <v>552</v>
      </c>
      <c r="C327" t="s">
        <v>247</v>
      </c>
      <c r="D327" t="s">
        <v>65</v>
      </c>
      <c r="E327" t="s">
        <v>17</v>
      </c>
      <c r="F327" t="s">
        <v>66</v>
      </c>
      <c r="G327" t="s">
        <v>553</v>
      </c>
      <c r="H327" t="s">
        <v>133</v>
      </c>
      <c r="I327" t="s">
        <v>554</v>
      </c>
      <c r="J327" t="s">
        <v>22</v>
      </c>
      <c r="K327" t="s">
        <v>555</v>
      </c>
      <c r="L327" t="s">
        <v>556</v>
      </c>
    </row>
    <row r="328" spans="1:12">
      <c r="A328">
        <v>100126</v>
      </c>
      <c r="B328" t="s">
        <v>557</v>
      </c>
      <c r="C328" t="s">
        <v>129</v>
      </c>
      <c r="D328" t="s">
        <v>65</v>
      </c>
      <c r="E328" t="s">
        <v>17</v>
      </c>
      <c r="F328" t="s">
        <v>66</v>
      </c>
      <c r="G328" t="s">
        <v>243</v>
      </c>
      <c r="H328" t="s">
        <v>133</v>
      </c>
      <c r="I328" t="s">
        <v>554</v>
      </c>
      <c r="J328" t="s">
        <v>22</v>
      </c>
      <c r="K328" t="s">
        <v>558</v>
      </c>
      <c r="L328" t="s">
        <v>516</v>
      </c>
    </row>
    <row r="329" spans="1:12">
      <c r="A329">
        <v>100127</v>
      </c>
      <c r="B329" t="s">
        <v>559</v>
      </c>
      <c r="C329" t="s">
        <v>129</v>
      </c>
      <c r="D329" t="s">
        <v>65</v>
      </c>
      <c r="E329" t="s">
        <v>17</v>
      </c>
      <c r="F329" t="s">
        <v>66</v>
      </c>
      <c r="G329" t="s">
        <v>243</v>
      </c>
      <c r="H329" t="s">
        <v>133</v>
      </c>
      <c r="I329" t="s">
        <v>554</v>
      </c>
      <c r="J329" t="s">
        <v>22</v>
      </c>
      <c r="K329" t="s">
        <v>558</v>
      </c>
      <c r="L329" t="s">
        <v>516</v>
      </c>
    </row>
    <row r="330" spans="1:12">
      <c r="A330">
        <v>100128</v>
      </c>
      <c r="B330" t="s">
        <v>560</v>
      </c>
      <c r="C330" t="s">
        <v>129</v>
      </c>
      <c r="D330" t="s">
        <v>65</v>
      </c>
      <c r="E330" t="s">
        <v>34</v>
      </c>
      <c r="F330" t="s">
        <v>66</v>
      </c>
      <c r="G330" t="s">
        <v>243</v>
      </c>
      <c r="H330" t="s">
        <v>133</v>
      </c>
      <c r="I330" t="s">
        <v>345</v>
      </c>
      <c r="J330" t="s">
        <v>22</v>
      </c>
      <c r="K330" t="s">
        <v>561</v>
      </c>
      <c r="L330" t="s">
        <v>562</v>
      </c>
    </row>
    <row r="331" spans="1:12">
      <c r="A331">
        <v>100123</v>
      </c>
      <c r="B331" t="s">
        <v>563</v>
      </c>
      <c r="C331" t="s">
        <v>129</v>
      </c>
      <c r="D331" t="s">
        <v>65</v>
      </c>
      <c r="E331" t="s">
        <v>34</v>
      </c>
      <c r="F331" t="s">
        <v>66</v>
      </c>
      <c r="G331" t="s">
        <v>122</v>
      </c>
      <c r="H331" t="s">
        <v>334</v>
      </c>
      <c r="I331" t="s">
        <v>340</v>
      </c>
      <c r="J331" t="s">
        <v>22</v>
      </c>
      <c r="K331" t="s">
        <v>564</v>
      </c>
      <c r="L331" t="s">
        <v>177</v>
      </c>
    </row>
    <row r="332" spans="1:12">
      <c r="A332">
        <v>100124</v>
      </c>
      <c r="B332" t="s">
        <v>565</v>
      </c>
      <c r="C332" t="s">
        <v>129</v>
      </c>
      <c r="D332" t="s">
        <v>65</v>
      </c>
      <c r="E332" t="s">
        <v>34</v>
      </c>
      <c r="F332" t="s">
        <v>66</v>
      </c>
      <c r="G332" t="s">
        <v>122</v>
      </c>
      <c r="H332" t="s">
        <v>334</v>
      </c>
      <c r="I332" t="s">
        <v>340</v>
      </c>
      <c r="J332" t="s">
        <v>22</v>
      </c>
      <c r="K332" t="s">
        <v>564</v>
      </c>
      <c r="L332" t="s">
        <v>177</v>
      </c>
    </row>
    <row r="333" spans="1:12">
      <c r="A333">
        <v>200084</v>
      </c>
      <c r="B333" t="s">
        <v>566</v>
      </c>
      <c r="C333" t="s">
        <v>15</v>
      </c>
      <c r="D333" t="s">
        <v>29</v>
      </c>
      <c r="E333" t="s">
        <v>17</v>
      </c>
      <c r="F333" t="s">
        <v>61</v>
      </c>
      <c r="G333" t="s">
        <v>139</v>
      </c>
      <c r="H333" t="s">
        <v>139</v>
      </c>
      <c r="I333" t="s">
        <v>21</v>
      </c>
      <c r="J333" t="s">
        <v>22</v>
      </c>
      <c r="K333" t="s">
        <v>266</v>
      </c>
      <c r="L333" t="s">
        <v>31</v>
      </c>
    </row>
    <row r="334" spans="1:12">
      <c r="A334">
        <v>300050</v>
      </c>
      <c r="B334" t="s">
        <v>567</v>
      </c>
      <c r="C334" t="s">
        <v>15</v>
      </c>
      <c r="D334" t="s">
        <v>65</v>
      </c>
      <c r="E334" t="s">
        <v>17</v>
      </c>
      <c r="F334" t="s">
        <v>66</v>
      </c>
      <c r="G334" t="s">
        <v>392</v>
      </c>
      <c r="H334" t="s">
        <v>334</v>
      </c>
      <c r="I334" t="s">
        <v>525</v>
      </c>
      <c r="J334" t="s">
        <v>22</v>
      </c>
      <c r="K334" t="s">
        <v>568</v>
      </c>
      <c r="L334" t="s">
        <v>533</v>
      </c>
    </row>
    <row r="335" spans="1:12">
      <c r="A335">
        <v>300051</v>
      </c>
      <c r="B335" t="s">
        <v>569</v>
      </c>
      <c r="C335" t="s">
        <v>15</v>
      </c>
      <c r="D335" t="s">
        <v>65</v>
      </c>
      <c r="E335" t="s">
        <v>17</v>
      </c>
      <c r="F335" t="s">
        <v>66</v>
      </c>
      <c r="G335" t="s">
        <v>392</v>
      </c>
      <c r="H335" t="s">
        <v>334</v>
      </c>
      <c r="I335" t="s">
        <v>525</v>
      </c>
      <c r="J335" t="s">
        <v>22</v>
      </c>
      <c r="K335" t="s">
        <v>568</v>
      </c>
      <c r="L335" t="s">
        <v>533</v>
      </c>
    </row>
    <row r="336" spans="1:12">
      <c r="A336">
        <v>300053</v>
      </c>
      <c r="B336" t="s">
        <v>570</v>
      </c>
      <c r="C336" t="s">
        <v>43</v>
      </c>
      <c r="D336" t="s">
        <v>65</v>
      </c>
      <c r="E336" t="s">
        <v>17</v>
      </c>
      <c r="F336" t="s">
        <v>18</v>
      </c>
      <c r="G336" t="s">
        <v>19</v>
      </c>
      <c r="H336" t="s">
        <v>20</v>
      </c>
      <c r="I336" t="s">
        <v>184</v>
      </c>
      <c r="J336" t="s">
        <v>185</v>
      </c>
      <c r="K336" t="s">
        <v>535</v>
      </c>
      <c r="L336" t="s">
        <v>571</v>
      </c>
    </row>
    <row r="337" spans="1:12">
      <c r="A337">
        <v>300054</v>
      </c>
      <c r="B337" t="s">
        <v>572</v>
      </c>
      <c r="C337" t="s">
        <v>43</v>
      </c>
      <c r="D337" t="s">
        <v>65</v>
      </c>
      <c r="E337" t="s">
        <v>17</v>
      </c>
      <c r="F337" t="s">
        <v>18</v>
      </c>
      <c r="G337" t="s">
        <v>19</v>
      </c>
      <c r="H337" t="s">
        <v>20</v>
      </c>
      <c r="I337" t="s">
        <v>45</v>
      </c>
      <c r="J337" t="s">
        <v>22</v>
      </c>
      <c r="K337" t="s">
        <v>535</v>
      </c>
      <c r="L337" t="s">
        <v>571</v>
      </c>
    </row>
    <row r="338" spans="1:12">
      <c r="A338">
        <v>300055</v>
      </c>
      <c r="B338" t="s">
        <v>573</v>
      </c>
      <c r="C338" t="s">
        <v>15</v>
      </c>
      <c r="D338" t="s">
        <v>65</v>
      </c>
      <c r="E338" t="s">
        <v>17</v>
      </c>
      <c r="F338" t="s">
        <v>66</v>
      </c>
      <c r="G338" t="s">
        <v>27</v>
      </c>
      <c r="H338" t="s">
        <v>133</v>
      </c>
      <c r="I338" t="s">
        <v>554</v>
      </c>
      <c r="J338" t="s">
        <v>22</v>
      </c>
      <c r="K338" t="s">
        <v>532</v>
      </c>
      <c r="L338" t="s">
        <v>533</v>
      </c>
    </row>
    <row r="339" spans="1:12">
      <c r="A339">
        <v>300056</v>
      </c>
      <c r="B339" t="s">
        <v>574</v>
      </c>
      <c r="C339" t="s">
        <v>15</v>
      </c>
      <c r="D339" t="s">
        <v>29</v>
      </c>
      <c r="E339" t="s">
        <v>34</v>
      </c>
      <c r="G339" t="s">
        <v>27</v>
      </c>
      <c r="H339" t="s">
        <v>133</v>
      </c>
      <c r="I339" t="s">
        <v>554</v>
      </c>
      <c r="J339" t="s">
        <v>22</v>
      </c>
      <c r="K339" t="s">
        <v>575</v>
      </c>
      <c r="L339" t="s">
        <v>40</v>
      </c>
    </row>
    <row r="340" spans="1:12">
      <c r="A340">
        <v>100129</v>
      </c>
      <c r="B340" t="s">
        <v>576</v>
      </c>
      <c r="C340" t="s">
        <v>15</v>
      </c>
      <c r="D340" t="s">
        <v>29</v>
      </c>
      <c r="E340" t="s">
        <v>65</v>
      </c>
      <c r="F340" t="s">
        <v>18</v>
      </c>
      <c r="G340" t="s">
        <v>27</v>
      </c>
      <c r="H340" t="s">
        <v>133</v>
      </c>
      <c r="I340" t="s">
        <v>554</v>
      </c>
      <c r="J340" t="s">
        <v>22</v>
      </c>
      <c r="K340" t="s">
        <v>577</v>
      </c>
    </row>
    <row r="341" spans="1:12">
      <c r="A341">
        <v>300057</v>
      </c>
      <c r="B341" t="s">
        <v>578</v>
      </c>
      <c r="C341" t="s">
        <v>43</v>
      </c>
      <c r="D341" t="s">
        <v>65</v>
      </c>
      <c r="E341" t="s">
        <v>524</v>
      </c>
      <c r="F341" t="s">
        <v>66</v>
      </c>
      <c r="G341" t="s">
        <v>392</v>
      </c>
      <c r="H341" t="s">
        <v>334</v>
      </c>
      <c r="I341" t="s">
        <v>184</v>
      </c>
      <c r="J341" t="s">
        <v>22</v>
      </c>
      <c r="K341" t="s">
        <v>579</v>
      </c>
      <c r="L341" t="s">
        <v>580</v>
      </c>
    </row>
    <row r="342" spans="1:12">
      <c r="A342">
        <v>300058</v>
      </c>
      <c r="B342" t="s">
        <v>581</v>
      </c>
      <c r="C342" t="s">
        <v>43</v>
      </c>
      <c r="D342" t="s">
        <v>65</v>
      </c>
      <c r="E342" t="s">
        <v>529</v>
      </c>
      <c r="F342" t="s">
        <v>66</v>
      </c>
      <c r="G342" t="s">
        <v>392</v>
      </c>
      <c r="H342" t="s">
        <v>334</v>
      </c>
      <c r="I342" t="s">
        <v>184</v>
      </c>
      <c r="J342" t="s">
        <v>22</v>
      </c>
      <c r="K342" t="s">
        <v>579</v>
      </c>
      <c r="L342" t="s">
        <v>580</v>
      </c>
    </row>
    <row r="343" spans="1:12">
      <c r="A343">
        <v>300059</v>
      </c>
      <c r="B343" t="s">
        <v>582</v>
      </c>
      <c r="C343" t="s">
        <v>43</v>
      </c>
      <c r="D343" t="s">
        <v>65</v>
      </c>
      <c r="E343" t="s">
        <v>17</v>
      </c>
      <c r="F343" t="s">
        <v>66</v>
      </c>
      <c r="G343" t="s">
        <v>392</v>
      </c>
      <c r="H343" t="s">
        <v>334</v>
      </c>
      <c r="I343" t="s">
        <v>184</v>
      </c>
      <c r="J343" t="s">
        <v>22</v>
      </c>
      <c r="K343" t="s">
        <v>583</v>
      </c>
      <c r="L343" t="s">
        <v>536</v>
      </c>
    </row>
    <row r="344" spans="1:12">
      <c r="A344">
        <v>300060</v>
      </c>
      <c r="B344" t="s">
        <v>584</v>
      </c>
      <c r="C344" t="s">
        <v>43</v>
      </c>
      <c r="D344" t="s">
        <v>65</v>
      </c>
      <c r="E344" t="s">
        <v>17</v>
      </c>
      <c r="F344" t="s">
        <v>66</v>
      </c>
      <c r="G344" t="s">
        <v>392</v>
      </c>
      <c r="H344" t="s">
        <v>334</v>
      </c>
      <c r="I344" t="s">
        <v>184</v>
      </c>
      <c r="J344" t="s">
        <v>22</v>
      </c>
      <c r="K344" t="s">
        <v>583</v>
      </c>
      <c r="L344" t="s">
        <v>536</v>
      </c>
    </row>
    <row r="345" spans="1:12">
      <c r="A345">
        <v>300061</v>
      </c>
      <c r="B345" t="s">
        <v>585</v>
      </c>
      <c r="C345" t="s">
        <v>43</v>
      </c>
      <c r="D345" t="s">
        <v>65</v>
      </c>
      <c r="E345" t="s">
        <v>17</v>
      </c>
      <c r="F345" t="s">
        <v>66</v>
      </c>
      <c r="G345" t="s">
        <v>392</v>
      </c>
      <c r="H345" t="s">
        <v>334</v>
      </c>
      <c r="I345" t="s">
        <v>184</v>
      </c>
      <c r="J345" t="s">
        <v>22</v>
      </c>
      <c r="K345" t="s">
        <v>583</v>
      </c>
      <c r="L345" t="s">
        <v>536</v>
      </c>
    </row>
    <row r="346" spans="1:12">
      <c r="A346">
        <v>300052</v>
      </c>
      <c r="B346" t="s">
        <v>586</v>
      </c>
      <c r="C346" t="s">
        <v>43</v>
      </c>
      <c r="D346" t="s">
        <v>65</v>
      </c>
      <c r="E346" t="s">
        <v>529</v>
      </c>
      <c r="F346" t="s">
        <v>18</v>
      </c>
      <c r="G346" t="s">
        <v>19</v>
      </c>
      <c r="H346" t="s">
        <v>20</v>
      </c>
      <c r="I346" t="s">
        <v>184</v>
      </c>
      <c r="J346" t="s">
        <v>22</v>
      </c>
      <c r="K346" t="s">
        <v>587</v>
      </c>
      <c r="L346" t="s">
        <v>580</v>
      </c>
    </row>
    <row r="347" spans="1:12">
      <c r="A347">
        <v>300062</v>
      </c>
      <c r="B347" t="s">
        <v>588</v>
      </c>
      <c r="C347" t="s">
        <v>43</v>
      </c>
      <c r="D347" t="s">
        <v>65</v>
      </c>
      <c r="E347" t="s">
        <v>34</v>
      </c>
      <c r="F347" t="s">
        <v>66</v>
      </c>
      <c r="G347" t="s">
        <v>392</v>
      </c>
      <c r="H347" t="s">
        <v>334</v>
      </c>
      <c r="I347" t="s">
        <v>184</v>
      </c>
      <c r="J347" t="s">
        <v>22</v>
      </c>
      <c r="K347" t="s">
        <v>589</v>
      </c>
      <c r="L347" t="s">
        <v>580</v>
      </c>
    </row>
    <row r="348" spans="1:12">
      <c r="A348">
        <v>100131</v>
      </c>
      <c r="B348" t="s">
        <v>590</v>
      </c>
      <c r="C348" t="s">
        <v>15</v>
      </c>
      <c r="D348" t="s">
        <v>65</v>
      </c>
      <c r="E348" t="s">
        <v>17</v>
      </c>
      <c r="F348" t="s">
        <v>66</v>
      </c>
      <c r="G348" t="s">
        <v>19</v>
      </c>
      <c r="H348" t="s">
        <v>95</v>
      </c>
      <c r="I348" t="s">
        <v>114</v>
      </c>
      <c r="J348" t="s">
        <v>22</v>
      </c>
      <c r="K348" t="s">
        <v>23</v>
      </c>
      <c r="L348" t="s">
        <v>24</v>
      </c>
    </row>
    <row r="349" spans="1:12">
      <c r="A349">
        <v>100132</v>
      </c>
      <c r="B349" t="s">
        <v>591</v>
      </c>
      <c r="C349" t="s">
        <v>259</v>
      </c>
      <c r="D349" t="s">
        <v>65</v>
      </c>
      <c r="E349" t="s">
        <v>17</v>
      </c>
      <c r="F349" t="s">
        <v>66</v>
      </c>
      <c r="G349" t="s">
        <v>19</v>
      </c>
      <c r="H349" t="s">
        <v>95</v>
      </c>
      <c r="I349" t="s">
        <v>592</v>
      </c>
      <c r="J349" t="s">
        <v>22</v>
      </c>
      <c r="K349" t="s">
        <v>260</v>
      </c>
      <c r="L349" t="s">
        <v>261</v>
      </c>
    </row>
    <row r="350" spans="1:12">
      <c r="A350">
        <v>100134</v>
      </c>
      <c r="B350" t="s">
        <v>593</v>
      </c>
      <c r="C350" t="s">
        <v>15</v>
      </c>
      <c r="D350" t="s">
        <v>65</v>
      </c>
      <c r="E350" t="s">
        <v>17</v>
      </c>
      <c r="F350" t="s">
        <v>66</v>
      </c>
      <c r="G350" t="s">
        <v>19</v>
      </c>
      <c r="H350" t="s">
        <v>95</v>
      </c>
      <c r="I350" t="s">
        <v>594</v>
      </c>
      <c r="J350" t="s">
        <v>22</v>
      </c>
      <c r="K350" t="s">
        <v>595</v>
      </c>
      <c r="L350" t="s">
        <v>533</v>
      </c>
    </row>
    <row r="351" spans="1:12">
      <c r="A351">
        <v>300063</v>
      </c>
      <c r="B351" t="s">
        <v>596</v>
      </c>
      <c r="C351" t="s">
        <v>64</v>
      </c>
      <c r="D351" t="s">
        <v>65</v>
      </c>
      <c r="E351" t="s">
        <v>17</v>
      </c>
      <c r="F351" t="s">
        <v>66</v>
      </c>
      <c r="G351" t="s">
        <v>392</v>
      </c>
      <c r="H351" t="s">
        <v>334</v>
      </c>
      <c r="I351" t="s">
        <v>554</v>
      </c>
      <c r="J351" t="s">
        <v>22</v>
      </c>
      <c r="K351" t="s">
        <v>164</v>
      </c>
      <c r="L351" t="s">
        <v>597</v>
      </c>
    </row>
    <row r="352" spans="1:12">
      <c r="A352">
        <v>300064</v>
      </c>
      <c r="B352" t="s">
        <v>598</v>
      </c>
      <c r="C352" t="s">
        <v>64</v>
      </c>
      <c r="D352" t="s">
        <v>65</v>
      </c>
      <c r="E352" t="s">
        <v>17</v>
      </c>
      <c r="F352" t="s">
        <v>66</v>
      </c>
      <c r="G352" t="s">
        <v>392</v>
      </c>
      <c r="H352" t="s">
        <v>334</v>
      </c>
      <c r="I352" t="s">
        <v>554</v>
      </c>
      <c r="J352" t="s">
        <v>22</v>
      </c>
      <c r="K352" t="s">
        <v>164</v>
      </c>
      <c r="L352" t="s">
        <v>597</v>
      </c>
    </row>
    <row r="353" spans="1:12">
      <c r="A353">
        <v>300065</v>
      </c>
      <c r="B353" t="s">
        <v>599</v>
      </c>
      <c r="C353" t="s">
        <v>64</v>
      </c>
      <c r="D353" t="s">
        <v>65</v>
      </c>
      <c r="E353" t="s">
        <v>17</v>
      </c>
      <c r="F353" t="s">
        <v>66</v>
      </c>
      <c r="G353" t="s">
        <v>392</v>
      </c>
      <c r="H353" t="s">
        <v>334</v>
      </c>
      <c r="I353" t="s">
        <v>554</v>
      </c>
      <c r="J353" t="s">
        <v>22</v>
      </c>
      <c r="K353" t="s">
        <v>164</v>
      </c>
      <c r="L353" t="s">
        <v>597</v>
      </c>
    </row>
    <row r="354" spans="1:12">
      <c r="A354">
        <v>100136</v>
      </c>
      <c r="B354" t="s">
        <v>600</v>
      </c>
      <c r="C354" t="s">
        <v>15</v>
      </c>
      <c r="D354" t="s">
        <v>65</v>
      </c>
      <c r="E354" t="s">
        <v>17</v>
      </c>
      <c r="F354" t="s">
        <v>18</v>
      </c>
      <c r="G354" t="s">
        <v>19</v>
      </c>
      <c r="H354" t="s">
        <v>20</v>
      </c>
      <c r="I354" t="s">
        <v>601</v>
      </c>
      <c r="J354" t="s">
        <v>22</v>
      </c>
      <c r="K354" t="s">
        <v>602</v>
      </c>
      <c r="L354" t="s">
        <v>533</v>
      </c>
    </row>
    <row r="355" spans="1:12">
      <c r="A355">
        <v>100135</v>
      </c>
      <c r="B355" t="s">
        <v>603</v>
      </c>
      <c r="C355" t="s">
        <v>15</v>
      </c>
      <c r="D355" t="s">
        <v>65</v>
      </c>
      <c r="E355" t="s">
        <v>34</v>
      </c>
      <c r="F355" t="s">
        <v>18</v>
      </c>
      <c r="G355" t="s">
        <v>19</v>
      </c>
      <c r="H355" t="s">
        <v>133</v>
      </c>
      <c r="I355" t="s">
        <v>554</v>
      </c>
      <c r="J355" t="s">
        <v>22</v>
      </c>
      <c r="K355" t="s">
        <v>604</v>
      </c>
      <c r="L355" t="s">
        <v>605</v>
      </c>
    </row>
    <row r="356" spans="1:12">
      <c r="A356">
        <v>300070</v>
      </c>
      <c r="B356" t="s">
        <v>606</v>
      </c>
      <c r="C356" t="s">
        <v>129</v>
      </c>
      <c r="D356" t="s">
        <v>65</v>
      </c>
      <c r="E356" t="s">
        <v>17</v>
      </c>
      <c r="F356" t="s">
        <v>66</v>
      </c>
      <c r="G356" t="s">
        <v>382</v>
      </c>
      <c r="H356" t="s">
        <v>334</v>
      </c>
      <c r="I356" t="s">
        <v>554</v>
      </c>
      <c r="J356" t="s">
        <v>22</v>
      </c>
      <c r="K356" t="s">
        <v>607</v>
      </c>
      <c r="L356" t="s">
        <v>516</v>
      </c>
    </row>
    <row r="357" spans="1:12">
      <c r="A357">
        <v>300068</v>
      </c>
      <c r="B357" t="s">
        <v>608</v>
      </c>
      <c r="C357" t="s">
        <v>15</v>
      </c>
      <c r="D357" t="s">
        <v>65</v>
      </c>
      <c r="E357" t="s">
        <v>34</v>
      </c>
      <c r="F357" t="s">
        <v>66</v>
      </c>
      <c r="G357" t="s">
        <v>392</v>
      </c>
      <c r="H357" t="s">
        <v>334</v>
      </c>
      <c r="I357" t="s">
        <v>525</v>
      </c>
      <c r="J357" t="s">
        <v>22</v>
      </c>
      <c r="K357" t="s">
        <v>526</v>
      </c>
      <c r="L357" t="s">
        <v>605</v>
      </c>
    </row>
    <row r="358" spans="1:12">
      <c r="A358">
        <v>100137</v>
      </c>
      <c r="B358" t="s">
        <v>609</v>
      </c>
      <c r="C358" t="s">
        <v>43</v>
      </c>
      <c r="D358" t="s">
        <v>65</v>
      </c>
      <c r="E358" t="s">
        <v>34</v>
      </c>
      <c r="F358" t="s">
        <v>18</v>
      </c>
      <c r="G358" t="s">
        <v>19</v>
      </c>
      <c r="H358" t="s">
        <v>133</v>
      </c>
      <c r="I358" t="s">
        <v>114</v>
      </c>
      <c r="J358" t="s">
        <v>22</v>
      </c>
      <c r="K358" t="s">
        <v>587</v>
      </c>
      <c r="L358" t="s">
        <v>610</v>
      </c>
    </row>
    <row r="359" spans="1:12">
      <c r="A359">
        <v>100138</v>
      </c>
      <c r="B359" t="s">
        <v>611</v>
      </c>
      <c r="C359" t="s">
        <v>15</v>
      </c>
      <c r="D359" t="s">
        <v>65</v>
      </c>
      <c r="E359" t="s">
        <v>34</v>
      </c>
      <c r="F359" t="s">
        <v>66</v>
      </c>
      <c r="G359" t="s">
        <v>19</v>
      </c>
      <c r="H359" t="s">
        <v>20</v>
      </c>
      <c r="I359" t="s">
        <v>612</v>
      </c>
      <c r="J359" t="s">
        <v>22</v>
      </c>
      <c r="K359" t="s">
        <v>604</v>
      </c>
      <c r="L359" t="s">
        <v>605</v>
      </c>
    </row>
    <row r="360" spans="1:12">
      <c r="A360">
        <v>100139</v>
      </c>
      <c r="B360" t="s">
        <v>613</v>
      </c>
      <c r="C360" t="s">
        <v>259</v>
      </c>
      <c r="D360" t="s">
        <v>65</v>
      </c>
      <c r="E360" t="s">
        <v>34</v>
      </c>
      <c r="F360" t="s">
        <v>66</v>
      </c>
      <c r="G360" t="s">
        <v>19</v>
      </c>
      <c r="H360" t="s">
        <v>20</v>
      </c>
      <c r="I360" t="s">
        <v>612</v>
      </c>
      <c r="J360" t="s">
        <v>22</v>
      </c>
      <c r="K360" t="s">
        <v>604</v>
      </c>
      <c r="L360" t="s">
        <v>605</v>
      </c>
    </row>
    <row r="361" spans="1:12">
      <c r="A361">
        <v>700011</v>
      </c>
      <c r="B361" t="s">
        <v>614</v>
      </c>
      <c r="C361" t="s">
        <v>509</v>
      </c>
      <c r="D361" t="s">
        <v>65</v>
      </c>
      <c r="E361" t="s">
        <v>34</v>
      </c>
      <c r="F361" t="s">
        <v>66</v>
      </c>
      <c r="G361" t="s">
        <v>122</v>
      </c>
      <c r="H361" t="s">
        <v>334</v>
      </c>
      <c r="I361" t="s">
        <v>189</v>
      </c>
      <c r="J361" t="s">
        <v>22</v>
      </c>
      <c r="K361" t="s">
        <v>510</v>
      </c>
      <c r="L361" t="s">
        <v>120</v>
      </c>
    </row>
    <row r="362" spans="1:12">
      <c r="A362">
        <v>100160</v>
      </c>
      <c r="B362" t="s">
        <v>615</v>
      </c>
      <c r="C362" t="s">
        <v>129</v>
      </c>
      <c r="D362" t="s">
        <v>616</v>
      </c>
      <c r="E362" t="s">
        <v>17</v>
      </c>
      <c r="F362" t="s">
        <v>66</v>
      </c>
      <c r="G362" t="s">
        <v>243</v>
      </c>
      <c r="H362" t="s">
        <v>20</v>
      </c>
      <c r="I362" t="s">
        <v>554</v>
      </c>
      <c r="J362" t="s">
        <v>22</v>
      </c>
      <c r="K362" t="s">
        <v>617</v>
      </c>
      <c r="L362" t="s">
        <v>618</v>
      </c>
    </row>
    <row r="363" spans="1:12">
      <c r="A363">
        <v>700012</v>
      </c>
      <c r="B363" t="s">
        <v>619</v>
      </c>
      <c r="C363" t="s">
        <v>509</v>
      </c>
      <c r="D363" t="s">
        <v>65</v>
      </c>
      <c r="E363" t="s">
        <v>34</v>
      </c>
      <c r="F363" t="s">
        <v>66</v>
      </c>
      <c r="G363" t="s">
        <v>122</v>
      </c>
      <c r="H363" t="s">
        <v>334</v>
      </c>
      <c r="I363" t="s">
        <v>189</v>
      </c>
      <c r="J363" t="s">
        <v>22</v>
      </c>
      <c r="K363" t="s">
        <v>510</v>
      </c>
      <c r="L363" t="s">
        <v>120</v>
      </c>
    </row>
    <row r="364" spans="1:12">
      <c r="A364">
        <v>101122000</v>
      </c>
      <c r="B364" t="s">
        <v>425</v>
      </c>
      <c r="C364" t="s">
        <v>15</v>
      </c>
      <c r="D364" t="s">
        <v>16</v>
      </c>
      <c r="E364" t="s">
        <v>17</v>
      </c>
      <c r="F364" t="s">
        <v>66</v>
      </c>
      <c r="G364" t="s">
        <v>243</v>
      </c>
      <c r="H364" t="s">
        <v>421</v>
      </c>
      <c r="I364" t="s">
        <v>300</v>
      </c>
      <c r="J364" t="s">
        <v>300</v>
      </c>
      <c r="K364" t="s">
        <v>407</v>
      </c>
      <c r="L364" t="s">
        <v>24</v>
      </c>
    </row>
    <row r="365" spans="1:12">
      <c r="A365">
        <v>101123000</v>
      </c>
      <c r="B365" t="s">
        <v>426</v>
      </c>
      <c r="C365" t="s">
        <v>15</v>
      </c>
      <c r="D365" t="s">
        <v>29</v>
      </c>
      <c r="E365" t="s">
        <v>17</v>
      </c>
      <c r="F365" t="s">
        <v>66</v>
      </c>
      <c r="G365" t="s">
        <v>243</v>
      </c>
      <c r="H365" t="s">
        <v>421</v>
      </c>
      <c r="I365" t="s">
        <v>300</v>
      </c>
      <c r="J365" t="s">
        <v>300</v>
      </c>
      <c r="K365" t="s">
        <v>427</v>
      </c>
      <c r="L365" t="s">
        <v>31</v>
      </c>
    </row>
    <row r="366" spans="1:12">
      <c r="A366">
        <v>101124000</v>
      </c>
      <c r="B366" t="s">
        <v>620</v>
      </c>
      <c r="C366" t="s">
        <v>15</v>
      </c>
      <c r="D366" t="s">
        <v>150</v>
      </c>
      <c r="E366" t="s">
        <v>17</v>
      </c>
      <c r="F366" t="s">
        <v>66</v>
      </c>
      <c r="G366" t="s">
        <v>243</v>
      </c>
      <c r="H366" t="s">
        <v>421</v>
      </c>
      <c r="I366" t="s">
        <v>300</v>
      </c>
      <c r="J366" t="s">
        <v>300</v>
      </c>
      <c r="K366" t="s">
        <v>621</v>
      </c>
      <c r="L366" t="s">
        <v>622</v>
      </c>
    </row>
    <row r="367" spans="1:12">
      <c r="A367">
        <v>101152000</v>
      </c>
      <c r="B367" t="s">
        <v>437</v>
      </c>
      <c r="C367" t="s">
        <v>15</v>
      </c>
      <c r="D367" t="s">
        <v>16</v>
      </c>
      <c r="E367" t="s">
        <v>17</v>
      </c>
      <c r="F367" t="s">
        <v>66</v>
      </c>
      <c r="G367" t="s">
        <v>122</v>
      </c>
      <c r="H367" t="s">
        <v>421</v>
      </c>
      <c r="I367" t="s">
        <v>300</v>
      </c>
      <c r="J367" t="s">
        <v>300</v>
      </c>
      <c r="K367" t="s">
        <v>407</v>
      </c>
      <c r="L367" t="s">
        <v>24</v>
      </c>
    </row>
    <row r="368" spans="1:12">
      <c r="A368">
        <v>101153000</v>
      </c>
      <c r="B368" t="s">
        <v>438</v>
      </c>
      <c r="C368" t="s">
        <v>15</v>
      </c>
      <c r="D368" t="s">
        <v>29</v>
      </c>
      <c r="E368" t="s">
        <v>17</v>
      </c>
      <c r="F368" t="s">
        <v>66</v>
      </c>
      <c r="G368" t="s">
        <v>122</v>
      </c>
      <c r="H368" t="s">
        <v>421</v>
      </c>
      <c r="I368" t="s">
        <v>300</v>
      </c>
      <c r="J368" t="s">
        <v>300</v>
      </c>
      <c r="K368" t="s">
        <v>427</v>
      </c>
      <c r="L368" t="s">
        <v>31</v>
      </c>
    </row>
    <row r="369" spans="1:12">
      <c r="A369">
        <v>101154000</v>
      </c>
      <c r="B369" t="s">
        <v>623</v>
      </c>
      <c r="C369" t="s">
        <v>15</v>
      </c>
      <c r="D369" t="s">
        <v>192</v>
      </c>
      <c r="E369" t="s">
        <v>17</v>
      </c>
      <c r="F369" t="s">
        <v>66</v>
      </c>
      <c r="G369" t="s">
        <v>122</v>
      </c>
      <c r="H369" t="s">
        <v>421</v>
      </c>
      <c r="I369" t="s">
        <v>300</v>
      </c>
      <c r="J369" t="s">
        <v>300</v>
      </c>
      <c r="K369" t="s">
        <v>621</v>
      </c>
      <c r="L369" t="s">
        <v>622</v>
      </c>
    </row>
    <row r="370" spans="1:12">
      <c r="A370">
        <v>101222000</v>
      </c>
      <c r="B370" t="s">
        <v>432</v>
      </c>
      <c r="C370" t="s">
        <v>15</v>
      </c>
      <c r="D370" t="s">
        <v>16</v>
      </c>
      <c r="E370" t="s">
        <v>34</v>
      </c>
      <c r="F370" t="s">
        <v>66</v>
      </c>
      <c r="G370" t="s">
        <v>243</v>
      </c>
      <c r="H370" t="s">
        <v>421</v>
      </c>
      <c r="I370" t="s">
        <v>300</v>
      </c>
      <c r="J370" t="s">
        <v>300</v>
      </c>
      <c r="K370" t="s">
        <v>415</v>
      </c>
      <c r="L370" t="s">
        <v>36</v>
      </c>
    </row>
    <row r="371" spans="1:12">
      <c r="A371">
        <v>101223000</v>
      </c>
      <c r="B371" t="s">
        <v>433</v>
      </c>
      <c r="C371" t="s">
        <v>15</v>
      </c>
      <c r="D371" t="s">
        <v>29</v>
      </c>
      <c r="E371" t="s">
        <v>34</v>
      </c>
      <c r="F371" t="s">
        <v>66</v>
      </c>
      <c r="G371" t="s">
        <v>243</v>
      </c>
      <c r="H371" t="s">
        <v>421</v>
      </c>
      <c r="I371" t="s">
        <v>300</v>
      </c>
      <c r="J371" t="s">
        <v>300</v>
      </c>
      <c r="K371" t="s">
        <v>434</v>
      </c>
      <c r="L371" t="s">
        <v>40</v>
      </c>
    </row>
    <row r="372" spans="1:12">
      <c r="A372">
        <v>101224000</v>
      </c>
      <c r="B372" t="s">
        <v>624</v>
      </c>
      <c r="C372" t="s">
        <v>15</v>
      </c>
      <c r="D372" t="s">
        <v>150</v>
      </c>
      <c r="E372" t="s">
        <v>34</v>
      </c>
      <c r="F372" t="s">
        <v>66</v>
      </c>
      <c r="G372" t="s">
        <v>243</v>
      </c>
      <c r="H372" t="s">
        <v>421</v>
      </c>
      <c r="I372" t="s">
        <v>300</v>
      </c>
      <c r="J372" t="s">
        <v>300</v>
      </c>
      <c r="K372" t="s">
        <v>625</v>
      </c>
      <c r="L372" t="s">
        <v>626</v>
      </c>
    </row>
    <row r="373" spans="1:12">
      <c r="A373">
        <v>101252000</v>
      </c>
      <c r="B373" t="s">
        <v>441</v>
      </c>
      <c r="C373" t="s">
        <v>15</v>
      </c>
      <c r="D373" t="s">
        <v>16</v>
      </c>
      <c r="E373" t="s">
        <v>34</v>
      </c>
      <c r="F373" t="s">
        <v>66</v>
      </c>
      <c r="G373" t="s">
        <v>122</v>
      </c>
      <c r="H373" t="s">
        <v>421</v>
      </c>
      <c r="I373" t="s">
        <v>300</v>
      </c>
      <c r="J373" t="s">
        <v>300</v>
      </c>
      <c r="K373" t="s">
        <v>415</v>
      </c>
      <c r="L373" t="s">
        <v>36</v>
      </c>
    </row>
    <row r="374" spans="1:12">
      <c r="A374">
        <v>101253000</v>
      </c>
      <c r="B374" t="s">
        <v>442</v>
      </c>
      <c r="C374" t="s">
        <v>15</v>
      </c>
      <c r="D374" t="s">
        <v>29</v>
      </c>
      <c r="E374" t="s">
        <v>34</v>
      </c>
      <c r="F374" t="s">
        <v>66</v>
      </c>
      <c r="G374" t="s">
        <v>122</v>
      </c>
      <c r="H374" t="s">
        <v>421</v>
      </c>
      <c r="I374" t="s">
        <v>300</v>
      </c>
      <c r="J374" t="s">
        <v>300</v>
      </c>
      <c r="K374" t="s">
        <v>434</v>
      </c>
      <c r="L374" t="s">
        <v>40</v>
      </c>
    </row>
    <row r="375" spans="1:12">
      <c r="A375">
        <v>101254000</v>
      </c>
      <c r="B375" t="s">
        <v>627</v>
      </c>
      <c r="C375" t="s">
        <v>15</v>
      </c>
      <c r="D375" t="s">
        <v>150</v>
      </c>
      <c r="E375" t="s">
        <v>34</v>
      </c>
      <c r="F375" t="s">
        <v>66</v>
      </c>
      <c r="G375" t="s">
        <v>122</v>
      </c>
      <c r="H375" t="s">
        <v>421</v>
      </c>
      <c r="I375" t="s">
        <v>300</v>
      </c>
      <c r="J375" t="s">
        <v>300</v>
      </c>
      <c r="K375" t="s">
        <v>625</v>
      </c>
      <c r="L375" t="s">
        <v>626</v>
      </c>
    </row>
    <row r="376" spans="1:12">
      <c r="A376">
        <v>102122000</v>
      </c>
      <c r="B376" t="s">
        <v>420</v>
      </c>
      <c r="C376" t="s">
        <v>43</v>
      </c>
      <c r="D376" t="s">
        <v>44</v>
      </c>
      <c r="E376" t="s">
        <v>17</v>
      </c>
      <c r="F376" t="s">
        <v>66</v>
      </c>
      <c r="G376" t="s">
        <v>243</v>
      </c>
      <c r="H376" t="s">
        <v>421</v>
      </c>
      <c r="I376" t="s">
        <v>300</v>
      </c>
      <c r="J376" t="s">
        <v>300</v>
      </c>
      <c r="K376" t="s">
        <v>422</v>
      </c>
      <c r="L376" t="s">
        <v>628</v>
      </c>
    </row>
    <row r="377" spans="1:12">
      <c r="A377">
        <v>102121000</v>
      </c>
      <c r="B377" t="s">
        <v>629</v>
      </c>
      <c r="C377" t="s">
        <v>43</v>
      </c>
      <c r="D377" t="s">
        <v>65</v>
      </c>
      <c r="E377" t="s">
        <v>17</v>
      </c>
      <c r="F377" t="s">
        <v>66</v>
      </c>
      <c r="G377" t="s">
        <v>243</v>
      </c>
      <c r="H377" t="s">
        <v>421</v>
      </c>
      <c r="I377" t="s">
        <v>300</v>
      </c>
      <c r="J377" t="s">
        <v>300</v>
      </c>
      <c r="K377" t="s">
        <v>630</v>
      </c>
      <c r="L377" t="s">
        <v>631</v>
      </c>
    </row>
    <row r="378" spans="1:12">
      <c r="A378">
        <v>102123000</v>
      </c>
      <c r="B378" t="s">
        <v>459</v>
      </c>
      <c r="C378" t="s">
        <v>43</v>
      </c>
      <c r="D378" t="s">
        <v>49</v>
      </c>
      <c r="E378" t="s">
        <v>17</v>
      </c>
      <c r="F378" t="s">
        <v>66</v>
      </c>
      <c r="G378" t="s">
        <v>243</v>
      </c>
      <c r="H378" t="s">
        <v>421</v>
      </c>
      <c r="I378" t="s">
        <v>300</v>
      </c>
      <c r="J378" t="s">
        <v>300</v>
      </c>
      <c r="K378" t="s">
        <v>460</v>
      </c>
      <c r="L378" t="s">
        <v>632</v>
      </c>
    </row>
    <row r="379" spans="1:12">
      <c r="A379">
        <v>102151000</v>
      </c>
      <c r="B379" t="s">
        <v>633</v>
      </c>
      <c r="C379" t="s">
        <v>43</v>
      </c>
      <c r="D379" t="s">
        <v>65</v>
      </c>
      <c r="E379" t="s">
        <v>17</v>
      </c>
      <c r="F379" t="s">
        <v>66</v>
      </c>
      <c r="G379" t="s">
        <v>122</v>
      </c>
      <c r="H379" t="s">
        <v>421</v>
      </c>
      <c r="I379" t="s">
        <v>300</v>
      </c>
      <c r="J379" t="s">
        <v>300</v>
      </c>
      <c r="K379" t="s">
        <v>630</v>
      </c>
      <c r="L379" t="s">
        <v>631</v>
      </c>
    </row>
    <row r="380" spans="1:12">
      <c r="A380">
        <v>102152000</v>
      </c>
      <c r="B380" t="s">
        <v>435</v>
      </c>
      <c r="C380" t="s">
        <v>43</v>
      </c>
      <c r="D380" t="s">
        <v>44</v>
      </c>
      <c r="E380" t="s">
        <v>17</v>
      </c>
      <c r="F380" t="s">
        <v>66</v>
      </c>
      <c r="G380" t="s">
        <v>122</v>
      </c>
      <c r="H380" t="s">
        <v>421</v>
      </c>
      <c r="I380" t="s">
        <v>300</v>
      </c>
      <c r="J380" t="s">
        <v>300</v>
      </c>
      <c r="K380" t="s">
        <v>422</v>
      </c>
      <c r="L380" t="s">
        <v>628</v>
      </c>
    </row>
    <row r="381" spans="1:12">
      <c r="A381">
        <v>102153000</v>
      </c>
      <c r="B381" t="s">
        <v>461</v>
      </c>
      <c r="C381" t="s">
        <v>43</v>
      </c>
      <c r="D381" t="s">
        <v>49</v>
      </c>
      <c r="E381" t="s">
        <v>17</v>
      </c>
      <c r="F381" t="s">
        <v>66</v>
      </c>
      <c r="G381" t="s">
        <v>122</v>
      </c>
      <c r="H381" t="s">
        <v>421</v>
      </c>
      <c r="I381" t="s">
        <v>300</v>
      </c>
      <c r="J381" t="s">
        <v>300</v>
      </c>
      <c r="K381" t="s">
        <v>460</v>
      </c>
      <c r="L381" t="s">
        <v>632</v>
      </c>
    </row>
    <row r="382" spans="1:12">
      <c r="A382">
        <v>102221000</v>
      </c>
      <c r="B382" t="s">
        <v>634</v>
      </c>
      <c r="C382" t="s">
        <v>43</v>
      </c>
      <c r="D382" t="s">
        <v>65</v>
      </c>
      <c r="E382" t="s">
        <v>34</v>
      </c>
      <c r="F382" t="s">
        <v>66</v>
      </c>
      <c r="G382" t="s">
        <v>243</v>
      </c>
      <c r="H382" t="s">
        <v>421</v>
      </c>
      <c r="I382" t="s">
        <v>300</v>
      </c>
      <c r="J382" t="s">
        <v>300</v>
      </c>
      <c r="K382" t="s">
        <v>635</v>
      </c>
      <c r="L382" t="s">
        <v>636</v>
      </c>
    </row>
    <row r="383" spans="1:12">
      <c r="A383">
        <v>102222000</v>
      </c>
      <c r="B383" t="s">
        <v>428</v>
      </c>
      <c r="C383" t="s">
        <v>43</v>
      </c>
      <c r="D383" t="s">
        <v>44</v>
      </c>
      <c r="E383" t="s">
        <v>34</v>
      </c>
      <c r="F383" t="s">
        <v>66</v>
      </c>
      <c r="G383" t="s">
        <v>243</v>
      </c>
      <c r="H383" t="s">
        <v>421</v>
      </c>
      <c r="I383" t="s">
        <v>300</v>
      </c>
      <c r="J383" t="s">
        <v>300</v>
      </c>
      <c r="K383" t="s">
        <v>429</v>
      </c>
      <c r="L383" t="s">
        <v>637</v>
      </c>
    </row>
    <row r="384" spans="1:12">
      <c r="A384">
        <v>102223000</v>
      </c>
      <c r="B384" t="s">
        <v>456</v>
      </c>
      <c r="C384" t="s">
        <v>43</v>
      </c>
      <c r="D384" t="s">
        <v>49</v>
      </c>
      <c r="E384" t="s">
        <v>34</v>
      </c>
      <c r="F384" t="s">
        <v>66</v>
      </c>
      <c r="G384" t="s">
        <v>243</v>
      </c>
      <c r="H384" t="s">
        <v>421</v>
      </c>
      <c r="I384" t="s">
        <v>300</v>
      </c>
      <c r="J384" t="s">
        <v>300</v>
      </c>
      <c r="K384" t="s">
        <v>457</v>
      </c>
      <c r="L384" t="s">
        <v>638</v>
      </c>
    </row>
    <row r="385" spans="1:12">
      <c r="A385">
        <v>102251000</v>
      </c>
      <c r="B385" t="s">
        <v>639</v>
      </c>
      <c r="C385" t="s">
        <v>43</v>
      </c>
      <c r="D385" t="s">
        <v>65</v>
      </c>
      <c r="E385" t="s">
        <v>34</v>
      </c>
      <c r="F385" t="s">
        <v>66</v>
      </c>
      <c r="G385" t="s">
        <v>122</v>
      </c>
      <c r="H385" t="s">
        <v>421</v>
      </c>
      <c r="I385" t="s">
        <v>300</v>
      </c>
      <c r="J385" t="s">
        <v>300</v>
      </c>
      <c r="K385" t="s">
        <v>635</v>
      </c>
      <c r="L385" t="s">
        <v>636</v>
      </c>
    </row>
    <row r="386" spans="1:12">
      <c r="A386">
        <v>102252000</v>
      </c>
      <c r="B386" t="s">
        <v>439</v>
      </c>
      <c r="C386" t="s">
        <v>43</v>
      </c>
      <c r="D386" t="s">
        <v>44</v>
      </c>
      <c r="E386" t="s">
        <v>34</v>
      </c>
      <c r="F386" t="s">
        <v>66</v>
      </c>
      <c r="G386" t="s">
        <v>122</v>
      </c>
      <c r="H386" t="s">
        <v>421</v>
      </c>
      <c r="I386" t="s">
        <v>300</v>
      </c>
      <c r="J386" t="s">
        <v>300</v>
      </c>
      <c r="K386" t="s">
        <v>429</v>
      </c>
      <c r="L386" t="s">
        <v>637</v>
      </c>
    </row>
    <row r="387" spans="1:12">
      <c r="A387">
        <v>102253000</v>
      </c>
      <c r="B387" t="s">
        <v>458</v>
      </c>
      <c r="C387" t="s">
        <v>43</v>
      </c>
      <c r="D387" t="s">
        <v>49</v>
      </c>
      <c r="E387" t="s">
        <v>34</v>
      </c>
      <c r="F387" t="s">
        <v>66</v>
      </c>
      <c r="G387" t="s">
        <v>122</v>
      </c>
      <c r="H387" t="s">
        <v>421</v>
      </c>
      <c r="I387" t="s">
        <v>300</v>
      </c>
      <c r="J387" t="s">
        <v>300</v>
      </c>
      <c r="K387" t="s">
        <v>457</v>
      </c>
      <c r="L387" t="s">
        <v>638</v>
      </c>
    </row>
    <row r="388" spans="1:12">
      <c r="A388">
        <v>103122000</v>
      </c>
      <c r="B388" t="s">
        <v>640</v>
      </c>
      <c r="C388" t="s">
        <v>129</v>
      </c>
      <c r="D388" t="s">
        <v>616</v>
      </c>
      <c r="E388" t="s">
        <v>17</v>
      </c>
      <c r="F388" t="s">
        <v>66</v>
      </c>
      <c r="G388" t="s">
        <v>243</v>
      </c>
      <c r="H388" t="s">
        <v>421</v>
      </c>
      <c r="I388" t="s">
        <v>300</v>
      </c>
      <c r="J388" t="s">
        <v>300</v>
      </c>
      <c r="K388" t="s">
        <v>641</v>
      </c>
      <c r="L388" t="s">
        <v>642</v>
      </c>
    </row>
    <row r="389" spans="1:12">
      <c r="A389">
        <v>103121000</v>
      </c>
      <c r="B389" t="s">
        <v>643</v>
      </c>
      <c r="C389" t="s">
        <v>129</v>
      </c>
      <c r="D389" t="s">
        <v>65</v>
      </c>
      <c r="E389" t="s">
        <v>17</v>
      </c>
      <c r="F389" t="s">
        <v>66</v>
      </c>
      <c r="G389" t="s">
        <v>243</v>
      </c>
      <c r="H389" t="s">
        <v>421</v>
      </c>
      <c r="I389" t="s">
        <v>300</v>
      </c>
      <c r="J389" t="s">
        <v>300</v>
      </c>
      <c r="K389" t="s">
        <v>644</v>
      </c>
      <c r="L389" t="s">
        <v>516</v>
      </c>
    </row>
    <row r="390" spans="1:12">
      <c r="A390">
        <v>103151000</v>
      </c>
      <c r="B390" t="s">
        <v>645</v>
      </c>
      <c r="C390" t="s">
        <v>129</v>
      </c>
      <c r="D390" t="s">
        <v>65</v>
      </c>
      <c r="E390" t="s">
        <v>17</v>
      </c>
      <c r="F390" t="s">
        <v>66</v>
      </c>
      <c r="G390" t="s">
        <v>122</v>
      </c>
      <c r="H390" t="s">
        <v>421</v>
      </c>
      <c r="I390" t="s">
        <v>300</v>
      </c>
      <c r="J390" t="s">
        <v>300</v>
      </c>
      <c r="K390" t="s">
        <v>644</v>
      </c>
      <c r="L390" t="s">
        <v>516</v>
      </c>
    </row>
    <row r="391" spans="1:12">
      <c r="A391">
        <v>103152000</v>
      </c>
      <c r="B391" t="s">
        <v>646</v>
      </c>
      <c r="C391" t="s">
        <v>129</v>
      </c>
      <c r="D391" t="s">
        <v>616</v>
      </c>
      <c r="E391" t="s">
        <v>17</v>
      </c>
      <c r="F391" t="s">
        <v>66</v>
      </c>
      <c r="G391" t="s">
        <v>122</v>
      </c>
      <c r="H391" t="s">
        <v>421</v>
      </c>
      <c r="I391" t="s">
        <v>300</v>
      </c>
      <c r="J391" t="s">
        <v>300</v>
      </c>
      <c r="K391" t="s">
        <v>641</v>
      </c>
      <c r="L391" t="s">
        <v>642</v>
      </c>
    </row>
    <row r="392" spans="1:12">
      <c r="A392">
        <v>103221000</v>
      </c>
      <c r="B392" t="s">
        <v>647</v>
      </c>
      <c r="C392" t="s">
        <v>129</v>
      </c>
      <c r="D392" t="s">
        <v>65</v>
      </c>
      <c r="E392" t="s">
        <v>34</v>
      </c>
      <c r="F392" t="s">
        <v>66</v>
      </c>
      <c r="G392" t="s">
        <v>243</v>
      </c>
      <c r="H392" t="s">
        <v>421</v>
      </c>
      <c r="I392" t="s">
        <v>300</v>
      </c>
      <c r="J392" t="s">
        <v>300</v>
      </c>
      <c r="K392" t="s">
        <v>648</v>
      </c>
      <c r="L392" t="s">
        <v>562</v>
      </c>
    </row>
    <row r="393" spans="1:12">
      <c r="A393">
        <v>103222000</v>
      </c>
      <c r="B393" t="s">
        <v>649</v>
      </c>
      <c r="C393" t="s">
        <v>129</v>
      </c>
      <c r="D393" t="s">
        <v>616</v>
      </c>
      <c r="E393" t="s">
        <v>34</v>
      </c>
      <c r="F393" t="s">
        <v>66</v>
      </c>
      <c r="G393" t="s">
        <v>243</v>
      </c>
      <c r="H393" t="s">
        <v>421</v>
      </c>
      <c r="I393" t="s">
        <v>300</v>
      </c>
      <c r="J393" t="s">
        <v>300</v>
      </c>
      <c r="K393" t="s">
        <v>650</v>
      </c>
      <c r="L393" t="s">
        <v>651</v>
      </c>
    </row>
    <row r="394" spans="1:12">
      <c r="A394">
        <v>103251000</v>
      </c>
      <c r="B394" t="s">
        <v>652</v>
      </c>
      <c r="C394" t="s">
        <v>129</v>
      </c>
      <c r="D394" t="s">
        <v>65</v>
      </c>
      <c r="E394" t="s">
        <v>34</v>
      </c>
      <c r="F394" t="s">
        <v>66</v>
      </c>
      <c r="G394" t="s">
        <v>122</v>
      </c>
      <c r="H394" t="s">
        <v>421</v>
      </c>
      <c r="I394" t="s">
        <v>300</v>
      </c>
      <c r="J394" t="s">
        <v>300</v>
      </c>
      <c r="K394" t="s">
        <v>648</v>
      </c>
      <c r="L394" t="s">
        <v>562</v>
      </c>
    </row>
    <row r="395" spans="1:12">
      <c r="A395">
        <v>103252000</v>
      </c>
      <c r="B395" t="s">
        <v>653</v>
      </c>
      <c r="C395" t="s">
        <v>129</v>
      </c>
      <c r="D395" t="s">
        <v>616</v>
      </c>
      <c r="E395" t="s">
        <v>34</v>
      </c>
      <c r="F395" t="s">
        <v>66</v>
      </c>
      <c r="G395" t="s">
        <v>122</v>
      </c>
      <c r="H395" t="s">
        <v>421</v>
      </c>
      <c r="I395" t="s">
        <v>300</v>
      </c>
      <c r="J395" t="s">
        <v>300</v>
      </c>
      <c r="K395" t="s">
        <v>650</v>
      </c>
      <c r="L395" t="s">
        <v>651</v>
      </c>
    </row>
    <row r="396" spans="1:12">
      <c r="A396">
        <v>104121000</v>
      </c>
      <c r="B396" t="s">
        <v>654</v>
      </c>
      <c r="C396" t="s">
        <v>64</v>
      </c>
      <c r="D396" t="s">
        <v>65</v>
      </c>
      <c r="E396" t="s">
        <v>17</v>
      </c>
      <c r="F396" t="s">
        <v>66</v>
      </c>
      <c r="G396" t="s">
        <v>243</v>
      </c>
      <c r="H396" t="s">
        <v>421</v>
      </c>
      <c r="I396" t="s">
        <v>300</v>
      </c>
      <c r="J396" t="s">
        <v>300</v>
      </c>
      <c r="K396" t="s">
        <v>655</v>
      </c>
      <c r="L396" t="s">
        <v>68</v>
      </c>
    </row>
    <row r="397" spans="1:12">
      <c r="A397">
        <v>104151000</v>
      </c>
      <c r="B397" t="s">
        <v>656</v>
      </c>
      <c r="C397" t="s">
        <v>64</v>
      </c>
      <c r="D397" t="s">
        <v>65</v>
      </c>
      <c r="E397" t="s">
        <v>17</v>
      </c>
      <c r="F397" t="s">
        <v>66</v>
      </c>
      <c r="G397" t="s">
        <v>122</v>
      </c>
      <c r="H397" t="s">
        <v>421</v>
      </c>
      <c r="I397" t="s">
        <v>300</v>
      </c>
      <c r="J397" t="s">
        <v>300</v>
      </c>
      <c r="K397" t="s">
        <v>655</v>
      </c>
      <c r="L397" t="s">
        <v>68</v>
      </c>
    </row>
    <row r="398" spans="1:12">
      <c r="A398">
        <v>104221000</v>
      </c>
      <c r="B398" t="s">
        <v>657</v>
      </c>
      <c r="C398" t="s">
        <v>64</v>
      </c>
      <c r="D398" t="s">
        <v>65</v>
      </c>
      <c r="E398" t="s">
        <v>34</v>
      </c>
      <c r="F398" t="s">
        <v>66</v>
      </c>
      <c r="G398" t="s">
        <v>243</v>
      </c>
      <c r="H398" t="s">
        <v>421</v>
      </c>
      <c r="I398" t="s">
        <v>300</v>
      </c>
      <c r="J398" t="s">
        <v>300</v>
      </c>
      <c r="K398" t="s">
        <v>658</v>
      </c>
      <c r="L398" t="s">
        <v>180</v>
      </c>
    </row>
    <row r="399" spans="1:12">
      <c r="A399">
        <v>104251000</v>
      </c>
      <c r="B399" t="s">
        <v>659</v>
      </c>
      <c r="C399" t="s">
        <v>64</v>
      </c>
      <c r="D399" t="s">
        <v>65</v>
      </c>
      <c r="E399" t="s">
        <v>34</v>
      </c>
      <c r="F399" t="s">
        <v>66</v>
      </c>
      <c r="G399" t="s">
        <v>122</v>
      </c>
      <c r="H399" t="s">
        <v>421</v>
      </c>
      <c r="I399" t="s">
        <v>300</v>
      </c>
      <c r="J399" t="s">
        <v>300</v>
      </c>
      <c r="K399" t="s">
        <v>658</v>
      </c>
      <c r="L399" t="s">
        <v>180</v>
      </c>
    </row>
    <row r="400" spans="1:12">
      <c r="A400">
        <v>201122000</v>
      </c>
      <c r="B400" t="s">
        <v>660</v>
      </c>
      <c r="C400" t="s">
        <v>15</v>
      </c>
      <c r="D400" t="s">
        <v>16</v>
      </c>
      <c r="E400" t="s">
        <v>17</v>
      </c>
      <c r="F400" t="s">
        <v>66</v>
      </c>
      <c r="G400" t="s">
        <v>243</v>
      </c>
      <c r="H400" t="s">
        <v>139</v>
      </c>
      <c r="I400" t="s">
        <v>299</v>
      </c>
      <c r="J400" t="s">
        <v>300</v>
      </c>
      <c r="K400" t="s">
        <v>137</v>
      </c>
      <c r="L400" t="s">
        <v>24</v>
      </c>
    </row>
    <row r="401" spans="1:12">
      <c r="A401">
        <v>201123000</v>
      </c>
      <c r="B401" t="s">
        <v>661</v>
      </c>
      <c r="C401" t="s">
        <v>15</v>
      </c>
      <c r="D401" t="s">
        <v>29</v>
      </c>
      <c r="E401" t="s">
        <v>17</v>
      </c>
      <c r="F401" t="s">
        <v>66</v>
      </c>
      <c r="G401" t="s">
        <v>243</v>
      </c>
      <c r="H401" t="s">
        <v>139</v>
      </c>
      <c r="I401" t="s">
        <v>299</v>
      </c>
      <c r="J401" t="s">
        <v>300</v>
      </c>
      <c r="K401" t="s">
        <v>266</v>
      </c>
      <c r="L401" t="s">
        <v>31</v>
      </c>
    </row>
    <row r="402" spans="1:12">
      <c r="A402">
        <v>201124000</v>
      </c>
      <c r="B402" t="s">
        <v>662</v>
      </c>
      <c r="C402" t="s">
        <v>15</v>
      </c>
      <c r="D402" t="s">
        <v>150</v>
      </c>
      <c r="E402" t="s">
        <v>17</v>
      </c>
      <c r="F402" t="s">
        <v>66</v>
      </c>
      <c r="G402" t="s">
        <v>243</v>
      </c>
      <c r="H402" t="s">
        <v>139</v>
      </c>
      <c r="I402" t="s">
        <v>299</v>
      </c>
      <c r="J402" t="s">
        <v>300</v>
      </c>
      <c r="K402" t="s">
        <v>663</v>
      </c>
      <c r="L402" t="s">
        <v>622</v>
      </c>
    </row>
    <row r="403" spans="1:12">
      <c r="A403">
        <v>201152000</v>
      </c>
      <c r="B403" t="s">
        <v>664</v>
      </c>
      <c r="C403" t="s">
        <v>15</v>
      </c>
      <c r="D403" t="s">
        <v>16</v>
      </c>
      <c r="E403" t="s">
        <v>17</v>
      </c>
      <c r="F403" t="s">
        <v>66</v>
      </c>
      <c r="G403" t="s">
        <v>122</v>
      </c>
      <c r="H403" t="s">
        <v>139</v>
      </c>
      <c r="I403" t="s">
        <v>299</v>
      </c>
      <c r="J403" t="s">
        <v>300</v>
      </c>
      <c r="K403" t="s">
        <v>137</v>
      </c>
      <c r="L403" t="s">
        <v>24</v>
      </c>
    </row>
    <row r="404" spans="1:12">
      <c r="A404">
        <v>201153000</v>
      </c>
      <c r="B404" t="s">
        <v>665</v>
      </c>
      <c r="C404" t="s">
        <v>15</v>
      </c>
      <c r="D404" t="s">
        <v>29</v>
      </c>
      <c r="E404" t="s">
        <v>17</v>
      </c>
      <c r="F404" t="s">
        <v>66</v>
      </c>
      <c r="G404" t="s">
        <v>122</v>
      </c>
      <c r="H404" t="s">
        <v>139</v>
      </c>
      <c r="I404" t="s">
        <v>299</v>
      </c>
      <c r="J404" t="s">
        <v>300</v>
      </c>
      <c r="K404" t="s">
        <v>266</v>
      </c>
      <c r="L404" t="s">
        <v>31</v>
      </c>
    </row>
    <row r="405" spans="1:12">
      <c r="A405">
        <v>201154000</v>
      </c>
      <c r="B405" t="s">
        <v>666</v>
      </c>
      <c r="C405" t="s">
        <v>15</v>
      </c>
      <c r="D405" t="s">
        <v>192</v>
      </c>
      <c r="E405" t="s">
        <v>17</v>
      </c>
      <c r="F405" t="s">
        <v>66</v>
      </c>
      <c r="G405" t="s">
        <v>122</v>
      </c>
      <c r="H405" t="s">
        <v>139</v>
      </c>
      <c r="I405" t="s">
        <v>299</v>
      </c>
      <c r="J405" t="s">
        <v>300</v>
      </c>
      <c r="K405" t="s">
        <v>663</v>
      </c>
      <c r="L405" t="s">
        <v>622</v>
      </c>
    </row>
    <row r="406" spans="1:12">
      <c r="A406">
        <v>201222000</v>
      </c>
      <c r="B406" t="s">
        <v>667</v>
      </c>
      <c r="C406" t="s">
        <v>15</v>
      </c>
      <c r="D406" t="s">
        <v>16</v>
      </c>
      <c r="E406" t="s">
        <v>34</v>
      </c>
      <c r="F406" t="s">
        <v>66</v>
      </c>
      <c r="G406" t="s">
        <v>243</v>
      </c>
      <c r="H406" t="s">
        <v>139</v>
      </c>
      <c r="I406" t="s">
        <v>299</v>
      </c>
      <c r="J406" t="s">
        <v>300</v>
      </c>
      <c r="K406" t="s">
        <v>142</v>
      </c>
      <c r="L406" t="s">
        <v>36</v>
      </c>
    </row>
    <row r="407" spans="1:12">
      <c r="A407">
        <v>201223000</v>
      </c>
      <c r="B407" t="s">
        <v>668</v>
      </c>
      <c r="C407" t="s">
        <v>15</v>
      </c>
      <c r="D407" t="s">
        <v>29</v>
      </c>
      <c r="E407" t="s">
        <v>34</v>
      </c>
      <c r="F407" t="s">
        <v>66</v>
      </c>
      <c r="G407" t="s">
        <v>243</v>
      </c>
      <c r="H407" t="s">
        <v>139</v>
      </c>
      <c r="I407" t="s">
        <v>299</v>
      </c>
      <c r="J407" t="s">
        <v>300</v>
      </c>
      <c r="K407" t="s">
        <v>277</v>
      </c>
      <c r="L407" t="s">
        <v>40</v>
      </c>
    </row>
    <row r="408" spans="1:12">
      <c r="A408">
        <v>201224000</v>
      </c>
      <c r="B408" t="s">
        <v>669</v>
      </c>
      <c r="C408" t="s">
        <v>15</v>
      </c>
      <c r="D408" t="s">
        <v>150</v>
      </c>
      <c r="E408" t="s">
        <v>34</v>
      </c>
      <c r="F408" t="s">
        <v>66</v>
      </c>
      <c r="G408" t="s">
        <v>243</v>
      </c>
      <c r="H408" t="s">
        <v>139</v>
      </c>
      <c r="I408" t="s">
        <v>299</v>
      </c>
      <c r="J408" t="s">
        <v>300</v>
      </c>
      <c r="K408" t="s">
        <v>670</v>
      </c>
      <c r="L408" t="s">
        <v>626</v>
      </c>
    </row>
    <row r="409" spans="1:12">
      <c r="A409">
        <v>201252000</v>
      </c>
      <c r="B409" t="s">
        <v>671</v>
      </c>
      <c r="C409" t="s">
        <v>15</v>
      </c>
      <c r="D409" t="s">
        <v>16</v>
      </c>
      <c r="E409" t="s">
        <v>34</v>
      </c>
      <c r="F409" t="s">
        <v>66</v>
      </c>
      <c r="G409" t="s">
        <v>122</v>
      </c>
      <c r="H409" t="s">
        <v>139</v>
      </c>
      <c r="I409" t="s">
        <v>299</v>
      </c>
      <c r="J409" t="s">
        <v>300</v>
      </c>
      <c r="K409" t="s">
        <v>142</v>
      </c>
      <c r="L409" t="s">
        <v>36</v>
      </c>
    </row>
    <row r="410" spans="1:12">
      <c r="A410">
        <v>201253000</v>
      </c>
      <c r="B410" t="s">
        <v>672</v>
      </c>
      <c r="C410" t="s">
        <v>15</v>
      </c>
      <c r="D410" t="s">
        <v>29</v>
      </c>
      <c r="E410" t="s">
        <v>34</v>
      </c>
      <c r="F410" t="s">
        <v>66</v>
      </c>
      <c r="G410" t="s">
        <v>122</v>
      </c>
      <c r="H410" t="s">
        <v>139</v>
      </c>
      <c r="I410" t="s">
        <v>299</v>
      </c>
      <c r="J410" t="s">
        <v>300</v>
      </c>
      <c r="K410" t="s">
        <v>277</v>
      </c>
      <c r="L410" t="s">
        <v>40</v>
      </c>
    </row>
    <row r="411" spans="1:12">
      <c r="A411">
        <v>201254000</v>
      </c>
      <c r="B411" t="s">
        <v>673</v>
      </c>
      <c r="C411" t="s">
        <v>15</v>
      </c>
      <c r="D411" t="s">
        <v>150</v>
      </c>
      <c r="E411" t="s">
        <v>34</v>
      </c>
      <c r="F411" t="s">
        <v>66</v>
      </c>
      <c r="G411" t="s">
        <v>122</v>
      </c>
      <c r="H411" t="s">
        <v>139</v>
      </c>
      <c r="I411" t="s">
        <v>299</v>
      </c>
      <c r="J411" t="s">
        <v>300</v>
      </c>
      <c r="K411" t="s">
        <v>670</v>
      </c>
      <c r="L411" t="s">
        <v>626</v>
      </c>
    </row>
    <row r="412" spans="1:12">
      <c r="A412">
        <v>202122000</v>
      </c>
      <c r="B412" t="s">
        <v>674</v>
      </c>
      <c r="C412" t="s">
        <v>43</v>
      </c>
      <c r="D412" t="s">
        <v>44</v>
      </c>
      <c r="E412" t="s">
        <v>17</v>
      </c>
      <c r="F412" t="s">
        <v>66</v>
      </c>
      <c r="G412" t="s">
        <v>243</v>
      </c>
      <c r="H412" t="s">
        <v>139</v>
      </c>
      <c r="I412" t="s">
        <v>299</v>
      </c>
      <c r="J412" t="s">
        <v>300</v>
      </c>
      <c r="K412" t="s">
        <v>282</v>
      </c>
      <c r="L412" t="s">
        <v>47</v>
      </c>
    </row>
    <row r="413" spans="1:12">
      <c r="A413">
        <v>202121000</v>
      </c>
      <c r="B413" t="s">
        <v>675</v>
      </c>
      <c r="C413" t="s">
        <v>43</v>
      </c>
      <c r="D413" t="s">
        <v>65</v>
      </c>
      <c r="E413" t="s">
        <v>17</v>
      </c>
      <c r="F413" t="s">
        <v>66</v>
      </c>
      <c r="G413" t="s">
        <v>243</v>
      </c>
      <c r="H413" t="s">
        <v>139</v>
      </c>
      <c r="I413" t="s">
        <v>299</v>
      </c>
      <c r="J413" t="s">
        <v>300</v>
      </c>
      <c r="K413" t="s">
        <v>676</v>
      </c>
      <c r="L413" t="s">
        <v>677</v>
      </c>
    </row>
    <row r="414" spans="1:12">
      <c r="A414">
        <v>202123000</v>
      </c>
      <c r="B414" t="s">
        <v>678</v>
      </c>
      <c r="C414" t="s">
        <v>43</v>
      </c>
      <c r="D414" t="s">
        <v>49</v>
      </c>
      <c r="E414" t="s">
        <v>17</v>
      </c>
      <c r="F414" t="s">
        <v>66</v>
      </c>
      <c r="G414" t="s">
        <v>243</v>
      </c>
      <c r="H414" t="s">
        <v>139</v>
      </c>
      <c r="I414" t="s">
        <v>299</v>
      </c>
      <c r="J414" t="s">
        <v>300</v>
      </c>
      <c r="K414" t="s">
        <v>286</v>
      </c>
      <c r="L414" t="s">
        <v>50</v>
      </c>
    </row>
    <row r="415" spans="1:12">
      <c r="A415">
        <v>202151000</v>
      </c>
      <c r="B415" t="s">
        <v>679</v>
      </c>
      <c r="C415" t="s">
        <v>43</v>
      </c>
      <c r="D415" t="s">
        <v>65</v>
      </c>
      <c r="E415" t="s">
        <v>17</v>
      </c>
      <c r="F415" t="s">
        <v>66</v>
      </c>
      <c r="G415" t="s">
        <v>122</v>
      </c>
      <c r="H415" t="s">
        <v>139</v>
      </c>
      <c r="I415" t="s">
        <v>299</v>
      </c>
      <c r="J415" t="s">
        <v>300</v>
      </c>
      <c r="K415" t="s">
        <v>676</v>
      </c>
      <c r="L415" t="s">
        <v>677</v>
      </c>
    </row>
    <row r="416" spans="1:12">
      <c r="A416">
        <v>202152000</v>
      </c>
      <c r="B416" t="s">
        <v>680</v>
      </c>
      <c r="C416" t="s">
        <v>43</v>
      </c>
      <c r="D416" t="s">
        <v>44</v>
      </c>
      <c r="E416" t="s">
        <v>17</v>
      </c>
      <c r="F416" t="s">
        <v>66</v>
      </c>
      <c r="G416" t="s">
        <v>122</v>
      </c>
      <c r="H416" t="s">
        <v>139</v>
      </c>
      <c r="I416" t="s">
        <v>299</v>
      </c>
      <c r="J416" t="s">
        <v>300</v>
      </c>
      <c r="K416" t="s">
        <v>282</v>
      </c>
      <c r="L416" t="s">
        <v>47</v>
      </c>
    </row>
    <row r="417" spans="1:12">
      <c r="A417">
        <v>202153000</v>
      </c>
      <c r="B417" t="s">
        <v>681</v>
      </c>
      <c r="C417" t="s">
        <v>43</v>
      </c>
      <c r="D417" t="s">
        <v>49</v>
      </c>
      <c r="E417" t="s">
        <v>17</v>
      </c>
      <c r="F417" t="s">
        <v>66</v>
      </c>
      <c r="G417" t="s">
        <v>122</v>
      </c>
      <c r="H417" t="s">
        <v>139</v>
      </c>
      <c r="I417" t="s">
        <v>299</v>
      </c>
      <c r="J417" t="s">
        <v>300</v>
      </c>
      <c r="K417" t="s">
        <v>286</v>
      </c>
      <c r="L417" t="s">
        <v>50</v>
      </c>
    </row>
    <row r="418" spans="1:12">
      <c r="A418">
        <v>202221000</v>
      </c>
      <c r="B418" t="s">
        <v>682</v>
      </c>
      <c r="C418" t="s">
        <v>43</v>
      </c>
      <c r="D418" t="s">
        <v>65</v>
      </c>
      <c r="E418" t="s">
        <v>34</v>
      </c>
      <c r="F418" t="s">
        <v>66</v>
      </c>
      <c r="G418" t="s">
        <v>243</v>
      </c>
      <c r="H418" t="s">
        <v>139</v>
      </c>
      <c r="I418" t="s">
        <v>299</v>
      </c>
      <c r="J418" t="s">
        <v>300</v>
      </c>
      <c r="K418" t="s">
        <v>683</v>
      </c>
      <c r="L418" t="s">
        <v>684</v>
      </c>
    </row>
    <row r="419" spans="1:12">
      <c r="A419">
        <v>202222000</v>
      </c>
      <c r="B419" t="s">
        <v>685</v>
      </c>
      <c r="C419" t="s">
        <v>43</v>
      </c>
      <c r="D419" t="s">
        <v>44</v>
      </c>
      <c r="E419" t="s">
        <v>34</v>
      </c>
      <c r="F419" t="s">
        <v>66</v>
      </c>
      <c r="G419" t="s">
        <v>243</v>
      </c>
      <c r="H419" t="s">
        <v>139</v>
      </c>
      <c r="I419" t="s">
        <v>299</v>
      </c>
      <c r="J419" t="s">
        <v>300</v>
      </c>
      <c r="K419" t="s">
        <v>284</v>
      </c>
      <c r="L419" t="s">
        <v>52</v>
      </c>
    </row>
    <row r="420" spans="1:12">
      <c r="A420">
        <v>202223000</v>
      </c>
      <c r="B420" t="s">
        <v>686</v>
      </c>
      <c r="C420" t="s">
        <v>43</v>
      </c>
      <c r="D420" t="s">
        <v>49</v>
      </c>
      <c r="E420" t="s">
        <v>34</v>
      </c>
      <c r="F420" t="s">
        <v>66</v>
      </c>
      <c r="G420" t="s">
        <v>243</v>
      </c>
      <c r="H420" t="s">
        <v>139</v>
      </c>
      <c r="I420" t="s">
        <v>299</v>
      </c>
      <c r="J420" t="s">
        <v>300</v>
      </c>
      <c r="K420" t="s">
        <v>288</v>
      </c>
      <c r="L420" t="s">
        <v>55</v>
      </c>
    </row>
    <row r="421" spans="1:12">
      <c r="A421">
        <v>202251000</v>
      </c>
      <c r="B421" t="s">
        <v>687</v>
      </c>
      <c r="C421" t="s">
        <v>43</v>
      </c>
      <c r="D421" t="s">
        <v>65</v>
      </c>
      <c r="E421" t="s">
        <v>34</v>
      </c>
      <c r="F421" t="s">
        <v>66</v>
      </c>
      <c r="G421" t="s">
        <v>122</v>
      </c>
      <c r="H421" t="s">
        <v>139</v>
      </c>
      <c r="I421" t="s">
        <v>299</v>
      </c>
      <c r="J421" t="s">
        <v>300</v>
      </c>
      <c r="K421" t="s">
        <v>683</v>
      </c>
      <c r="L421" t="s">
        <v>684</v>
      </c>
    </row>
    <row r="422" spans="1:12">
      <c r="A422">
        <v>202252000</v>
      </c>
      <c r="B422" t="s">
        <v>688</v>
      </c>
      <c r="C422" t="s">
        <v>43</v>
      </c>
      <c r="D422" t="s">
        <v>44</v>
      </c>
      <c r="E422" t="s">
        <v>34</v>
      </c>
      <c r="F422" t="s">
        <v>66</v>
      </c>
      <c r="G422" t="s">
        <v>122</v>
      </c>
      <c r="H422" t="s">
        <v>139</v>
      </c>
      <c r="I422" t="s">
        <v>299</v>
      </c>
      <c r="J422" t="s">
        <v>300</v>
      </c>
      <c r="K422" t="s">
        <v>284</v>
      </c>
      <c r="L422" t="s">
        <v>52</v>
      </c>
    </row>
    <row r="423" spans="1:12">
      <c r="A423">
        <v>202253000</v>
      </c>
      <c r="B423" t="s">
        <v>689</v>
      </c>
      <c r="C423" t="s">
        <v>43</v>
      </c>
      <c r="D423" t="s">
        <v>49</v>
      </c>
      <c r="E423" t="s">
        <v>34</v>
      </c>
      <c r="F423" t="s">
        <v>66</v>
      </c>
      <c r="G423" t="s">
        <v>122</v>
      </c>
      <c r="H423" t="s">
        <v>139</v>
      </c>
      <c r="I423" t="s">
        <v>299</v>
      </c>
      <c r="J423" t="s">
        <v>300</v>
      </c>
      <c r="K423" t="s">
        <v>288</v>
      </c>
      <c r="L423" t="s">
        <v>55</v>
      </c>
    </row>
    <row r="424" spans="1:12">
      <c r="A424">
        <v>203122000</v>
      </c>
      <c r="B424" t="s">
        <v>690</v>
      </c>
      <c r="C424" t="s">
        <v>129</v>
      </c>
      <c r="D424" t="s">
        <v>616</v>
      </c>
      <c r="E424" t="s">
        <v>17</v>
      </c>
      <c r="F424" t="s">
        <v>66</v>
      </c>
      <c r="G424" t="s">
        <v>243</v>
      </c>
      <c r="H424" t="s">
        <v>139</v>
      </c>
      <c r="I424" t="s">
        <v>299</v>
      </c>
      <c r="J424" t="s">
        <v>300</v>
      </c>
      <c r="K424" t="s">
        <v>691</v>
      </c>
      <c r="L424" t="s">
        <v>692</v>
      </c>
    </row>
    <row r="425" spans="1:12">
      <c r="A425">
        <v>203121000</v>
      </c>
      <c r="B425" t="s">
        <v>693</v>
      </c>
      <c r="C425" t="s">
        <v>129</v>
      </c>
      <c r="D425" t="s">
        <v>65</v>
      </c>
      <c r="E425" t="s">
        <v>17</v>
      </c>
      <c r="F425" t="s">
        <v>66</v>
      </c>
      <c r="G425" t="s">
        <v>243</v>
      </c>
      <c r="H425" t="s">
        <v>139</v>
      </c>
      <c r="I425" t="s">
        <v>299</v>
      </c>
      <c r="J425" t="s">
        <v>300</v>
      </c>
      <c r="K425" t="s">
        <v>694</v>
      </c>
      <c r="L425" t="s">
        <v>695</v>
      </c>
    </row>
    <row r="426" spans="1:12">
      <c r="A426">
        <v>203151000</v>
      </c>
      <c r="B426" t="s">
        <v>696</v>
      </c>
      <c r="C426" t="s">
        <v>129</v>
      </c>
      <c r="D426" t="s">
        <v>65</v>
      </c>
      <c r="E426" t="s">
        <v>17</v>
      </c>
      <c r="F426" t="s">
        <v>66</v>
      </c>
      <c r="G426" t="s">
        <v>122</v>
      </c>
      <c r="H426" t="s">
        <v>139</v>
      </c>
      <c r="I426" t="s">
        <v>299</v>
      </c>
      <c r="J426" t="s">
        <v>300</v>
      </c>
      <c r="K426" t="s">
        <v>694</v>
      </c>
      <c r="L426" t="s">
        <v>695</v>
      </c>
    </row>
    <row r="427" spans="1:12">
      <c r="A427">
        <v>203152000</v>
      </c>
      <c r="B427" t="s">
        <v>697</v>
      </c>
      <c r="C427" t="s">
        <v>129</v>
      </c>
      <c r="D427" t="s">
        <v>616</v>
      </c>
      <c r="E427" t="s">
        <v>17</v>
      </c>
      <c r="F427" t="s">
        <v>66</v>
      </c>
      <c r="G427" t="s">
        <v>122</v>
      </c>
      <c r="H427" t="s">
        <v>139</v>
      </c>
      <c r="I427" t="s">
        <v>299</v>
      </c>
      <c r="J427" t="s">
        <v>300</v>
      </c>
      <c r="K427" t="s">
        <v>691</v>
      </c>
      <c r="L427" t="s">
        <v>692</v>
      </c>
    </row>
    <row r="428" spans="1:12">
      <c r="A428">
        <v>203221000</v>
      </c>
      <c r="B428" t="s">
        <v>698</v>
      </c>
      <c r="C428" t="s">
        <v>129</v>
      </c>
      <c r="D428" t="s">
        <v>65</v>
      </c>
      <c r="E428" t="s">
        <v>34</v>
      </c>
      <c r="F428" t="s">
        <v>66</v>
      </c>
      <c r="G428" t="s">
        <v>243</v>
      </c>
      <c r="H428" t="s">
        <v>139</v>
      </c>
      <c r="I428" t="s">
        <v>299</v>
      </c>
      <c r="J428" t="s">
        <v>300</v>
      </c>
      <c r="K428" t="s">
        <v>699</v>
      </c>
      <c r="L428" t="s">
        <v>700</v>
      </c>
    </row>
    <row r="429" spans="1:12">
      <c r="A429">
        <v>203222000</v>
      </c>
      <c r="B429" t="s">
        <v>701</v>
      </c>
      <c r="C429" t="s">
        <v>129</v>
      </c>
      <c r="D429" t="s">
        <v>616</v>
      </c>
      <c r="E429" t="s">
        <v>34</v>
      </c>
      <c r="F429" t="s">
        <v>66</v>
      </c>
      <c r="G429" t="s">
        <v>243</v>
      </c>
      <c r="H429" t="s">
        <v>139</v>
      </c>
      <c r="I429" t="s">
        <v>299</v>
      </c>
      <c r="J429" t="s">
        <v>300</v>
      </c>
      <c r="K429" t="s">
        <v>702</v>
      </c>
      <c r="L429" t="s">
        <v>703</v>
      </c>
    </row>
    <row r="430" spans="1:12">
      <c r="A430">
        <v>203251000</v>
      </c>
      <c r="B430" t="s">
        <v>704</v>
      </c>
      <c r="C430" t="s">
        <v>129</v>
      </c>
      <c r="D430" t="s">
        <v>65</v>
      </c>
      <c r="E430" t="s">
        <v>34</v>
      </c>
      <c r="F430" t="s">
        <v>66</v>
      </c>
      <c r="G430" t="s">
        <v>122</v>
      </c>
      <c r="H430" t="s">
        <v>139</v>
      </c>
      <c r="I430" t="s">
        <v>299</v>
      </c>
      <c r="J430" t="s">
        <v>300</v>
      </c>
      <c r="K430" t="s">
        <v>699</v>
      </c>
      <c r="L430" t="s">
        <v>700</v>
      </c>
    </row>
    <row r="431" spans="1:12">
      <c r="A431">
        <v>203252000</v>
      </c>
      <c r="B431" t="s">
        <v>705</v>
      </c>
      <c r="C431" t="s">
        <v>129</v>
      </c>
      <c r="D431" t="s">
        <v>616</v>
      </c>
      <c r="E431" t="s">
        <v>34</v>
      </c>
      <c r="F431" t="s">
        <v>66</v>
      </c>
      <c r="G431" t="s">
        <v>122</v>
      </c>
      <c r="H431" t="s">
        <v>139</v>
      </c>
      <c r="I431" t="s">
        <v>299</v>
      </c>
      <c r="J431" t="s">
        <v>300</v>
      </c>
      <c r="K431" t="s">
        <v>702</v>
      </c>
      <c r="L431" t="s">
        <v>703</v>
      </c>
    </row>
    <row r="432" spans="1:12">
      <c r="A432">
        <v>204121000</v>
      </c>
      <c r="B432" t="s">
        <v>706</v>
      </c>
      <c r="C432" t="s">
        <v>64</v>
      </c>
      <c r="D432" t="s">
        <v>65</v>
      </c>
      <c r="E432" t="s">
        <v>17</v>
      </c>
      <c r="F432" t="s">
        <v>66</v>
      </c>
      <c r="G432" t="s">
        <v>243</v>
      </c>
      <c r="H432" t="s">
        <v>139</v>
      </c>
      <c r="I432" t="s">
        <v>299</v>
      </c>
      <c r="J432" t="s">
        <v>300</v>
      </c>
      <c r="K432" t="s">
        <v>707</v>
      </c>
      <c r="L432" t="s">
        <v>708</v>
      </c>
    </row>
    <row r="433" spans="1:12">
      <c r="A433">
        <v>204151000</v>
      </c>
      <c r="B433" t="s">
        <v>709</v>
      </c>
      <c r="C433" t="s">
        <v>64</v>
      </c>
      <c r="D433" t="s">
        <v>65</v>
      </c>
      <c r="E433" t="s">
        <v>17</v>
      </c>
      <c r="F433" t="s">
        <v>66</v>
      </c>
      <c r="G433" t="s">
        <v>122</v>
      </c>
      <c r="H433" t="s">
        <v>139</v>
      </c>
      <c r="I433" t="s">
        <v>299</v>
      </c>
      <c r="J433" t="s">
        <v>300</v>
      </c>
      <c r="K433" t="s">
        <v>707</v>
      </c>
      <c r="L433" t="s">
        <v>708</v>
      </c>
    </row>
    <row r="434" spans="1:12">
      <c r="A434">
        <v>204221000</v>
      </c>
      <c r="B434" t="s">
        <v>710</v>
      </c>
      <c r="C434" t="s">
        <v>64</v>
      </c>
      <c r="D434" t="s">
        <v>65</v>
      </c>
      <c r="E434" t="s">
        <v>34</v>
      </c>
      <c r="F434" t="s">
        <v>66</v>
      </c>
      <c r="G434" t="s">
        <v>243</v>
      </c>
      <c r="H434" t="s">
        <v>139</v>
      </c>
      <c r="I434" t="s">
        <v>299</v>
      </c>
      <c r="J434" t="s">
        <v>300</v>
      </c>
      <c r="K434" t="s">
        <v>711</v>
      </c>
      <c r="L434" t="s">
        <v>712</v>
      </c>
    </row>
    <row r="435" spans="1:12">
      <c r="A435">
        <v>204251000</v>
      </c>
      <c r="B435" t="s">
        <v>713</v>
      </c>
      <c r="C435" t="s">
        <v>64</v>
      </c>
      <c r="D435" t="s">
        <v>65</v>
      </c>
      <c r="E435" t="s">
        <v>34</v>
      </c>
      <c r="F435" t="s">
        <v>66</v>
      </c>
      <c r="G435" t="s">
        <v>122</v>
      </c>
      <c r="H435" t="s">
        <v>139</v>
      </c>
      <c r="I435" t="s">
        <v>299</v>
      </c>
      <c r="J435" t="s">
        <v>300</v>
      </c>
      <c r="K435" t="s">
        <v>711</v>
      </c>
      <c r="L435" t="s">
        <v>712</v>
      </c>
    </row>
    <row r="436" spans="1:12">
      <c r="A436">
        <v>302131000</v>
      </c>
      <c r="B436" t="s">
        <v>714</v>
      </c>
      <c r="C436" t="s">
        <v>43</v>
      </c>
      <c r="D436" t="s">
        <v>65</v>
      </c>
      <c r="E436" t="s">
        <v>17</v>
      </c>
      <c r="F436" t="s">
        <v>66</v>
      </c>
      <c r="G436" t="s">
        <v>139</v>
      </c>
      <c r="H436" t="s">
        <v>139</v>
      </c>
      <c r="I436" t="s">
        <v>340</v>
      </c>
      <c r="J436" t="s">
        <v>22</v>
      </c>
      <c r="K436" t="s">
        <v>396</v>
      </c>
      <c r="L436" t="s">
        <v>715</v>
      </c>
    </row>
    <row r="437" spans="1:12">
      <c r="A437">
        <v>302132000</v>
      </c>
      <c r="B437" t="s">
        <v>716</v>
      </c>
      <c r="C437" t="s">
        <v>43</v>
      </c>
      <c r="D437" t="s">
        <v>44</v>
      </c>
      <c r="E437" t="s">
        <v>17</v>
      </c>
      <c r="F437" t="s">
        <v>66</v>
      </c>
      <c r="G437" t="s">
        <v>139</v>
      </c>
      <c r="H437" t="s">
        <v>139</v>
      </c>
      <c r="I437" t="s">
        <v>340</v>
      </c>
      <c r="J437" t="s">
        <v>22</v>
      </c>
      <c r="K437" t="s">
        <v>286</v>
      </c>
      <c r="L437" t="s">
        <v>717</v>
      </c>
    </row>
    <row r="438" spans="1:12">
      <c r="A438">
        <v>302133000</v>
      </c>
      <c r="B438" t="s">
        <v>718</v>
      </c>
      <c r="C438" t="s">
        <v>43</v>
      </c>
      <c r="D438" t="s">
        <v>49</v>
      </c>
      <c r="E438" t="s">
        <v>17</v>
      </c>
      <c r="F438" t="s">
        <v>66</v>
      </c>
      <c r="G438" t="s">
        <v>139</v>
      </c>
      <c r="H438" t="s">
        <v>139</v>
      </c>
      <c r="I438" t="s">
        <v>340</v>
      </c>
      <c r="J438" t="s">
        <v>22</v>
      </c>
      <c r="K438" t="s">
        <v>286</v>
      </c>
      <c r="L438" t="s">
        <v>719</v>
      </c>
    </row>
    <row r="439" spans="1:12">
      <c r="A439">
        <v>302231000</v>
      </c>
      <c r="B439" t="s">
        <v>720</v>
      </c>
      <c r="C439" t="s">
        <v>43</v>
      </c>
      <c r="D439" t="s">
        <v>65</v>
      </c>
      <c r="E439" t="s">
        <v>34</v>
      </c>
      <c r="F439" t="s">
        <v>66</v>
      </c>
      <c r="G439" t="s">
        <v>139</v>
      </c>
      <c r="H439" t="s">
        <v>139</v>
      </c>
      <c r="I439" t="s">
        <v>340</v>
      </c>
      <c r="J439" t="s">
        <v>22</v>
      </c>
      <c r="K439" t="s">
        <v>721</v>
      </c>
      <c r="L439" t="s">
        <v>722</v>
      </c>
    </row>
    <row r="440" spans="1:12">
      <c r="A440">
        <v>302232000</v>
      </c>
      <c r="B440" t="s">
        <v>723</v>
      </c>
      <c r="C440" t="s">
        <v>43</v>
      </c>
      <c r="D440" t="s">
        <v>44</v>
      </c>
      <c r="E440" t="s">
        <v>34</v>
      </c>
      <c r="F440" t="s">
        <v>66</v>
      </c>
      <c r="G440" t="s">
        <v>139</v>
      </c>
      <c r="H440" t="s">
        <v>139</v>
      </c>
      <c r="I440" t="s">
        <v>340</v>
      </c>
      <c r="J440" t="s">
        <v>22</v>
      </c>
      <c r="K440" t="s">
        <v>284</v>
      </c>
      <c r="L440" t="s">
        <v>724</v>
      </c>
    </row>
    <row r="441" spans="1:12">
      <c r="A441">
        <v>302233000</v>
      </c>
      <c r="B441" t="s">
        <v>725</v>
      </c>
      <c r="C441" t="s">
        <v>43</v>
      </c>
      <c r="D441" t="s">
        <v>49</v>
      </c>
      <c r="E441" t="s">
        <v>34</v>
      </c>
      <c r="F441" t="s">
        <v>66</v>
      </c>
      <c r="G441" t="s">
        <v>139</v>
      </c>
      <c r="H441" t="s">
        <v>139</v>
      </c>
      <c r="I441" t="s">
        <v>340</v>
      </c>
      <c r="J441" t="s">
        <v>22</v>
      </c>
      <c r="K441" t="s">
        <v>288</v>
      </c>
      <c r="L441" t="s">
        <v>726</v>
      </c>
    </row>
    <row r="442" spans="1:12">
      <c r="A442">
        <v>402121000</v>
      </c>
      <c r="B442" t="s">
        <v>727</v>
      </c>
      <c r="C442" t="s">
        <v>43</v>
      </c>
      <c r="D442" t="s">
        <v>65</v>
      </c>
      <c r="E442" t="s">
        <v>17</v>
      </c>
      <c r="F442" t="s">
        <v>66</v>
      </c>
      <c r="G442" t="s">
        <v>19</v>
      </c>
      <c r="H442" t="s">
        <v>20</v>
      </c>
      <c r="I442" t="s">
        <v>189</v>
      </c>
      <c r="J442" t="s">
        <v>22</v>
      </c>
      <c r="K442" t="s">
        <v>728</v>
      </c>
      <c r="L442" t="s">
        <v>715</v>
      </c>
    </row>
    <row r="443" spans="1:12">
      <c r="A443">
        <v>402122000</v>
      </c>
      <c r="B443" t="s">
        <v>729</v>
      </c>
      <c r="C443" t="s">
        <v>43</v>
      </c>
      <c r="D443" t="s">
        <v>44</v>
      </c>
      <c r="E443" t="s">
        <v>17</v>
      </c>
      <c r="F443" t="s">
        <v>66</v>
      </c>
      <c r="G443" t="s">
        <v>19</v>
      </c>
      <c r="H443" t="s">
        <v>20</v>
      </c>
      <c r="I443" t="s">
        <v>189</v>
      </c>
      <c r="J443" t="s">
        <v>22</v>
      </c>
      <c r="K443" t="s">
        <v>730</v>
      </c>
      <c r="L443" t="s">
        <v>717</v>
      </c>
    </row>
    <row r="444" spans="1:12">
      <c r="A444">
        <v>402123000</v>
      </c>
      <c r="B444" t="s">
        <v>731</v>
      </c>
      <c r="C444" t="s">
        <v>43</v>
      </c>
      <c r="D444" t="s">
        <v>49</v>
      </c>
      <c r="E444" t="s">
        <v>17</v>
      </c>
      <c r="F444" t="s">
        <v>66</v>
      </c>
      <c r="G444" t="s">
        <v>19</v>
      </c>
      <c r="H444" t="s">
        <v>20</v>
      </c>
      <c r="I444" t="s">
        <v>189</v>
      </c>
      <c r="J444" t="s">
        <v>22</v>
      </c>
      <c r="K444" t="s">
        <v>732</v>
      </c>
      <c r="L444" t="s">
        <v>719</v>
      </c>
    </row>
    <row r="445" spans="1:12">
      <c r="A445">
        <v>402171000</v>
      </c>
      <c r="B445" t="s">
        <v>733</v>
      </c>
      <c r="C445" t="s">
        <v>43</v>
      </c>
      <c r="D445" t="s">
        <v>65</v>
      </c>
      <c r="E445" t="s">
        <v>17</v>
      </c>
      <c r="F445" t="s">
        <v>66</v>
      </c>
      <c r="G445" t="s">
        <v>243</v>
      </c>
      <c r="H445" t="s">
        <v>95</v>
      </c>
      <c r="I445" t="s">
        <v>189</v>
      </c>
      <c r="J445" t="s">
        <v>22</v>
      </c>
      <c r="K445" t="s">
        <v>728</v>
      </c>
      <c r="L445" t="s">
        <v>715</v>
      </c>
    </row>
    <row r="446" spans="1:12">
      <c r="A446">
        <v>402172000</v>
      </c>
      <c r="B446" t="s">
        <v>734</v>
      </c>
      <c r="C446" t="s">
        <v>43</v>
      </c>
      <c r="D446" t="s">
        <v>44</v>
      </c>
      <c r="E446" t="s">
        <v>17</v>
      </c>
      <c r="F446" t="s">
        <v>66</v>
      </c>
      <c r="G446" t="s">
        <v>243</v>
      </c>
      <c r="H446" t="s">
        <v>95</v>
      </c>
      <c r="I446" t="s">
        <v>189</v>
      </c>
      <c r="J446" t="s">
        <v>22</v>
      </c>
      <c r="K446" t="s">
        <v>730</v>
      </c>
      <c r="L446" t="s">
        <v>717</v>
      </c>
    </row>
    <row r="447" spans="1:12">
      <c r="A447">
        <v>402173000</v>
      </c>
      <c r="B447" t="s">
        <v>735</v>
      </c>
      <c r="C447" t="s">
        <v>43</v>
      </c>
      <c r="D447" t="s">
        <v>49</v>
      </c>
      <c r="E447" t="s">
        <v>17</v>
      </c>
      <c r="F447" t="s">
        <v>66</v>
      </c>
      <c r="G447" t="s">
        <v>243</v>
      </c>
      <c r="H447" t="s">
        <v>95</v>
      </c>
      <c r="I447" t="s">
        <v>189</v>
      </c>
      <c r="J447" t="s">
        <v>22</v>
      </c>
      <c r="K447" t="s">
        <v>732</v>
      </c>
      <c r="L447" t="s">
        <v>719</v>
      </c>
    </row>
    <row r="448" spans="1:12">
      <c r="A448">
        <v>402221000</v>
      </c>
      <c r="B448" t="s">
        <v>736</v>
      </c>
      <c r="C448" t="s">
        <v>43</v>
      </c>
      <c r="D448" t="s">
        <v>65</v>
      </c>
      <c r="E448" t="s">
        <v>34</v>
      </c>
      <c r="F448" t="s">
        <v>66</v>
      </c>
      <c r="G448" t="s">
        <v>19</v>
      </c>
      <c r="H448" t="s">
        <v>20</v>
      </c>
      <c r="I448" t="s">
        <v>189</v>
      </c>
      <c r="J448" t="s">
        <v>22</v>
      </c>
      <c r="K448" t="s">
        <v>737</v>
      </c>
      <c r="L448" t="s">
        <v>722</v>
      </c>
    </row>
    <row r="449" spans="1:12">
      <c r="A449">
        <v>402222000</v>
      </c>
      <c r="B449" t="s">
        <v>738</v>
      </c>
      <c r="C449" t="s">
        <v>43</v>
      </c>
      <c r="D449" t="s">
        <v>44</v>
      </c>
      <c r="E449" t="s">
        <v>34</v>
      </c>
      <c r="F449" t="s">
        <v>66</v>
      </c>
      <c r="G449" t="s">
        <v>19</v>
      </c>
      <c r="H449" t="s">
        <v>20</v>
      </c>
      <c r="I449" t="s">
        <v>189</v>
      </c>
      <c r="J449" t="s">
        <v>22</v>
      </c>
      <c r="K449" t="s">
        <v>739</v>
      </c>
      <c r="L449" t="s">
        <v>724</v>
      </c>
    </row>
    <row r="450" spans="1:12">
      <c r="A450">
        <v>402223000</v>
      </c>
      <c r="B450" t="s">
        <v>740</v>
      </c>
      <c r="C450" t="s">
        <v>43</v>
      </c>
      <c r="D450" t="s">
        <v>49</v>
      </c>
      <c r="E450" t="s">
        <v>34</v>
      </c>
      <c r="F450" t="s">
        <v>66</v>
      </c>
      <c r="G450" t="s">
        <v>19</v>
      </c>
      <c r="H450" t="s">
        <v>20</v>
      </c>
      <c r="I450" t="s">
        <v>189</v>
      </c>
      <c r="J450" t="s">
        <v>22</v>
      </c>
      <c r="K450" t="s">
        <v>741</v>
      </c>
      <c r="L450" t="s">
        <v>726</v>
      </c>
    </row>
    <row r="451" spans="1:12">
      <c r="A451">
        <v>402271000</v>
      </c>
      <c r="B451" t="s">
        <v>742</v>
      </c>
      <c r="C451" t="s">
        <v>43</v>
      </c>
      <c r="D451" t="s">
        <v>65</v>
      </c>
      <c r="E451" t="s">
        <v>34</v>
      </c>
      <c r="F451" t="s">
        <v>66</v>
      </c>
      <c r="G451" t="s">
        <v>243</v>
      </c>
      <c r="H451" t="s">
        <v>95</v>
      </c>
      <c r="I451" t="s">
        <v>189</v>
      </c>
      <c r="J451" t="s">
        <v>22</v>
      </c>
      <c r="K451" t="s">
        <v>737</v>
      </c>
      <c r="L451" t="s">
        <v>722</v>
      </c>
    </row>
    <row r="452" spans="1:12">
      <c r="A452">
        <v>402272000</v>
      </c>
      <c r="B452" t="s">
        <v>743</v>
      </c>
      <c r="C452" t="s">
        <v>43</v>
      </c>
      <c r="D452" t="s">
        <v>44</v>
      </c>
      <c r="E452" t="s">
        <v>34</v>
      </c>
      <c r="F452" t="s">
        <v>66</v>
      </c>
      <c r="G452" t="s">
        <v>243</v>
      </c>
      <c r="H452" t="s">
        <v>95</v>
      </c>
      <c r="I452" t="s">
        <v>189</v>
      </c>
      <c r="J452" t="s">
        <v>22</v>
      </c>
      <c r="K452" t="s">
        <v>739</v>
      </c>
      <c r="L452" t="s">
        <v>724</v>
      </c>
    </row>
    <row r="453" spans="1:12">
      <c r="A453">
        <v>402273000</v>
      </c>
      <c r="B453" t="s">
        <v>744</v>
      </c>
      <c r="C453" t="s">
        <v>43</v>
      </c>
      <c r="D453" t="s">
        <v>49</v>
      </c>
      <c r="E453" t="s">
        <v>34</v>
      </c>
      <c r="F453" t="s">
        <v>66</v>
      </c>
      <c r="G453" t="s">
        <v>243</v>
      </c>
      <c r="H453" t="s">
        <v>95</v>
      </c>
      <c r="I453" t="s">
        <v>189</v>
      </c>
      <c r="J453" t="s">
        <v>22</v>
      </c>
      <c r="K453" t="s">
        <v>741</v>
      </c>
      <c r="L453" t="s">
        <v>726</v>
      </c>
    </row>
    <row r="454" spans="1:12">
      <c r="A454">
        <v>602141000</v>
      </c>
      <c r="B454" t="s">
        <v>745</v>
      </c>
      <c r="C454" t="s">
        <v>43</v>
      </c>
      <c r="D454" t="s">
        <v>65</v>
      </c>
      <c r="E454" t="s">
        <v>17</v>
      </c>
      <c r="F454" t="s">
        <v>66</v>
      </c>
      <c r="G454" t="s">
        <v>387</v>
      </c>
      <c r="H454" t="s">
        <v>334</v>
      </c>
      <c r="I454" t="s">
        <v>340</v>
      </c>
      <c r="J454" t="s">
        <v>22</v>
      </c>
      <c r="K454" t="s">
        <v>396</v>
      </c>
      <c r="L454" t="s">
        <v>715</v>
      </c>
    </row>
    <row r="455" spans="1:12">
      <c r="A455">
        <v>602161000</v>
      </c>
      <c r="B455" t="s">
        <v>746</v>
      </c>
      <c r="C455" t="s">
        <v>43</v>
      </c>
      <c r="D455" t="s">
        <v>65</v>
      </c>
      <c r="E455" t="s">
        <v>17</v>
      </c>
      <c r="F455" t="s">
        <v>66</v>
      </c>
      <c r="G455" t="s">
        <v>392</v>
      </c>
      <c r="H455" t="s">
        <v>334</v>
      </c>
      <c r="I455" t="s">
        <v>340</v>
      </c>
      <c r="J455" t="s">
        <v>22</v>
      </c>
      <c r="K455" t="s">
        <v>396</v>
      </c>
      <c r="L455" t="s">
        <v>715</v>
      </c>
    </row>
    <row r="456" spans="1:12">
      <c r="A456">
        <v>602241000</v>
      </c>
      <c r="B456" t="s">
        <v>747</v>
      </c>
      <c r="C456" t="s">
        <v>43</v>
      </c>
      <c r="D456" t="s">
        <v>65</v>
      </c>
      <c r="E456" t="s">
        <v>34</v>
      </c>
      <c r="F456" t="s">
        <v>66</v>
      </c>
      <c r="G456" t="s">
        <v>387</v>
      </c>
      <c r="H456" t="s">
        <v>334</v>
      </c>
      <c r="I456" t="s">
        <v>340</v>
      </c>
      <c r="J456" t="s">
        <v>22</v>
      </c>
      <c r="K456" t="s">
        <v>338</v>
      </c>
      <c r="L456" t="s">
        <v>722</v>
      </c>
    </row>
    <row r="457" spans="1:12">
      <c r="A457">
        <v>602261000</v>
      </c>
      <c r="B457" t="s">
        <v>748</v>
      </c>
      <c r="C457" t="s">
        <v>43</v>
      </c>
      <c r="D457" t="s">
        <v>65</v>
      </c>
      <c r="E457" t="s">
        <v>34</v>
      </c>
      <c r="F457" t="s">
        <v>66</v>
      </c>
      <c r="G457" t="s">
        <v>392</v>
      </c>
      <c r="H457" t="s">
        <v>334</v>
      </c>
      <c r="I457" t="s">
        <v>340</v>
      </c>
      <c r="J457" t="s">
        <v>22</v>
      </c>
      <c r="K457" t="s">
        <v>338</v>
      </c>
      <c r="L457" t="s">
        <v>722</v>
      </c>
    </row>
    <row r="458" spans="1:12">
      <c r="A458">
        <v>303132000</v>
      </c>
      <c r="B458" t="s">
        <v>749</v>
      </c>
      <c r="C458" t="s">
        <v>129</v>
      </c>
      <c r="D458" t="s">
        <v>616</v>
      </c>
      <c r="E458" t="s">
        <v>17</v>
      </c>
      <c r="F458" t="s">
        <v>66</v>
      </c>
      <c r="G458" t="s">
        <v>139</v>
      </c>
      <c r="H458" t="s">
        <v>139</v>
      </c>
      <c r="I458" t="s">
        <v>21</v>
      </c>
      <c r="J458" t="s">
        <v>22</v>
      </c>
      <c r="K458" t="s">
        <v>691</v>
      </c>
      <c r="L458" t="s">
        <v>642</v>
      </c>
    </row>
    <row r="459" spans="1:12">
      <c r="A459">
        <v>303131000</v>
      </c>
      <c r="B459" t="s">
        <v>750</v>
      </c>
      <c r="C459" t="s">
        <v>129</v>
      </c>
      <c r="D459" t="s">
        <v>65</v>
      </c>
      <c r="E459" t="s">
        <v>17</v>
      </c>
      <c r="F459" t="s">
        <v>66</v>
      </c>
      <c r="G459" t="s">
        <v>139</v>
      </c>
      <c r="H459" t="s">
        <v>139</v>
      </c>
      <c r="I459" t="s">
        <v>21</v>
      </c>
      <c r="J459" t="s">
        <v>22</v>
      </c>
      <c r="K459" t="s">
        <v>520</v>
      </c>
      <c r="L459" t="s">
        <v>516</v>
      </c>
    </row>
    <row r="460" spans="1:12">
      <c r="A460">
        <v>403122000</v>
      </c>
      <c r="B460" t="s">
        <v>751</v>
      </c>
      <c r="C460" t="s">
        <v>129</v>
      </c>
      <c r="D460" t="s">
        <v>616</v>
      </c>
      <c r="E460" t="s">
        <v>17</v>
      </c>
      <c r="F460" t="s">
        <v>66</v>
      </c>
      <c r="G460" t="s">
        <v>19</v>
      </c>
      <c r="H460" t="s">
        <v>20</v>
      </c>
      <c r="I460" t="s">
        <v>21</v>
      </c>
      <c r="J460" t="s">
        <v>22</v>
      </c>
      <c r="K460" t="s">
        <v>752</v>
      </c>
      <c r="L460" t="s">
        <v>642</v>
      </c>
    </row>
    <row r="461" spans="1:12">
      <c r="A461">
        <v>403172000</v>
      </c>
      <c r="B461" t="s">
        <v>753</v>
      </c>
      <c r="C461" t="s">
        <v>129</v>
      </c>
      <c r="D461" t="s">
        <v>616</v>
      </c>
      <c r="E461" t="s">
        <v>17</v>
      </c>
      <c r="F461" t="s">
        <v>66</v>
      </c>
      <c r="G461" t="s">
        <v>19</v>
      </c>
      <c r="H461" t="s">
        <v>20</v>
      </c>
      <c r="I461" t="s">
        <v>21</v>
      </c>
      <c r="J461" t="s">
        <v>22</v>
      </c>
      <c r="K461" t="s">
        <v>752</v>
      </c>
      <c r="L461" t="s">
        <v>642</v>
      </c>
    </row>
    <row r="462" spans="1:12">
      <c r="A462">
        <v>403121000</v>
      </c>
      <c r="B462" t="s">
        <v>754</v>
      </c>
      <c r="C462" t="s">
        <v>129</v>
      </c>
      <c r="D462" t="s">
        <v>65</v>
      </c>
      <c r="E462" t="s">
        <v>17</v>
      </c>
      <c r="F462" t="s">
        <v>66</v>
      </c>
      <c r="G462" t="s">
        <v>19</v>
      </c>
      <c r="H462" t="s">
        <v>20</v>
      </c>
      <c r="I462" t="s">
        <v>21</v>
      </c>
      <c r="J462" t="s">
        <v>22</v>
      </c>
      <c r="K462" t="s">
        <v>755</v>
      </c>
      <c r="L462" t="s">
        <v>516</v>
      </c>
    </row>
    <row r="463" spans="1:12">
      <c r="A463">
        <v>403121001</v>
      </c>
      <c r="B463" t="s">
        <v>756</v>
      </c>
      <c r="C463" t="s">
        <v>129</v>
      </c>
      <c r="D463" t="s">
        <v>65</v>
      </c>
      <c r="E463" t="s">
        <v>17</v>
      </c>
      <c r="F463" t="s">
        <v>66</v>
      </c>
      <c r="G463" t="s">
        <v>19</v>
      </c>
      <c r="H463" t="s">
        <v>20</v>
      </c>
      <c r="I463" t="s">
        <v>21</v>
      </c>
      <c r="J463" t="s">
        <v>22</v>
      </c>
      <c r="K463" t="s">
        <v>755</v>
      </c>
      <c r="L463" t="s">
        <v>516</v>
      </c>
    </row>
    <row r="464" spans="1:12">
      <c r="A464">
        <v>403171000</v>
      </c>
      <c r="B464" t="s">
        <v>757</v>
      </c>
      <c r="C464" t="s">
        <v>129</v>
      </c>
      <c r="D464" t="s">
        <v>65</v>
      </c>
      <c r="E464" t="s">
        <v>17</v>
      </c>
      <c r="F464" t="s">
        <v>66</v>
      </c>
      <c r="G464" t="s">
        <v>19</v>
      </c>
      <c r="H464" t="s">
        <v>20</v>
      </c>
      <c r="I464" t="s">
        <v>21</v>
      </c>
      <c r="J464" t="s">
        <v>22</v>
      </c>
      <c r="K464" t="s">
        <v>752</v>
      </c>
      <c r="L464" t="s">
        <v>642</v>
      </c>
    </row>
    <row r="465" spans="1:12">
      <c r="A465">
        <v>603161000</v>
      </c>
      <c r="B465" t="s">
        <v>758</v>
      </c>
      <c r="C465" t="s">
        <v>129</v>
      </c>
      <c r="D465" t="s">
        <v>65</v>
      </c>
      <c r="E465" t="s">
        <v>17</v>
      </c>
      <c r="F465" t="s">
        <v>66</v>
      </c>
      <c r="G465" t="s">
        <v>392</v>
      </c>
      <c r="H465" t="s">
        <v>334</v>
      </c>
      <c r="I465" t="s">
        <v>21</v>
      </c>
      <c r="J465" t="s">
        <v>22</v>
      </c>
      <c r="K465" t="s">
        <v>520</v>
      </c>
      <c r="L465" t="s">
        <v>516</v>
      </c>
    </row>
    <row r="466" spans="1:12">
      <c r="A466">
        <v>303232000</v>
      </c>
      <c r="B466" t="s">
        <v>759</v>
      </c>
      <c r="C466" t="s">
        <v>129</v>
      </c>
      <c r="D466" t="s">
        <v>616</v>
      </c>
      <c r="E466" t="s">
        <v>34</v>
      </c>
      <c r="F466" t="s">
        <v>66</v>
      </c>
      <c r="G466" t="s">
        <v>139</v>
      </c>
      <c r="H466" t="s">
        <v>139</v>
      </c>
      <c r="I466" t="s">
        <v>21</v>
      </c>
      <c r="J466" t="s">
        <v>22</v>
      </c>
      <c r="K466" t="s">
        <v>702</v>
      </c>
      <c r="L466" t="s">
        <v>651</v>
      </c>
    </row>
    <row r="467" spans="1:12">
      <c r="A467">
        <v>303231000</v>
      </c>
      <c r="B467" t="s">
        <v>760</v>
      </c>
      <c r="C467" t="s">
        <v>129</v>
      </c>
      <c r="D467" t="s">
        <v>65</v>
      </c>
      <c r="E467" t="s">
        <v>34</v>
      </c>
      <c r="F467" t="s">
        <v>66</v>
      </c>
      <c r="G467" t="s">
        <v>139</v>
      </c>
      <c r="H467" t="s">
        <v>139</v>
      </c>
      <c r="I467" t="s">
        <v>21</v>
      </c>
      <c r="J467" t="s">
        <v>22</v>
      </c>
      <c r="K467" t="s">
        <v>761</v>
      </c>
      <c r="L467" t="s">
        <v>562</v>
      </c>
    </row>
    <row r="468" spans="1:12">
      <c r="A468">
        <v>403222000</v>
      </c>
      <c r="B468" t="s">
        <v>762</v>
      </c>
      <c r="C468" t="s">
        <v>129</v>
      </c>
      <c r="D468" t="s">
        <v>616</v>
      </c>
      <c r="E468" t="s">
        <v>34</v>
      </c>
      <c r="F468" t="s">
        <v>66</v>
      </c>
      <c r="G468" t="s">
        <v>19</v>
      </c>
      <c r="H468" t="s">
        <v>20</v>
      </c>
      <c r="I468" t="s">
        <v>21</v>
      </c>
      <c r="J468" t="s">
        <v>22</v>
      </c>
      <c r="K468" t="s">
        <v>763</v>
      </c>
      <c r="L468" t="s">
        <v>651</v>
      </c>
    </row>
    <row r="469" spans="1:12">
      <c r="A469">
        <v>403272000</v>
      </c>
      <c r="B469" t="s">
        <v>764</v>
      </c>
      <c r="C469" t="s">
        <v>129</v>
      </c>
      <c r="D469" t="s">
        <v>616</v>
      </c>
      <c r="E469" t="s">
        <v>34</v>
      </c>
      <c r="F469" t="s">
        <v>66</v>
      </c>
      <c r="G469" t="s">
        <v>19</v>
      </c>
      <c r="H469" t="s">
        <v>20</v>
      </c>
      <c r="I469" t="s">
        <v>21</v>
      </c>
      <c r="J469" t="s">
        <v>22</v>
      </c>
      <c r="K469" t="s">
        <v>763</v>
      </c>
      <c r="L469" t="s">
        <v>651</v>
      </c>
    </row>
    <row r="470" spans="1:12">
      <c r="A470">
        <v>403221000</v>
      </c>
      <c r="B470" t="s">
        <v>765</v>
      </c>
      <c r="C470" t="s">
        <v>129</v>
      </c>
      <c r="D470" t="s">
        <v>65</v>
      </c>
      <c r="E470" t="s">
        <v>34</v>
      </c>
      <c r="F470" t="s">
        <v>66</v>
      </c>
      <c r="G470" t="s">
        <v>19</v>
      </c>
      <c r="H470" t="s">
        <v>20</v>
      </c>
      <c r="I470" t="s">
        <v>21</v>
      </c>
      <c r="J470" t="s">
        <v>22</v>
      </c>
      <c r="K470" t="s">
        <v>766</v>
      </c>
      <c r="L470" t="s">
        <v>562</v>
      </c>
    </row>
    <row r="471" spans="1:12">
      <c r="A471">
        <v>403221001</v>
      </c>
      <c r="B471" t="s">
        <v>767</v>
      </c>
      <c r="C471" t="s">
        <v>129</v>
      </c>
      <c r="D471" t="s">
        <v>65</v>
      </c>
      <c r="E471" t="s">
        <v>34</v>
      </c>
      <c r="F471" t="s">
        <v>66</v>
      </c>
      <c r="G471" t="s">
        <v>19</v>
      </c>
      <c r="H471" t="s">
        <v>20</v>
      </c>
      <c r="I471" t="s">
        <v>21</v>
      </c>
      <c r="J471" t="s">
        <v>22</v>
      </c>
      <c r="K471" t="s">
        <v>766</v>
      </c>
      <c r="L471" t="s">
        <v>562</v>
      </c>
    </row>
    <row r="472" spans="1:12">
      <c r="A472">
        <v>403271000</v>
      </c>
      <c r="B472" t="s">
        <v>768</v>
      </c>
      <c r="C472" t="s">
        <v>129</v>
      </c>
      <c r="D472" t="s">
        <v>65</v>
      </c>
      <c r="E472" t="s">
        <v>34</v>
      </c>
      <c r="F472" t="s">
        <v>66</v>
      </c>
      <c r="G472" t="s">
        <v>19</v>
      </c>
      <c r="H472" t="s">
        <v>20</v>
      </c>
      <c r="I472" t="s">
        <v>21</v>
      </c>
      <c r="J472" t="s">
        <v>22</v>
      </c>
      <c r="K472" t="s">
        <v>766</v>
      </c>
      <c r="L472" t="s">
        <v>562</v>
      </c>
    </row>
    <row r="473" spans="1:12">
      <c r="A473">
        <v>603261000</v>
      </c>
      <c r="B473" t="s">
        <v>769</v>
      </c>
      <c r="C473" t="s">
        <v>129</v>
      </c>
      <c r="D473" t="s">
        <v>65</v>
      </c>
      <c r="E473" t="s">
        <v>34</v>
      </c>
      <c r="F473" t="s">
        <v>66</v>
      </c>
      <c r="G473" t="s">
        <v>392</v>
      </c>
      <c r="H473" t="s">
        <v>334</v>
      </c>
      <c r="I473" t="s">
        <v>21</v>
      </c>
      <c r="J473" t="s">
        <v>22</v>
      </c>
      <c r="K473" t="s">
        <v>761</v>
      </c>
      <c r="L473" t="s">
        <v>562</v>
      </c>
    </row>
    <row r="474" spans="1:12">
      <c r="A474">
        <v>301132000</v>
      </c>
      <c r="B474" t="s">
        <v>770</v>
      </c>
      <c r="C474" t="s">
        <v>15</v>
      </c>
      <c r="D474" t="s">
        <v>16</v>
      </c>
      <c r="E474" t="s">
        <v>17</v>
      </c>
      <c r="F474" t="s">
        <v>66</v>
      </c>
      <c r="G474" t="s">
        <v>139</v>
      </c>
      <c r="H474" t="s">
        <v>139</v>
      </c>
      <c r="I474" t="s">
        <v>21</v>
      </c>
      <c r="J474" t="s">
        <v>22</v>
      </c>
      <c r="K474" t="s">
        <v>771</v>
      </c>
      <c r="L474" t="s">
        <v>24</v>
      </c>
    </row>
    <row r="475" spans="1:12">
      <c r="A475">
        <v>301133000</v>
      </c>
      <c r="B475" t="s">
        <v>772</v>
      </c>
      <c r="C475" t="s">
        <v>15</v>
      </c>
      <c r="D475" t="s">
        <v>29</v>
      </c>
      <c r="E475" t="s">
        <v>17</v>
      </c>
      <c r="F475" t="s">
        <v>66</v>
      </c>
      <c r="G475" t="s">
        <v>139</v>
      </c>
      <c r="H475" t="s">
        <v>139</v>
      </c>
      <c r="I475" t="s">
        <v>21</v>
      </c>
      <c r="J475" t="s">
        <v>22</v>
      </c>
      <c r="K475" t="s">
        <v>773</v>
      </c>
      <c r="L475" t="s">
        <v>31</v>
      </c>
    </row>
    <row r="476" spans="1:12">
      <c r="A476">
        <v>301134000</v>
      </c>
      <c r="B476" t="s">
        <v>774</v>
      </c>
      <c r="C476" t="s">
        <v>15</v>
      </c>
      <c r="D476" t="s">
        <v>775</v>
      </c>
      <c r="E476" t="s">
        <v>17</v>
      </c>
      <c r="F476" t="s">
        <v>66</v>
      </c>
      <c r="G476" t="s">
        <v>139</v>
      </c>
      <c r="H476" t="s">
        <v>139</v>
      </c>
      <c r="I476" t="s">
        <v>21</v>
      </c>
      <c r="J476" t="s">
        <v>22</v>
      </c>
      <c r="K476" t="s">
        <v>776</v>
      </c>
      <c r="L476" t="s">
        <v>622</v>
      </c>
    </row>
    <row r="477" spans="1:12">
      <c r="A477">
        <v>301232000</v>
      </c>
      <c r="B477" t="s">
        <v>777</v>
      </c>
      <c r="C477" t="s">
        <v>15</v>
      </c>
      <c r="D477" t="s">
        <v>16</v>
      </c>
      <c r="E477" t="s">
        <v>34</v>
      </c>
      <c r="F477" t="s">
        <v>66</v>
      </c>
      <c r="G477" t="s">
        <v>139</v>
      </c>
      <c r="H477" t="s">
        <v>139</v>
      </c>
      <c r="I477" t="s">
        <v>21</v>
      </c>
      <c r="J477" t="s">
        <v>22</v>
      </c>
      <c r="K477" t="s">
        <v>778</v>
      </c>
      <c r="L477" t="s">
        <v>36</v>
      </c>
    </row>
    <row r="478" spans="1:12">
      <c r="A478">
        <v>301233000</v>
      </c>
      <c r="B478" t="s">
        <v>779</v>
      </c>
      <c r="C478" t="s">
        <v>15</v>
      </c>
      <c r="D478" t="s">
        <v>29</v>
      </c>
      <c r="E478" t="s">
        <v>34</v>
      </c>
      <c r="F478" t="s">
        <v>66</v>
      </c>
      <c r="G478" t="s">
        <v>139</v>
      </c>
      <c r="H478" t="s">
        <v>139</v>
      </c>
      <c r="I478" t="s">
        <v>21</v>
      </c>
      <c r="J478" t="s">
        <v>22</v>
      </c>
      <c r="K478" t="s">
        <v>780</v>
      </c>
      <c r="L478" t="s">
        <v>40</v>
      </c>
    </row>
    <row r="479" spans="1:12">
      <c r="A479">
        <v>301234000</v>
      </c>
      <c r="B479" t="s">
        <v>781</v>
      </c>
      <c r="C479" t="s">
        <v>15</v>
      </c>
      <c r="D479" t="s">
        <v>775</v>
      </c>
      <c r="E479" t="s">
        <v>34</v>
      </c>
      <c r="F479" t="s">
        <v>66</v>
      </c>
      <c r="G479" t="s">
        <v>139</v>
      </c>
      <c r="H479" t="s">
        <v>139</v>
      </c>
      <c r="I479" t="s">
        <v>21</v>
      </c>
      <c r="J479" t="s">
        <v>22</v>
      </c>
      <c r="K479" t="s">
        <v>782</v>
      </c>
      <c r="L479" t="s">
        <v>626</v>
      </c>
    </row>
    <row r="480" spans="1:12">
      <c r="A480">
        <v>401112000</v>
      </c>
      <c r="B480" t="s">
        <v>783</v>
      </c>
      <c r="C480" t="s">
        <v>15</v>
      </c>
      <c r="D480" t="s">
        <v>16</v>
      </c>
      <c r="E480" t="s">
        <v>17</v>
      </c>
      <c r="F480" t="s">
        <v>66</v>
      </c>
      <c r="G480" t="s">
        <v>784</v>
      </c>
      <c r="H480" t="s">
        <v>20</v>
      </c>
      <c r="I480" t="s">
        <v>21</v>
      </c>
      <c r="J480" t="s">
        <v>22</v>
      </c>
      <c r="K480" t="s">
        <v>785</v>
      </c>
      <c r="L480" t="s">
        <v>24</v>
      </c>
    </row>
    <row r="481" spans="1:12">
      <c r="A481">
        <v>401113000</v>
      </c>
      <c r="B481" t="s">
        <v>786</v>
      </c>
      <c r="C481" t="s">
        <v>15</v>
      </c>
      <c r="D481" t="s">
        <v>29</v>
      </c>
      <c r="E481" t="s">
        <v>17</v>
      </c>
      <c r="F481" t="s">
        <v>66</v>
      </c>
      <c r="G481" t="s">
        <v>784</v>
      </c>
      <c r="H481" t="s">
        <v>20</v>
      </c>
      <c r="I481" t="s">
        <v>21</v>
      </c>
      <c r="J481" t="s">
        <v>22</v>
      </c>
      <c r="K481" t="s">
        <v>787</v>
      </c>
      <c r="L481" t="s">
        <v>31</v>
      </c>
    </row>
    <row r="482" spans="1:12">
      <c r="A482">
        <v>401114000</v>
      </c>
      <c r="B482" t="s">
        <v>788</v>
      </c>
      <c r="C482" t="s">
        <v>15</v>
      </c>
      <c r="D482" t="s">
        <v>775</v>
      </c>
      <c r="E482" t="s">
        <v>17</v>
      </c>
      <c r="F482" t="s">
        <v>66</v>
      </c>
      <c r="G482" t="s">
        <v>784</v>
      </c>
      <c r="H482" t="s">
        <v>20</v>
      </c>
      <c r="I482" t="s">
        <v>21</v>
      </c>
      <c r="J482" t="s">
        <v>22</v>
      </c>
      <c r="K482" t="s">
        <v>789</v>
      </c>
      <c r="L482" t="s">
        <v>622</v>
      </c>
    </row>
    <row r="483" spans="1:12">
      <c r="A483">
        <v>401122000</v>
      </c>
      <c r="B483" t="s">
        <v>790</v>
      </c>
      <c r="C483" t="s">
        <v>15</v>
      </c>
      <c r="D483" t="s">
        <v>16</v>
      </c>
      <c r="E483" t="s">
        <v>17</v>
      </c>
      <c r="F483" t="s">
        <v>66</v>
      </c>
      <c r="G483" t="s">
        <v>19</v>
      </c>
      <c r="H483" t="s">
        <v>20</v>
      </c>
      <c r="I483" t="s">
        <v>21</v>
      </c>
      <c r="J483" t="s">
        <v>22</v>
      </c>
      <c r="K483" t="s">
        <v>785</v>
      </c>
      <c r="L483" t="s">
        <v>24</v>
      </c>
    </row>
    <row r="484" spans="1:12">
      <c r="A484">
        <v>401123000</v>
      </c>
      <c r="B484" t="s">
        <v>791</v>
      </c>
      <c r="C484" t="s">
        <v>15</v>
      </c>
      <c r="D484" t="s">
        <v>29</v>
      </c>
      <c r="E484" t="s">
        <v>17</v>
      </c>
      <c r="F484" t="s">
        <v>66</v>
      </c>
      <c r="G484" t="s">
        <v>19</v>
      </c>
      <c r="H484" t="s">
        <v>20</v>
      </c>
      <c r="I484" t="s">
        <v>21</v>
      </c>
      <c r="J484" t="s">
        <v>22</v>
      </c>
      <c r="K484" t="s">
        <v>787</v>
      </c>
      <c r="L484" t="s">
        <v>31</v>
      </c>
    </row>
    <row r="485" spans="1:12">
      <c r="A485">
        <v>401124000</v>
      </c>
      <c r="B485" t="s">
        <v>792</v>
      </c>
      <c r="C485" t="s">
        <v>15</v>
      </c>
      <c r="D485" t="s">
        <v>775</v>
      </c>
      <c r="E485" t="s">
        <v>17</v>
      </c>
      <c r="F485" t="s">
        <v>66</v>
      </c>
      <c r="G485" t="s">
        <v>19</v>
      </c>
      <c r="H485" t="s">
        <v>20</v>
      </c>
      <c r="I485" t="s">
        <v>21</v>
      </c>
      <c r="J485" t="s">
        <v>22</v>
      </c>
      <c r="K485" t="s">
        <v>789</v>
      </c>
      <c r="L485" t="s">
        <v>622</v>
      </c>
    </row>
    <row r="486" spans="1:12">
      <c r="A486">
        <v>401172000</v>
      </c>
      <c r="B486" t="s">
        <v>793</v>
      </c>
      <c r="C486" t="s">
        <v>15</v>
      </c>
      <c r="D486" t="s">
        <v>16</v>
      </c>
      <c r="E486" t="s">
        <v>17</v>
      </c>
      <c r="F486" t="s">
        <v>66</v>
      </c>
      <c r="G486" t="s">
        <v>243</v>
      </c>
      <c r="H486" t="s">
        <v>20</v>
      </c>
      <c r="I486" t="s">
        <v>21</v>
      </c>
      <c r="J486" t="s">
        <v>22</v>
      </c>
      <c r="K486" t="s">
        <v>785</v>
      </c>
      <c r="L486" t="s">
        <v>24</v>
      </c>
    </row>
    <row r="487" spans="1:12">
      <c r="A487">
        <v>401173000</v>
      </c>
      <c r="B487" t="s">
        <v>794</v>
      </c>
      <c r="C487" t="s">
        <v>15</v>
      </c>
      <c r="D487" t="s">
        <v>29</v>
      </c>
      <c r="E487" t="s">
        <v>17</v>
      </c>
      <c r="F487" t="s">
        <v>66</v>
      </c>
      <c r="G487" t="s">
        <v>243</v>
      </c>
      <c r="H487" t="s">
        <v>20</v>
      </c>
      <c r="I487" t="s">
        <v>21</v>
      </c>
      <c r="J487" t="s">
        <v>22</v>
      </c>
      <c r="K487" t="s">
        <v>787</v>
      </c>
      <c r="L487" t="s">
        <v>31</v>
      </c>
    </row>
    <row r="488" spans="1:12">
      <c r="A488">
        <v>401174000</v>
      </c>
      <c r="B488" t="s">
        <v>795</v>
      </c>
      <c r="C488" t="s">
        <v>15</v>
      </c>
      <c r="D488" t="s">
        <v>775</v>
      </c>
      <c r="E488" t="s">
        <v>17</v>
      </c>
      <c r="F488" t="s">
        <v>66</v>
      </c>
      <c r="G488" t="s">
        <v>243</v>
      </c>
      <c r="H488" t="s">
        <v>20</v>
      </c>
      <c r="I488" t="s">
        <v>21</v>
      </c>
      <c r="J488" t="s">
        <v>22</v>
      </c>
      <c r="K488" t="s">
        <v>789</v>
      </c>
      <c r="L488" t="s">
        <v>622</v>
      </c>
    </row>
    <row r="489" spans="1:12">
      <c r="A489">
        <v>401212000</v>
      </c>
      <c r="B489" t="s">
        <v>796</v>
      </c>
      <c r="C489" t="s">
        <v>15</v>
      </c>
      <c r="D489" t="s">
        <v>16</v>
      </c>
      <c r="E489" t="s">
        <v>34</v>
      </c>
      <c r="F489" t="s">
        <v>66</v>
      </c>
      <c r="G489" t="s">
        <v>784</v>
      </c>
      <c r="H489" t="s">
        <v>20</v>
      </c>
      <c r="I489" t="s">
        <v>21</v>
      </c>
      <c r="J489" t="s">
        <v>22</v>
      </c>
      <c r="K489" t="s">
        <v>797</v>
      </c>
      <c r="L489" t="s">
        <v>36</v>
      </c>
    </row>
    <row r="490" spans="1:12">
      <c r="A490">
        <v>401213000</v>
      </c>
      <c r="B490" t="s">
        <v>798</v>
      </c>
      <c r="C490" t="s">
        <v>15</v>
      </c>
      <c r="D490" t="s">
        <v>29</v>
      </c>
      <c r="E490" t="s">
        <v>34</v>
      </c>
      <c r="F490" t="s">
        <v>66</v>
      </c>
      <c r="G490" t="s">
        <v>784</v>
      </c>
      <c r="H490" t="s">
        <v>20</v>
      </c>
      <c r="I490" t="s">
        <v>21</v>
      </c>
      <c r="J490" t="s">
        <v>22</v>
      </c>
      <c r="K490" t="s">
        <v>575</v>
      </c>
      <c r="L490" t="s">
        <v>40</v>
      </c>
    </row>
    <row r="491" spans="1:12">
      <c r="A491">
        <v>401214000</v>
      </c>
      <c r="B491" t="s">
        <v>799</v>
      </c>
      <c r="C491" t="s">
        <v>15</v>
      </c>
      <c r="D491" t="s">
        <v>775</v>
      </c>
      <c r="E491" t="s">
        <v>34</v>
      </c>
      <c r="F491" t="s">
        <v>66</v>
      </c>
      <c r="G491" t="s">
        <v>784</v>
      </c>
      <c r="H491" t="s">
        <v>20</v>
      </c>
      <c r="I491" t="s">
        <v>21</v>
      </c>
      <c r="J491" t="s">
        <v>22</v>
      </c>
      <c r="K491" t="s">
        <v>800</v>
      </c>
      <c r="L491" t="s">
        <v>626</v>
      </c>
    </row>
    <row r="492" spans="1:12">
      <c r="A492">
        <v>401222000</v>
      </c>
      <c r="B492" t="s">
        <v>801</v>
      </c>
      <c r="C492" t="s">
        <v>15</v>
      </c>
      <c r="D492" t="s">
        <v>16</v>
      </c>
      <c r="E492" t="s">
        <v>34</v>
      </c>
      <c r="F492" t="s">
        <v>66</v>
      </c>
      <c r="G492" t="s">
        <v>19</v>
      </c>
      <c r="H492" t="s">
        <v>20</v>
      </c>
      <c r="I492" t="s">
        <v>21</v>
      </c>
      <c r="J492" t="s">
        <v>22</v>
      </c>
      <c r="K492" t="s">
        <v>797</v>
      </c>
      <c r="L492" t="s">
        <v>36</v>
      </c>
    </row>
    <row r="493" spans="1:12">
      <c r="A493">
        <v>401223000</v>
      </c>
      <c r="B493" t="s">
        <v>802</v>
      </c>
      <c r="C493" t="s">
        <v>15</v>
      </c>
      <c r="D493" t="s">
        <v>29</v>
      </c>
      <c r="E493" t="s">
        <v>34</v>
      </c>
      <c r="F493" t="s">
        <v>66</v>
      </c>
      <c r="G493" t="s">
        <v>19</v>
      </c>
      <c r="H493" t="s">
        <v>20</v>
      </c>
      <c r="I493" t="s">
        <v>21</v>
      </c>
      <c r="J493" t="s">
        <v>22</v>
      </c>
      <c r="K493" t="s">
        <v>575</v>
      </c>
      <c r="L493" t="s">
        <v>40</v>
      </c>
    </row>
    <row r="494" spans="1:12">
      <c r="A494">
        <v>401224000</v>
      </c>
      <c r="B494" t="s">
        <v>803</v>
      </c>
      <c r="C494" t="s">
        <v>15</v>
      </c>
      <c r="D494" t="s">
        <v>775</v>
      </c>
      <c r="E494" t="s">
        <v>34</v>
      </c>
      <c r="F494" t="s">
        <v>66</v>
      </c>
      <c r="G494" t="s">
        <v>19</v>
      </c>
      <c r="H494" t="s">
        <v>20</v>
      </c>
      <c r="I494" t="s">
        <v>21</v>
      </c>
      <c r="J494" t="s">
        <v>22</v>
      </c>
      <c r="K494" t="s">
        <v>800</v>
      </c>
      <c r="L494" t="s">
        <v>626</v>
      </c>
    </row>
    <row r="495" spans="1:12">
      <c r="A495">
        <v>401272000</v>
      </c>
      <c r="B495" t="s">
        <v>804</v>
      </c>
      <c r="C495" t="s">
        <v>15</v>
      </c>
      <c r="D495" t="s">
        <v>16</v>
      </c>
      <c r="E495" t="s">
        <v>34</v>
      </c>
      <c r="F495" t="s">
        <v>66</v>
      </c>
      <c r="G495" t="s">
        <v>243</v>
      </c>
      <c r="H495" t="s">
        <v>20</v>
      </c>
      <c r="I495" t="s">
        <v>21</v>
      </c>
      <c r="J495" t="s">
        <v>22</v>
      </c>
      <c r="K495" t="s">
        <v>797</v>
      </c>
      <c r="L495" t="s">
        <v>36</v>
      </c>
    </row>
    <row r="496" spans="1:12">
      <c r="A496">
        <v>401273000</v>
      </c>
      <c r="B496" t="s">
        <v>805</v>
      </c>
      <c r="C496" t="s">
        <v>15</v>
      </c>
      <c r="D496" t="s">
        <v>29</v>
      </c>
      <c r="E496" t="s">
        <v>34</v>
      </c>
      <c r="F496" t="s">
        <v>66</v>
      </c>
      <c r="G496" t="s">
        <v>243</v>
      </c>
      <c r="H496" t="s">
        <v>20</v>
      </c>
      <c r="I496" t="s">
        <v>21</v>
      </c>
      <c r="J496" t="s">
        <v>22</v>
      </c>
      <c r="K496" t="s">
        <v>575</v>
      </c>
      <c r="L496" t="s">
        <v>40</v>
      </c>
    </row>
    <row r="497" spans="1:12">
      <c r="A497">
        <v>401274000</v>
      </c>
      <c r="B497" t="s">
        <v>806</v>
      </c>
      <c r="C497" t="s">
        <v>15</v>
      </c>
      <c r="D497" t="s">
        <v>775</v>
      </c>
      <c r="E497" t="s">
        <v>34</v>
      </c>
      <c r="F497" t="s">
        <v>66</v>
      </c>
      <c r="G497" t="s">
        <v>243</v>
      </c>
      <c r="H497" t="s">
        <v>20</v>
      </c>
      <c r="I497" t="s">
        <v>21</v>
      </c>
      <c r="J497" t="s">
        <v>22</v>
      </c>
      <c r="K497" t="s">
        <v>800</v>
      </c>
      <c r="L497" t="s">
        <v>626</v>
      </c>
    </row>
    <row r="498" spans="1:12">
      <c r="A498">
        <v>601161000</v>
      </c>
      <c r="B498" t="s">
        <v>807</v>
      </c>
      <c r="C498" t="s">
        <v>15</v>
      </c>
      <c r="D498" t="s">
        <v>65</v>
      </c>
      <c r="E498" t="s">
        <v>17</v>
      </c>
      <c r="F498" t="s">
        <v>66</v>
      </c>
      <c r="G498" t="s">
        <v>392</v>
      </c>
      <c r="H498" t="s">
        <v>334</v>
      </c>
      <c r="I498" t="s">
        <v>21</v>
      </c>
      <c r="J498" t="s">
        <v>22</v>
      </c>
      <c r="K498" t="s">
        <v>568</v>
      </c>
      <c r="L498" t="s">
        <v>533</v>
      </c>
    </row>
    <row r="499" spans="1:12">
      <c r="A499">
        <v>601261000</v>
      </c>
      <c r="B499" t="s">
        <v>808</v>
      </c>
      <c r="C499" t="s">
        <v>15</v>
      </c>
      <c r="D499" t="s">
        <v>65</v>
      </c>
      <c r="E499" t="s">
        <v>34</v>
      </c>
      <c r="F499" t="s">
        <v>66</v>
      </c>
      <c r="G499" t="s">
        <v>392</v>
      </c>
      <c r="H499" t="s">
        <v>334</v>
      </c>
      <c r="I499" t="s">
        <v>21</v>
      </c>
      <c r="J499" t="s">
        <v>22</v>
      </c>
      <c r="K499" t="s">
        <v>809</v>
      </c>
      <c r="L499" t="s">
        <v>527</v>
      </c>
    </row>
    <row r="500" spans="1:12">
      <c r="A500">
        <v>501171055</v>
      </c>
      <c r="B500" t="s">
        <v>810</v>
      </c>
      <c r="C500" t="s">
        <v>15</v>
      </c>
      <c r="D500" t="s">
        <v>65</v>
      </c>
      <c r="E500" t="s">
        <v>17</v>
      </c>
      <c r="F500" t="s">
        <v>66</v>
      </c>
      <c r="G500" t="s">
        <v>19</v>
      </c>
      <c r="H500" t="s">
        <v>95</v>
      </c>
      <c r="I500" t="s">
        <v>96</v>
      </c>
      <c r="J500" t="s">
        <v>22</v>
      </c>
      <c r="K500" t="s">
        <v>595</v>
      </c>
      <c r="L500" t="s">
        <v>97</v>
      </c>
    </row>
    <row r="501" spans="1:12">
      <c r="A501">
        <v>304231000</v>
      </c>
      <c r="B501" t="s">
        <v>811</v>
      </c>
      <c r="C501" t="s">
        <v>64</v>
      </c>
      <c r="D501" t="s">
        <v>65</v>
      </c>
      <c r="E501" t="s">
        <v>34</v>
      </c>
      <c r="F501" t="s">
        <v>66</v>
      </c>
      <c r="G501" t="s">
        <v>139</v>
      </c>
      <c r="H501" t="s">
        <v>139</v>
      </c>
      <c r="I501" t="s">
        <v>812</v>
      </c>
      <c r="J501" t="s">
        <v>22</v>
      </c>
      <c r="K501" t="s">
        <v>813</v>
      </c>
      <c r="L501" t="s">
        <v>712</v>
      </c>
    </row>
    <row r="502" spans="1:12">
      <c r="A502">
        <v>604261000</v>
      </c>
      <c r="B502" t="s">
        <v>814</v>
      </c>
      <c r="C502" t="s">
        <v>64</v>
      </c>
      <c r="D502" t="s">
        <v>65</v>
      </c>
      <c r="E502" t="s">
        <v>34</v>
      </c>
      <c r="F502" t="s">
        <v>66</v>
      </c>
      <c r="G502" t="s">
        <v>392</v>
      </c>
      <c r="H502" t="s">
        <v>334</v>
      </c>
      <c r="I502" t="s">
        <v>812</v>
      </c>
      <c r="J502" t="s">
        <v>22</v>
      </c>
      <c r="K502" t="s">
        <v>813</v>
      </c>
      <c r="L502" t="s">
        <v>712</v>
      </c>
    </row>
    <row r="503" spans="1:12">
      <c r="A503">
        <v>404271000</v>
      </c>
      <c r="B503" t="s">
        <v>815</v>
      </c>
      <c r="C503" t="s">
        <v>64</v>
      </c>
      <c r="D503" t="s">
        <v>65</v>
      </c>
      <c r="E503" t="s">
        <v>34</v>
      </c>
      <c r="F503" t="s">
        <v>66</v>
      </c>
      <c r="G503" t="s">
        <v>243</v>
      </c>
      <c r="H503" t="s">
        <v>20</v>
      </c>
      <c r="I503" t="s">
        <v>812</v>
      </c>
      <c r="J503" t="s">
        <v>22</v>
      </c>
      <c r="K503" t="s">
        <v>816</v>
      </c>
      <c r="L503" t="s">
        <v>712</v>
      </c>
    </row>
    <row r="504" spans="1:12">
      <c r="A504">
        <v>402122001</v>
      </c>
      <c r="B504" t="s">
        <v>817</v>
      </c>
      <c r="C504" t="s">
        <v>43</v>
      </c>
      <c r="D504" t="s">
        <v>44</v>
      </c>
      <c r="E504" t="s">
        <v>17</v>
      </c>
      <c r="F504" t="s">
        <v>66</v>
      </c>
      <c r="G504" t="s">
        <v>19</v>
      </c>
      <c r="H504" t="s">
        <v>20</v>
      </c>
      <c r="I504" t="s">
        <v>818</v>
      </c>
      <c r="J504" t="s">
        <v>22</v>
      </c>
      <c r="K504" t="s">
        <v>730</v>
      </c>
      <c r="L504" t="s">
        <v>717</v>
      </c>
    </row>
    <row r="505" spans="1:12">
      <c r="A505">
        <v>402172001</v>
      </c>
      <c r="B505" t="s">
        <v>819</v>
      </c>
      <c r="C505" t="s">
        <v>43</v>
      </c>
      <c r="D505" t="s">
        <v>44</v>
      </c>
      <c r="E505" t="s">
        <v>17</v>
      </c>
      <c r="F505" t="s">
        <v>66</v>
      </c>
      <c r="G505" t="s">
        <v>243</v>
      </c>
      <c r="H505" t="s">
        <v>20</v>
      </c>
      <c r="I505" t="s">
        <v>818</v>
      </c>
      <c r="J505" t="s">
        <v>22</v>
      </c>
      <c r="K505" t="s">
        <v>730</v>
      </c>
      <c r="L505" t="s">
        <v>717</v>
      </c>
    </row>
    <row r="506" spans="1:12">
      <c r="A506">
        <v>506171000</v>
      </c>
      <c r="B506" t="s">
        <v>591</v>
      </c>
      <c r="C506" t="s">
        <v>211</v>
      </c>
      <c r="D506" t="s">
        <v>65</v>
      </c>
      <c r="E506" t="s">
        <v>17</v>
      </c>
      <c r="F506" t="s">
        <v>66</v>
      </c>
      <c r="G506" t="s">
        <v>19</v>
      </c>
      <c r="H506" t="s">
        <v>95</v>
      </c>
      <c r="I506" t="s">
        <v>189</v>
      </c>
      <c r="J506" t="s">
        <v>22</v>
      </c>
      <c r="K506" t="s">
        <v>260</v>
      </c>
      <c r="L506" t="s">
        <v>820</v>
      </c>
    </row>
    <row r="507" spans="1:12">
      <c r="A507">
        <v>606151000</v>
      </c>
      <c r="B507" t="s">
        <v>121</v>
      </c>
      <c r="C507" t="s">
        <v>211</v>
      </c>
      <c r="D507" t="s">
        <v>65</v>
      </c>
      <c r="E507" t="s">
        <v>17</v>
      </c>
      <c r="F507" t="s">
        <v>66</v>
      </c>
      <c r="G507" t="s">
        <v>122</v>
      </c>
      <c r="H507" t="s">
        <v>334</v>
      </c>
      <c r="I507" t="s">
        <v>189</v>
      </c>
      <c r="J507" t="s">
        <v>22</v>
      </c>
      <c r="K507" t="s">
        <v>260</v>
      </c>
      <c r="L507" t="s">
        <v>820</v>
      </c>
    </row>
    <row r="508" spans="1:12">
      <c r="A508">
        <v>1</v>
      </c>
      <c r="B508" t="s">
        <v>821</v>
      </c>
      <c r="C508" t="s">
        <v>244</v>
      </c>
      <c r="D508" t="s">
        <v>65</v>
      </c>
      <c r="E508" t="s">
        <v>244</v>
      </c>
      <c r="F508" t="s">
        <v>66</v>
      </c>
      <c r="G508" t="s">
        <v>244</v>
      </c>
      <c r="H508" t="s">
        <v>334</v>
      </c>
      <c r="I508" t="s">
        <v>244</v>
      </c>
      <c r="J508" t="s">
        <v>22</v>
      </c>
      <c r="K508" t="s">
        <v>821</v>
      </c>
      <c r="L508" t="s">
        <v>821</v>
      </c>
    </row>
    <row r="509" spans="1:12">
      <c r="A509">
        <v>606161000</v>
      </c>
      <c r="B509" t="s">
        <v>822</v>
      </c>
      <c r="C509" t="s">
        <v>244</v>
      </c>
      <c r="D509" t="s">
        <v>65</v>
      </c>
      <c r="E509" t="s">
        <v>17</v>
      </c>
      <c r="F509" t="s">
        <v>66</v>
      </c>
      <c r="G509" t="s">
        <v>392</v>
      </c>
      <c r="H509" t="s">
        <v>334</v>
      </c>
      <c r="I509" t="s">
        <v>189</v>
      </c>
      <c r="J509" t="s">
        <v>22</v>
      </c>
      <c r="K509" t="s">
        <v>260</v>
      </c>
      <c r="L509" t="s">
        <v>820</v>
      </c>
    </row>
    <row r="510" spans="1:12">
      <c r="A510">
        <v>402273001</v>
      </c>
      <c r="B510" t="s">
        <v>823</v>
      </c>
      <c r="C510" t="s">
        <v>43</v>
      </c>
      <c r="D510" t="s">
        <v>49</v>
      </c>
      <c r="E510" t="s">
        <v>34</v>
      </c>
      <c r="F510" t="s">
        <v>66</v>
      </c>
      <c r="G510" t="s">
        <v>243</v>
      </c>
      <c r="H510" t="s">
        <v>20</v>
      </c>
      <c r="I510" t="s">
        <v>818</v>
      </c>
      <c r="J510" t="s">
        <v>22</v>
      </c>
      <c r="K510" t="s">
        <v>741</v>
      </c>
      <c r="L510" t="s">
        <v>55</v>
      </c>
    </row>
    <row r="511" spans="1:12">
      <c r="A511">
        <v>402223001</v>
      </c>
      <c r="B511" t="s">
        <v>824</v>
      </c>
      <c r="C511" t="s">
        <v>43</v>
      </c>
      <c r="D511" t="s">
        <v>49</v>
      </c>
      <c r="E511" t="s">
        <v>34</v>
      </c>
      <c r="F511" t="s">
        <v>66</v>
      </c>
      <c r="G511" t="s">
        <v>19</v>
      </c>
      <c r="H511" t="s">
        <v>20</v>
      </c>
      <c r="I511" t="s">
        <v>818</v>
      </c>
      <c r="J511" t="s">
        <v>22</v>
      </c>
      <c r="K511" t="s">
        <v>741</v>
      </c>
      <c r="L511" t="s">
        <v>55</v>
      </c>
    </row>
    <row r="512" spans="1:12">
      <c r="A512">
        <v>402234000</v>
      </c>
      <c r="B512" t="s">
        <v>825</v>
      </c>
      <c r="C512" t="s">
        <v>43</v>
      </c>
      <c r="D512" t="s">
        <v>49</v>
      </c>
      <c r="E512" t="s">
        <v>34</v>
      </c>
      <c r="F512" t="s">
        <v>66</v>
      </c>
      <c r="G512" t="s">
        <v>139</v>
      </c>
      <c r="H512" t="s">
        <v>139</v>
      </c>
      <c r="I512" t="s">
        <v>818</v>
      </c>
      <c r="J512" t="s">
        <v>22</v>
      </c>
      <c r="K512" t="s">
        <v>288</v>
      </c>
      <c r="L512" t="s">
        <v>55</v>
      </c>
    </row>
    <row r="513" spans="1:12">
      <c r="A513">
        <v>302233002</v>
      </c>
      <c r="B513" t="s">
        <v>287</v>
      </c>
      <c r="C513" t="s">
        <v>43</v>
      </c>
      <c r="D513" t="s">
        <v>49</v>
      </c>
      <c r="E513" t="s">
        <v>34</v>
      </c>
      <c r="F513" t="s">
        <v>66</v>
      </c>
      <c r="G513" t="s">
        <v>139</v>
      </c>
      <c r="H513" t="s">
        <v>139</v>
      </c>
      <c r="I513" t="s">
        <v>189</v>
      </c>
      <c r="J513" t="s">
        <v>22</v>
      </c>
      <c r="K513" t="s">
        <v>288</v>
      </c>
      <c r="L513" t="s">
        <v>55</v>
      </c>
    </row>
    <row r="514" spans="1:12">
      <c r="A514">
        <v>302232001</v>
      </c>
      <c r="B514" t="s">
        <v>283</v>
      </c>
      <c r="C514" t="s">
        <v>43</v>
      </c>
      <c r="D514" t="s">
        <v>44</v>
      </c>
      <c r="E514" t="s">
        <v>34</v>
      </c>
      <c r="F514" t="s">
        <v>66</v>
      </c>
      <c r="G514" t="s">
        <v>139</v>
      </c>
      <c r="H514" t="s">
        <v>139</v>
      </c>
      <c r="I514" t="s">
        <v>189</v>
      </c>
      <c r="J514" t="s">
        <v>22</v>
      </c>
      <c r="K514" t="s">
        <v>284</v>
      </c>
      <c r="L514" t="s">
        <v>52</v>
      </c>
    </row>
    <row r="515" spans="1:12">
      <c r="A515">
        <v>302132001</v>
      </c>
      <c r="B515" t="s">
        <v>826</v>
      </c>
      <c r="C515" t="s">
        <v>43</v>
      </c>
      <c r="D515" t="s">
        <v>44</v>
      </c>
      <c r="E515" t="s">
        <v>17</v>
      </c>
      <c r="F515" t="s">
        <v>66</v>
      </c>
      <c r="G515" t="s">
        <v>139</v>
      </c>
      <c r="H515" t="s">
        <v>139</v>
      </c>
      <c r="I515" t="s">
        <v>818</v>
      </c>
      <c r="J515" t="s">
        <v>22</v>
      </c>
      <c r="K515" t="s">
        <v>282</v>
      </c>
      <c r="L515" t="s">
        <v>47</v>
      </c>
    </row>
    <row r="516" spans="1:12">
      <c r="A516">
        <v>302132002</v>
      </c>
      <c r="B516" t="s">
        <v>281</v>
      </c>
      <c r="C516" t="s">
        <v>43</v>
      </c>
      <c r="D516" t="s">
        <v>44</v>
      </c>
      <c r="E516" t="s">
        <v>17</v>
      </c>
      <c r="F516" t="s">
        <v>66</v>
      </c>
      <c r="G516" t="s">
        <v>139</v>
      </c>
      <c r="H516" t="s">
        <v>139</v>
      </c>
      <c r="I516" t="s">
        <v>189</v>
      </c>
      <c r="J516" t="s">
        <v>22</v>
      </c>
      <c r="K516" t="s">
        <v>282</v>
      </c>
      <c r="L516" t="s">
        <v>47</v>
      </c>
    </row>
    <row r="517" spans="1:12">
      <c r="A517">
        <v>302133001</v>
      </c>
      <c r="B517" t="s">
        <v>285</v>
      </c>
      <c r="C517" t="s">
        <v>43</v>
      </c>
      <c r="D517" t="s">
        <v>49</v>
      </c>
      <c r="E517" t="s">
        <v>17</v>
      </c>
      <c r="F517" t="s">
        <v>66</v>
      </c>
      <c r="G517" t="s">
        <v>139</v>
      </c>
      <c r="H517" t="s">
        <v>139</v>
      </c>
      <c r="I517" t="s">
        <v>189</v>
      </c>
      <c r="J517" t="s">
        <v>22</v>
      </c>
      <c r="K517" t="s">
        <v>286</v>
      </c>
      <c r="L517" t="s">
        <v>50</v>
      </c>
    </row>
    <row r="518" spans="1:12">
      <c r="A518">
        <v>404221000</v>
      </c>
      <c r="B518" t="s">
        <v>827</v>
      </c>
      <c r="C518" t="s">
        <v>64</v>
      </c>
      <c r="D518" t="s">
        <v>65</v>
      </c>
      <c r="E518" t="s">
        <v>34</v>
      </c>
      <c r="F518" t="s">
        <v>66</v>
      </c>
      <c r="G518" t="s">
        <v>19</v>
      </c>
      <c r="H518" t="s">
        <v>20</v>
      </c>
      <c r="I518" t="s">
        <v>21</v>
      </c>
      <c r="J518" t="s">
        <v>22</v>
      </c>
      <c r="K518" t="s">
        <v>828</v>
      </c>
      <c r="L518" t="s">
        <v>712</v>
      </c>
    </row>
    <row r="519" spans="1:12">
      <c r="A519">
        <v>404221001</v>
      </c>
      <c r="B519" t="s">
        <v>829</v>
      </c>
      <c r="C519" t="s">
        <v>64</v>
      </c>
      <c r="D519" t="s">
        <v>65</v>
      </c>
      <c r="E519" t="s">
        <v>34</v>
      </c>
      <c r="F519" t="s">
        <v>66</v>
      </c>
      <c r="G519" t="s">
        <v>19</v>
      </c>
      <c r="H519" t="s">
        <v>20</v>
      </c>
      <c r="I519" t="s">
        <v>345</v>
      </c>
      <c r="J519" t="s">
        <v>22</v>
      </c>
      <c r="K519" t="s">
        <v>828</v>
      </c>
      <c r="L519" t="s">
        <v>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615-EE68-4829-840E-BAA0FCAB9DAA}">
  <dimension ref="A1:BI91"/>
  <sheetViews>
    <sheetView zoomScale="75" zoomScaleNormal="75" workbookViewId="0">
      <pane ySplit="1" topLeftCell="A2" activePane="bottomLeft" state="frozen"/>
      <selection pane="bottomLeft" activeCell="E23" sqref="E23"/>
    </sheetView>
  </sheetViews>
  <sheetFormatPr defaultColWidth="11.5703125" defaultRowHeight="15.6"/>
  <cols>
    <col min="1" max="1" width="12.42578125" style="19" bestFit="1" customWidth="1"/>
    <col min="2" max="2" width="12.140625" style="19" bestFit="1" customWidth="1"/>
    <col min="3" max="3" width="10.42578125" style="19" bestFit="1" customWidth="1"/>
    <col min="4" max="4" width="8.42578125" style="19" bestFit="1" customWidth="1"/>
    <col min="5" max="5" width="12" style="19" bestFit="1" customWidth="1"/>
    <col min="6" max="6" width="38.140625" style="18" bestFit="1" customWidth="1"/>
    <col min="7" max="7" width="19.85546875" style="19" bestFit="1" customWidth="1"/>
    <col min="8" max="8" width="13" style="19" bestFit="1" customWidth="1"/>
    <col min="9" max="9" width="11.85546875" style="19" bestFit="1" customWidth="1"/>
    <col min="10" max="10" width="12.5703125" style="19" bestFit="1" customWidth="1"/>
    <col min="11" max="11" width="20.5703125" style="19" bestFit="1" customWidth="1"/>
    <col min="12" max="12" width="15.85546875" style="19" bestFit="1" customWidth="1"/>
    <col min="13" max="13" width="19.140625" style="22" bestFit="1" customWidth="1"/>
    <col min="14" max="14" width="13.140625" style="23" bestFit="1" customWidth="1"/>
    <col min="15" max="15" width="18.42578125" style="19" bestFit="1" customWidth="1"/>
    <col min="16" max="16" width="17" style="19" bestFit="1" customWidth="1"/>
    <col min="17" max="17" width="13.42578125" style="19" bestFit="1" customWidth="1"/>
    <col min="18" max="18" width="25.5703125" style="25" bestFit="1" customWidth="1"/>
    <col min="19" max="19" width="25.5703125" style="19" bestFit="1" customWidth="1"/>
    <col min="20" max="20" width="18.140625" style="25" bestFit="1" customWidth="1"/>
    <col min="21" max="21" width="27.42578125" style="19" bestFit="1" customWidth="1"/>
    <col min="22" max="22" width="20.140625" style="25" bestFit="1" customWidth="1"/>
    <col min="23" max="23" width="29.42578125" style="19" bestFit="1" customWidth="1"/>
    <col min="24" max="24" width="17.85546875" style="25" bestFit="1" customWidth="1"/>
    <col min="25" max="25" width="24" style="19" bestFit="1" customWidth="1"/>
    <col min="26" max="26" width="9.85546875" style="25" bestFit="1" customWidth="1"/>
    <col min="27" max="27" width="18.85546875" style="19" bestFit="1" customWidth="1"/>
    <col min="28" max="28" width="11.140625" style="25" bestFit="1" customWidth="1"/>
    <col min="29" max="29" width="18.85546875" style="19" bestFit="1" customWidth="1"/>
    <col min="30" max="30" width="20.5703125" style="25" bestFit="1" customWidth="1"/>
    <col min="31" max="31" width="18" style="25" bestFit="1" customWidth="1"/>
    <col min="32" max="32" width="24.42578125" style="25" bestFit="1" customWidth="1"/>
    <col min="33" max="33" width="17.140625" style="25" bestFit="1" customWidth="1"/>
    <col min="34" max="34" width="13.85546875" style="32" bestFit="1" customWidth="1"/>
    <col min="35" max="35" width="24.5703125" style="25" bestFit="1" customWidth="1"/>
    <col min="36" max="36" width="17.140625" style="25" bestFit="1" customWidth="1"/>
    <col min="37" max="37" width="13.85546875" style="25" bestFit="1" customWidth="1"/>
    <col min="38" max="38" width="15.85546875" style="19" bestFit="1" customWidth="1"/>
    <col min="39" max="39" width="10.140625" style="19" bestFit="1" customWidth="1"/>
    <col min="40" max="40" width="15.85546875" style="19" bestFit="1" customWidth="1"/>
    <col min="41" max="41" width="10.140625" style="19" bestFit="1" customWidth="1"/>
    <col min="42" max="42" width="21.140625" style="19" bestFit="1" customWidth="1"/>
    <col min="43" max="43" width="20.5703125" style="19" bestFit="1" customWidth="1"/>
    <col min="44" max="44" width="21.42578125" style="19" bestFit="1" customWidth="1"/>
    <col min="45" max="45" width="22.42578125" style="19" bestFit="1" customWidth="1"/>
    <col min="46" max="46" width="18.85546875" style="19" bestFit="1" customWidth="1"/>
    <col min="47" max="47" width="20.85546875" style="19" bestFit="1" customWidth="1"/>
    <col min="48" max="48" width="21.42578125" style="19" bestFit="1" customWidth="1"/>
    <col min="49" max="49" width="14.42578125" style="25" bestFit="1" customWidth="1"/>
    <col min="50" max="50" width="10.140625" style="19" bestFit="1" customWidth="1"/>
    <col min="51" max="51" width="8.5703125" style="19" bestFit="1" customWidth="1"/>
    <col min="52" max="52" width="20" style="33" bestFit="1" customWidth="1"/>
    <col min="53" max="53" width="16" style="19" bestFit="1" customWidth="1"/>
    <col min="54" max="54" width="29.5703125" style="18" bestFit="1" customWidth="1"/>
    <col min="55" max="55" width="10.140625" style="34" bestFit="1" customWidth="1"/>
    <col min="56" max="56" width="27.5703125" style="35" bestFit="1" customWidth="1"/>
    <col min="57" max="57" width="20.5703125" style="19" bestFit="1" customWidth="1"/>
    <col min="58" max="58" width="19.140625" style="19" bestFit="1" customWidth="1"/>
    <col min="59" max="59" width="38.140625" style="19" bestFit="1" customWidth="1"/>
    <col min="60" max="60" width="14.85546875" style="19" bestFit="1" customWidth="1"/>
    <col min="61" max="61" width="16" style="19" bestFit="1" customWidth="1"/>
    <col min="62" max="16384" width="11.5703125" style="19"/>
  </cols>
  <sheetData>
    <row r="1" spans="1:61" s="18" customFormat="1">
      <c r="A1" s="1" t="s">
        <v>830</v>
      </c>
      <c r="B1" s="1" t="s">
        <v>831</v>
      </c>
      <c r="C1" s="1" t="s">
        <v>832</v>
      </c>
      <c r="D1" s="1" t="s">
        <v>833</v>
      </c>
      <c r="E1" s="1" t="s">
        <v>834</v>
      </c>
      <c r="F1" s="1" t="s">
        <v>835</v>
      </c>
      <c r="G1" s="1" t="s">
        <v>7</v>
      </c>
      <c r="H1" s="1" t="s">
        <v>836</v>
      </c>
      <c r="I1" s="1" t="s">
        <v>837</v>
      </c>
      <c r="J1" s="1" t="s">
        <v>838</v>
      </c>
      <c r="K1" s="1" t="s">
        <v>839</v>
      </c>
      <c r="L1" s="1" t="s">
        <v>840</v>
      </c>
      <c r="M1" s="2" t="s">
        <v>841</v>
      </c>
      <c r="N1" s="3" t="s">
        <v>842</v>
      </c>
      <c r="O1" s="1" t="s">
        <v>843</v>
      </c>
      <c r="P1" s="1" t="s">
        <v>844</v>
      </c>
      <c r="Q1" s="4" t="s">
        <v>845</v>
      </c>
      <c r="R1" s="5" t="s">
        <v>846</v>
      </c>
      <c r="S1" s="1" t="s">
        <v>847</v>
      </c>
      <c r="T1" s="5" t="s">
        <v>848</v>
      </c>
      <c r="U1" s="1" t="s">
        <v>849</v>
      </c>
      <c r="V1" s="5" t="s">
        <v>850</v>
      </c>
      <c r="W1" s="1" t="s">
        <v>851</v>
      </c>
      <c r="X1" s="5" t="s">
        <v>852</v>
      </c>
      <c r="Y1" s="1" t="s">
        <v>853</v>
      </c>
      <c r="Z1" s="5" t="s">
        <v>122</v>
      </c>
      <c r="AA1" s="1" t="s">
        <v>854</v>
      </c>
      <c r="AB1" s="5" t="s">
        <v>855</v>
      </c>
      <c r="AC1" s="1" t="s">
        <v>856</v>
      </c>
      <c r="AD1" s="6" t="s">
        <v>857</v>
      </c>
      <c r="AE1" s="6" t="s">
        <v>858</v>
      </c>
      <c r="AF1" s="5" t="s">
        <v>859</v>
      </c>
      <c r="AG1" s="5" t="s">
        <v>860</v>
      </c>
      <c r="AH1" s="4" t="s">
        <v>861</v>
      </c>
      <c r="AI1" s="5" t="s">
        <v>862</v>
      </c>
      <c r="AJ1" s="5" t="s">
        <v>863</v>
      </c>
      <c r="AK1" s="5" t="s">
        <v>864</v>
      </c>
      <c r="AL1" s="1" t="s">
        <v>865</v>
      </c>
      <c r="AM1" s="7" t="s">
        <v>866</v>
      </c>
      <c r="AN1" s="1" t="s">
        <v>867</v>
      </c>
      <c r="AO1" s="4" t="s">
        <v>868</v>
      </c>
      <c r="AP1" s="8" t="s">
        <v>869</v>
      </c>
      <c r="AQ1" s="8" t="s">
        <v>870</v>
      </c>
      <c r="AR1" s="8" t="s">
        <v>871</v>
      </c>
      <c r="AS1" s="8" t="s">
        <v>872</v>
      </c>
      <c r="AT1" s="8" t="s">
        <v>873</v>
      </c>
      <c r="AU1" s="8" t="s">
        <v>874</v>
      </c>
      <c r="AV1" s="8" t="s">
        <v>875</v>
      </c>
      <c r="AW1" s="5" t="s">
        <v>876</v>
      </c>
      <c r="AX1" s="1" t="s">
        <v>877</v>
      </c>
      <c r="AY1" s="1" t="s">
        <v>878</v>
      </c>
      <c r="AZ1" s="9" t="s">
        <v>879</v>
      </c>
      <c r="BA1" s="1" t="s">
        <v>880</v>
      </c>
      <c r="BB1" s="1" t="s">
        <v>881</v>
      </c>
      <c r="BC1" s="1" t="s">
        <v>882</v>
      </c>
      <c r="BD1" s="1" t="s">
        <v>883</v>
      </c>
      <c r="BE1" s="1" t="s">
        <v>884</v>
      </c>
      <c r="BF1" s="1" t="s">
        <v>885</v>
      </c>
      <c r="BG1" s="1" t="s">
        <v>886</v>
      </c>
      <c r="BH1" s="1" t="s">
        <v>887</v>
      </c>
      <c r="BI1" s="1" t="s">
        <v>888</v>
      </c>
    </row>
    <row r="2" spans="1:61">
      <c r="A2" s="36">
        <v>46037</v>
      </c>
      <c r="B2" s="19">
        <f>_xlfn.ISOWEEKNUM(BD_MR_RF[[#This Row],[Fecha]])</f>
        <v>3</v>
      </c>
      <c r="C2" s="19">
        <v>1</v>
      </c>
      <c r="D2" s="19">
        <v>3</v>
      </c>
      <c r="E2" s="20">
        <v>304231000</v>
      </c>
      <c r="F2" s="18" t="str">
        <f>IFERROR("" &amp; _xlfn.XLOOKUP(BD_MR_RF[[#This Row],[Código]],BD_Cod!A:A,BD_Cod!B:B), "")</f>
        <v>MO S/V Org. S/C PSP 12 kg en Caja</v>
      </c>
      <c r="G2" s="21" t="str">
        <f>IFERROR(" " &amp;_xlfn.XLOOKUP(BD_MR_RF[[#This Row],[Código]],BD_Cod!A:A,BD_Cod!H:H," ")," ")</f>
        <v xml:space="preserve"> PSP</v>
      </c>
      <c r="H2" s="19">
        <v>21219</v>
      </c>
      <c r="I2" s="19">
        <v>7830</v>
      </c>
      <c r="J2" s="22">
        <v>1000</v>
      </c>
      <c r="K2" s="19" t="s">
        <v>889</v>
      </c>
      <c r="L2" s="19" t="s">
        <v>244</v>
      </c>
      <c r="M2" s="22">
        <v>12555</v>
      </c>
      <c r="N2" s="23">
        <v>-12.6</v>
      </c>
      <c r="O2" s="19" t="s">
        <v>890</v>
      </c>
      <c r="P2" s="19" t="s">
        <v>890</v>
      </c>
      <c r="Q2" s="24">
        <f>1-BD_MR_RF[[#This Row],[% Defectos]]</f>
        <v>0.877</v>
      </c>
      <c r="R2" s="25">
        <v>64</v>
      </c>
      <c r="S2" s="26">
        <f>+IFERROR((BD_MR_RF[[#This Row],[Desviación de Color]]/BD_MR_RF[[#This Row],[Muestra]]),"0")</f>
        <v>6.4000000000000001E-2</v>
      </c>
      <c r="T2" s="25">
        <v>0</v>
      </c>
      <c r="U2" s="26">
        <f>+IFERROR((BD_MR_RF[[#This Row],[Sobremaduro]]/BD_MR_RF[[#This Row],[Muestra]]),"0")</f>
        <v>0</v>
      </c>
      <c r="V2" s="25">
        <v>0</v>
      </c>
      <c r="W2" s="26">
        <f>+IFERROR((BD_MR_RF[[#This Row],[Daño Mécanico]]/BD_MR_RF[[#This Row],[Muestra]]),"0")</f>
        <v>0</v>
      </c>
      <c r="X2" s="25">
        <v>53</v>
      </c>
      <c r="Y2" s="26">
        <f>+IFERROR((BD_MR_RF[[#This Row],[Daño Insecto]]/BD_MR_RF[[#This Row],[Muestra]]),"0")</f>
        <v>5.2999999999999999E-2</v>
      </c>
      <c r="Z2" s="25">
        <v>0</v>
      </c>
      <c r="AA2" s="26">
        <f>+IFERROR((BD_MR_RF[[#This Row],[Block]]/BD_MR_RF[[#This Row],[Muestra]]),"0")</f>
        <v>0</v>
      </c>
      <c r="AB2" s="25">
        <v>6</v>
      </c>
      <c r="AC2" s="26">
        <f>+IFERROR((BD_MR_RF[[#This Row],[Mohos]]/BD_MR_RF[[#This Row],[Muestra]]),"0")</f>
        <v>6.0000000000000001E-3</v>
      </c>
      <c r="AD2" s="25">
        <v>0</v>
      </c>
      <c r="AE2" s="27">
        <v>0</v>
      </c>
      <c r="AF2" s="25" t="s">
        <v>891</v>
      </c>
      <c r="AG2" s="25">
        <v>40</v>
      </c>
      <c r="AH2" s="26"/>
      <c r="AJ2" s="25">
        <v>0</v>
      </c>
      <c r="AK2" s="26">
        <f>+IFERROR((BD_MR_RF[[#This Row],[Valor Extra 2]]/BD_MR_RF[[#This Row],[Muestra]]),"0")</f>
        <v>0</v>
      </c>
      <c r="AL2" s="19">
        <v>0</v>
      </c>
      <c r="AM2" s="26">
        <f>+IFERROR((BD_MR_RF[[#This Row],[Calibre &gt;16]]/BD_MR_RF[[#This Row],[Muestra]]),"0")</f>
        <v>0</v>
      </c>
      <c r="AN2" s="19">
        <v>0</v>
      </c>
      <c r="AO2" s="26">
        <f>+IFERROR((BD_MR_RF[[#This Row],[Calibre &lt;16]]/BD_MR_RF[[#This Row],[Muestra]]),"0")</f>
        <v>0</v>
      </c>
      <c r="AP2" s="19" t="s">
        <v>892</v>
      </c>
      <c r="AQ2" s="19" t="s">
        <v>892</v>
      </c>
      <c r="AR2" s="19" t="s">
        <v>892</v>
      </c>
      <c r="AS2" s="19" t="s">
        <v>892</v>
      </c>
      <c r="AT2" s="19" t="s">
        <v>892</v>
      </c>
      <c r="AU2" s="19" t="s">
        <v>892</v>
      </c>
      <c r="AV2" s="28" t="s">
        <v>892</v>
      </c>
      <c r="AW2" s="29">
        <v>13.7</v>
      </c>
      <c r="AX2" s="19" t="s">
        <v>890</v>
      </c>
      <c r="AY2" s="19" t="s">
        <v>890</v>
      </c>
      <c r="AZ2" s="30">
        <f>SUM(BD_MR_RF[[#This Row],[Desviación de Color]]+BD_MR_RF[[#This Row],[Sobremaduro]]+BD_MR_RF[[#This Row],[Daño Mécanico]]+BD_MR_RF[[#This Row],[Daño Insecto]]+BD_MR_RF[[#This Row],[Block]]+BD_MR_RF[[#This Row],[Mohos]])</f>
        <v>123</v>
      </c>
      <c r="BA2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0.123</v>
      </c>
      <c r="BB2" s="18" t="s">
        <v>893</v>
      </c>
      <c r="BC2" s="24">
        <f>1-BD_MR_RF[[#This Row],[% Defectos]]</f>
        <v>0.877</v>
      </c>
      <c r="BD2" s="31" t="s">
        <v>894</v>
      </c>
      <c r="BE2" s="19">
        <f>SUM(BD_MR_RF[[#This Row],[Palos (Un.) (≤18)]:[Larvas (Un.) (≤24)]])</f>
        <v>0</v>
      </c>
      <c r="BF2" s="19">
        <f>SUM(BD_MR_RF[[#This Row],[Vidrio (Un.) (0)]:[Plástico (Un.) (0)]])</f>
        <v>0</v>
      </c>
      <c r="BG2" s="19" t="str">
        <f>IF(ISBLANK(BD_MR_RF[[#This Row],[Descripción del Producto]]),"",BD_MR_RF[[#This Row],[Descripción del Producto]])</f>
        <v>MO S/V Org. S/C PSP 12 kg en Caja</v>
      </c>
      <c r="BH2" s="19">
        <f>IF(ISBLANK(BD_MR_RF[[#This Row],[N° Lote]]),"",BD_MR_RF[[#This Row],[N° Lote]])</f>
        <v>7830</v>
      </c>
      <c r="BI2" s="19">
        <f>IF(ISBLANK(BD_MR_RF[[#This Row],[N° Pallet]]),"",BD_MR_RF[[#This Row],[N° Pallet]])</f>
        <v>21219</v>
      </c>
    </row>
    <row r="3" spans="1:61">
      <c r="A3" s="36">
        <v>46037</v>
      </c>
      <c r="B3" s="19">
        <f>_xlfn.ISOWEEKNUM(BD_MR_RF[[#This Row],[Fecha]])</f>
        <v>3</v>
      </c>
      <c r="C3" s="19">
        <v>1</v>
      </c>
      <c r="D3" s="19">
        <v>3</v>
      </c>
      <c r="E3" s="20">
        <v>304231000</v>
      </c>
      <c r="F3" s="18" t="str">
        <f>IFERROR("" &amp; _xlfn.XLOOKUP(BD_MR_RF[[#This Row],[Código]],BD_Cod!A:A,BD_Cod!B:B), "")</f>
        <v>MO S/V Org. S/C PSP 12 kg en Caja</v>
      </c>
      <c r="G3" s="21" t="str">
        <f>IFERROR(" " &amp;_xlfn.XLOOKUP(BD_MR_RF[[#This Row],[Código]],BD_Cod!A:A,BD_Cod!H:H," ")," ")</f>
        <v xml:space="preserve"> PSP</v>
      </c>
      <c r="H3" s="19">
        <v>21219</v>
      </c>
      <c r="I3" s="19">
        <v>7830</v>
      </c>
      <c r="J3" s="22">
        <v>1000</v>
      </c>
      <c r="K3" s="37">
        <v>0.37361111111111112</v>
      </c>
      <c r="L3" s="19" t="s">
        <v>244</v>
      </c>
      <c r="M3" s="22">
        <v>12575</v>
      </c>
      <c r="N3" s="23">
        <v>-9.6</v>
      </c>
      <c r="O3" s="19" t="s">
        <v>890</v>
      </c>
      <c r="P3" s="19" t="s">
        <v>890</v>
      </c>
      <c r="Q3" s="24">
        <f>1-BD_MR_RF[[#This Row],[% Defectos]]</f>
        <v>0.89400000000000002</v>
      </c>
      <c r="R3" s="25">
        <v>44</v>
      </c>
      <c r="S3" s="26">
        <f>+IFERROR((BD_MR_RF[[#This Row],[Desviación de Color]]/BD_MR_RF[[#This Row],[Muestra]]),"0")</f>
        <v>4.3999999999999997E-2</v>
      </c>
      <c r="T3" s="25">
        <v>0</v>
      </c>
      <c r="U3" s="26">
        <f>+IFERROR((BD_MR_RF[[#This Row],[Sobremaduro]]/BD_MR_RF[[#This Row],[Muestra]]),"0")</f>
        <v>0</v>
      </c>
      <c r="V3" s="25">
        <v>0</v>
      </c>
      <c r="W3" s="26">
        <f>+IFERROR((BD_MR_RF[[#This Row],[Daño Mécanico]]/BD_MR_RF[[#This Row],[Muestra]]),"0")</f>
        <v>0</v>
      </c>
      <c r="X3" s="25">
        <v>30</v>
      </c>
      <c r="Y3" s="26">
        <f>+IFERROR((BD_MR_RF[[#This Row],[Daño Insecto]]/BD_MR_RF[[#This Row],[Muestra]]),"0")</f>
        <v>0.03</v>
      </c>
      <c r="Z3" s="25">
        <v>32</v>
      </c>
      <c r="AA3" s="26">
        <f>+IFERROR((BD_MR_RF[[#This Row],[Block]]/BD_MR_RF[[#This Row],[Muestra]]),"0")</f>
        <v>3.2000000000000001E-2</v>
      </c>
      <c r="AB3" s="25">
        <v>0</v>
      </c>
      <c r="AC3" s="26">
        <f>+IFERROR((BD_MR_RF[[#This Row],[Mohos]]/BD_MR_RF[[#This Row],[Muestra]]),"0")</f>
        <v>0</v>
      </c>
      <c r="AD3" s="25">
        <v>1</v>
      </c>
      <c r="AE3" s="27">
        <v>0</v>
      </c>
      <c r="AG3" s="25">
        <v>0</v>
      </c>
      <c r="AH3" s="26">
        <f>+IFERROR((BD_MR_RF[[#This Row],[Valor Extra 1]]/BD_MR_RF[[#This Row],[Muestra]]),"0")</f>
        <v>0</v>
      </c>
      <c r="AJ3" s="25">
        <v>0</v>
      </c>
      <c r="AK3" s="26">
        <f>+IFERROR((BD_MR_RF[[#This Row],[Valor Extra 2]]/BD_MR_RF[[#This Row],[Muestra]]),"0")</f>
        <v>0</v>
      </c>
      <c r="AL3" s="19">
        <v>0</v>
      </c>
      <c r="AM3" s="26">
        <f>+IFERROR((BD_MR_RF[[#This Row],[Calibre &gt;16]]/BD_MR_RF[[#This Row],[Muestra]]),"0")</f>
        <v>0</v>
      </c>
      <c r="AN3" s="19">
        <v>0</v>
      </c>
      <c r="AO3" s="26">
        <f>+IFERROR((BD_MR_RF[[#This Row],[Calibre &lt;16]]/BD_MR_RF[[#This Row],[Muestra]]),"0")</f>
        <v>0</v>
      </c>
      <c r="AP3" s="19" t="s">
        <v>892</v>
      </c>
      <c r="AQ3" s="19" t="s">
        <v>892</v>
      </c>
      <c r="AR3" s="19" t="s">
        <v>892</v>
      </c>
      <c r="AS3" s="19" t="s">
        <v>892</v>
      </c>
      <c r="AT3" s="19" t="s">
        <v>892</v>
      </c>
      <c r="AU3" s="19" t="s">
        <v>892</v>
      </c>
      <c r="AV3" s="28" t="s">
        <v>892</v>
      </c>
      <c r="AW3" s="29">
        <v>12.2</v>
      </c>
      <c r="AX3" s="19" t="s">
        <v>890</v>
      </c>
      <c r="AY3" s="19" t="s">
        <v>890</v>
      </c>
      <c r="AZ3" s="30">
        <f>SUM(BD_MR_RF[[#This Row],[Desviación de Color]]+BD_MR_RF[[#This Row],[Sobremaduro]]+BD_MR_RF[[#This Row],[Daño Mécanico]]+BD_MR_RF[[#This Row],[Daño Insecto]]+BD_MR_RF[[#This Row],[Block]]+BD_MR_RF[[#This Row],[Mohos]])</f>
        <v>106</v>
      </c>
      <c r="BA3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0.106</v>
      </c>
      <c r="BB3" s="18" t="s">
        <v>893</v>
      </c>
      <c r="BC3" s="24">
        <f>1-BD_MR_RF[[#This Row],[% Defectos]]</f>
        <v>0.89400000000000002</v>
      </c>
      <c r="BD3" s="31" t="s">
        <v>894</v>
      </c>
      <c r="BE3" s="19">
        <f>SUM(BD_MR_RF[[#This Row],[Palos (Un.) (≤18)]:[Larvas (Un.) (≤24)]])</f>
        <v>0</v>
      </c>
      <c r="BF3" s="19">
        <f>SUM(BD_MR_RF[[#This Row],[Vidrio (Un.) (0)]:[Plástico (Un.) (0)]])</f>
        <v>0</v>
      </c>
      <c r="BG3" s="19" t="str">
        <f>IF(ISBLANK(BD_MR_RF[[#This Row],[Descripción del Producto]]),"",BD_MR_RF[[#This Row],[Descripción del Producto]])</f>
        <v>MO S/V Org. S/C PSP 12 kg en Caja</v>
      </c>
      <c r="BH3" s="19">
        <f>IF(ISBLANK(BD_MR_RF[[#This Row],[N° Lote]]),"",BD_MR_RF[[#This Row],[N° Lote]])</f>
        <v>7830</v>
      </c>
      <c r="BI3" s="19">
        <f>IF(ISBLANK(BD_MR_RF[[#This Row],[N° Pallet]]),"",BD_MR_RF[[#This Row],[N° Pallet]])</f>
        <v>21219</v>
      </c>
    </row>
    <row r="4" spans="1:61">
      <c r="A4" s="36">
        <v>46037</v>
      </c>
      <c r="B4" s="19">
        <f>_xlfn.ISOWEEKNUM(BD_MR_RF[[#This Row],[Fecha]])</f>
        <v>3</v>
      </c>
      <c r="C4" s="19">
        <v>1</v>
      </c>
      <c r="D4" s="19">
        <v>3</v>
      </c>
      <c r="E4" s="20">
        <v>304231000</v>
      </c>
      <c r="F4" s="18" t="str">
        <f>IFERROR("" &amp; _xlfn.XLOOKUP(BD_MR_RF[[#This Row],[Código]],BD_Cod!A:A,BD_Cod!B:B), "")</f>
        <v>MO S/V Org. S/C PSP 12 kg en Caja</v>
      </c>
      <c r="G4" s="21" t="str">
        <f>IFERROR(" " &amp;_xlfn.XLOOKUP(BD_MR_RF[[#This Row],[Código]],BD_Cod!A:A,BD_Cod!H:H," ")," ")</f>
        <v xml:space="preserve"> PSP</v>
      </c>
      <c r="H4" s="19">
        <v>21220</v>
      </c>
      <c r="I4" s="19">
        <v>7830</v>
      </c>
      <c r="J4" s="22">
        <v>1000</v>
      </c>
      <c r="K4" s="37">
        <v>0.37708333333333333</v>
      </c>
      <c r="L4" s="19" t="s">
        <v>244</v>
      </c>
      <c r="M4" s="22">
        <v>12560</v>
      </c>
      <c r="N4" s="23">
        <v>-6.9</v>
      </c>
      <c r="O4" s="19" t="s">
        <v>890</v>
      </c>
      <c r="P4" s="19" t="s">
        <v>890</v>
      </c>
      <c r="Q4" s="24">
        <f>1-BD_MR_RF[[#This Row],[% Defectos]]</f>
        <v>0.69899999999999995</v>
      </c>
      <c r="R4" s="25">
        <v>78</v>
      </c>
      <c r="S4" s="26">
        <f>+IFERROR((BD_MR_RF[[#This Row],[Desviación de Color]]/BD_MR_RF[[#This Row],[Muestra]]),"0")</f>
        <v>7.8E-2</v>
      </c>
      <c r="T4" s="25">
        <v>0</v>
      </c>
      <c r="U4" s="26">
        <f>+IFERROR((BD_MR_RF[[#This Row],[Sobremaduro]]/BD_MR_RF[[#This Row],[Muestra]]),"0")</f>
        <v>0</v>
      </c>
      <c r="V4" s="25">
        <v>22</v>
      </c>
      <c r="W4" s="26">
        <f>+IFERROR((BD_MR_RF[[#This Row],[Daño Mécanico]]/BD_MR_RF[[#This Row],[Muestra]]),"0")</f>
        <v>2.1999999999999999E-2</v>
      </c>
      <c r="X4" s="25">
        <v>63</v>
      </c>
      <c r="Y4" s="26">
        <f>+IFERROR((BD_MR_RF[[#This Row],[Daño Insecto]]/BD_MR_RF[[#This Row],[Muestra]]),"0")</f>
        <v>6.3E-2</v>
      </c>
      <c r="Z4" s="25">
        <v>133</v>
      </c>
      <c r="AA4" s="26">
        <f>+IFERROR((BD_MR_RF[[#This Row],[Block]]/BD_MR_RF[[#This Row],[Muestra]]),"0")</f>
        <v>0.13300000000000001</v>
      </c>
      <c r="AB4" s="25">
        <v>5</v>
      </c>
      <c r="AC4" s="26">
        <f>+IFERROR((BD_MR_RF[[#This Row],[Mohos]]/BD_MR_RF[[#This Row],[Muestra]]),"0")</f>
        <v>5.0000000000000001E-3</v>
      </c>
      <c r="AD4" s="25">
        <v>4</v>
      </c>
      <c r="AE4" s="27">
        <v>0</v>
      </c>
      <c r="AF4" s="25" t="s">
        <v>895</v>
      </c>
      <c r="AG4" s="25">
        <v>5</v>
      </c>
      <c r="AH4" s="26">
        <f>+IFERROR((BD_MR_RF[[#This Row],[Valor Extra 1]]/BD_MR_RF[[#This Row],[Muestra]]),"0")</f>
        <v>5.0000000000000001E-3</v>
      </c>
      <c r="AJ4" s="25">
        <v>0</v>
      </c>
      <c r="AK4" s="26">
        <f>+IFERROR((BD_MR_RF[[#This Row],[Valor Extra 2]]/BD_MR_RF[[#This Row],[Muestra]]),"0")</f>
        <v>0</v>
      </c>
      <c r="AL4" s="19">
        <v>0</v>
      </c>
      <c r="AM4" s="26">
        <f>+IFERROR((BD_MR_RF[[#This Row],[Calibre &gt;16]]/BD_MR_RF[[#This Row],[Muestra]]),"0")</f>
        <v>0</v>
      </c>
      <c r="AN4" s="19">
        <v>0</v>
      </c>
      <c r="AO4" s="26">
        <f>+IFERROR((BD_MR_RF[[#This Row],[Calibre &lt;16]]/BD_MR_RF[[#This Row],[Muestra]]),"0")</f>
        <v>0</v>
      </c>
      <c r="AP4" s="19" t="s">
        <v>892</v>
      </c>
      <c r="AQ4" s="19" t="s">
        <v>892</v>
      </c>
      <c r="AR4" s="19" t="s">
        <v>892</v>
      </c>
      <c r="AS4" s="19" t="s">
        <v>892</v>
      </c>
      <c r="AT4" s="19" t="s">
        <v>892</v>
      </c>
      <c r="AU4" s="19" t="s">
        <v>892</v>
      </c>
      <c r="AV4" s="28" t="s">
        <v>892</v>
      </c>
      <c r="AW4" s="29">
        <v>11.4</v>
      </c>
      <c r="AX4" s="19" t="s">
        <v>890</v>
      </c>
      <c r="AY4" s="19" t="s">
        <v>890</v>
      </c>
      <c r="AZ4" s="30">
        <f>SUM(BD_MR_RF[[#This Row],[Desviación de Color]]+BD_MR_RF[[#This Row],[Sobremaduro]]+BD_MR_RF[[#This Row],[Daño Mécanico]]+BD_MR_RF[[#This Row],[Daño Insecto]]+BD_MR_RF[[#This Row],[Block]]+BD_MR_RF[[#This Row],[Mohos]])</f>
        <v>301</v>
      </c>
      <c r="BA4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0.30100000000000005</v>
      </c>
      <c r="BB4" s="18" t="s">
        <v>893</v>
      </c>
      <c r="BC4" s="24">
        <f>1-BD_MR_RF[[#This Row],[% Defectos]]</f>
        <v>0.69899999999999995</v>
      </c>
      <c r="BD4" s="31" t="s">
        <v>894</v>
      </c>
      <c r="BE4" s="19">
        <f>SUM(BD_MR_RF[[#This Row],[Palos (Un.) (≤18)]:[Larvas (Un.) (≤24)]])</f>
        <v>0</v>
      </c>
      <c r="BF4" s="19">
        <f>SUM(BD_MR_RF[[#This Row],[Vidrio (Un.) (0)]:[Plástico (Un.) (0)]])</f>
        <v>0</v>
      </c>
      <c r="BG4" s="19" t="str">
        <f>IF(ISBLANK(BD_MR_RF[[#This Row],[Descripción del Producto]]),"",BD_MR_RF[[#This Row],[Descripción del Producto]])</f>
        <v>MO S/V Org. S/C PSP 12 kg en Caja</v>
      </c>
      <c r="BH4" s="19">
        <f>IF(ISBLANK(BD_MR_RF[[#This Row],[N° Lote]]),"",BD_MR_RF[[#This Row],[N° Lote]])</f>
        <v>7830</v>
      </c>
      <c r="BI4" s="19">
        <f>IF(ISBLANK(BD_MR_RF[[#This Row],[N° Pallet]]),"",BD_MR_RF[[#This Row],[N° Pallet]])</f>
        <v>21220</v>
      </c>
    </row>
    <row r="5" spans="1:61">
      <c r="A5" s="36">
        <v>46037</v>
      </c>
      <c r="B5" s="19">
        <f>_xlfn.ISOWEEKNUM(BD_MR_RF[[#This Row],[Fecha]])</f>
        <v>3</v>
      </c>
      <c r="C5" s="19">
        <v>1</v>
      </c>
      <c r="D5" s="19">
        <v>3</v>
      </c>
      <c r="E5" s="20">
        <v>304231000</v>
      </c>
      <c r="F5" s="18" t="str">
        <f>IFERROR("" &amp; _xlfn.XLOOKUP(BD_MR_RF[[#This Row],[Código]],BD_Cod!A:A,BD_Cod!B:B), "")</f>
        <v>MO S/V Org. S/C PSP 12 kg en Caja</v>
      </c>
      <c r="G5" s="21" t="str">
        <f>IFERROR(" " &amp;_xlfn.XLOOKUP(BD_MR_RF[[#This Row],[Código]],BD_Cod!A:A,BD_Cod!H:H," ")," ")</f>
        <v xml:space="preserve"> PSP</v>
      </c>
      <c r="H5" s="19">
        <v>21221</v>
      </c>
      <c r="I5" s="19">
        <v>7830</v>
      </c>
      <c r="J5" s="22">
        <v>1000</v>
      </c>
      <c r="K5" s="37">
        <v>0.39027777777777778</v>
      </c>
      <c r="L5" s="19" t="s">
        <v>244</v>
      </c>
      <c r="M5" s="22">
        <v>12555</v>
      </c>
      <c r="N5" s="23">
        <v>-14.2</v>
      </c>
      <c r="O5" s="19" t="s">
        <v>890</v>
      </c>
      <c r="P5" s="19" t="s">
        <v>890</v>
      </c>
      <c r="Q5" s="24">
        <f>1-BD_MR_RF[[#This Row],[% Defectos]]</f>
        <v>0.86099999999999999</v>
      </c>
      <c r="R5" s="25">
        <v>19</v>
      </c>
      <c r="S5" s="26">
        <f>+IFERROR((BD_MR_RF[[#This Row],[Desviación de Color]]/BD_MR_RF[[#This Row],[Muestra]]),"0")</f>
        <v>1.9E-2</v>
      </c>
      <c r="T5" s="25">
        <v>0</v>
      </c>
      <c r="U5" s="26">
        <f>+IFERROR((BD_MR_RF[[#This Row],[Sobremaduro]]/BD_MR_RF[[#This Row],[Muestra]]),"0")</f>
        <v>0</v>
      </c>
      <c r="V5" s="25">
        <v>18</v>
      </c>
      <c r="W5" s="26">
        <f>+IFERROR((BD_MR_RF[[#This Row],[Daño Mécanico]]/BD_MR_RF[[#This Row],[Muestra]]),"0")</f>
        <v>1.7999999999999999E-2</v>
      </c>
      <c r="X5" s="25">
        <v>70</v>
      </c>
      <c r="Y5" s="26">
        <f>+IFERROR((BD_MR_RF[[#This Row],[Daño Insecto]]/BD_MR_RF[[#This Row],[Muestra]]),"0")</f>
        <v>7.0000000000000007E-2</v>
      </c>
      <c r="Z5" s="25">
        <v>32</v>
      </c>
      <c r="AA5" s="26">
        <f>+IFERROR((BD_MR_RF[[#This Row],[Block]]/BD_MR_RF[[#This Row],[Muestra]]),"0")</f>
        <v>3.2000000000000001E-2</v>
      </c>
      <c r="AB5" s="25">
        <v>0</v>
      </c>
      <c r="AC5" s="26">
        <f>+IFERROR((BD_MR_RF[[#This Row],[Mohos]]/BD_MR_RF[[#This Row],[Muestra]]),"0")</f>
        <v>0</v>
      </c>
      <c r="AD5" s="25">
        <v>1</v>
      </c>
      <c r="AE5" s="27">
        <v>0</v>
      </c>
      <c r="AF5" s="25" t="s">
        <v>896</v>
      </c>
      <c r="AG5" s="25">
        <v>8</v>
      </c>
      <c r="AH5" s="26">
        <f>+IFERROR((BD_MR_RF[[#This Row],[Valor Extra 1]]/BD_MR_RF[[#This Row],[Muestra]]),"0")</f>
        <v>8.0000000000000002E-3</v>
      </c>
      <c r="AJ5" s="25">
        <v>0</v>
      </c>
      <c r="AK5" s="26">
        <f>+IFERROR((BD_MR_RF[[#This Row],[Valor Extra 2]]/BD_MR_RF[[#This Row],[Muestra]]),"0")</f>
        <v>0</v>
      </c>
      <c r="AL5" s="19">
        <v>0</v>
      </c>
      <c r="AM5" s="26">
        <f>+IFERROR((BD_MR_RF[[#This Row],[Calibre &gt;16]]/BD_MR_RF[[#This Row],[Muestra]]),"0")</f>
        <v>0</v>
      </c>
      <c r="AN5" s="19">
        <v>0</v>
      </c>
      <c r="AO5" s="26">
        <f>+IFERROR((BD_MR_RF[[#This Row],[Calibre &lt;16]]/BD_MR_RF[[#This Row],[Muestra]]),"0")</f>
        <v>0</v>
      </c>
      <c r="AP5" s="19" t="s">
        <v>892</v>
      </c>
      <c r="AQ5" s="19" t="s">
        <v>892</v>
      </c>
      <c r="AR5" s="19" t="s">
        <v>892</v>
      </c>
      <c r="AS5" s="19" t="s">
        <v>892</v>
      </c>
      <c r="AT5" s="19" t="s">
        <v>892</v>
      </c>
      <c r="AU5" s="19" t="s">
        <v>892</v>
      </c>
      <c r="AV5" s="28" t="s">
        <v>892</v>
      </c>
      <c r="AW5" s="29">
        <v>14.8</v>
      </c>
      <c r="AX5" s="19" t="s">
        <v>890</v>
      </c>
      <c r="AY5" s="19" t="s">
        <v>890</v>
      </c>
      <c r="AZ5" s="30">
        <f>SUM(BD_MR_RF[[#This Row],[Desviación de Color]]+BD_MR_RF[[#This Row],[Sobremaduro]]+BD_MR_RF[[#This Row],[Daño Mécanico]]+BD_MR_RF[[#This Row],[Daño Insecto]]+BD_MR_RF[[#This Row],[Block]]+BD_MR_RF[[#This Row],[Mohos]])</f>
        <v>139</v>
      </c>
      <c r="BA5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0.13900000000000001</v>
      </c>
      <c r="BB5" s="18" t="s">
        <v>893</v>
      </c>
      <c r="BC5" s="24">
        <f>1-BD_MR_RF[[#This Row],[% Defectos]]</f>
        <v>0.86099999999999999</v>
      </c>
      <c r="BD5" s="31" t="s">
        <v>894</v>
      </c>
      <c r="BE5" s="19">
        <f>SUM(BD_MR_RF[[#This Row],[Palos (Un.) (≤18)]:[Larvas (Un.) (≤24)]])</f>
        <v>0</v>
      </c>
      <c r="BF5" s="19">
        <f>SUM(BD_MR_RF[[#This Row],[Vidrio (Un.) (0)]:[Plástico (Un.) (0)]])</f>
        <v>0</v>
      </c>
      <c r="BG5" s="19" t="str">
        <f>IF(ISBLANK(BD_MR_RF[[#This Row],[Descripción del Producto]]),"",BD_MR_RF[[#This Row],[Descripción del Producto]])</f>
        <v>MO S/V Org. S/C PSP 12 kg en Caja</v>
      </c>
      <c r="BH5" s="19">
        <f>IF(ISBLANK(BD_MR_RF[[#This Row],[N° Lote]]),"",BD_MR_RF[[#This Row],[N° Lote]])</f>
        <v>7830</v>
      </c>
      <c r="BI5" s="19">
        <f>IF(ISBLANK(BD_MR_RF[[#This Row],[N° Pallet]]),"",BD_MR_RF[[#This Row],[N° Pallet]])</f>
        <v>21221</v>
      </c>
    </row>
    <row r="6" spans="1:61">
      <c r="A6" s="36">
        <v>46037</v>
      </c>
      <c r="B6" s="19">
        <f>_xlfn.ISOWEEKNUM(BD_MR_RF[[#This Row],[Fecha]])</f>
        <v>3</v>
      </c>
      <c r="C6" s="19">
        <v>1</v>
      </c>
      <c r="D6" s="19">
        <v>3</v>
      </c>
      <c r="E6" s="20">
        <v>304231000</v>
      </c>
      <c r="F6" s="18" t="str">
        <f>IFERROR("" &amp; _xlfn.XLOOKUP(BD_MR_RF[[#This Row],[Código]],BD_Cod!A:A,BD_Cod!B:B), "")</f>
        <v>MO S/V Org. S/C PSP 12 kg en Caja</v>
      </c>
      <c r="G6" s="21" t="str">
        <f>IFERROR(" " &amp;_xlfn.XLOOKUP(BD_MR_RF[[#This Row],[Código]],BD_Cod!A:A,BD_Cod!H:H," ")," ")</f>
        <v xml:space="preserve"> PSP</v>
      </c>
      <c r="H6" s="19">
        <v>21221</v>
      </c>
      <c r="I6" s="19">
        <v>7830</v>
      </c>
      <c r="J6" s="22">
        <v>1000</v>
      </c>
      <c r="K6" s="37">
        <v>0.39374999999999999</v>
      </c>
      <c r="L6" s="19" t="s">
        <v>244</v>
      </c>
      <c r="M6" s="22">
        <v>12550</v>
      </c>
      <c r="N6" s="23">
        <v>-10.1</v>
      </c>
      <c r="O6" s="19" t="s">
        <v>890</v>
      </c>
      <c r="P6" s="19" t="s">
        <v>890</v>
      </c>
      <c r="Q6" s="24">
        <f>1-BD_MR_RF[[#This Row],[% Defectos]]</f>
        <v>0.90200000000000002</v>
      </c>
      <c r="R6" s="25">
        <v>23</v>
      </c>
      <c r="S6" s="26">
        <f>+IFERROR((BD_MR_RF[[#This Row],[Desviación de Color]]/BD_MR_RF[[#This Row],[Muestra]]),"0")</f>
        <v>2.3E-2</v>
      </c>
      <c r="T6" s="25">
        <v>0</v>
      </c>
      <c r="U6" s="26">
        <f>+IFERROR((BD_MR_RF[[#This Row],[Sobremaduro]]/BD_MR_RF[[#This Row],[Muestra]]),"0")</f>
        <v>0</v>
      </c>
      <c r="V6" s="25">
        <v>4</v>
      </c>
      <c r="W6" s="26">
        <f>+IFERROR((BD_MR_RF[[#This Row],[Daño Mécanico]]/BD_MR_RF[[#This Row],[Muestra]]),"0")</f>
        <v>4.0000000000000001E-3</v>
      </c>
      <c r="X6" s="25">
        <v>26</v>
      </c>
      <c r="Y6" s="26">
        <f>+IFERROR((BD_MR_RF[[#This Row],[Daño Insecto]]/BD_MR_RF[[#This Row],[Muestra]]),"0")</f>
        <v>2.5999999999999999E-2</v>
      </c>
      <c r="Z6" s="25">
        <v>0</v>
      </c>
      <c r="AA6" s="26">
        <f>+IFERROR((BD_MR_RF[[#This Row],[Block]]/BD_MR_RF[[#This Row],[Muestra]]),"0")</f>
        <v>0</v>
      </c>
      <c r="AB6" s="25">
        <v>45</v>
      </c>
      <c r="AC6" s="26">
        <f>+IFERROR((BD_MR_RF[[#This Row],[Mohos]]/BD_MR_RF[[#This Row],[Muestra]]),"0")</f>
        <v>4.4999999999999998E-2</v>
      </c>
      <c r="AD6" s="25">
        <v>5</v>
      </c>
      <c r="AE6" s="27">
        <v>0</v>
      </c>
      <c r="AF6" s="25" t="s">
        <v>895</v>
      </c>
      <c r="AG6" s="25">
        <v>5</v>
      </c>
      <c r="AH6" s="26">
        <f>+IFERROR((BD_MR_RF[[#This Row],[Valor Extra 1]]/BD_MR_RF[[#This Row],[Muestra]]),"0")</f>
        <v>5.0000000000000001E-3</v>
      </c>
      <c r="AJ6" s="25">
        <v>0</v>
      </c>
      <c r="AK6" s="26">
        <f>+IFERROR((BD_MR_RF[[#This Row],[Valor Extra 2]]/BD_MR_RF[[#This Row],[Muestra]]),"0")</f>
        <v>0</v>
      </c>
      <c r="AL6" s="19">
        <v>0</v>
      </c>
      <c r="AM6" s="26">
        <f>+IFERROR((BD_MR_RF[[#This Row],[Calibre &gt;16]]/BD_MR_RF[[#This Row],[Muestra]]),"0")</f>
        <v>0</v>
      </c>
      <c r="AN6" s="19">
        <v>0</v>
      </c>
      <c r="AO6" s="26">
        <f>+IFERROR((BD_MR_RF[[#This Row],[Calibre &lt;16]]/BD_MR_RF[[#This Row],[Muestra]]),"0")</f>
        <v>0</v>
      </c>
      <c r="AP6" s="19" t="s">
        <v>892</v>
      </c>
      <c r="AQ6" s="19" t="s">
        <v>892</v>
      </c>
      <c r="AR6" s="19" t="s">
        <v>892</v>
      </c>
      <c r="AS6" s="19" t="s">
        <v>892</v>
      </c>
      <c r="AT6" s="19" t="s">
        <v>892</v>
      </c>
      <c r="AU6" s="19" t="s">
        <v>892</v>
      </c>
      <c r="AV6" s="28" t="s">
        <v>892</v>
      </c>
      <c r="AW6" s="29">
        <v>13.6</v>
      </c>
      <c r="AX6" s="19" t="s">
        <v>890</v>
      </c>
      <c r="AY6" s="19" t="s">
        <v>890</v>
      </c>
      <c r="AZ6" s="30">
        <f>SUM(BD_MR_RF[[#This Row],[Desviación de Color]]+BD_MR_RF[[#This Row],[Sobremaduro]]+BD_MR_RF[[#This Row],[Daño Mécanico]]+BD_MR_RF[[#This Row],[Daño Insecto]]+BD_MR_RF[[#This Row],[Block]]+BD_MR_RF[[#This Row],[Mohos]])</f>
        <v>98</v>
      </c>
      <c r="BA6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9.8000000000000004E-2</v>
      </c>
      <c r="BB6" s="18" t="s">
        <v>893</v>
      </c>
      <c r="BC6" s="24">
        <f>1-BD_MR_RF[[#This Row],[% Defectos]]</f>
        <v>0.90200000000000002</v>
      </c>
      <c r="BD6" s="31" t="s">
        <v>894</v>
      </c>
      <c r="BE6" s="19">
        <f>SUM(BD_MR_RF[[#This Row],[Palos (Un.) (≤18)]:[Larvas (Un.) (≤24)]])</f>
        <v>0</v>
      </c>
      <c r="BF6" s="19">
        <f>SUM(BD_MR_RF[[#This Row],[Vidrio (Un.) (0)]:[Plástico (Un.) (0)]])</f>
        <v>0</v>
      </c>
      <c r="BG6" s="19" t="str">
        <f>IF(ISBLANK(BD_MR_RF[[#This Row],[Descripción del Producto]]),"",BD_MR_RF[[#This Row],[Descripción del Producto]])</f>
        <v>MO S/V Org. S/C PSP 12 kg en Caja</v>
      </c>
      <c r="BH6" s="19">
        <f>IF(ISBLANK(BD_MR_RF[[#This Row],[N° Lote]]),"",BD_MR_RF[[#This Row],[N° Lote]])</f>
        <v>7830</v>
      </c>
      <c r="BI6" s="19">
        <f>IF(ISBLANK(BD_MR_RF[[#This Row],[N° Pallet]]),"",BD_MR_RF[[#This Row],[N° Pallet]])</f>
        <v>21221</v>
      </c>
    </row>
    <row r="7" spans="1:61">
      <c r="A7" s="36">
        <v>46037</v>
      </c>
      <c r="B7" s="19">
        <f>_xlfn.ISOWEEKNUM(BD_MR_RF[[#This Row],[Fecha]])</f>
        <v>3</v>
      </c>
      <c r="C7" s="19">
        <v>1</v>
      </c>
      <c r="D7" s="19">
        <v>3</v>
      </c>
      <c r="E7" s="20">
        <v>304231000</v>
      </c>
      <c r="F7" s="18" t="str">
        <f>IFERROR("" &amp; _xlfn.XLOOKUP(BD_MR_RF[[#This Row],[Código]],BD_Cod!A:A,BD_Cod!B:B), "")</f>
        <v>MO S/V Org. S/C PSP 12 kg en Caja</v>
      </c>
      <c r="G7" s="21" t="str">
        <f>IFERROR(" " &amp;_xlfn.XLOOKUP(BD_MR_RF[[#This Row],[Código]],BD_Cod!A:A,BD_Cod!H:H," ")," ")</f>
        <v xml:space="preserve"> PSP</v>
      </c>
      <c r="H7" s="19">
        <v>21222</v>
      </c>
      <c r="I7" s="19">
        <v>7830</v>
      </c>
      <c r="J7" s="22">
        <v>1000</v>
      </c>
      <c r="K7" s="37">
        <v>0.4</v>
      </c>
      <c r="L7" s="19" t="s">
        <v>244</v>
      </c>
      <c r="M7" s="22">
        <v>12555</v>
      </c>
      <c r="N7" s="23">
        <v>-12.1</v>
      </c>
      <c r="O7" s="19" t="s">
        <v>890</v>
      </c>
      <c r="P7" s="19" t="s">
        <v>890</v>
      </c>
      <c r="Q7" s="24">
        <f>1-BD_MR_RF[[#This Row],[% Defectos]]</f>
        <v>0.82699999999999996</v>
      </c>
      <c r="R7" s="25">
        <v>32</v>
      </c>
      <c r="S7" s="26">
        <f>+IFERROR((BD_MR_RF[[#This Row],[Desviación de Color]]/BD_MR_RF[[#This Row],[Muestra]]),"0")</f>
        <v>3.2000000000000001E-2</v>
      </c>
      <c r="T7" s="25">
        <v>0</v>
      </c>
      <c r="U7" s="26">
        <f>+IFERROR((BD_MR_RF[[#This Row],[Sobremaduro]]/BD_MR_RF[[#This Row],[Muestra]]),"0")</f>
        <v>0</v>
      </c>
      <c r="V7" s="25">
        <v>9</v>
      </c>
      <c r="W7" s="26">
        <f>+IFERROR((BD_MR_RF[[#This Row],[Daño Mécanico]]/BD_MR_RF[[#This Row],[Muestra]]),"0")</f>
        <v>8.9999999999999993E-3</v>
      </c>
      <c r="X7" s="25">
        <v>98</v>
      </c>
      <c r="Y7" s="26">
        <f>+IFERROR((BD_MR_RF[[#This Row],[Daño Insecto]]/BD_MR_RF[[#This Row],[Muestra]]),"0")</f>
        <v>9.8000000000000004E-2</v>
      </c>
      <c r="Z7" s="25">
        <v>34</v>
      </c>
      <c r="AA7" s="26">
        <f>+IFERROR((BD_MR_RF[[#This Row],[Block]]/BD_MR_RF[[#This Row],[Muestra]]),"0")</f>
        <v>3.4000000000000002E-2</v>
      </c>
      <c r="AB7" s="25">
        <v>0</v>
      </c>
      <c r="AC7" s="26">
        <f>+IFERROR((BD_MR_RF[[#This Row],[Mohos]]/BD_MR_RF[[#This Row],[Muestra]]),"0")</f>
        <v>0</v>
      </c>
      <c r="AD7" s="25">
        <v>1</v>
      </c>
      <c r="AE7" s="27">
        <v>0</v>
      </c>
      <c r="AG7" s="25">
        <v>0</v>
      </c>
      <c r="AH7" s="26">
        <f>+IFERROR((BD_MR_RF[[#This Row],[Valor Extra 1]]/BD_MR_RF[[#This Row],[Muestra]]),"0")</f>
        <v>0</v>
      </c>
      <c r="AJ7" s="25">
        <v>0</v>
      </c>
      <c r="AK7" s="26">
        <f>+IFERROR((BD_MR_RF[[#This Row],[Valor Extra 2]]/BD_MR_RF[[#This Row],[Muestra]]),"0")</f>
        <v>0</v>
      </c>
      <c r="AL7" s="19">
        <v>0</v>
      </c>
      <c r="AM7" s="26">
        <f>+IFERROR((BD_MR_RF[[#This Row],[Calibre &gt;16]]/BD_MR_RF[[#This Row],[Muestra]]),"0")</f>
        <v>0</v>
      </c>
      <c r="AN7" s="19">
        <v>0</v>
      </c>
      <c r="AO7" s="26">
        <f>+IFERROR((BD_MR_RF[[#This Row],[Calibre &lt;16]]/BD_MR_RF[[#This Row],[Muestra]]),"0")</f>
        <v>0</v>
      </c>
      <c r="AP7" s="19" t="s">
        <v>892</v>
      </c>
      <c r="AQ7" s="19" t="s">
        <v>892</v>
      </c>
      <c r="AR7" s="19" t="s">
        <v>892</v>
      </c>
      <c r="AS7" s="19" t="s">
        <v>892</v>
      </c>
      <c r="AT7" s="19" t="s">
        <v>892</v>
      </c>
      <c r="AU7" s="19" t="s">
        <v>892</v>
      </c>
      <c r="AV7" s="28" t="s">
        <v>892</v>
      </c>
      <c r="AW7" s="29">
        <v>13.5</v>
      </c>
      <c r="AX7" s="19" t="s">
        <v>890</v>
      </c>
      <c r="AY7" s="19" t="s">
        <v>890</v>
      </c>
      <c r="AZ7" s="30">
        <f>SUM(BD_MR_RF[[#This Row],[Desviación de Color]]+BD_MR_RF[[#This Row],[Sobremaduro]]+BD_MR_RF[[#This Row],[Daño Mécanico]]+BD_MR_RF[[#This Row],[Daño Insecto]]+BD_MR_RF[[#This Row],[Block]]+BD_MR_RF[[#This Row],[Mohos]])</f>
        <v>173</v>
      </c>
      <c r="BA7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0.17300000000000001</v>
      </c>
      <c r="BB7" s="18" t="s">
        <v>893</v>
      </c>
      <c r="BC7" s="24">
        <f>1-BD_MR_RF[[#This Row],[% Defectos]]</f>
        <v>0.82699999999999996</v>
      </c>
      <c r="BD7" s="31" t="s">
        <v>897</v>
      </c>
      <c r="BE7" s="19">
        <f>SUM(BD_MR_RF[[#This Row],[Palos (Un.) (≤18)]:[Larvas (Un.) (≤24)]])</f>
        <v>0</v>
      </c>
      <c r="BF7" s="19">
        <f>SUM(BD_MR_RF[[#This Row],[Vidrio (Un.) (0)]:[Plástico (Un.) (0)]])</f>
        <v>0</v>
      </c>
      <c r="BG7" s="19" t="str">
        <f>IF(ISBLANK(BD_MR_RF[[#This Row],[Descripción del Producto]]),"",BD_MR_RF[[#This Row],[Descripción del Producto]])</f>
        <v>MO S/V Org. S/C PSP 12 kg en Caja</v>
      </c>
      <c r="BH7" s="19">
        <f>IF(ISBLANK(BD_MR_RF[[#This Row],[N° Lote]]),"",BD_MR_RF[[#This Row],[N° Lote]])</f>
        <v>7830</v>
      </c>
      <c r="BI7" s="19">
        <f>IF(ISBLANK(BD_MR_RF[[#This Row],[N° Pallet]]),"",BD_MR_RF[[#This Row],[N° Pallet]])</f>
        <v>21222</v>
      </c>
    </row>
    <row r="8" spans="1:61">
      <c r="A8" s="36">
        <v>46037</v>
      </c>
      <c r="B8" s="19">
        <f>_xlfn.ISOWEEKNUM(BD_MR_RF[[#This Row],[Fecha]])</f>
        <v>3</v>
      </c>
      <c r="C8" s="19">
        <v>1</v>
      </c>
      <c r="D8" s="19">
        <v>3</v>
      </c>
      <c r="E8" s="20">
        <v>304231000</v>
      </c>
      <c r="F8" s="18" t="str">
        <f>IFERROR("" &amp; _xlfn.XLOOKUP(BD_MR_RF[[#This Row],[Código]],BD_Cod!A:A,BD_Cod!B:B), "")</f>
        <v>MO S/V Org. S/C PSP 12 kg en Caja</v>
      </c>
      <c r="G8" s="21" t="str">
        <f>IFERROR(" " &amp;_xlfn.XLOOKUP(BD_MR_RF[[#This Row],[Código]],BD_Cod!A:A,BD_Cod!H:H," ")," ")</f>
        <v xml:space="preserve"> PSP</v>
      </c>
      <c r="H8" s="19">
        <v>21222</v>
      </c>
      <c r="I8" s="19">
        <v>7830</v>
      </c>
      <c r="J8" s="22">
        <v>1000</v>
      </c>
      <c r="K8" s="37">
        <v>0.40833333333333333</v>
      </c>
      <c r="L8" s="19" t="s">
        <v>244</v>
      </c>
      <c r="M8" s="22">
        <v>12565</v>
      </c>
      <c r="N8" s="23">
        <v>-11.6</v>
      </c>
      <c r="O8" s="19" t="s">
        <v>890</v>
      </c>
      <c r="P8" s="19" t="s">
        <v>890</v>
      </c>
      <c r="Q8" s="24">
        <f>1-BD_MR_RF[[#This Row],[% Defectos]]</f>
        <v>0.91300000000000003</v>
      </c>
      <c r="R8" s="25">
        <v>84</v>
      </c>
      <c r="S8" s="26">
        <f>+IFERROR((BD_MR_RF[[#This Row],[Desviación de Color]]/BD_MR_RF[[#This Row],[Muestra]]),"0")</f>
        <v>8.4000000000000005E-2</v>
      </c>
      <c r="T8" s="25">
        <v>0</v>
      </c>
      <c r="U8" s="26">
        <f>+IFERROR((BD_MR_RF[[#This Row],[Sobremaduro]]/BD_MR_RF[[#This Row],[Muestra]]),"0")</f>
        <v>0</v>
      </c>
      <c r="V8" s="25">
        <v>0</v>
      </c>
      <c r="W8" s="26">
        <f>+IFERROR((BD_MR_RF[[#This Row],[Daño Mécanico]]/BD_MR_RF[[#This Row],[Muestra]]),"0")</f>
        <v>0</v>
      </c>
      <c r="X8" s="25">
        <v>3</v>
      </c>
      <c r="Y8" s="26">
        <f>+IFERROR((BD_MR_RF[[#This Row],[Daño Insecto]]/BD_MR_RF[[#This Row],[Muestra]]),"0")</f>
        <v>3.0000000000000001E-3</v>
      </c>
      <c r="Z8" s="25">
        <v>0</v>
      </c>
      <c r="AA8" s="26">
        <f>+IFERROR((BD_MR_RF[[#This Row],[Block]]/BD_MR_RF[[#This Row],[Muestra]]),"0")</f>
        <v>0</v>
      </c>
      <c r="AB8" s="25">
        <v>0</v>
      </c>
      <c r="AC8" s="26">
        <f>+IFERROR((BD_MR_RF[[#This Row],[Mohos]]/BD_MR_RF[[#This Row],[Muestra]]),"0")</f>
        <v>0</v>
      </c>
      <c r="AD8" s="25">
        <v>2</v>
      </c>
      <c r="AE8" s="27">
        <v>0</v>
      </c>
      <c r="AF8" s="25" t="s">
        <v>895</v>
      </c>
      <c r="AG8" s="25">
        <v>15</v>
      </c>
      <c r="AH8" s="26">
        <f>+IFERROR((BD_MR_RF[[#This Row],[Valor Extra 1]]/BD_MR_RF[[#This Row],[Muestra]]),"0")</f>
        <v>1.4999999999999999E-2</v>
      </c>
      <c r="AJ8" s="25">
        <v>0</v>
      </c>
      <c r="AK8" s="26">
        <f>+IFERROR((BD_MR_RF[[#This Row],[Valor Extra 2]]/BD_MR_RF[[#This Row],[Muestra]]),"0")</f>
        <v>0</v>
      </c>
      <c r="AL8" s="19">
        <v>0</v>
      </c>
      <c r="AM8" s="26">
        <f>+IFERROR((BD_MR_RF[[#This Row],[Calibre &gt;16]]/BD_MR_RF[[#This Row],[Muestra]]),"0")</f>
        <v>0</v>
      </c>
      <c r="AN8" s="19">
        <v>0</v>
      </c>
      <c r="AO8" s="26">
        <f>+IFERROR((BD_MR_RF[[#This Row],[Calibre &lt;16]]/BD_MR_RF[[#This Row],[Muestra]]),"0")</f>
        <v>0</v>
      </c>
      <c r="AP8" s="19" t="s">
        <v>892</v>
      </c>
      <c r="AQ8" s="19" t="s">
        <v>892</v>
      </c>
      <c r="AR8" s="19" t="s">
        <v>892</v>
      </c>
      <c r="AS8" s="19" t="s">
        <v>892</v>
      </c>
      <c r="AT8" s="19" t="s">
        <v>892</v>
      </c>
      <c r="AU8" s="19" t="s">
        <v>892</v>
      </c>
      <c r="AV8" s="28" t="s">
        <v>892</v>
      </c>
      <c r="AW8" s="29">
        <v>13.8</v>
      </c>
      <c r="AX8" s="19" t="s">
        <v>890</v>
      </c>
      <c r="AY8" s="19" t="s">
        <v>890</v>
      </c>
      <c r="AZ8" s="30">
        <f>SUM(BD_MR_RF[[#This Row],[Desviación de Color]]+BD_MR_RF[[#This Row],[Sobremaduro]]+BD_MR_RF[[#This Row],[Daño Mécanico]]+BD_MR_RF[[#This Row],[Daño Insecto]]+BD_MR_RF[[#This Row],[Block]]+BD_MR_RF[[#This Row],[Mohos]])</f>
        <v>87</v>
      </c>
      <c r="BA8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8.7000000000000008E-2</v>
      </c>
      <c r="BB8" s="18" t="s">
        <v>893</v>
      </c>
      <c r="BC8" s="24">
        <f>1-BD_MR_RF[[#This Row],[% Defectos]]</f>
        <v>0.91300000000000003</v>
      </c>
      <c r="BD8" s="31" t="s">
        <v>897</v>
      </c>
      <c r="BE8" s="19">
        <f>SUM(BD_MR_RF[[#This Row],[Palos (Un.) (≤18)]:[Larvas (Un.) (≤24)]])</f>
        <v>0</v>
      </c>
      <c r="BF8" s="19">
        <f>SUM(BD_MR_RF[[#This Row],[Vidrio (Un.) (0)]:[Plástico (Un.) (0)]])</f>
        <v>0</v>
      </c>
      <c r="BG8" s="19" t="str">
        <f>IF(ISBLANK(BD_MR_RF[[#This Row],[Descripción del Producto]]),"",BD_MR_RF[[#This Row],[Descripción del Producto]])</f>
        <v>MO S/V Org. S/C PSP 12 kg en Caja</v>
      </c>
      <c r="BH8" s="19">
        <f>IF(ISBLANK(BD_MR_RF[[#This Row],[N° Lote]]),"",BD_MR_RF[[#This Row],[N° Lote]])</f>
        <v>7830</v>
      </c>
      <c r="BI8" s="19">
        <f>IF(ISBLANK(BD_MR_RF[[#This Row],[N° Pallet]]),"",BD_MR_RF[[#This Row],[N° Pallet]])</f>
        <v>21222</v>
      </c>
    </row>
    <row r="9" spans="1:61">
      <c r="A9" s="36">
        <v>46037</v>
      </c>
      <c r="B9" s="19">
        <f>_xlfn.ISOWEEKNUM(BD_MR_RF[[#This Row],[Fecha]])</f>
        <v>3</v>
      </c>
      <c r="C9" s="19">
        <v>1</v>
      </c>
      <c r="D9" s="19">
        <v>3</v>
      </c>
      <c r="E9" s="20">
        <v>304231000</v>
      </c>
      <c r="F9" s="18" t="str">
        <f>IFERROR("" &amp; _xlfn.XLOOKUP(BD_MR_RF[[#This Row],[Código]],BD_Cod!A:A,BD_Cod!B:B), "")</f>
        <v>MO S/V Org. S/C PSP 12 kg en Caja</v>
      </c>
      <c r="G9" s="21" t="str">
        <f>IFERROR(" " &amp;_xlfn.XLOOKUP(BD_MR_RF[[#This Row],[Código]],BD_Cod!A:A,BD_Cod!H:H," ")," ")</f>
        <v xml:space="preserve"> PSP</v>
      </c>
      <c r="H9" s="19">
        <v>21223</v>
      </c>
      <c r="I9" s="19">
        <v>7830</v>
      </c>
      <c r="J9" s="22">
        <v>1000</v>
      </c>
      <c r="K9" s="37">
        <v>0.42291666666666666</v>
      </c>
      <c r="L9" s="19" t="s">
        <v>244</v>
      </c>
      <c r="M9" s="22">
        <v>12515</v>
      </c>
      <c r="N9" s="23">
        <v>-10.8</v>
      </c>
      <c r="O9" s="19" t="s">
        <v>890</v>
      </c>
      <c r="P9" s="19" t="s">
        <v>890</v>
      </c>
      <c r="Q9" s="24">
        <f>1-BD_MR_RF[[#This Row],[% Defectos]]</f>
        <v>0.91300000000000003</v>
      </c>
      <c r="R9" s="25">
        <v>34</v>
      </c>
      <c r="S9" s="26">
        <f>+IFERROR((BD_MR_RF[[#This Row],[Desviación de Color]]/BD_MR_RF[[#This Row],[Muestra]]),"0")</f>
        <v>3.4000000000000002E-2</v>
      </c>
      <c r="T9" s="25">
        <v>0</v>
      </c>
      <c r="U9" s="26">
        <f>+IFERROR((BD_MR_RF[[#This Row],[Sobremaduro]]/BD_MR_RF[[#This Row],[Muestra]]),"0")</f>
        <v>0</v>
      </c>
      <c r="V9" s="25">
        <v>0</v>
      </c>
      <c r="W9" s="26">
        <f>+IFERROR((BD_MR_RF[[#This Row],[Daño Mécanico]]/BD_MR_RF[[#This Row],[Muestra]]),"0")</f>
        <v>0</v>
      </c>
      <c r="X9" s="25">
        <v>49</v>
      </c>
      <c r="Y9" s="26">
        <f>+IFERROR((BD_MR_RF[[#This Row],[Daño Insecto]]/BD_MR_RF[[#This Row],[Muestra]]),"0")</f>
        <v>4.9000000000000002E-2</v>
      </c>
      <c r="Z9" s="25">
        <v>0</v>
      </c>
      <c r="AA9" s="26">
        <f>+IFERROR((BD_MR_RF[[#This Row],[Block]]/BD_MR_RF[[#This Row],[Muestra]]),"0")</f>
        <v>0</v>
      </c>
      <c r="AB9" s="25">
        <v>4</v>
      </c>
      <c r="AC9" s="26">
        <f>+IFERROR((BD_MR_RF[[#This Row],[Mohos]]/BD_MR_RF[[#This Row],[Muestra]]),"0")</f>
        <v>4.0000000000000001E-3</v>
      </c>
      <c r="AD9" s="25">
        <v>6</v>
      </c>
      <c r="AE9" s="27">
        <v>0</v>
      </c>
      <c r="AG9" s="25">
        <v>0</v>
      </c>
      <c r="AH9" s="26">
        <f>+IFERROR((BD_MR_RF[[#This Row],[Valor Extra 1]]/BD_MR_RF[[#This Row],[Muestra]]),"0")</f>
        <v>0</v>
      </c>
      <c r="AJ9" s="25">
        <v>0</v>
      </c>
      <c r="AK9" s="26">
        <f>+IFERROR((BD_MR_RF[[#This Row],[Valor Extra 2]]/BD_MR_RF[[#This Row],[Muestra]]),"0")</f>
        <v>0</v>
      </c>
      <c r="AL9" s="19">
        <v>0</v>
      </c>
      <c r="AM9" s="26">
        <f>+IFERROR((BD_MR_RF[[#This Row],[Calibre &gt;16]]/BD_MR_RF[[#This Row],[Muestra]]),"0")</f>
        <v>0</v>
      </c>
      <c r="AN9" s="19">
        <v>0</v>
      </c>
      <c r="AO9" s="26">
        <f>+IFERROR((BD_MR_RF[[#This Row],[Calibre &lt;16]]/BD_MR_RF[[#This Row],[Muestra]]),"0")</f>
        <v>0</v>
      </c>
      <c r="AP9" s="19" t="s">
        <v>892</v>
      </c>
      <c r="AQ9" s="19" t="s">
        <v>892</v>
      </c>
      <c r="AR9" s="19" t="s">
        <v>892</v>
      </c>
      <c r="AS9" s="19" t="s">
        <v>892</v>
      </c>
      <c r="AT9" s="19" t="s">
        <v>892</v>
      </c>
      <c r="AU9" s="19" t="s">
        <v>892</v>
      </c>
      <c r="AV9" s="28" t="s">
        <v>892</v>
      </c>
      <c r="AW9" s="29">
        <v>14.8</v>
      </c>
      <c r="AX9" s="19" t="s">
        <v>890</v>
      </c>
      <c r="AY9" s="19" t="s">
        <v>890</v>
      </c>
      <c r="AZ9" s="30">
        <f>SUM(BD_MR_RF[[#This Row],[Desviación de Color]]+BD_MR_RF[[#This Row],[Sobremaduro]]+BD_MR_RF[[#This Row],[Daño Mécanico]]+BD_MR_RF[[#This Row],[Daño Insecto]]+BD_MR_RF[[#This Row],[Block]]+BD_MR_RF[[#This Row],[Mohos]])</f>
        <v>87</v>
      </c>
      <c r="BA9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8.7000000000000008E-2</v>
      </c>
      <c r="BB9" s="18" t="s">
        <v>893</v>
      </c>
      <c r="BC9" s="24">
        <f>1-BD_MR_RF[[#This Row],[% Defectos]]</f>
        <v>0.91300000000000003</v>
      </c>
      <c r="BD9" s="31" t="s">
        <v>897</v>
      </c>
      <c r="BE9" s="19">
        <f>SUM(BD_MR_RF[[#This Row],[Palos (Un.) (≤18)]:[Larvas (Un.) (≤24)]])</f>
        <v>0</v>
      </c>
      <c r="BF9" s="19">
        <f>SUM(BD_MR_RF[[#This Row],[Vidrio (Un.) (0)]:[Plástico (Un.) (0)]])</f>
        <v>0</v>
      </c>
      <c r="BG9" s="19" t="str">
        <f>IF(ISBLANK(BD_MR_RF[[#This Row],[Descripción del Producto]]),"",BD_MR_RF[[#This Row],[Descripción del Producto]])</f>
        <v>MO S/V Org. S/C PSP 12 kg en Caja</v>
      </c>
      <c r="BH9" s="19">
        <f>IF(ISBLANK(BD_MR_RF[[#This Row],[N° Lote]]),"",BD_MR_RF[[#This Row],[N° Lote]])</f>
        <v>7830</v>
      </c>
      <c r="BI9" s="19">
        <f>IF(ISBLANK(BD_MR_RF[[#This Row],[N° Pallet]]),"",BD_MR_RF[[#This Row],[N° Pallet]])</f>
        <v>21223</v>
      </c>
    </row>
    <row r="10" spans="1:61">
      <c r="A10" s="36">
        <v>46037</v>
      </c>
      <c r="B10" s="19">
        <f>_xlfn.ISOWEEKNUM(BD_MR_RF[[#This Row],[Fecha]])</f>
        <v>3</v>
      </c>
      <c r="C10" s="19">
        <v>1</v>
      </c>
      <c r="D10" s="19">
        <v>3</v>
      </c>
      <c r="E10" s="20">
        <v>304231000</v>
      </c>
      <c r="F10" s="18" t="str">
        <f>IFERROR("" &amp; _xlfn.XLOOKUP(BD_MR_RF[[#This Row],[Código]],BD_Cod!A:A,BD_Cod!B:B), "")</f>
        <v>MO S/V Org. S/C PSP 12 kg en Caja</v>
      </c>
      <c r="G10" s="21" t="str">
        <f>IFERROR(" " &amp;_xlfn.XLOOKUP(BD_MR_RF[[#This Row],[Código]],BD_Cod!A:A,BD_Cod!H:H," ")," ")</f>
        <v xml:space="preserve"> PSP</v>
      </c>
      <c r="H10" s="19">
        <v>21250</v>
      </c>
      <c r="I10" s="19">
        <v>7830</v>
      </c>
      <c r="J10" s="22">
        <v>1000</v>
      </c>
      <c r="K10" s="37">
        <v>0.43680555555555556</v>
      </c>
      <c r="L10" s="19" t="s">
        <v>244</v>
      </c>
      <c r="M10" s="22">
        <v>12565</v>
      </c>
      <c r="N10" s="23">
        <v>-11.6</v>
      </c>
      <c r="O10" s="19" t="s">
        <v>890</v>
      </c>
      <c r="P10" s="19" t="s">
        <v>890</v>
      </c>
      <c r="Q10" s="24">
        <f>1-BD_MR_RF[[#This Row],[% Defectos]]</f>
        <v>0.93300000000000005</v>
      </c>
      <c r="R10" s="25">
        <v>33</v>
      </c>
      <c r="S10" s="26">
        <f>+IFERROR((BD_MR_RF[[#This Row],[Desviación de Color]]/BD_MR_RF[[#This Row],[Muestra]]),"0")</f>
        <v>3.3000000000000002E-2</v>
      </c>
      <c r="T10" s="25">
        <v>0</v>
      </c>
      <c r="U10" s="26">
        <f>+IFERROR((BD_MR_RF[[#This Row],[Sobremaduro]]/BD_MR_RF[[#This Row],[Muestra]]),"0")</f>
        <v>0</v>
      </c>
      <c r="V10" s="25">
        <v>0</v>
      </c>
      <c r="W10" s="26">
        <f>+IFERROR((BD_MR_RF[[#This Row],[Daño Mécanico]]/BD_MR_RF[[#This Row],[Muestra]]),"0")</f>
        <v>0</v>
      </c>
      <c r="X10" s="25">
        <v>34</v>
      </c>
      <c r="Y10" s="26">
        <f>+IFERROR((BD_MR_RF[[#This Row],[Daño Insecto]]/BD_MR_RF[[#This Row],[Muestra]]),"0")</f>
        <v>3.4000000000000002E-2</v>
      </c>
      <c r="Z10" s="25">
        <v>0</v>
      </c>
      <c r="AA10" s="26">
        <f>+IFERROR((BD_MR_RF[[#This Row],[Block]]/BD_MR_RF[[#This Row],[Muestra]]),"0")</f>
        <v>0</v>
      </c>
      <c r="AB10" s="25">
        <v>0</v>
      </c>
      <c r="AC10" s="26">
        <f>+IFERROR((BD_MR_RF[[#This Row],[Mohos]]/BD_MR_RF[[#This Row],[Muestra]]),"0")</f>
        <v>0</v>
      </c>
      <c r="AD10" s="25">
        <v>0</v>
      </c>
      <c r="AE10" s="27">
        <v>0</v>
      </c>
      <c r="AG10" s="25">
        <v>0</v>
      </c>
      <c r="AH10" s="26">
        <f>+IFERROR((BD_MR_RF[[#This Row],[Valor Extra 1]]/BD_MR_RF[[#This Row],[Muestra]]),"0")</f>
        <v>0</v>
      </c>
      <c r="AJ10" s="25">
        <v>0</v>
      </c>
      <c r="AK10" s="26">
        <f>+IFERROR((BD_MR_RF[[#This Row],[Valor Extra 2]]/BD_MR_RF[[#This Row],[Muestra]]),"0")</f>
        <v>0</v>
      </c>
      <c r="AL10" s="19">
        <v>0</v>
      </c>
      <c r="AM10" s="26">
        <f>+IFERROR((BD_MR_RF[[#This Row],[Calibre &gt;16]]/BD_MR_RF[[#This Row],[Muestra]]),"0")</f>
        <v>0</v>
      </c>
      <c r="AN10" s="19">
        <v>0</v>
      </c>
      <c r="AO10" s="26">
        <f>+IFERROR((BD_MR_RF[[#This Row],[Calibre &lt;16]]/BD_MR_RF[[#This Row],[Muestra]]),"0")</f>
        <v>0</v>
      </c>
      <c r="AP10" s="19" t="s">
        <v>892</v>
      </c>
      <c r="AQ10" s="19" t="s">
        <v>892</v>
      </c>
      <c r="AR10" s="19" t="s">
        <v>892</v>
      </c>
      <c r="AS10" s="19" t="s">
        <v>892</v>
      </c>
      <c r="AT10" s="19" t="s">
        <v>892</v>
      </c>
      <c r="AU10" s="19" t="s">
        <v>892</v>
      </c>
      <c r="AV10" s="28" t="s">
        <v>892</v>
      </c>
      <c r="AW10" s="29">
        <v>16.100000000000001</v>
      </c>
      <c r="AX10" s="19" t="s">
        <v>890</v>
      </c>
      <c r="AY10" s="19" t="s">
        <v>890</v>
      </c>
      <c r="AZ10" s="30">
        <f>SUM(BD_MR_RF[[#This Row],[Desviación de Color]]+BD_MR_RF[[#This Row],[Sobremaduro]]+BD_MR_RF[[#This Row],[Daño Mécanico]]+BD_MR_RF[[#This Row],[Daño Insecto]]+BD_MR_RF[[#This Row],[Block]]+BD_MR_RF[[#This Row],[Mohos]])</f>
        <v>67</v>
      </c>
      <c r="BA10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6.7000000000000004E-2</v>
      </c>
      <c r="BB10" s="18" t="s">
        <v>893</v>
      </c>
      <c r="BC10" s="24">
        <f>1-BD_MR_RF[[#This Row],[% Defectos]]</f>
        <v>0.93300000000000005</v>
      </c>
      <c r="BD10" s="31" t="s">
        <v>897</v>
      </c>
      <c r="BE10" s="19">
        <f>SUM(BD_MR_RF[[#This Row],[Palos (Un.) (≤18)]:[Larvas (Un.) (≤24)]])</f>
        <v>0</v>
      </c>
      <c r="BF10" s="19">
        <f>SUM(BD_MR_RF[[#This Row],[Vidrio (Un.) (0)]:[Plástico (Un.) (0)]])</f>
        <v>0</v>
      </c>
      <c r="BG10" s="19" t="str">
        <f>IF(ISBLANK(BD_MR_RF[[#This Row],[Descripción del Producto]]),"",BD_MR_RF[[#This Row],[Descripción del Producto]])</f>
        <v>MO S/V Org. S/C PSP 12 kg en Caja</v>
      </c>
      <c r="BH10" s="19">
        <f>IF(ISBLANK(BD_MR_RF[[#This Row],[N° Lote]]),"",BD_MR_RF[[#This Row],[N° Lote]])</f>
        <v>7830</v>
      </c>
      <c r="BI10" s="19">
        <f>IF(ISBLANK(BD_MR_RF[[#This Row],[N° Pallet]]),"",BD_MR_RF[[#This Row],[N° Pallet]])</f>
        <v>21250</v>
      </c>
    </row>
    <row r="11" spans="1:61">
      <c r="A11" s="36">
        <v>46037</v>
      </c>
      <c r="B11" s="19">
        <f>_xlfn.ISOWEEKNUM(BD_MR_RF[[#This Row],[Fecha]])</f>
        <v>3</v>
      </c>
      <c r="C11" s="19">
        <v>1</v>
      </c>
      <c r="D11" s="19">
        <v>3</v>
      </c>
      <c r="E11" s="20">
        <v>304231000</v>
      </c>
      <c r="F11" s="18" t="str">
        <f>IFERROR("" &amp; _xlfn.XLOOKUP(BD_MR_RF[[#This Row],[Código]],BD_Cod!A:A,BD_Cod!B:B), "")</f>
        <v>MO S/V Org. S/C PSP 12 kg en Caja</v>
      </c>
      <c r="G11" s="21" t="str">
        <f>IFERROR(" " &amp;_xlfn.XLOOKUP(BD_MR_RF[[#This Row],[Código]],BD_Cod!A:A,BD_Cod!H:H," ")," ")</f>
        <v xml:space="preserve"> PSP</v>
      </c>
      <c r="H11" s="19">
        <v>21250</v>
      </c>
      <c r="I11" s="19">
        <v>7830</v>
      </c>
      <c r="J11" s="22">
        <v>1000</v>
      </c>
      <c r="K11" s="37">
        <v>0.44027777777777777</v>
      </c>
      <c r="L11" s="19" t="s">
        <v>244</v>
      </c>
      <c r="M11" s="22">
        <v>12575</v>
      </c>
      <c r="N11" s="23">
        <v>-10.4</v>
      </c>
      <c r="O11" s="19" t="s">
        <v>890</v>
      </c>
      <c r="P11" s="19" t="s">
        <v>890</v>
      </c>
      <c r="Q11" s="24">
        <f>1-BD_MR_RF[[#This Row],[% Defectos]]</f>
        <v>0.85499999999999998</v>
      </c>
      <c r="R11" s="25">
        <v>54</v>
      </c>
      <c r="S11" s="26">
        <f>+IFERROR((BD_MR_RF[[#This Row],[Desviación de Color]]/BD_MR_RF[[#This Row],[Muestra]]),"0")</f>
        <v>5.3999999999999999E-2</v>
      </c>
      <c r="T11" s="25">
        <v>0</v>
      </c>
      <c r="U11" s="26">
        <f>+IFERROR((BD_MR_RF[[#This Row],[Sobremaduro]]/BD_MR_RF[[#This Row],[Muestra]]),"0")</f>
        <v>0</v>
      </c>
      <c r="V11" s="25">
        <v>0</v>
      </c>
      <c r="W11" s="26">
        <f>+IFERROR((BD_MR_RF[[#This Row],[Daño Mécanico]]/BD_MR_RF[[#This Row],[Muestra]]),"0")</f>
        <v>0</v>
      </c>
      <c r="X11" s="25">
        <v>77</v>
      </c>
      <c r="Y11" s="26">
        <f>+IFERROR((BD_MR_RF[[#This Row],[Daño Insecto]]/BD_MR_RF[[#This Row],[Muestra]]),"0")</f>
        <v>7.6999999999999999E-2</v>
      </c>
      <c r="Z11" s="25">
        <v>14</v>
      </c>
      <c r="AA11" s="26">
        <f>+IFERROR((BD_MR_RF[[#This Row],[Block]]/BD_MR_RF[[#This Row],[Muestra]]),"0")</f>
        <v>1.4E-2</v>
      </c>
      <c r="AB11" s="25">
        <v>0</v>
      </c>
      <c r="AC11" s="26">
        <f>+IFERROR((BD_MR_RF[[#This Row],[Mohos]]/BD_MR_RF[[#This Row],[Muestra]]),"0")</f>
        <v>0</v>
      </c>
      <c r="AD11" s="25">
        <v>1</v>
      </c>
      <c r="AE11" s="27">
        <v>0</v>
      </c>
      <c r="AG11" s="25">
        <v>0</v>
      </c>
      <c r="AH11" s="26">
        <f>+IFERROR((BD_MR_RF[[#This Row],[Valor Extra 1]]/BD_MR_RF[[#This Row],[Muestra]]),"0")</f>
        <v>0</v>
      </c>
      <c r="AJ11" s="25">
        <v>0</v>
      </c>
      <c r="AK11" s="26">
        <f>+IFERROR((BD_MR_RF[[#This Row],[Valor Extra 2]]/BD_MR_RF[[#This Row],[Muestra]]),"0")</f>
        <v>0</v>
      </c>
      <c r="AL11" s="19">
        <v>0</v>
      </c>
      <c r="AM11" s="26">
        <f>+IFERROR((BD_MR_RF[[#This Row],[Calibre &gt;16]]/BD_MR_RF[[#This Row],[Muestra]]),"0")</f>
        <v>0</v>
      </c>
      <c r="AN11" s="19">
        <v>0</v>
      </c>
      <c r="AO11" s="26">
        <f>+IFERROR((BD_MR_RF[[#This Row],[Calibre &lt;16]]/BD_MR_RF[[#This Row],[Muestra]]),"0")</f>
        <v>0</v>
      </c>
      <c r="AP11" s="19" t="s">
        <v>892</v>
      </c>
      <c r="AQ11" s="19" t="s">
        <v>892</v>
      </c>
      <c r="AR11" s="19" t="s">
        <v>892</v>
      </c>
      <c r="AS11" s="19" t="s">
        <v>892</v>
      </c>
      <c r="AT11" s="19" t="s">
        <v>892</v>
      </c>
      <c r="AU11" s="19" t="s">
        <v>892</v>
      </c>
      <c r="AV11" s="28" t="s">
        <v>892</v>
      </c>
      <c r="AW11" s="29">
        <v>13.6</v>
      </c>
      <c r="AX11" s="19" t="s">
        <v>890</v>
      </c>
      <c r="AY11" s="19" t="s">
        <v>890</v>
      </c>
      <c r="AZ11" s="30">
        <f>SUM(BD_MR_RF[[#This Row],[Desviación de Color]]+BD_MR_RF[[#This Row],[Sobremaduro]]+BD_MR_RF[[#This Row],[Daño Mécanico]]+BD_MR_RF[[#This Row],[Daño Insecto]]+BD_MR_RF[[#This Row],[Block]]+BD_MR_RF[[#This Row],[Mohos]])</f>
        <v>145</v>
      </c>
      <c r="BA11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0.14500000000000002</v>
      </c>
      <c r="BB11" s="18" t="s">
        <v>893</v>
      </c>
      <c r="BC11" s="24">
        <f>1-BD_MR_RF[[#This Row],[% Defectos]]</f>
        <v>0.85499999999999998</v>
      </c>
      <c r="BD11" s="31" t="s">
        <v>897</v>
      </c>
      <c r="BE11" s="19">
        <f>SUM(BD_MR_RF[[#This Row],[Palos (Un.) (≤18)]:[Larvas (Un.) (≤24)]])</f>
        <v>0</v>
      </c>
      <c r="BF11" s="19">
        <f>SUM(BD_MR_RF[[#This Row],[Vidrio (Un.) (0)]:[Plástico (Un.) (0)]])</f>
        <v>0</v>
      </c>
      <c r="BG11" s="19" t="str">
        <f>IF(ISBLANK(BD_MR_RF[[#This Row],[Descripción del Producto]]),"",BD_MR_RF[[#This Row],[Descripción del Producto]])</f>
        <v>MO S/V Org. S/C PSP 12 kg en Caja</v>
      </c>
      <c r="BH11" s="19">
        <f>IF(ISBLANK(BD_MR_RF[[#This Row],[N° Lote]]),"",BD_MR_RF[[#This Row],[N° Lote]])</f>
        <v>7830</v>
      </c>
      <c r="BI11" s="19">
        <f>IF(ISBLANK(BD_MR_RF[[#This Row],[N° Pallet]]),"",BD_MR_RF[[#This Row],[N° Pallet]])</f>
        <v>21250</v>
      </c>
    </row>
    <row r="12" spans="1:61">
      <c r="A12" s="36">
        <v>46037</v>
      </c>
      <c r="B12" s="19">
        <f>_xlfn.ISOWEEKNUM(BD_MR_RF[[#This Row],[Fecha]])</f>
        <v>3</v>
      </c>
      <c r="C12" s="19">
        <v>1</v>
      </c>
      <c r="D12" s="19">
        <v>3</v>
      </c>
      <c r="E12" s="20">
        <v>304231000</v>
      </c>
      <c r="F12" s="18" t="str">
        <f>IFERROR("" &amp; _xlfn.XLOOKUP(BD_MR_RF[[#This Row],[Código]],BD_Cod!A:A,BD_Cod!B:B), "")</f>
        <v>MO S/V Org. S/C PSP 12 kg en Caja</v>
      </c>
      <c r="G12" s="21" t="str">
        <f>IFERROR(" " &amp;_xlfn.XLOOKUP(BD_MR_RF[[#This Row],[Código]],BD_Cod!A:A,BD_Cod!H:H," ")," ")</f>
        <v xml:space="preserve"> PSP</v>
      </c>
      <c r="H12" s="19">
        <v>21251</v>
      </c>
      <c r="I12" s="19">
        <v>7830</v>
      </c>
      <c r="J12" s="22">
        <v>1000</v>
      </c>
      <c r="K12" s="37">
        <v>0.45555555555555555</v>
      </c>
      <c r="L12" s="19" t="s">
        <v>244</v>
      </c>
      <c r="M12" s="22">
        <v>12560</v>
      </c>
      <c r="N12" s="23">
        <v>-14</v>
      </c>
      <c r="O12" s="19" t="s">
        <v>890</v>
      </c>
      <c r="P12" s="19" t="s">
        <v>890</v>
      </c>
      <c r="Q12" s="24">
        <f>1-BD_MR_RF[[#This Row],[% Defectos]]</f>
        <v>0.92300000000000004</v>
      </c>
      <c r="R12" s="25">
        <v>70</v>
      </c>
      <c r="S12" s="26">
        <f>+IFERROR((BD_MR_RF[[#This Row],[Desviación de Color]]/BD_MR_RF[[#This Row],[Muestra]]),"0")</f>
        <v>7.0000000000000007E-2</v>
      </c>
      <c r="T12" s="25">
        <v>0</v>
      </c>
      <c r="U12" s="26">
        <f>+IFERROR((BD_MR_RF[[#This Row],[Sobremaduro]]/BD_MR_RF[[#This Row],[Muestra]]),"0")</f>
        <v>0</v>
      </c>
      <c r="V12" s="25">
        <v>0</v>
      </c>
      <c r="W12" s="26">
        <f>+IFERROR((BD_MR_RF[[#This Row],[Daño Mécanico]]/BD_MR_RF[[#This Row],[Muestra]]),"0")</f>
        <v>0</v>
      </c>
      <c r="X12" s="25">
        <v>7</v>
      </c>
      <c r="Y12" s="26">
        <f>+IFERROR((BD_MR_RF[[#This Row],[Daño Insecto]]/BD_MR_RF[[#This Row],[Muestra]]),"0")</f>
        <v>7.0000000000000001E-3</v>
      </c>
      <c r="Z12" s="25">
        <v>0</v>
      </c>
      <c r="AA12" s="26">
        <f>+IFERROR((BD_MR_RF[[#This Row],[Block]]/BD_MR_RF[[#This Row],[Muestra]]),"0")</f>
        <v>0</v>
      </c>
      <c r="AB12" s="25">
        <v>0</v>
      </c>
      <c r="AC12" s="26">
        <f>+IFERROR((BD_MR_RF[[#This Row],[Mohos]]/BD_MR_RF[[#This Row],[Muestra]]),"0")</f>
        <v>0</v>
      </c>
      <c r="AD12" s="25">
        <v>0</v>
      </c>
      <c r="AE12" s="27">
        <v>0</v>
      </c>
      <c r="AG12" s="25">
        <v>0</v>
      </c>
      <c r="AH12" s="26">
        <f>+IFERROR((BD_MR_RF[[#This Row],[Valor Extra 1]]/BD_MR_RF[[#This Row],[Muestra]]),"0")</f>
        <v>0</v>
      </c>
      <c r="AJ12" s="25">
        <v>0</v>
      </c>
      <c r="AK12" s="26">
        <f>+IFERROR((BD_MR_RF[[#This Row],[Valor Extra 2]]/BD_MR_RF[[#This Row],[Muestra]]),"0")</f>
        <v>0</v>
      </c>
      <c r="AL12" s="19">
        <v>0</v>
      </c>
      <c r="AM12" s="26">
        <f>+IFERROR((BD_MR_RF[[#This Row],[Calibre &gt;16]]/BD_MR_RF[[#This Row],[Muestra]]),"0")</f>
        <v>0</v>
      </c>
      <c r="AN12" s="19">
        <v>0</v>
      </c>
      <c r="AO12" s="26">
        <f>+IFERROR((BD_MR_RF[[#This Row],[Calibre &lt;16]]/BD_MR_RF[[#This Row],[Muestra]]),"0")</f>
        <v>0</v>
      </c>
      <c r="AP12" s="19" t="s">
        <v>892</v>
      </c>
      <c r="AQ12" s="19" t="s">
        <v>892</v>
      </c>
      <c r="AR12" s="19" t="s">
        <v>892</v>
      </c>
      <c r="AS12" s="19" t="s">
        <v>892</v>
      </c>
      <c r="AT12" s="19" t="s">
        <v>892</v>
      </c>
      <c r="AU12" s="19" t="s">
        <v>892</v>
      </c>
      <c r="AV12" s="28" t="s">
        <v>892</v>
      </c>
      <c r="AW12" s="29">
        <v>15.4</v>
      </c>
      <c r="AX12" s="19" t="s">
        <v>890</v>
      </c>
      <c r="AY12" s="19" t="s">
        <v>890</v>
      </c>
      <c r="AZ12" s="30">
        <f>SUM(BD_MR_RF[[#This Row],[Desviación de Color]]+BD_MR_RF[[#This Row],[Sobremaduro]]+BD_MR_RF[[#This Row],[Daño Mécanico]]+BD_MR_RF[[#This Row],[Daño Insecto]]+BD_MR_RF[[#This Row],[Block]]+BD_MR_RF[[#This Row],[Mohos]])</f>
        <v>77</v>
      </c>
      <c r="BA12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7.7000000000000013E-2</v>
      </c>
      <c r="BB12" s="18" t="s">
        <v>893</v>
      </c>
      <c r="BC12" s="24">
        <f>1-BD_MR_RF[[#This Row],[% Defectos]]</f>
        <v>0.92300000000000004</v>
      </c>
      <c r="BD12" s="31" t="s">
        <v>894</v>
      </c>
      <c r="BE12" s="19">
        <f>SUM(BD_MR_RF[[#This Row],[Palos (Un.) (≤18)]:[Larvas (Un.) (≤24)]])</f>
        <v>0</v>
      </c>
      <c r="BF12" s="19">
        <f>SUM(BD_MR_RF[[#This Row],[Vidrio (Un.) (0)]:[Plástico (Un.) (0)]])</f>
        <v>0</v>
      </c>
      <c r="BG12" s="19" t="str">
        <f>IF(ISBLANK(BD_MR_RF[[#This Row],[Descripción del Producto]]),"",BD_MR_RF[[#This Row],[Descripción del Producto]])</f>
        <v>MO S/V Org. S/C PSP 12 kg en Caja</v>
      </c>
      <c r="BH12" s="19">
        <f>IF(ISBLANK(BD_MR_RF[[#This Row],[N° Lote]]),"",BD_MR_RF[[#This Row],[N° Lote]])</f>
        <v>7830</v>
      </c>
      <c r="BI12" s="19">
        <f>IF(ISBLANK(BD_MR_RF[[#This Row],[N° Pallet]]),"",BD_MR_RF[[#This Row],[N° Pallet]])</f>
        <v>21251</v>
      </c>
    </row>
    <row r="13" spans="1:61">
      <c r="A13" s="36">
        <v>46037</v>
      </c>
      <c r="B13" s="19">
        <f>_xlfn.ISOWEEKNUM(BD_MR_RF[[#This Row],[Fecha]])</f>
        <v>3</v>
      </c>
      <c r="C13" s="19">
        <v>1</v>
      </c>
      <c r="D13" s="19">
        <v>3</v>
      </c>
      <c r="E13" s="20">
        <v>304231000</v>
      </c>
      <c r="F13" s="18" t="str">
        <f>IFERROR("" &amp; _xlfn.XLOOKUP(BD_MR_RF[[#This Row],[Código]],BD_Cod!A:A,BD_Cod!B:B), "")</f>
        <v>MO S/V Org. S/C PSP 12 kg en Caja</v>
      </c>
      <c r="G13" s="21" t="str">
        <f>IFERROR(" " &amp;_xlfn.XLOOKUP(BD_MR_RF[[#This Row],[Código]],BD_Cod!A:A,BD_Cod!H:H," ")," ")</f>
        <v xml:space="preserve"> PSP</v>
      </c>
      <c r="H13" s="19">
        <v>21252</v>
      </c>
      <c r="I13" s="19">
        <v>7830</v>
      </c>
      <c r="J13" s="22">
        <v>1000</v>
      </c>
      <c r="K13" s="37">
        <v>0.46736111111111112</v>
      </c>
      <c r="L13" s="19" t="s">
        <v>244</v>
      </c>
      <c r="M13" s="22">
        <v>12575</v>
      </c>
      <c r="N13" s="23">
        <v>-14</v>
      </c>
      <c r="O13" s="19" t="s">
        <v>890</v>
      </c>
      <c r="P13" s="19" t="s">
        <v>890</v>
      </c>
      <c r="Q13" s="24">
        <f>1-BD_MR_RF[[#This Row],[% Defectos]]</f>
        <v>0.93399999999999994</v>
      </c>
      <c r="R13" s="25">
        <v>6</v>
      </c>
      <c r="S13" s="26">
        <f>+IFERROR((BD_MR_RF[[#This Row],[Desviación de Color]]/BD_MR_RF[[#This Row],[Muestra]]),"0")</f>
        <v>6.0000000000000001E-3</v>
      </c>
      <c r="T13" s="25">
        <v>0</v>
      </c>
      <c r="U13" s="26">
        <f>+IFERROR((BD_MR_RF[[#This Row],[Sobremaduro]]/BD_MR_RF[[#This Row],[Muestra]]),"0")</f>
        <v>0</v>
      </c>
      <c r="V13" s="25">
        <v>0</v>
      </c>
      <c r="W13" s="26">
        <f>+IFERROR((BD_MR_RF[[#This Row],[Daño Mécanico]]/BD_MR_RF[[#This Row],[Muestra]]),"0")</f>
        <v>0</v>
      </c>
      <c r="X13" s="25">
        <v>60</v>
      </c>
      <c r="Y13" s="26">
        <f>+IFERROR((BD_MR_RF[[#This Row],[Daño Insecto]]/BD_MR_RF[[#This Row],[Muestra]]),"0")</f>
        <v>0.06</v>
      </c>
      <c r="Z13" s="25">
        <v>0</v>
      </c>
      <c r="AA13" s="26">
        <f>+IFERROR((BD_MR_RF[[#This Row],[Block]]/BD_MR_RF[[#This Row],[Muestra]]),"0")</f>
        <v>0</v>
      </c>
      <c r="AB13" s="25">
        <v>0</v>
      </c>
      <c r="AC13" s="26">
        <f>+IFERROR((BD_MR_RF[[#This Row],[Mohos]]/BD_MR_RF[[#This Row],[Muestra]]),"0")</f>
        <v>0</v>
      </c>
      <c r="AD13" s="25">
        <v>2</v>
      </c>
      <c r="AE13" s="27">
        <v>0</v>
      </c>
      <c r="AF13" s="25" t="s">
        <v>898</v>
      </c>
      <c r="AG13" s="25">
        <v>1</v>
      </c>
      <c r="AH13" s="26"/>
      <c r="AJ13" s="25">
        <v>0</v>
      </c>
      <c r="AK13" s="26">
        <f>+IFERROR((BD_MR_RF[[#This Row],[Valor Extra 2]]/BD_MR_RF[[#This Row],[Muestra]]),"0")</f>
        <v>0</v>
      </c>
      <c r="AL13" s="19">
        <v>0</v>
      </c>
      <c r="AM13" s="26">
        <f>+IFERROR((BD_MR_RF[[#This Row],[Calibre &gt;16]]/BD_MR_RF[[#This Row],[Muestra]]),"0")</f>
        <v>0</v>
      </c>
      <c r="AN13" s="19">
        <v>0</v>
      </c>
      <c r="AO13" s="26">
        <f>+IFERROR((BD_MR_RF[[#This Row],[Calibre &lt;16]]/BD_MR_RF[[#This Row],[Muestra]]),"0")</f>
        <v>0</v>
      </c>
      <c r="AP13" s="19" t="s">
        <v>892</v>
      </c>
      <c r="AQ13" s="19" t="s">
        <v>892</v>
      </c>
      <c r="AR13" s="19" t="s">
        <v>892</v>
      </c>
      <c r="AS13" s="19" t="s">
        <v>892</v>
      </c>
      <c r="AT13" s="19" t="s">
        <v>892</v>
      </c>
      <c r="AU13" s="19" t="s">
        <v>892</v>
      </c>
      <c r="AV13" s="28" t="s">
        <v>892</v>
      </c>
      <c r="AW13" s="29">
        <v>15.6</v>
      </c>
      <c r="AX13" s="19" t="s">
        <v>890</v>
      </c>
      <c r="AY13" s="19" t="s">
        <v>890</v>
      </c>
      <c r="AZ13" s="30">
        <f>SUM(BD_MR_RF[[#This Row],[Desviación de Color]]+BD_MR_RF[[#This Row],[Sobremaduro]]+BD_MR_RF[[#This Row],[Daño Mécanico]]+BD_MR_RF[[#This Row],[Daño Insecto]]+BD_MR_RF[[#This Row],[Block]]+BD_MR_RF[[#This Row],[Mohos]])</f>
        <v>66</v>
      </c>
      <c r="BA13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6.6000000000000003E-2</v>
      </c>
      <c r="BB13" s="18" t="s">
        <v>893</v>
      </c>
      <c r="BC13" s="24">
        <f>1-BD_MR_RF[[#This Row],[% Defectos]]</f>
        <v>0.93399999999999994</v>
      </c>
      <c r="BD13" s="31" t="s">
        <v>894</v>
      </c>
      <c r="BE13" s="19">
        <f>SUM(BD_MR_RF[[#This Row],[Palos (Un.) (≤18)]:[Larvas (Un.) (≤24)]])</f>
        <v>0</v>
      </c>
      <c r="BF13" s="19">
        <f>SUM(BD_MR_RF[[#This Row],[Vidrio (Un.) (0)]:[Plástico (Un.) (0)]])</f>
        <v>0</v>
      </c>
      <c r="BG13" s="19" t="str">
        <f>IF(ISBLANK(BD_MR_RF[[#This Row],[Descripción del Producto]]),"",BD_MR_RF[[#This Row],[Descripción del Producto]])</f>
        <v>MO S/V Org. S/C PSP 12 kg en Caja</v>
      </c>
      <c r="BH13" s="19">
        <f>IF(ISBLANK(BD_MR_RF[[#This Row],[N° Lote]]),"",BD_MR_RF[[#This Row],[N° Lote]])</f>
        <v>7830</v>
      </c>
      <c r="BI13" s="19">
        <f>IF(ISBLANK(BD_MR_RF[[#This Row],[N° Pallet]]),"",BD_MR_RF[[#This Row],[N° Pallet]])</f>
        <v>21252</v>
      </c>
    </row>
    <row r="14" spans="1:61">
      <c r="A14" s="36">
        <v>46037</v>
      </c>
      <c r="B14" s="19">
        <f>_xlfn.ISOWEEKNUM(BD_MR_RF[[#This Row],[Fecha]])</f>
        <v>3</v>
      </c>
      <c r="C14" s="19">
        <v>1</v>
      </c>
      <c r="D14" s="19">
        <v>3</v>
      </c>
      <c r="E14" s="20">
        <v>304231000</v>
      </c>
      <c r="F14" s="18" t="str">
        <f>IFERROR("" &amp; _xlfn.XLOOKUP(BD_MR_RF[[#This Row],[Código]],BD_Cod!A:A,BD_Cod!B:B), "")</f>
        <v>MO S/V Org. S/C PSP 12 kg en Caja</v>
      </c>
      <c r="G14" s="21" t="str">
        <f>IFERROR(" " &amp;_xlfn.XLOOKUP(BD_MR_RF[[#This Row],[Código]],BD_Cod!A:A,BD_Cod!H:H," ")," ")</f>
        <v xml:space="preserve"> PSP</v>
      </c>
      <c r="H14" s="19">
        <v>21253</v>
      </c>
      <c r="I14" s="19">
        <v>7830</v>
      </c>
      <c r="J14" s="22">
        <v>1000</v>
      </c>
      <c r="K14" s="37">
        <v>0.47638888888888886</v>
      </c>
      <c r="L14" s="19" t="s">
        <v>244</v>
      </c>
      <c r="M14" s="22">
        <v>12570</v>
      </c>
      <c r="N14" s="23">
        <v>-14.7</v>
      </c>
      <c r="O14" s="19" t="s">
        <v>890</v>
      </c>
      <c r="P14" s="19" t="s">
        <v>890</v>
      </c>
      <c r="Q14" s="24">
        <f>1-BD_MR_RF[[#This Row],[% Defectos]]</f>
        <v>0.9</v>
      </c>
      <c r="R14" s="25">
        <v>12</v>
      </c>
      <c r="S14" s="26">
        <f>+IFERROR((BD_MR_RF[[#This Row],[Desviación de Color]]/BD_MR_RF[[#This Row],[Muestra]]),"0")</f>
        <v>1.2E-2</v>
      </c>
      <c r="T14" s="25">
        <v>0</v>
      </c>
      <c r="U14" s="26">
        <f>+IFERROR((BD_MR_RF[[#This Row],[Sobremaduro]]/BD_MR_RF[[#This Row],[Muestra]]),"0")</f>
        <v>0</v>
      </c>
      <c r="V14" s="25">
        <v>0</v>
      </c>
      <c r="W14" s="26">
        <f>+IFERROR((BD_MR_RF[[#This Row],[Daño Mécanico]]/BD_MR_RF[[#This Row],[Muestra]]),"0")</f>
        <v>0</v>
      </c>
      <c r="X14" s="25">
        <v>88</v>
      </c>
      <c r="Y14" s="26">
        <f>+IFERROR((BD_MR_RF[[#This Row],[Daño Insecto]]/BD_MR_RF[[#This Row],[Muestra]]),"0")</f>
        <v>8.7999999999999995E-2</v>
      </c>
      <c r="Z14" s="25">
        <v>0</v>
      </c>
      <c r="AA14" s="26">
        <f>+IFERROR((BD_MR_RF[[#This Row],[Block]]/BD_MR_RF[[#This Row],[Muestra]]),"0")</f>
        <v>0</v>
      </c>
      <c r="AB14" s="25">
        <v>0</v>
      </c>
      <c r="AC14" s="26">
        <f>+IFERROR((BD_MR_RF[[#This Row],[Mohos]]/BD_MR_RF[[#This Row],[Muestra]]),"0")</f>
        <v>0</v>
      </c>
      <c r="AD14" s="25">
        <v>3</v>
      </c>
      <c r="AE14" s="27">
        <v>0</v>
      </c>
      <c r="AF14" s="25" t="s">
        <v>898</v>
      </c>
      <c r="AG14" s="25">
        <v>1</v>
      </c>
      <c r="AH14" s="26"/>
      <c r="AJ14" s="25">
        <v>0</v>
      </c>
      <c r="AK14" s="26">
        <f>+IFERROR((BD_MR_RF[[#This Row],[Valor Extra 2]]/BD_MR_RF[[#This Row],[Muestra]]),"0")</f>
        <v>0</v>
      </c>
      <c r="AL14" s="19">
        <v>0</v>
      </c>
      <c r="AM14" s="26">
        <f>+IFERROR((BD_MR_RF[[#This Row],[Calibre &gt;16]]/BD_MR_RF[[#This Row],[Muestra]]),"0")</f>
        <v>0</v>
      </c>
      <c r="AN14" s="19">
        <v>0</v>
      </c>
      <c r="AO14" s="26">
        <f>+IFERROR((BD_MR_RF[[#This Row],[Calibre &lt;16]]/BD_MR_RF[[#This Row],[Muestra]]),"0")</f>
        <v>0</v>
      </c>
      <c r="AP14" s="19" t="s">
        <v>892</v>
      </c>
      <c r="AQ14" s="19" t="s">
        <v>892</v>
      </c>
      <c r="AR14" s="19" t="s">
        <v>892</v>
      </c>
      <c r="AS14" s="19" t="s">
        <v>892</v>
      </c>
      <c r="AT14" s="19" t="s">
        <v>892</v>
      </c>
      <c r="AU14" s="19" t="s">
        <v>892</v>
      </c>
      <c r="AV14" s="28" t="s">
        <v>892</v>
      </c>
      <c r="AW14" s="29">
        <v>13.7</v>
      </c>
      <c r="AX14" s="19" t="s">
        <v>890</v>
      </c>
      <c r="AY14" s="19" t="s">
        <v>890</v>
      </c>
      <c r="AZ14" s="30">
        <f>SUM(BD_MR_RF[[#This Row],[Desviación de Color]]+BD_MR_RF[[#This Row],[Sobremaduro]]+BD_MR_RF[[#This Row],[Daño Mécanico]]+BD_MR_RF[[#This Row],[Daño Insecto]]+BD_MR_RF[[#This Row],[Block]]+BD_MR_RF[[#This Row],[Mohos]])</f>
        <v>100</v>
      </c>
      <c r="BA14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9.9999999999999992E-2</v>
      </c>
      <c r="BB14" s="18" t="s">
        <v>893</v>
      </c>
      <c r="BC14" s="24">
        <f>1-BD_MR_RF[[#This Row],[% Defectos]]</f>
        <v>0.9</v>
      </c>
      <c r="BD14" s="31" t="s">
        <v>894</v>
      </c>
      <c r="BE14" s="19">
        <f>SUM(BD_MR_RF[[#This Row],[Palos (Un.) (≤18)]:[Larvas (Un.) (≤24)]])</f>
        <v>0</v>
      </c>
      <c r="BF14" s="19">
        <f>SUM(BD_MR_RF[[#This Row],[Vidrio (Un.) (0)]:[Plástico (Un.) (0)]])</f>
        <v>0</v>
      </c>
      <c r="BG14" s="19" t="str">
        <f>IF(ISBLANK(BD_MR_RF[[#This Row],[Descripción del Producto]]),"",BD_MR_RF[[#This Row],[Descripción del Producto]])</f>
        <v>MO S/V Org. S/C PSP 12 kg en Caja</v>
      </c>
      <c r="BH14" s="19">
        <f>IF(ISBLANK(BD_MR_RF[[#This Row],[N° Lote]]),"",BD_MR_RF[[#This Row],[N° Lote]])</f>
        <v>7830</v>
      </c>
      <c r="BI14" s="19">
        <f>IF(ISBLANK(BD_MR_RF[[#This Row],[N° Pallet]]),"",BD_MR_RF[[#This Row],[N° Pallet]])</f>
        <v>21253</v>
      </c>
    </row>
    <row r="15" spans="1:61">
      <c r="A15" s="36">
        <v>46037</v>
      </c>
      <c r="B15" s="19">
        <f>_xlfn.ISOWEEKNUM(BD_MR_RF[[#This Row],[Fecha]])</f>
        <v>3</v>
      </c>
      <c r="C15" s="19">
        <v>1</v>
      </c>
      <c r="D15" s="19">
        <v>3</v>
      </c>
      <c r="E15" s="20">
        <v>304231000</v>
      </c>
      <c r="F15" s="18" t="str">
        <f>IFERROR("" &amp; _xlfn.XLOOKUP(BD_MR_RF[[#This Row],[Código]],BD_Cod!A:A,BD_Cod!B:B), "")</f>
        <v>MO S/V Org. S/C PSP 12 kg en Caja</v>
      </c>
      <c r="G15" s="21" t="str">
        <f>IFERROR(" " &amp;_xlfn.XLOOKUP(BD_MR_RF[[#This Row],[Código]],BD_Cod!A:A,BD_Cod!H:H," ")," ")</f>
        <v xml:space="preserve"> PSP</v>
      </c>
      <c r="H15" s="19">
        <v>21254</v>
      </c>
      <c r="I15" s="19">
        <v>7830</v>
      </c>
      <c r="J15" s="22">
        <v>1000</v>
      </c>
      <c r="K15" s="37">
        <v>0.49166666666666664</v>
      </c>
      <c r="L15" s="19" t="s">
        <v>244</v>
      </c>
      <c r="M15" s="22">
        <v>12560</v>
      </c>
      <c r="N15" s="23">
        <v>-12.2</v>
      </c>
      <c r="O15" s="19" t="s">
        <v>890</v>
      </c>
      <c r="P15" s="19" t="s">
        <v>890</v>
      </c>
      <c r="Q15" s="24">
        <f>1-BD_MR_RF[[#This Row],[% Defectos]]</f>
        <v>0.88300000000000001</v>
      </c>
      <c r="R15" s="25">
        <v>26</v>
      </c>
      <c r="S15" s="26">
        <f>+IFERROR((BD_MR_RF[[#This Row],[Desviación de Color]]/BD_MR_RF[[#This Row],[Muestra]]),"0")</f>
        <v>2.5999999999999999E-2</v>
      </c>
      <c r="T15" s="25">
        <v>0</v>
      </c>
      <c r="U15" s="26">
        <f>+IFERROR((BD_MR_RF[[#This Row],[Sobremaduro]]/BD_MR_RF[[#This Row],[Muestra]]),"0")</f>
        <v>0</v>
      </c>
      <c r="V15" s="25">
        <v>0</v>
      </c>
      <c r="W15" s="26">
        <f>+IFERROR((BD_MR_RF[[#This Row],[Daño Mécanico]]/BD_MR_RF[[#This Row],[Muestra]]),"0")</f>
        <v>0</v>
      </c>
      <c r="X15" s="25">
        <v>62</v>
      </c>
      <c r="Y15" s="26">
        <f>+IFERROR((BD_MR_RF[[#This Row],[Daño Insecto]]/BD_MR_RF[[#This Row],[Muestra]]),"0")</f>
        <v>6.2E-2</v>
      </c>
      <c r="Z15" s="25">
        <v>23</v>
      </c>
      <c r="AA15" s="26">
        <f>+IFERROR((BD_MR_RF[[#This Row],[Block]]/BD_MR_RF[[#This Row],[Muestra]]),"0")</f>
        <v>2.3E-2</v>
      </c>
      <c r="AB15" s="25">
        <v>6</v>
      </c>
      <c r="AC15" s="26">
        <f>+IFERROR((BD_MR_RF[[#This Row],[Mohos]]/BD_MR_RF[[#This Row],[Muestra]]),"0")</f>
        <v>6.0000000000000001E-3</v>
      </c>
      <c r="AD15" s="25">
        <v>0</v>
      </c>
      <c r="AE15" s="27">
        <v>0</v>
      </c>
      <c r="AG15" s="25">
        <v>0</v>
      </c>
      <c r="AH15" s="26">
        <f>+IFERROR((BD_MR_RF[[#This Row],[Valor Extra 1]]/BD_MR_RF[[#This Row],[Muestra]]),"0")</f>
        <v>0</v>
      </c>
      <c r="AJ15" s="25">
        <v>0</v>
      </c>
      <c r="AK15" s="26">
        <f>+IFERROR((BD_MR_RF[[#This Row],[Valor Extra 2]]/BD_MR_RF[[#This Row],[Muestra]]),"0")</f>
        <v>0</v>
      </c>
      <c r="AL15" s="19">
        <v>0</v>
      </c>
      <c r="AM15" s="26">
        <f>+IFERROR((BD_MR_RF[[#This Row],[Calibre &gt;16]]/BD_MR_RF[[#This Row],[Muestra]]),"0")</f>
        <v>0</v>
      </c>
      <c r="AN15" s="19">
        <v>0</v>
      </c>
      <c r="AO15" s="26">
        <f>+IFERROR((BD_MR_RF[[#This Row],[Calibre &lt;16]]/BD_MR_RF[[#This Row],[Muestra]]),"0")</f>
        <v>0</v>
      </c>
      <c r="AP15" s="19" t="s">
        <v>892</v>
      </c>
      <c r="AQ15" s="19" t="s">
        <v>892</v>
      </c>
      <c r="AR15" s="19" t="s">
        <v>892</v>
      </c>
      <c r="AS15" s="19" t="s">
        <v>892</v>
      </c>
      <c r="AT15" s="19" t="s">
        <v>892</v>
      </c>
      <c r="AU15" s="19" t="s">
        <v>892</v>
      </c>
      <c r="AV15" s="28" t="s">
        <v>892</v>
      </c>
      <c r="AW15" s="29">
        <v>15.6</v>
      </c>
      <c r="AX15" s="19" t="s">
        <v>890</v>
      </c>
      <c r="AY15" s="19" t="s">
        <v>890</v>
      </c>
      <c r="AZ15" s="30">
        <f>SUM(BD_MR_RF[[#This Row],[Desviación de Color]]+BD_MR_RF[[#This Row],[Sobremaduro]]+BD_MR_RF[[#This Row],[Daño Mécanico]]+BD_MR_RF[[#This Row],[Daño Insecto]]+BD_MR_RF[[#This Row],[Block]]+BD_MR_RF[[#This Row],[Mohos]])</f>
        <v>117</v>
      </c>
      <c r="BA15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0.11699999999999999</v>
      </c>
      <c r="BB15" s="18" t="s">
        <v>893</v>
      </c>
      <c r="BC15" s="24">
        <f>1-BD_MR_RF[[#This Row],[% Defectos]]</f>
        <v>0.88300000000000001</v>
      </c>
      <c r="BD15" s="31" t="s">
        <v>894</v>
      </c>
      <c r="BE15" s="19">
        <f>SUM(BD_MR_RF[[#This Row],[Palos (Un.) (≤18)]:[Larvas (Un.) (≤24)]])</f>
        <v>0</v>
      </c>
      <c r="BF15" s="19">
        <f>SUM(BD_MR_RF[[#This Row],[Vidrio (Un.) (0)]:[Plástico (Un.) (0)]])</f>
        <v>0</v>
      </c>
      <c r="BG15" s="19" t="str">
        <f>IF(ISBLANK(BD_MR_RF[[#This Row],[Descripción del Producto]]),"",BD_MR_RF[[#This Row],[Descripción del Producto]])</f>
        <v>MO S/V Org. S/C PSP 12 kg en Caja</v>
      </c>
      <c r="BH15" s="19">
        <f>IF(ISBLANK(BD_MR_RF[[#This Row],[N° Lote]]),"",BD_MR_RF[[#This Row],[N° Lote]])</f>
        <v>7830</v>
      </c>
      <c r="BI15" s="19">
        <f>IF(ISBLANK(BD_MR_RF[[#This Row],[N° Pallet]]),"",BD_MR_RF[[#This Row],[N° Pallet]])</f>
        <v>21254</v>
      </c>
    </row>
    <row r="16" spans="1:61">
      <c r="A16" s="36">
        <v>46037</v>
      </c>
      <c r="B16" s="19">
        <f>_xlfn.ISOWEEKNUM(BD_MR_RF[[#This Row],[Fecha]])</f>
        <v>3</v>
      </c>
      <c r="C16" s="19">
        <v>1</v>
      </c>
      <c r="D16" s="19">
        <v>3</v>
      </c>
      <c r="E16" s="20">
        <v>304231000</v>
      </c>
      <c r="F16" s="18" t="str">
        <f>IFERROR("" &amp; _xlfn.XLOOKUP(BD_MR_RF[[#This Row],[Código]],BD_Cod!A:A,BD_Cod!B:B), "")</f>
        <v>MO S/V Org. S/C PSP 12 kg en Caja</v>
      </c>
      <c r="G16" s="21" t="str">
        <f>IFERROR(" " &amp;_xlfn.XLOOKUP(BD_MR_RF[[#This Row],[Código]],BD_Cod!A:A,BD_Cod!H:H," ")," ")</f>
        <v xml:space="preserve"> PSP</v>
      </c>
      <c r="H16" s="19">
        <v>21255</v>
      </c>
      <c r="I16" s="19">
        <v>7830</v>
      </c>
      <c r="J16" s="22">
        <v>1000</v>
      </c>
      <c r="K16" s="37">
        <v>0.54027777777777775</v>
      </c>
      <c r="L16" s="19" t="s">
        <v>244</v>
      </c>
      <c r="M16" s="22">
        <v>12595</v>
      </c>
      <c r="N16" s="23">
        <v>-15.5</v>
      </c>
      <c r="O16" s="19" t="s">
        <v>890</v>
      </c>
      <c r="P16" s="19" t="s">
        <v>890</v>
      </c>
      <c r="Q16" s="24">
        <f>1-BD_MR_RF[[#This Row],[% Defectos]]</f>
        <v>0.83099999999999996</v>
      </c>
      <c r="R16" s="25">
        <v>26</v>
      </c>
      <c r="S16" s="26">
        <f>+IFERROR((BD_MR_RF[[#This Row],[Desviación de Color]]/BD_MR_RF[[#This Row],[Muestra]]),"0")</f>
        <v>2.5999999999999999E-2</v>
      </c>
      <c r="T16" s="25">
        <v>0</v>
      </c>
      <c r="U16" s="26">
        <f>+IFERROR((BD_MR_RF[[#This Row],[Sobremaduro]]/BD_MR_RF[[#This Row],[Muestra]]),"0")</f>
        <v>0</v>
      </c>
      <c r="V16" s="25">
        <v>0</v>
      </c>
      <c r="W16" s="26">
        <f>+IFERROR((BD_MR_RF[[#This Row],[Daño Mécanico]]/BD_MR_RF[[#This Row],[Muestra]]),"0")</f>
        <v>0</v>
      </c>
      <c r="X16" s="25">
        <v>143</v>
      </c>
      <c r="Y16" s="26">
        <f>+IFERROR((BD_MR_RF[[#This Row],[Daño Insecto]]/BD_MR_RF[[#This Row],[Muestra]]),"0")</f>
        <v>0.14299999999999999</v>
      </c>
      <c r="Z16" s="25">
        <v>0</v>
      </c>
      <c r="AA16" s="26">
        <f>+IFERROR((BD_MR_RF[[#This Row],[Block]]/BD_MR_RF[[#This Row],[Muestra]]),"0")</f>
        <v>0</v>
      </c>
      <c r="AB16" s="25">
        <v>0</v>
      </c>
      <c r="AC16" s="26">
        <f>+IFERROR((BD_MR_RF[[#This Row],[Mohos]]/BD_MR_RF[[#This Row],[Muestra]]),"0")</f>
        <v>0</v>
      </c>
      <c r="AD16" s="25">
        <v>0</v>
      </c>
      <c r="AE16" s="27">
        <v>0</v>
      </c>
      <c r="AG16" s="25">
        <v>0</v>
      </c>
      <c r="AH16" s="26">
        <f>+IFERROR((BD_MR_RF[[#This Row],[Valor Extra 1]]/BD_MR_RF[[#This Row],[Muestra]]),"0")</f>
        <v>0</v>
      </c>
      <c r="AJ16" s="25">
        <v>0</v>
      </c>
      <c r="AK16" s="26">
        <f>+IFERROR((BD_MR_RF[[#This Row],[Valor Extra 2]]/BD_MR_RF[[#This Row],[Muestra]]),"0")</f>
        <v>0</v>
      </c>
      <c r="AL16" s="19">
        <v>0</v>
      </c>
      <c r="AM16" s="26">
        <f>+IFERROR((BD_MR_RF[[#This Row],[Calibre &gt;16]]/BD_MR_RF[[#This Row],[Muestra]]),"0")</f>
        <v>0</v>
      </c>
      <c r="AN16" s="19">
        <v>0</v>
      </c>
      <c r="AO16" s="26">
        <f>+IFERROR((BD_MR_RF[[#This Row],[Calibre &lt;16]]/BD_MR_RF[[#This Row],[Muestra]]),"0")</f>
        <v>0</v>
      </c>
      <c r="AP16" s="19" t="s">
        <v>892</v>
      </c>
      <c r="AQ16" s="19" t="s">
        <v>892</v>
      </c>
      <c r="AR16" s="19" t="s">
        <v>892</v>
      </c>
      <c r="AS16" s="19" t="s">
        <v>892</v>
      </c>
      <c r="AT16" s="19" t="s">
        <v>892</v>
      </c>
      <c r="AU16" s="19" t="s">
        <v>892</v>
      </c>
      <c r="AV16" s="28" t="s">
        <v>892</v>
      </c>
      <c r="AW16" s="29">
        <v>13.5</v>
      </c>
      <c r="AX16" s="19" t="s">
        <v>890</v>
      </c>
      <c r="AY16" s="19" t="s">
        <v>890</v>
      </c>
      <c r="AZ16" s="30">
        <f>SUM(BD_MR_RF[[#This Row],[Desviación de Color]]+BD_MR_RF[[#This Row],[Sobremaduro]]+BD_MR_RF[[#This Row],[Daño Mécanico]]+BD_MR_RF[[#This Row],[Daño Insecto]]+BD_MR_RF[[#This Row],[Block]]+BD_MR_RF[[#This Row],[Mohos]])</f>
        <v>169</v>
      </c>
      <c r="BA16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0.16899999999999998</v>
      </c>
      <c r="BB16" s="18" t="s">
        <v>893</v>
      </c>
      <c r="BC16" s="24">
        <f>1-BD_MR_RF[[#This Row],[% Defectos]]</f>
        <v>0.83099999999999996</v>
      </c>
      <c r="BD16" s="31" t="s">
        <v>894</v>
      </c>
      <c r="BE16" s="19">
        <f>SUM(BD_MR_RF[[#This Row],[Palos (Un.) (≤18)]:[Larvas (Un.) (≤24)]])</f>
        <v>0</v>
      </c>
      <c r="BF16" s="19">
        <f>SUM(BD_MR_RF[[#This Row],[Vidrio (Un.) (0)]:[Plástico (Un.) (0)]])</f>
        <v>0</v>
      </c>
      <c r="BG16" s="19" t="str">
        <f>IF(ISBLANK(BD_MR_RF[[#This Row],[Descripción del Producto]]),"",BD_MR_RF[[#This Row],[Descripción del Producto]])</f>
        <v>MO S/V Org. S/C PSP 12 kg en Caja</v>
      </c>
      <c r="BH16" s="19">
        <f>IF(ISBLANK(BD_MR_RF[[#This Row],[N° Lote]]),"",BD_MR_RF[[#This Row],[N° Lote]])</f>
        <v>7830</v>
      </c>
      <c r="BI16" s="19">
        <f>IF(ISBLANK(BD_MR_RF[[#This Row],[N° Pallet]]),"",BD_MR_RF[[#This Row],[N° Pallet]])</f>
        <v>21255</v>
      </c>
    </row>
    <row r="17" spans="1:61">
      <c r="A17" s="36">
        <v>46037</v>
      </c>
      <c r="B17" s="19">
        <f>_xlfn.ISOWEEKNUM(BD_MR_RF[[#This Row],[Fecha]])</f>
        <v>3</v>
      </c>
      <c r="C17" s="19">
        <v>1</v>
      </c>
      <c r="D17" s="19">
        <v>3</v>
      </c>
      <c r="E17" s="20">
        <v>304231000</v>
      </c>
      <c r="F17" s="18" t="str">
        <f>IFERROR("" &amp; _xlfn.XLOOKUP(BD_MR_RF[[#This Row],[Código]],BD_Cod!A:A,BD_Cod!B:B), "")</f>
        <v>MO S/V Org. S/C PSP 12 kg en Caja</v>
      </c>
      <c r="G17" s="21" t="str">
        <f>IFERROR(" " &amp;_xlfn.XLOOKUP(BD_MR_RF[[#This Row],[Código]],BD_Cod!A:A,BD_Cod!H:H," ")," ")</f>
        <v xml:space="preserve"> PSP</v>
      </c>
      <c r="H17" s="19">
        <v>21519</v>
      </c>
      <c r="I17" s="19">
        <v>7830</v>
      </c>
      <c r="J17" s="22">
        <v>1000</v>
      </c>
      <c r="K17" s="37">
        <v>0.58611111111111114</v>
      </c>
      <c r="L17" s="19" t="s">
        <v>244</v>
      </c>
      <c r="M17" s="22">
        <v>12550</v>
      </c>
      <c r="N17" s="23">
        <v>-12</v>
      </c>
      <c r="O17" s="19" t="s">
        <v>890</v>
      </c>
      <c r="P17" s="19" t="s">
        <v>890</v>
      </c>
      <c r="Q17" s="24">
        <f>1-BD_MR_RF[[#This Row],[% Defectos]]</f>
        <v>0.86599999999999999</v>
      </c>
      <c r="R17" s="25">
        <v>4</v>
      </c>
      <c r="S17" s="26">
        <f>+IFERROR((BD_MR_RF[[#This Row],[Desviación de Color]]/BD_MR_RF[[#This Row],[Muestra]]),"0")</f>
        <v>4.0000000000000001E-3</v>
      </c>
      <c r="T17" s="25">
        <v>0</v>
      </c>
      <c r="U17" s="26">
        <f>+IFERROR((BD_MR_RF[[#This Row],[Sobremaduro]]/BD_MR_RF[[#This Row],[Muestra]]),"0")</f>
        <v>0</v>
      </c>
      <c r="V17" s="25">
        <v>9</v>
      </c>
      <c r="W17" s="26">
        <f>+IFERROR((BD_MR_RF[[#This Row],[Daño Mécanico]]/BD_MR_RF[[#This Row],[Muestra]]),"0")</f>
        <v>8.9999999999999993E-3</v>
      </c>
      <c r="X17" s="25">
        <v>121</v>
      </c>
      <c r="Y17" s="26">
        <f>+IFERROR((BD_MR_RF[[#This Row],[Daño Insecto]]/BD_MR_RF[[#This Row],[Muestra]]),"0")</f>
        <v>0.121</v>
      </c>
      <c r="Z17" s="25">
        <v>0</v>
      </c>
      <c r="AA17" s="26">
        <f>+IFERROR((BD_MR_RF[[#This Row],[Block]]/BD_MR_RF[[#This Row],[Muestra]]),"0")</f>
        <v>0</v>
      </c>
      <c r="AB17" s="25">
        <v>0</v>
      </c>
      <c r="AC17" s="26">
        <f>+IFERROR((BD_MR_RF[[#This Row],[Mohos]]/BD_MR_RF[[#This Row],[Muestra]]),"0")</f>
        <v>0</v>
      </c>
      <c r="AD17" s="25">
        <v>0</v>
      </c>
      <c r="AE17" s="27">
        <v>0</v>
      </c>
      <c r="AF17" s="25" t="s">
        <v>899</v>
      </c>
      <c r="AG17" s="25">
        <v>2</v>
      </c>
      <c r="AH17" s="26">
        <f>+IFERROR((BD_MR_RF[[#This Row],[Valor Extra 1]]/BD_MR_RF[[#This Row],[Muestra]]),"0")</f>
        <v>2E-3</v>
      </c>
      <c r="AJ17" s="25">
        <v>0</v>
      </c>
      <c r="AK17" s="26">
        <f>+IFERROR((BD_MR_RF[[#This Row],[Valor Extra 2]]/BD_MR_RF[[#This Row],[Muestra]]),"0")</f>
        <v>0</v>
      </c>
      <c r="AL17" s="19">
        <v>0</v>
      </c>
      <c r="AM17" s="26">
        <f>+IFERROR((BD_MR_RF[[#This Row],[Calibre &gt;16]]/BD_MR_RF[[#This Row],[Muestra]]),"0")</f>
        <v>0</v>
      </c>
      <c r="AN17" s="19">
        <v>0</v>
      </c>
      <c r="AO17" s="26">
        <f>+IFERROR((BD_MR_RF[[#This Row],[Calibre &lt;16]]/BD_MR_RF[[#This Row],[Muestra]]),"0")</f>
        <v>0</v>
      </c>
      <c r="AP17" s="19" t="s">
        <v>892</v>
      </c>
      <c r="AQ17" s="19" t="s">
        <v>892</v>
      </c>
      <c r="AR17" s="19" t="s">
        <v>892</v>
      </c>
      <c r="AS17" s="19" t="s">
        <v>892</v>
      </c>
      <c r="AT17" s="19" t="s">
        <v>892</v>
      </c>
      <c r="AU17" s="19" t="s">
        <v>892</v>
      </c>
      <c r="AV17" s="28" t="s">
        <v>892</v>
      </c>
      <c r="AW17" s="29">
        <v>12.2</v>
      </c>
      <c r="AX17" s="19" t="s">
        <v>890</v>
      </c>
      <c r="AY17" s="19" t="s">
        <v>890</v>
      </c>
      <c r="AZ17" s="30">
        <f>SUM(BD_MR_RF[[#This Row],[Desviación de Color]]+BD_MR_RF[[#This Row],[Sobremaduro]]+BD_MR_RF[[#This Row],[Daño Mécanico]]+BD_MR_RF[[#This Row],[Daño Insecto]]+BD_MR_RF[[#This Row],[Block]]+BD_MR_RF[[#This Row],[Mohos]])</f>
        <v>134</v>
      </c>
      <c r="BA17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0.13400000000000001</v>
      </c>
      <c r="BB17" s="18" t="s">
        <v>893</v>
      </c>
      <c r="BC17" s="24">
        <f>1-BD_MR_RF[[#This Row],[% Defectos]]</f>
        <v>0.86599999999999999</v>
      </c>
      <c r="BD17" s="31" t="s">
        <v>897</v>
      </c>
      <c r="BE17" s="19">
        <f>SUM(BD_MR_RF[[#This Row],[Palos (Un.) (≤18)]:[Larvas (Un.) (≤24)]])</f>
        <v>0</v>
      </c>
      <c r="BF17" s="19">
        <f>SUM(BD_MR_RF[[#This Row],[Vidrio (Un.) (0)]:[Plástico (Un.) (0)]])</f>
        <v>0</v>
      </c>
      <c r="BG17" s="19" t="str">
        <f>IF(ISBLANK(BD_MR_RF[[#This Row],[Descripción del Producto]]),"",BD_MR_RF[[#This Row],[Descripción del Producto]])</f>
        <v>MO S/V Org. S/C PSP 12 kg en Caja</v>
      </c>
      <c r="BH17" s="19">
        <f>IF(ISBLANK(BD_MR_RF[[#This Row],[N° Lote]]),"",BD_MR_RF[[#This Row],[N° Lote]])</f>
        <v>7830</v>
      </c>
      <c r="BI17" s="19">
        <f>IF(ISBLANK(BD_MR_RF[[#This Row],[N° Pallet]]),"",BD_MR_RF[[#This Row],[N° Pallet]])</f>
        <v>21519</v>
      </c>
    </row>
    <row r="18" spans="1:61">
      <c r="A18" s="36">
        <v>46037</v>
      </c>
      <c r="B18" s="19">
        <f>_xlfn.ISOWEEKNUM(BD_MR_RF[[#This Row],[Fecha]])</f>
        <v>3</v>
      </c>
      <c r="C18" s="19">
        <v>1</v>
      </c>
      <c r="D18" s="19">
        <v>3</v>
      </c>
      <c r="E18" s="20">
        <v>304231000</v>
      </c>
      <c r="F18" s="18" t="str">
        <f>IFERROR("" &amp; _xlfn.XLOOKUP(BD_MR_RF[[#This Row],[Código]],BD_Cod!A:A,BD_Cod!B:B), "")</f>
        <v>MO S/V Org. S/C PSP 12 kg en Caja</v>
      </c>
      <c r="G18" s="21" t="str">
        <f>IFERROR(" " &amp;_xlfn.XLOOKUP(BD_MR_RF[[#This Row],[Código]],BD_Cod!A:A,BD_Cod!H:H," ")," ")</f>
        <v xml:space="preserve"> PSP</v>
      </c>
      <c r="H18" s="19">
        <v>21520</v>
      </c>
      <c r="I18" s="19">
        <v>7830</v>
      </c>
      <c r="J18" s="22">
        <v>1000</v>
      </c>
      <c r="K18" s="37">
        <v>0.59375</v>
      </c>
      <c r="L18" s="19" t="s">
        <v>244</v>
      </c>
      <c r="M18" s="22">
        <v>12555</v>
      </c>
      <c r="N18" s="23">
        <v>-14.2</v>
      </c>
      <c r="O18" s="19" t="s">
        <v>890</v>
      </c>
      <c r="P18" s="19" t="s">
        <v>890</v>
      </c>
      <c r="Q18" s="24">
        <f>1-BD_MR_RF[[#This Row],[% Defectos]]</f>
        <v>0.91600000000000004</v>
      </c>
      <c r="R18" s="25">
        <v>43</v>
      </c>
      <c r="S18" s="26">
        <f>+IFERROR((BD_MR_RF[[#This Row],[Desviación de Color]]/BD_MR_RF[[#This Row],[Muestra]]),"0")</f>
        <v>4.2999999999999997E-2</v>
      </c>
      <c r="T18" s="25">
        <v>0</v>
      </c>
      <c r="U18" s="26">
        <f>+IFERROR((BD_MR_RF[[#This Row],[Sobremaduro]]/BD_MR_RF[[#This Row],[Muestra]]),"0")</f>
        <v>0</v>
      </c>
      <c r="V18" s="25">
        <v>0</v>
      </c>
      <c r="W18" s="26">
        <f>+IFERROR((BD_MR_RF[[#This Row],[Daño Mécanico]]/BD_MR_RF[[#This Row],[Muestra]]),"0")</f>
        <v>0</v>
      </c>
      <c r="X18" s="25">
        <v>27</v>
      </c>
      <c r="Y18" s="26">
        <f>+IFERROR((BD_MR_RF[[#This Row],[Daño Insecto]]/BD_MR_RF[[#This Row],[Muestra]]),"0")</f>
        <v>2.7E-2</v>
      </c>
      <c r="Z18" s="25">
        <v>11</v>
      </c>
      <c r="AA18" s="26">
        <f>+IFERROR((BD_MR_RF[[#This Row],[Block]]/BD_MR_RF[[#This Row],[Muestra]]),"0")</f>
        <v>1.0999999999999999E-2</v>
      </c>
      <c r="AB18" s="25">
        <v>3</v>
      </c>
      <c r="AC18" s="26">
        <f>+IFERROR((BD_MR_RF[[#This Row],[Mohos]]/BD_MR_RF[[#This Row],[Muestra]]),"0")</f>
        <v>3.0000000000000001E-3</v>
      </c>
      <c r="AD18" s="25">
        <v>3</v>
      </c>
      <c r="AE18" s="27">
        <v>0</v>
      </c>
      <c r="AF18" s="25" t="s">
        <v>899</v>
      </c>
      <c r="AG18" s="25">
        <v>4</v>
      </c>
      <c r="AH18" s="26">
        <f>+IFERROR((BD_MR_RF[[#This Row],[Valor Extra 1]]/BD_MR_RF[[#This Row],[Muestra]]),"0")</f>
        <v>4.0000000000000001E-3</v>
      </c>
      <c r="AJ18" s="25">
        <v>0</v>
      </c>
      <c r="AK18" s="26">
        <f>+IFERROR((BD_MR_RF[[#This Row],[Valor Extra 2]]/BD_MR_RF[[#This Row],[Muestra]]),"0")</f>
        <v>0</v>
      </c>
      <c r="AL18" s="19">
        <v>0</v>
      </c>
      <c r="AM18" s="26">
        <f>+IFERROR((BD_MR_RF[[#This Row],[Calibre &gt;16]]/BD_MR_RF[[#This Row],[Muestra]]),"0")</f>
        <v>0</v>
      </c>
      <c r="AN18" s="19">
        <v>0</v>
      </c>
      <c r="AO18" s="26">
        <f>+IFERROR((BD_MR_RF[[#This Row],[Calibre &lt;16]]/BD_MR_RF[[#This Row],[Muestra]]),"0")</f>
        <v>0</v>
      </c>
      <c r="AP18" s="19" t="s">
        <v>892</v>
      </c>
      <c r="AQ18" s="19" t="s">
        <v>892</v>
      </c>
      <c r="AR18" s="19" t="s">
        <v>892</v>
      </c>
      <c r="AS18" s="19" t="s">
        <v>892</v>
      </c>
      <c r="AT18" s="19" t="s">
        <v>892</v>
      </c>
      <c r="AU18" s="19" t="s">
        <v>892</v>
      </c>
      <c r="AV18" s="28" t="s">
        <v>892</v>
      </c>
      <c r="AW18" s="29">
        <v>14.1</v>
      </c>
      <c r="AX18" s="19" t="s">
        <v>890</v>
      </c>
      <c r="AY18" s="19" t="s">
        <v>890</v>
      </c>
      <c r="AZ18" s="30">
        <f>SUM(BD_MR_RF[[#This Row],[Desviación de Color]]+BD_MR_RF[[#This Row],[Sobremaduro]]+BD_MR_RF[[#This Row],[Daño Mécanico]]+BD_MR_RF[[#This Row],[Daño Insecto]]+BD_MR_RF[[#This Row],[Block]]+BD_MR_RF[[#This Row],[Mohos]])</f>
        <v>84</v>
      </c>
      <c r="BA18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8.3999999999999991E-2</v>
      </c>
      <c r="BB18" s="18" t="s">
        <v>893</v>
      </c>
      <c r="BC18" s="24">
        <f>1-BD_MR_RF[[#This Row],[% Defectos]]</f>
        <v>0.91600000000000004</v>
      </c>
      <c r="BD18" s="31" t="s">
        <v>897</v>
      </c>
      <c r="BE18" s="19">
        <f>SUM(BD_MR_RF[[#This Row],[Palos (Un.) (≤18)]:[Larvas (Un.) (≤24)]])</f>
        <v>0</v>
      </c>
      <c r="BF18" s="19">
        <f>SUM(BD_MR_RF[[#This Row],[Vidrio (Un.) (0)]:[Plástico (Un.) (0)]])</f>
        <v>0</v>
      </c>
      <c r="BG18" s="19" t="str">
        <f>IF(ISBLANK(BD_MR_RF[[#This Row],[Descripción del Producto]]),"",BD_MR_RF[[#This Row],[Descripción del Producto]])</f>
        <v>MO S/V Org. S/C PSP 12 kg en Caja</v>
      </c>
      <c r="BH18" s="19">
        <f>IF(ISBLANK(BD_MR_RF[[#This Row],[N° Lote]]),"",BD_MR_RF[[#This Row],[N° Lote]])</f>
        <v>7830</v>
      </c>
      <c r="BI18" s="19">
        <f>IF(ISBLANK(BD_MR_RF[[#This Row],[N° Pallet]]),"",BD_MR_RF[[#This Row],[N° Pallet]])</f>
        <v>21520</v>
      </c>
    </row>
    <row r="19" spans="1:61">
      <c r="A19" s="36">
        <v>46037</v>
      </c>
      <c r="B19" s="19">
        <f>_xlfn.ISOWEEKNUM(BD_MR_RF[[#This Row],[Fecha]])</f>
        <v>3</v>
      </c>
      <c r="C19" s="19">
        <v>1</v>
      </c>
      <c r="D19" s="19">
        <v>3</v>
      </c>
      <c r="E19" s="20">
        <v>304231000</v>
      </c>
      <c r="F19" s="18" t="str">
        <f>IFERROR("" &amp; _xlfn.XLOOKUP(BD_MR_RF[[#This Row],[Código]],BD_Cod!A:A,BD_Cod!B:B), "")</f>
        <v>MO S/V Org. S/C PSP 12 kg en Caja</v>
      </c>
      <c r="G19" s="21" t="str">
        <f>IFERROR(" " &amp;_xlfn.XLOOKUP(BD_MR_RF[[#This Row],[Código]],BD_Cod!A:A,BD_Cod!H:H," ")," ")</f>
        <v xml:space="preserve"> PSP</v>
      </c>
      <c r="H19" s="19">
        <v>21520</v>
      </c>
      <c r="I19" s="19">
        <v>7830</v>
      </c>
      <c r="J19" s="22">
        <v>1000</v>
      </c>
      <c r="K19" s="37">
        <v>0.59375</v>
      </c>
      <c r="L19" s="19" t="s">
        <v>244</v>
      </c>
      <c r="M19" s="22">
        <v>12565</v>
      </c>
      <c r="N19" s="23">
        <v>-15.4</v>
      </c>
      <c r="O19" s="19" t="s">
        <v>890</v>
      </c>
      <c r="P19" s="19" t="s">
        <v>890</v>
      </c>
      <c r="Q19" s="24">
        <f>1-BD_MR_RF[[#This Row],[% Defectos]]</f>
        <v>0.878</v>
      </c>
      <c r="R19" s="25">
        <v>59</v>
      </c>
      <c r="S19" s="26">
        <f>+IFERROR((BD_MR_RF[[#This Row],[Desviación de Color]]/BD_MR_RF[[#This Row],[Muestra]]),"0")</f>
        <v>5.8999999999999997E-2</v>
      </c>
      <c r="T19" s="25">
        <v>0</v>
      </c>
      <c r="U19" s="26">
        <f>+IFERROR((BD_MR_RF[[#This Row],[Sobremaduro]]/BD_MR_RF[[#This Row],[Muestra]]),"0")</f>
        <v>0</v>
      </c>
      <c r="V19" s="25">
        <v>2</v>
      </c>
      <c r="W19" s="26">
        <f>+IFERROR((BD_MR_RF[[#This Row],[Daño Mécanico]]/BD_MR_RF[[#This Row],[Muestra]]),"0")</f>
        <v>2E-3</v>
      </c>
      <c r="X19" s="25">
        <v>61</v>
      </c>
      <c r="Y19" s="26">
        <f>+IFERROR((BD_MR_RF[[#This Row],[Daño Insecto]]/BD_MR_RF[[#This Row],[Muestra]]),"0")</f>
        <v>6.0999999999999999E-2</v>
      </c>
      <c r="Z19" s="25">
        <v>0</v>
      </c>
      <c r="AA19" s="26">
        <f>+IFERROR((BD_MR_RF[[#This Row],[Block]]/BD_MR_RF[[#This Row],[Muestra]]),"0")</f>
        <v>0</v>
      </c>
      <c r="AB19" s="25">
        <v>0</v>
      </c>
      <c r="AC19" s="26">
        <f>+IFERROR((BD_MR_RF[[#This Row],[Mohos]]/BD_MR_RF[[#This Row],[Muestra]]),"0")</f>
        <v>0</v>
      </c>
      <c r="AD19" s="25">
        <v>0</v>
      </c>
      <c r="AE19" s="27">
        <v>0</v>
      </c>
      <c r="AF19" s="25" t="s">
        <v>899</v>
      </c>
      <c r="AG19" s="25">
        <v>2</v>
      </c>
      <c r="AH19" s="26">
        <f>+IFERROR((BD_MR_RF[[#This Row],[Valor Extra 1]]/BD_MR_RF[[#This Row],[Muestra]]),"0")</f>
        <v>2E-3</v>
      </c>
      <c r="AJ19" s="25">
        <v>0</v>
      </c>
      <c r="AK19" s="26">
        <f>+IFERROR((BD_MR_RF[[#This Row],[Valor Extra 2]]/BD_MR_RF[[#This Row],[Muestra]]),"0")</f>
        <v>0</v>
      </c>
      <c r="AL19" s="19">
        <v>0</v>
      </c>
      <c r="AM19" s="26">
        <f>+IFERROR((BD_MR_RF[[#This Row],[Calibre &gt;16]]/BD_MR_RF[[#This Row],[Muestra]]),"0")</f>
        <v>0</v>
      </c>
      <c r="AN19" s="19">
        <v>0</v>
      </c>
      <c r="AO19" s="26">
        <f>+IFERROR((BD_MR_RF[[#This Row],[Calibre &lt;16]]/BD_MR_RF[[#This Row],[Muestra]]),"0")</f>
        <v>0</v>
      </c>
      <c r="AP19" s="19" t="s">
        <v>892</v>
      </c>
      <c r="AQ19" s="19" t="s">
        <v>892</v>
      </c>
      <c r="AR19" s="19" t="s">
        <v>892</v>
      </c>
      <c r="AS19" s="19" t="s">
        <v>892</v>
      </c>
      <c r="AT19" s="19" t="s">
        <v>892</v>
      </c>
      <c r="AU19" s="19" t="s">
        <v>892</v>
      </c>
      <c r="AV19" s="28" t="s">
        <v>892</v>
      </c>
      <c r="AW19" s="29">
        <v>11.4</v>
      </c>
      <c r="AX19" s="19" t="s">
        <v>890</v>
      </c>
      <c r="AY19" s="19" t="s">
        <v>890</v>
      </c>
      <c r="AZ19" s="30">
        <f>SUM(BD_MR_RF[[#This Row],[Desviación de Color]]+BD_MR_RF[[#This Row],[Sobremaduro]]+BD_MR_RF[[#This Row],[Daño Mécanico]]+BD_MR_RF[[#This Row],[Daño Insecto]]+BD_MR_RF[[#This Row],[Block]]+BD_MR_RF[[#This Row],[Mohos]])</f>
        <v>122</v>
      </c>
      <c r="BA19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0.122</v>
      </c>
      <c r="BB19" s="18" t="s">
        <v>893</v>
      </c>
      <c r="BC19" s="24">
        <f>1-BD_MR_RF[[#This Row],[% Defectos]]</f>
        <v>0.878</v>
      </c>
      <c r="BD19" s="31" t="s">
        <v>897</v>
      </c>
      <c r="BE19" s="19">
        <f>SUM(BD_MR_RF[[#This Row],[Palos (Un.) (≤18)]:[Larvas (Un.) (≤24)]])</f>
        <v>0</v>
      </c>
      <c r="BF19" s="19">
        <f>SUM(BD_MR_RF[[#This Row],[Vidrio (Un.) (0)]:[Plástico (Un.) (0)]])</f>
        <v>0</v>
      </c>
      <c r="BG19" s="19" t="str">
        <f>IF(ISBLANK(BD_MR_RF[[#This Row],[Descripción del Producto]]),"",BD_MR_RF[[#This Row],[Descripción del Producto]])</f>
        <v>MO S/V Org. S/C PSP 12 kg en Caja</v>
      </c>
      <c r="BH19" s="19">
        <f>IF(ISBLANK(BD_MR_RF[[#This Row],[N° Lote]]),"",BD_MR_RF[[#This Row],[N° Lote]])</f>
        <v>7830</v>
      </c>
      <c r="BI19" s="19">
        <f>IF(ISBLANK(BD_MR_RF[[#This Row],[N° Pallet]]),"",BD_MR_RF[[#This Row],[N° Pallet]])</f>
        <v>21520</v>
      </c>
    </row>
    <row r="20" spans="1:61">
      <c r="A20" s="36">
        <v>46037</v>
      </c>
      <c r="B20" s="19">
        <f>_xlfn.ISOWEEKNUM(BD_MR_RF[[#This Row],[Fecha]])</f>
        <v>3</v>
      </c>
      <c r="C20" s="19">
        <v>1</v>
      </c>
      <c r="D20" s="19">
        <v>3</v>
      </c>
      <c r="E20" s="20">
        <v>304231000</v>
      </c>
      <c r="F20" s="18" t="str">
        <f>IFERROR("" &amp; _xlfn.XLOOKUP(BD_MR_RF[[#This Row],[Código]],BD_Cod!A:A,BD_Cod!B:B), "")</f>
        <v>MO S/V Org. S/C PSP 12 kg en Caja</v>
      </c>
      <c r="G20" s="21" t="str">
        <f>IFERROR(" " &amp;_xlfn.XLOOKUP(BD_MR_RF[[#This Row],[Código]],BD_Cod!A:A,BD_Cod!H:H," ")," ")</f>
        <v xml:space="preserve"> PSP</v>
      </c>
      <c r="H20" s="19">
        <v>21522</v>
      </c>
      <c r="I20" s="19">
        <v>7830</v>
      </c>
      <c r="J20" s="22">
        <v>1000</v>
      </c>
      <c r="K20" s="37">
        <v>0.61319444444444449</v>
      </c>
      <c r="L20" s="19" t="s">
        <v>244</v>
      </c>
      <c r="M20" s="22">
        <v>12555</v>
      </c>
      <c r="N20" s="23">
        <v>-14.4</v>
      </c>
      <c r="O20" s="19" t="s">
        <v>890</v>
      </c>
      <c r="P20" s="19" t="s">
        <v>890</v>
      </c>
      <c r="Q20" s="24">
        <f>1-BD_MR_RF[[#This Row],[% Defectos]]</f>
        <v>0.80400000000000005</v>
      </c>
      <c r="R20" s="25">
        <v>54</v>
      </c>
      <c r="S20" s="26">
        <f>+IFERROR((BD_MR_RF[[#This Row],[Desviación de Color]]/BD_MR_RF[[#This Row],[Muestra]]),"0")</f>
        <v>5.3999999999999999E-2</v>
      </c>
      <c r="T20" s="25">
        <v>0</v>
      </c>
      <c r="U20" s="26">
        <f>+IFERROR((BD_MR_RF[[#This Row],[Sobremaduro]]/BD_MR_RF[[#This Row],[Muestra]]),"0")</f>
        <v>0</v>
      </c>
      <c r="V20" s="25">
        <v>13</v>
      </c>
      <c r="W20" s="26">
        <f>+IFERROR((BD_MR_RF[[#This Row],[Daño Mécanico]]/BD_MR_RF[[#This Row],[Muestra]]),"0")</f>
        <v>1.2999999999999999E-2</v>
      </c>
      <c r="X20" s="25">
        <v>95</v>
      </c>
      <c r="Y20" s="26">
        <f>+IFERROR((BD_MR_RF[[#This Row],[Daño Insecto]]/BD_MR_RF[[#This Row],[Muestra]]),"0")</f>
        <v>9.5000000000000001E-2</v>
      </c>
      <c r="Z20" s="25">
        <v>34</v>
      </c>
      <c r="AA20" s="26">
        <f>+IFERROR((BD_MR_RF[[#This Row],[Block]]/BD_MR_RF[[#This Row],[Muestra]]),"0")</f>
        <v>3.4000000000000002E-2</v>
      </c>
      <c r="AB20" s="25">
        <v>0</v>
      </c>
      <c r="AC20" s="26">
        <f>+IFERROR((BD_MR_RF[[#This Row],[Mohos]]/BD_MR_RF[[#This Row],[Muestra]]),"0")</f>
        <v>0</v>
      </c>
      <c r="AD20" s="25">
        <v>4</v>
      </c>
      <c r="AE20" s="27">
        <v>0</v>
      </c>
      <c r="AF20" s="25" t="s">
        <v>898</v>
      </c>
      <c r="AG20" s="25">
        <v>1</v>
      </c>
      <c r="AH20" s="26"/>
      <c r="AJ20" s="25">
        <v>0</v>
      </c>
      <c r="AK20" s="26">
        <f>+IFERROR((BD_MR_RF[[#This Row],[Valor Extra 2]]/BD_MR_RF[[#This Row],[Muestra]]),"0")</f>
        <v>0</v>
      </c>
      <c r="AL20" s="19">
        <v>0</v>
      </c>
      <c r="AM20" s="26">
        <f>+IFERROR((BD_MR_RF[[#This Row],[Calibre &gt;16]]/BD_MR_RF[[#This Row],[Muestra]]),"0")</f>
        <v>0</v>
      </c>
      <c r="AN20" s="19">
        <v>0</v>
      </c>
      <c r="AO20" s="26">
        <f>+IFERROR((BD_MR_RF[[#This Row],[Calibre &lt;16]]/BD_MR_RF[[#This Row],[Muestra]]),"0")</f>
        <v>0</v>
      </c>
      <c r="AP20" s="19" t="s">
        <v>892</v>
      </c>
      <c r="AQ20" s="19" t="s">
        <v>892</v>
      </c>
      <c r="AR20" s="19" t="s">
        <v>892</v>
      </c>
      <c r="AS20" s="19" t="s">
        <v>892</v>
      </c>
      <c r="AT20" s="19" t="s">
        <v>892</v>
      </c>
      <c r="AU20" s="19" t="s">
        <v>892</v>
      </c>
      <c r="AV20" s="28" t="s">
        <v>892</v>
      </c>
      <c r="AW20" s="29">
        <v>12.5</v>
      </c>
      <c r="AX20" s="19" t="s">
        <v>890</v>
      </c>
      <c r="AY20" s="19" t="s">
        <v>890</v>
      </c>
      <c r="AZ20" s="30">
        <f>SUM(BD_MR_RF[[#This Row],[Desviación de Color]]+BD_MR_RF[[#This Row],[Sobremaduro]]+BD_MR_RF[[#This Row],[Daño Mécanico]]+BD_MR_RF[[#This Row],[Daño Insecto]]+BD_MR_RF[[#This Row],[Block]]+BD_MR_RF[[#This Row],[Mohos]])</f>
        <v>196</v>
      </c>
      <c r="BA20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0.19600000000000001</v>
      </c>
      <c r="BB20" s="18" t="s">
        <v>893</v>
      </c>
      <c r="BC20" s="24">
        <f>1-BD_MR_RF[[#This Row],[% Defectos]]</f>
        <v>0.80400000000000005</v>
      </c>
      <c r="BD20" s="31" t="s">
        <v>897</v>
      </c>
      <c r="BE20" s="19">
        <f>SUM(BD_MR_RF[[#This Row],[Palos (Un.) (≤18)]:[Larvas (Un.) (≤24)]])</f>
        <v>0</v>
      </c>
      <c r="BF20" s="19">
        <f>SUM(BD_MR_RF[[#This Row],[Vidrio (Un.) (0)]:[Plástico (Un.) (0)]])</f>
        <v>0</v>
      </c>
      <c r="BG20" s="19" t="str">
        <f>IF(ISBLANK(BD_MR_RF[[#This Row],[Descripción del Producto]]),"",BD_MR_RF[[#This Row],[Descripción del Producto]])</f>
        <v>MO S/V Org. S/C PSP 12 kg en Caja</v>
      </c>
      <c r="BH20" s="19">
        <f>IF(ISBLANK(BD_MR_RF[[#This Row],[N° Lote]]),"",BD_MR_RF[[#This Row],[N° Lote]])</f>
        <v>7830</v>
      </c>
      <c r="BI20" s="19">
        <f>IF(ISBLANK(BD_MR_RF[[#This Row],[N° Pallet]]),"",BD_MR_RF[[#This Row],[N° Pallet]])</f>
        <v>21522</v>
      </c>
    </row>
    <row r="21" spans="1:61">
      <c r="A21" s="36">
        <v>46037</v>
      </c>
      <c r="B21" s="19">
        <f>_xlfn.ISOWEEKNUM(BD_MR_RF[[#This Row],[Fecha]])</f>
        <v>3</v>
      </c>
      <c r="C21" s="19">
        <v>1</v>
      </c>
      <c r="D21" s="19">
        <v>3</v>
      </c>
      <c r="E21" s="20">
        <v>304231000</v>
      </c>
      <c r="F21" s="18" t="str">
        <f>IFERROR("" &amp; _xlfn.XLOOKUP(BD_MR_RF[[#This Row],[Código]],BD_Cod!A:A,BD_Cod!B:B), "")</f>
        <v>MO S/V Org. S/C PSP 12 kg en Caja</v>
      </c>
      <c r="G21" s="21" t="str">
        <f>IFERROR(" " &amp;_xlfn.XLOOKUP(BD_MR_RF[[#This Row],[Código]],BD_Cod!A:A,BD_Cod!H:H," ")," ")</f>
        <v xml:space="preserve"> PSP</v>
      </c>
      <c r="H21" s="19">
        <v>21523</v>
      </c>
      <c r="I21" s="19">
        <v>7830</v>
      </c>
      <c r="J21" s="22">
        <v>1000</v>
      </c>
      <c r="K21" s="37">
        <v>0.62847222222222221</v>
      </c>
      <c r="L21" s="19" t="s">
        <v>244</v>
      </c>
      <c r="M21" s="22">
        <v>12550</v>
      </c>
      <c r="N21" s="23">
        <v>-11.6</v>
      </c>
      <c r="O21" s="19" t="s">
        <v>890</v>
      </c>
      <c r="P21" s="19" t="s">
        <v>890</v>
      </c>
      <c r="Q21" s="24">
        <f>1-BD_MR_RF[[#This Row],[% Defectos]]</f>
        <v>0.91700000000000004</v>
      </c>
      <c r="R21" s="25">
        <v>16</v>
      </c>
      <c r="S21" s="26">
        <f>+IFERROR((BD_MR_RF[[#This Row],[Desviación de Color]]/BD_MR_RF[[#This Row],[Muestra]]),"0")</f>
        <v>1.6E-2</v>
      </c>
      <c r="T21" s="25">
        <v>0</v>
      </c>
      <c r="U21" s="26">
        <f>+IFERROR((BD_MR_RF[[#This Row],[Sobremaduro]]/BD_MR_RF[[#This Row],[Muestra]]),"0")</f>
        <v>0</v>
      </c>
      <c r="V21" s="25">
        <v>22</v>
      </c>
      <c r="W21" s="26">
        <f>+IFERROR((BD_MR_RF[[#This Row],[Daño Mécanico]]/BD_MR_RF[[#This Row],[Muestra]]),"0")</f>
        <v>2.1999999999999999E-2</v>
      </c>
      <c r="X21" s="25">
        <v>40</v>
      </c>
      <c r="Y21" s="26">
        <f>+IFERROR((BD_MR_RF[[#This Row],[Daño Insecto]]/BD_MR_RF[[#This Row],[Muestra]]),"0")</f>
        <v>0.04</v>
      </c>
      <c r="Z21" s="25">
        <v>3</v>
      </c>
      <c r="AA21" s="26">
        <f>+IFERROR((BD_MR_RF[[#This Row],[Block]]/BD_MR_RF[[#This Row],[Muestra]]),"0")</f>
        <v>3.0000000000000001E-3</v>
      </c>
      <c r="AB21" s="25">
        <v>2</v>
      </c>
      <c r="AC21" s="26">
        <f>+IFERROR((BD_MR_RF[[#This Row],[Mohos]]/BD_MR_RF[[#This Row],[Muestra]]),"0")</f>
        <v>2E-3</v>
      </c>
      <c r="AD21" s="25">
        <v>0</v>
      </c>
      <c r="AE21" s="27">
        <v>0</v>
      </c>
      <c r="AG21" s="25">
        <v>0</v>
      </c>
      <c r="AH21" s="26">
        <f>+IFERROR((BD_MR_RF[[#This Row],[Valor Extra 1]]/BD_MR_RF[[#This Row],[Muestra]]),"0")</f>
        <v>0</v>
      </c>
      <c r="AJ21" s="25">
        <v>0</v>
      </c>
      <c r="AK21" s="26">
        <f>+IFERROR((BD_MR_RF[[#This Row],[Valor Extra 2]]/BD_MR_RF[[#This Row],[Muestra]]),"0")</f>
        <v>0</v>
      </c>
      <c r="AL21" s="19">
        <v>0</v>
      </c>
      <c r="AM21" s="26">
        <f>+IFERROR((BD_MR_RF[[#This Row],[Calibre &gt;16]]/BD_MR_RF[[#This Row],[Muestra]]),"0")</f>
        <v>0</v>
      </c>
      <c r="AN21" s="19">
        <v>0</v>
      </c>
      <c r="AO21" s="26">
        <f>+IFERROR((BD_MR_RF[[#This Row],[Calibre &lt;16]]/BD_MR_RF[[#This Row],[Muestra]]),"0")</f>
        <v>0</v>
      </c>
      <c r="AP21" s="19" t="s">
        <v>892</v>
      </c>
      <c r="AQ21" s="19" t="s">
        <v>892</v>
      </c>
      <c r="AR21" s="19" t="s">
        <v>892</v>
      </c>
      <c r="AS21" s="19" t="s">
        <v>892</v>
      </c>
      <c r="AT21" s="19" t="s">
        <v>892</v>
      </c>
      <c r="AU21" s="19" t="s">
        <v>892</v>
      </c>
      <c r="AV21" s="28" t="s">
        <v>892</v>
      </c>
      <c r="AW21" s="29">
        <v>16.100000000000001</v>
      </c>
      <c r="AX21" s="19" t="s">
        <v>890</v>
      </c>
      <c r="AY21" s="19" t="s">
        <v>890</v>
      </c>
      <c r="AZ21" s="30">
        <f>SUM(BD_MR_RF[[#This Row],[Desviación de Color]]+BD_MR_RF[[#This Row],[Sobremaduro]]+BD_MR_RF[[#This Row],[Daño Mécanico]]+BD_MR_RF[[#This Row],[Daño Insecto]]+BD_MR_RF[[#This Row],[Block]]+BD_MR_RF[[#This Row],[Mohos]])</f>
        <v>83</v>
      </c>
      <c r="BA21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8.3000000000000004E-2</v>
      </c>
      <c r="BB21" s="18" t="s">
        <v>893</v>
      </c>
      <c r="BC21" s="24">
        <f>1-BD_MR_RF[[#This Row],[% Defectos]]</f>
        <v>0.91700000000000004</v>
      </c>
      <c r="BD21" s="31" t="s">
        <v>897</v>
      </c>
      <c r="BE21" s="19">
        <f>SUM(BD_MR_RF[[#This Row],[Palos (Un.) (≤18)]:[Larvas (Un.) (≤24)]])</f>
        <v>0</v>
      </c>
      <c r="BF21" s="19">
        <f>SUM(BD_MR_RF[[#This Row],[Vidrio (Un.) (0)]:[Plástico (Un.) (0)]])</f>
        <v>0</v>
      </c>
      <c r="BG21" s="19" t="str">
        <f>IF(ISBLANK(BD_MR_RF[[#This Row],[Descripción del Producto]]),"",BD_MR_RF[[#This Row],[Descripción del Producto]])</f>
        <v>MO S/V Org. S/C PSP 12 kg en Caja</v>
      </c>
      <c r="BH21" s="19">
        <f>IF(ISBLANK(BD_MR_RF[[#This Row],[N° Lote]]),"",BD_MR_RF[[#This Row],[N° Lote]])</f>
        <v>7830</v>
      </c>
      <c r="BI21" s="19">
        <f>IF(ISBLANK(BD_MR_RF[[#This Row],[N° Pallet]]),"",BD_MR_RF[[#This Row],[N° Pallet]])</f>
        <v>21523</v>
      </c>
    </row>
    <row r="22" spans="1:61">
      <c r="A22" s="36">
        <v>46037</v>
      </c>
      <c r="B22" s="19">
        <f>_xlfn.ISOWEEKNUM(BD_MR_RF[[#This Row],[Fecha]])</f>
        <v>3</v>
      </c>
      <c r="C22" s="19">
        <v>1</v>
      </c>
      <c r="D22" s="19">
        <v>3</v>
      </c>
      <c r="E22" s="20">
        <v>304231000</v>
      </c>
      <c r="F22" s="18" t="str">
        <f>IFERROR("" &amp; _xlfn.XLOOKUP(BD_MR_RF[[#This Row],[Código]],BD_Cod!A:A,BD_Cod!B:B), "")</f>
        <v>MO S/V Org. S/C PSP 12 kg en Caja</v>
      </c>
      <c r="G22" s="21" t="str">
        <f>IFERROR(" " &amp;_xlfn.XLOOKUP(BD_MR_RF[[#This Row],[Código]],BD_Cod!A:A,BD_Cod!H:H," ")," ")</f>
        <v xml:space="preserve"> PSP</v>
      </c>
      <c r="H22" s="19">
        <v>21524</v>
      </c>
      <c r="I22" s="19">
        <v>7830</v>
      </c>
      <c r="J22" s="22">
        <v>1000</v>
      </c>
      <c r="K22" s="37">
        <v>0.64097222222222228</v>
      </c>
      <c r="L22" s="19" t="s">
        <v>244</v>
      </c>
      <c r="M22" s="22">
        <v>12570</v>
      </c>
      <c r="N22" s="23">
        <v>-9.4</v>
      </c>
      <c r="O22" s="19" t="s">
        <v>890</v>
      </c>
      <c r="P22" s="19" t="s">
        <v>890</v>
      </c>
      <c r="Q22" s="24">
        <f>1-BD_MR_RF[[#This Row],[% Defectos]]</f>
        <v>0.84899999999999998</v>
      </c>
      <c r="R22" s="25">
        <v>10</v>
      </c>
      <c r="S22" s="26">
        <f>+IFERROR((BD_MR_RF[[#This Row],[Desviación de Color]]/BD_MR_RF[[#This Row],[Muestra]]),"0")</f>
        <v>0.01</v>
      </c>
      <c r="T22" s="25">
        <v>0</v>
      </c>
      <c r="U22" s="26">
        <f>+IFERROR((BD_MR_RF[[#This Row],[Sobremaduro]]/BD_MR_RF[[#This Row],[Muestra]]),"0")</f>
        <v>0</v>
      </c>
      <c r="V22" s="25">
        <v>0</v>
      </c>
      <c r="W22" s="26">
        <f>+IFERROR((BD_MR_RF[[#This Row],[Daño Mécanico]]/BD_MR_RF[[#This Row],[Muestra]]),"0")</f>
        <v>0</v>
      </c>
      <c r="X22" s="25">
        <v>139</v>
      </c>
      <c r="Y22" s="26">
        <f>+IFERROR((BD_MR_RF[[#This Row],[Daño Insecto]]/BD_MR_RF[[#This Row],[Muestra]]),"0")</f>
        <v>0.13900000000000001</v>
      </c>
      <c r="Z22" s="25">
        <v>0</v>
      </c>
      <c r="AA22" s="26">
        <f>+IFERROR((BD_MR_RF[[#This Row],[Block]]/BD_MR_RF[[#This Row],[Muestra]]),"0")</f>
        <v>0</v>
      </c>
      <c r="AB22" s="25">
        <v>2</v>
      </c>
      <c r="AC22" s="26">
        <f>+IFERROR((BD_MR_RF[[#This Row],[Mohos]]/BD_MR_RF[[#This Row],[Muestra]]),"0")</f>
        <v>2E-3</v>
      </c>
      <c r="AD22" s="25">
        <v>1</v>
      </c>
      <c r="AE22" s="27">
        <v>0</v>
      </c>
      <c r="AG22" s="25">
        <v>0</v>
      </c>
      <c r="AH22" s="26">
        <f>+IFERROR((BD_MR_RF[[#This Row],[Valor Extra 1]]/BD_MR_RF[[#This Row],[Muestra]]),"0")</f>
        <v>0</v>
      </c>
      <c r="AJ22" s="25">
        <v>0</v>
      </c>
      <c r="AK22" s="26">
        <f>+IFERROR((BD_MR_RF[[#This Row],[Valor Extra 2]]/BD_MR_RF[[#This Row],[Muestra]]),"0")</f>
        <v>0</v>
      </c>
      <c r="AL22" s="19">
        <v>0</v>
      </c>
      <c r="AM22" s="26">
        <f>+IFERROR((BD_MR_RF[[#This Row],[Calibre &gt;16]]/BD_MR_RF[[#This Row],[Muestra]]),"0")</f>
        <v>0</v>
      </c>
      <c r="AN22" s="19">
        <v>0</v>
      </c>
      <c r="AO22" s="26">
        <f>+IFERROR((BD_MR_RF[[#This Row],[Calibre &lt;16]]/BD_MR_RF[[#This Row],[Muestra]]),"0")</f>
        <v>0</v>
      </c>
      <c r="AP22" s="19" t="s">
        <v>892</v>
      </c>
      <c r="AQ22" s="19" t="s">
        <v>892</v>
      </c>
      <c r="AR22" s="19" t="s">
        <v>892</v>
      </c>
      <c r="AS22" s="19" t="s">
        <v>892</v>
      </c>
      <c r="AT22" s="19" t="s">
        <v>892</v>
      </c>
      <c r="AU22" s="19" t="s">
        <v>892</v>
      </c>
      <c r="AV22" s="28" t="s">
        <v>892</v>
      </c>
      <c r="AW22" s="29">
        <v>13.7</v>
      </c>
      <c r="AX22" s="19" t="s">
        <v>890</v>
      </c>
      <c r="AY22" s="19" t="s">
        <v>890</v>
      </c>
      <c r="AZ22" s="30">
        <f>SUM(BD_MR_RF[[#This Row],[Desviación de Color]]+BD_MR_RF[[#This Row],[Sobremaduro]]+BD_MR_RF[[#This Row],[Daño Mécanico]]+BD_MR_RF[[#This Row],[Daño Insecto]]+BD_MR_RF[[#This Row],[Block]]+BD_MR_RF[[#This Row],[Mohos]])</f>
        <v>151</v>
      </c>
      <c r="BA22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0.15100000000000002</v>
      </c>
      <c r="BB22" s="18" t="s">
        <v>893</v>
      </c>
      <c r="BC22" s="24">
        <f>1-BD_MR_RF[[#This Row],[% Defectos]]</f>
        <v>0.84899999999999998</v>
      </c>
      <c r="BD22" s="31" t="s">
        <v>894</v>
      </c>
      <c r="BE22" s="19">
        <f>SUM(BD_MR_RF[[#This Row],[Palos (Un.) (≤18)]:[Larvas (Un.) (≤24)]])</f>
        <v>0</v>
      </c>
      <c r="BF22" s="19">
        <f>SUM(BD_MR_RF[[#This Row],[Vidrio (Un.) (0)]:[Plástico (Un.) (0)]])</f>
        <v>0</v>
      </c>
      <c r="BG22" s="19" t="str">
        <f>IF(ISBLANK(BD_MR_RF[[#This Row],[Descripción del Producto]]),"",BD_MR_RF[[#This Row],[Descripción del Producto]])</f>
        <v>MO S/V Org. S/C PSP 12 kg en Caja</v>
      </c>
      <c r="BH22" s="19">
        <f>IF(ISBLANK(BD_MR_RF[[#This Row],[N° Lote]]),"",BD_MR_RF[[#This Row],[N° Lote]])</f>
        <v>7830</v>
      </c>
      <c r="BI22" s="19">
        <f>IF(ISBLANK(BD_MR_RF[[#This Row],[N° Pallet]]),"",BD_MR_RF[[#This Row],[N° Pallet]])</f>
        <v>21524</v>
      </c>
    </row>
    <row r="23" spans="1:61">
      <c r="A23" s="36">
        <v>46037</v>
      </c>
      <c r="B23" s="19">
        <f>_xlfn.ISOWEEKNUM(BD_MR_RF[[#This Row],[Fecha]])</f>
        <v>3</v>
      </c>
      <c r="C23" s="19">
        <v>1</v>
      </c>
      <c r="D23" s="19">
        <v>3</v>
      </c>
      <c r="E23" s="20">
        <v>304231000</v>
      </c>
      <c r="F23" s="18" t="str">
        <f>IFERROR("" &amp; _xlfn.XLOOKUP(BD_MR_RF[[#This Row],[Código]],BD_Cod!A:A,BD_Cod!B:B), "")</f>
        <v>MO S/V Org. S/C PSP 12 kg en Caja</v>
      </c>
      <c r="G23" s="21" t="str">
        <f>IFERROR(" " &amp;_xlfn.XLOOKUP(BD_MR_RF[[#This Row],[Código]],BD_Cod!A:A,BD_Cod!H:H," ")," ")</f>
        <v xml:space="preserve"> PSP</v>
      </c>
      <c r="H23" s="19">
        <v>21560</v>
      </c>
      <c r="I23" s="19">
        <v>7830</v>
      </c>
      <c r="J23" s="22">
        <v>1000</v>
      </c>
      <c r="K23" s="37">
        <v>0.65416666666666667</v>
      </c>
      <c r="L23" s="19" t="s">
        <v>244</v>
      </c>
      <c r="M23" s="22">
        <v>12550</v>
      </c>
      <c r="N23" s="23">
        <v>-10.8</v>
      </c>
      <c r="O23" s="19" t="s">
        <v>890</v>
      </c>
      <c r="P23" s="19" t="s">
        <v>890</v>
      </c>
      <c r="Q23" s="24">
        <f>1-BD_MR_RF[[#This Row],[% Defectos]]</f>
        <v>0.90200000000000002</v>
      </c>
      <c r="R23" s="25">
        <v>22</v>
      </c>
      <c r="S23" s="26">
        <f>+IFERROR((BD_MR_RF[[#This Row],[Desviación de Color]]/BD_MR_RF[[#This Row],[Muestra]]),"0")</f>
        <v>2.1999999999999999E-2</v>
      </c>
      <c r="T23" s="25">
        <v>0</v>
      </c>
      <c r="U23" s="26">
        <f>+IFERROR((BD_MR_RF[[#This Row],[Sobremaduro]]/BD_MR_RF[[#This Row],[Muestra]]),"0")</f>
        <v>0</v>
      </c>
      <c r="V23" s="25">
        <v>0</v>
      </c>
      <c r="W23" s="26">
        <f>+IFERROR((BD_MR_RF[[#This Row],[Daño Mécanico]]/BD_MR_RF[[#This Row],[Muestra]]),"0")</f>
        <v>0</v>
      </c>
      <c r="X23" s="25">
        <v>76</v>
      </c>
      <c r="Y23" s="26">
        <f>+IFERROR((BD_MR_RF[[#This Row],[Daño Insecto]]/BD_MR_RF[[#This Row],[Muestra]]),"0")</f>
        <v>7.5999999999999998E-2</v>
      </c>
      <c r="Z23" s="25">
        <v>0</v>
      </c>
      <c r="AA23" s="26">
        <f>+IFERROR((BD_MR_RF[[#This Row],[Block]]/BD_MR_RF[[#This Row],[Muestra]]),"0")</f>
        <v>0</v>
      </c>
      <c r="AB23" s="25">
        <v>0</v>
      </c>
      <c r="AC23" s="26">
        <f>+IFERROR((BD_MR_RF[[#This Row],[Mohos]]/BD_MR_RF[[#This Row],[Muestra]]),"0")</f>
        <v>0</v>
      </c>
      <c r="AD23" s="25">
        <v>1</v>
      </c>
      <c r="AE23" s="27">
        <v>0</v>
      </c>
      <c r="AG23" s="25">
        <v>0</v>
      </c>
      <c r="AH23" s="26">
        <f>+IFERROR((BD_MR_RF[[#This Row],[Valor Extra 1]]/BD_MR_RF[[#This Row],[Muestra]]),"0")</f>
        <v>0</v>
      </c>
      <c r="AJ23" s="25">
        <v>0</v>
      </c>
      <c r="AK23" s="26">
        <f>+IFERROR((BD_MR_RF[[#This Row],[Valor Extra 2]]/BD_MR_RF[[#This Row],[Muestra]]),"0")</f>
        <v>0</v>
      </c>
      <c r="AL23" s="19">
        <v>0</v>
      </c>
      <c r="AM23" s="26">
        <f>+IFERROR((BD_MR_RF[[#This Row],[Calibre &gt;16]]/BD_MR_RF[[#This Row],[Muestra]]),"0")</f>
        <v>0</v>
      </c>
      <c r="AN23" s="19">
        <v>0</v>
      </c>
      <c r="AO23" s="26">
        <f>+IFERROR((BD_MR_RF[[#This Row],[Calibre &lt;16]]/BD_MR_RF[[#This Row],[Muestra]]),"0")</f>
        <v>0</v>
      </c>
      <c r="AP23" s="19" t="s">
        <v>892</v>
      </c>
      <c r="AQ23" s="19" t="s">
        <v>892</v>
      </c>
      <c r="AR23" s="19" t="s">
        <v>892</v>
      </c>
      <c r="AS23" s="19" t="s">
        <v>892</v>
      </c>
      <c r="AT23" s="19" t="s">
        <v>892</v>
      </c>
      <c r="AU23" s="19" t="s">
        <v>892</v>
      </c>
      <c r="AV23" s="28" t="s">
        <v>892</v>
      </c>
      <c r="AW23" s="29">
        <v>12.9</v>
      </c>
      <c r="AX23" s="19" t="s">
        <v>890</v>
      </c>
      <c r="AY23" s="19" t="s">
        <v>890</v>
      </c>
      <c r="AZ23" s="30">
        <f>SUM(BD_MR_RF[[#This Row],[Desviación de Color]]+BD_MR_RF[[#This Row],[Sobremaduro]]+BD_MR_RF[[#This Row],[Daño Mécanico]]+BD_MR_RF[[#This Row],[Daño Insecto]]+BD_MR_RF[[#This Row],[Block]]+BD_MR_RF[[#This Row],[Mohos]])</f>
        <v>98</v>
      </c>
      <c r="BA23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9.8000000000000004E-2</v>
      </c>
      <c r="BB23" s="18" t="s">
        <v>893</v>
      </c>
      <c r="BC23" s="24">
        <f>1-BD_MR_RF[[#This Row],[% Defectos]]</f>
        <v>0.90200000000000002</v>
      </c>
      <c r="BD23" s="31" t="s">
        <v>894</v>
      </c>
      <c r="BE23" s="19">
        <f>SUM(BD_MR_RF[[#This Row],[Palos (Un.) (≤18)]:[Larvas (Un.) (≤24)]])</f>
        <v>0</v>
      </c>
      <c r="BF23" s="19">
        <f>SUM(BD_MR_RF[[#This Row],[Vidrio (Un.) (0)]:[Plástico (Un.) (0)]])</f>
        <v>0</v>
      </c>
      <c r="BG23" s="19" t="str">
        <f>IF(ISBLANK(BD_MR_RF[[#This Row],[Descripción del Producto]]),"",BD_MR_RF[[#This Row],[Descripción del Producto]])</f>
        <v>MO S/V Org. S/C PSP 12 kg en Caja</v>
      </c>
      <c r="BH23" s="19">
        <f>IF(ISBLANK(BD_MR_RF[[#This Row],[N° Lote]]),"",BD_MR_RF[[#This Row],[N° Lote]])</f>
        <v>7830</v>
      </c>
      <c r="BI23" s="19">
        <f>IF(ISBLANK(BD_MR_RF[[#This Row],[N° Pallet]]),"",BD_MR_RF[[#This Row],[N° Pallet]])</f>
        <v>21560</v>
      </c>
    </row>
    <row r="24" spans="1:61">
      <c r="A24" s="36">
        <v>46039</v>
      </c>
      <c r="B24" s="19">
        <f>_xlfn.ISOWEEKNUM(BD_MR_RF[[#This Row],[Fecha]])</f>
        <v>3</v>
      </c>
      <c r="C24" s="19">
        <v>2</v>
      </c>
      <c r="D24" s="19">
        <v>3</v>
      </c>
      <c r="E24" s="20">
        <v>304231000</v>
      </c>
      <c r="F24" s="18" t="str">
        <f>IFERROR("" &amp; _xlfn.XLOOKUP(BD_MR_RF[[#This Row],[Código]],BD_Cod!A:A,BD_Cod!B:B), "")</f>
        <v>MO S/V Org. S/C PSP 12 kg en Caja</v>
      </c>
      <c r="G24" s="21" t="str">
        <f>IFERROR(" " &amp;_xlfn.XLOOKUP(BD_MR_RF[[#This Row],[Código]],BD_Cod!A:A,BD_Cod!H:H," ")," ")</f>
        <v xml:space="preserve"> PSP</v>
      </c>
      <c r="H24" s="19">
        <v>49438</v>
      </c>
      <c r="I24" s="19">
        <v>304903</v>
      </c>
      <c r="J24" s="22">
        <v>1000</v>
      </c>
      <c r="K24" s="37">
        <v>0.9145833333333333</v>
      </c>
      <c r="L24" s="19" t="s">
        <v>244</v>
      </c>
      <c r="M24" s="22">
        <v>12560</v>
      </c>
      <c r="N24" s="23">
        <v>-10.3</v>
      </c>
      <c r="O24" s="19" t="s">
        <v>890</v>
      </c>
      <c r="P24" s="19" t="s">
        <v>890</v>
      </c>
      <c r="Q24" s="24">
        <f>1-BD_MR_RF[[#This Row],[% Defectos]]</f>
        <v>0.88</v>
      </c>
      <c r="R24" s="25">
        <v>60</v>
      </c>
      <c r="S24" s="26">
        <f>+IFERROR((BD_MR_RF[[#This Row],[Desviación de Color]]/BD_MR_RF[[#This Row],[Muestra]]),"0")</f>
        <v>0.06</v>
      </c>
      <c r="T24" s="25">
        <v>0</v>
      </c>
      <c r="U24" s="26">
        <f>+IFERROR((BD_MR_RF[[#This Row],[Sobremaduro]]/BD_MR_RF[[#This Row],[Muestra]]),"0")</f>
        <v>0</v>
      </c>
      <c r="V24" s="25">
        <v>0</v>
      </c>
      <c r="W24" s="26">
        <f>+IFERROR((BD_MR_RF[[#This Row],[Daño Mécanico]]/BD_MR_RF[[#This Row],[Muestra]]),"0")</f>
        <v>0</v>
      </c>
      <c r="X24" s="25">
        <v>60</v>
      </c>
      <c r="Y24" s="26">
        <f>+IFERROR((BD_MR_RF[[#This Row],[Daño Insecto]]/BD_MR_RF[[#This Row],[Muestra]]),"0")</f>
        <v>0.06</v>
      </c>
      <c r="Z24" s="25">
        <v>0</v>
      </c>
      <c r="AA24" s="26">
        <f>+IFERROR((BD_MR_RF[[#This Row],[Block]]/BD_MR_RF[[#This Row],[Muestra]]),"0")</f>
        <v>0</v>
      </c>
      <c r="AB24" s="25">
        <v>0</v>
      </c>
      <c r="AC24" s="26">
        <f>+IFERROR((BD_MR_RF[[#This Row],[Mohos]]/BD_MR_RF[[#This Row],[Muestra]]),"0")</f>
        <v>0</v>
      </c>
      <c r="AD24" s="25">
        <v>1</v>
      </c>
      <c r="AE24" s="27">
        <v>0</v>
      </c>
      <c r="AG24" s="25">
        <v>0</v>
      </c>
      <c r="AH24" s="26">
        <f>+IFERROR((BD_MR_RF[[#This Row],[Valor Extra 1]]/BD_MR_RF[[#This Row],[Muestra]]),"0")</f>
        <v>0</v>
      </c>
      <c r="AJ24" s="25">
        <v>0</v>
      </c>
      <c r="AK24" s="26">
        <f>+IFERROR((BD_MR_RF[[#This Row],[Valor Extra 2]]/BD_MR_RF[[#This Row],[Muestra]]),"0")</f>
        <v>0</v>
      </c>
      <c r="AL24" s="19">
        <v>0</v>
      </c>
      <c r="AM24" s="26">
        <f>+IFERROR((BD_MR_RF[[#This Row],[Calibre &gt;16]]/BD_MR_RF[[#This Row],[Muestra]]),"0")</f>
        <v>0</v>
      </c>
      <c r="AN24" s="19">
        <v>0</v>
      </c>
      <c r="AO24" s="26">
        <f>+IFERROR((BD_MR_RF[[#This Row],[Calibre &lt;16]]/BD_MR_RF[[#This Row],[Muestra]]),"0")</f>
        <v>0</v>
      </c>
      <c r="AP24" s="19" t="s">
        <v>892</v>
      </c>
      <c r="AQ24" s="19" t="s">
        <v>892</v>
      </c>
      <c r="AR24" s="19" t="s">
        <v>892</v>
      </c>
      <c r="AS24" s="19" t="s">
        <v>892</v>
      </c>
      <c r="AT24" s="19" t="s">
        <v>892</v>
      </c>
      <c r="AU24" s="19" t="s">
        <v>892</v>
      </c>
      <c r="AV24" s="28" t="s">
        <v>892</v>
      </c>
      <c r="AW24" s="29" t="s">
        <v>900</v>
      </c>
      <c r="AX24" s="19" t="s">
        <v>890</v>
      </c>
      <c r="AY24" s="19" t="s">
        <v>890</v>
      </c>
      <c r="AZ24" s="30">
        <f>SUM(BD_MR_RF[[#This Row],[Desviación de Color]]+BD_MR_RF[[#This Row],[Sobremaduro]]+BD_MR_RF[[#This Row],[Daño Mécanico]]+BD_MR_RF[[#This Row],[Daño Insecto]]+BD_MR_RF[[#This Row],[Block]]+BD_MR_RF[[#This Row],[Mohos]])</f>
        <v>120</v>
      </c>
      <c r="BA24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0.12</v>
      </c>
      <c r="BB24" s="18" t="s">
        <v>901</v>
      </c>
      <c r="BC24" s="24">
        <f>1-BD_MR_RF[[#This Row],[% Defectos]]</f>
        <v>0.88</v>
      </c>
      <c r="BD24" s="31" t="s">
        <v>902</v>
      </c>
      <c r="BE24" s="19">
        <f>SUM(BD_MR_RF[[#This Row],[Palos (Un.) (≤18)]:[Larvas (Un.) (≤24)]])</f>
        <v>0</v>
      </c>
      <c r="BF24" s="19">
        <f>SUM(BD_MR_RF[[#This Row],[Vidrio (Un.) (0)]:[Plástico (Un.) (0)]])</f>
        <v>0</v>
      </c>
      <c r="BG24" s="19" t="str">
        <f>IF(ISBLANK(BD_MR_RF[[#This Row],[Descripción del Producto]]),"",BD_MR_RF[[#This Row],[Descripción del Producto]])</f>
        <v>MO S/V Org. S/C PSP 12 kg en Caja</v>
      </c>
      <c r="BH24" s="19">
        <f>IF(ISBLANK(BD_MR_RF[[#This Row],[N° Lote]]),"",BD_MR_RF[[#This Row],[N° Lote]])</f>
        <v>304903</v>
      </c>
      <c r="BI24" s="19">
        <f>IF(ISBLANK(BD_MR_RF[[#This Row],[N° Pallet]]),"",BD_MR_RF[[#This Row],[N° Pallet]])</f>
        <v>49438</v>
      </c>
    </row>
    <row r="25" spans="1:61">
      <c r="A25" s="36">
        <v>46039</v>
      </c>
      <c r="B25" s="19">
        <f>_xlfn.ISOWEEKNUM(BD_MR_RF[[#This Row],[Fecha]])</f>
        <v>3</v>
      </c>
      <c r="C25" s="19">
        <v>2</v>
      </c>
      <c r="D25" s="19">
        <v>3</v>
      </c>
      <c r="E25" s="20">
        <v>304231000</v>
      </c>
      <c r="F25" s="18" t="str">
        <f>IFERROR("" &amp; _xlfn.XLOOKUP(BD_MR_RF[[#This Row],[Código]],BD_Cod!A:A,BD_Cod!B:B), "")</f>
        <v>MO S/V Org. S/C PSP 12 kg en Caja</v>
      </c>
      <c r="G25" s="21" t="str">
        <f>IFERROR(" " &amp;_xlfn.XLOOKUP(BD_MR_RF[[#This Row],[Código]],BD_Cod!A:A,BD_Cod!H:H," ")," ")</f>
        <v xml:space="preserve"> PSP</v>
      </c>
      <c r="H25" s="19">
        <v>49439</v>
      </c>
      <c r="I25" s="19">
        <v>304903</v>
      </c>
      <c r="J25" s="22">
        <v>1000</v>
      </c>
      <c r="K25" s="37">
        <v>0.9194444444444444</v>
      </c>
      <c r="L25" s="19" t="s">
        <v>244</v>
      </c>
      <c r="M25" s="22">
        <v>12535</v>
      </c>
      <c r="N25" s="23">
        <v>-10.8</v>
      </c>
      <c r="O25" s="19" t="s">
        <v>890</v>
      </c>
      <c r="P25" s="19" t="s">
        <v>890</v>
      </c>
      <c r="Q25" s="24">
        <f>1-BD_MR_RF[[#This Row],[% Defectos]]</f>
        <v>0.85899999999999999</v>
      </c>
      <c r="R25" s="25">
        <v>70</v>
      </c>
      <c r="S25" s="26">
        <f>+IFERROR((BD_MR_RF[[#This Row],[Desviación de Color]]/BD_MR_RF[[#This Row],[Muestra]]),"0")</f>
        <v>7.0000000000000007E-2</v>
      </c>
      <c r="T25" s="25">
        <v>0</v>
      </c>
      <c r="U25" s="26">
        <f>+IFERROR((BD_MR_RF[[#This Row],[Sobremaduro]]/BD_MR_RF[[#This Row],[Muestra]]),"0")</f>
        <v>0</v>
      </c>
      <c r="V25" s="25">
        <v>0</v>
      </c>
      <c r="W25" s="26">
        <f>+IFERROR((BD_MR_RF[[#This Row],[Daño Mécanico]]/BD_MR_RF[[#This Row],[Muestra]]),"0")</f>
        <v>0</v>
      </c>
      <c r="X25" s="25">
        <v>70</v>
      </c>
      <c r="Y25" s="26">
        <f>+IFERROR((BD_MR_RF[[#This Row],[Daño Insecto]]/BD_MR_RF[[#This Row],[Muestra]]),"0")</f>
        <v>7.0000000000000007E-2</v>
      </c>
      <c r="Z25" s="25">
        <v>0</v>
      </c>
      <c r="AA25" s="26">
        <f>+IFERROR((BD_MR_RF[[#This Row],[Block]]/BD_MR_RF[[#This Row],[Muestra]]),"0")</f>
        <v>0</v>
      </c>
      <c r="AB25" s="25">
        <v>1</v>
      </c>
      <c r="AC25" s="26">
        <f>+IFERROR((BD_MR_RF[[#This Row],[Mohos]]/BD_MR_RF[[#This Row],[Muestra]]),"0")</f>
        <v>1E-3</v>
      </c>
      <c r="AD25" s="25">
        <v>8</v>
      </c>
      <c r="AE25" s="27">
        <v>0</v>
      </c>
      <c r="AG25" s="25">
        <v>0</v>
      </c>
      <c r="AH25" s="26">
        <f>+IFERROR((BD_MR_RF[[#This Row],[Valor Extra 1]]/BD_MR_RF[[#This Row],[Muestra]]),"0")</f>
        <v>0</v>
      </c>
      <c r="AJ25" s="25">
        <v>0</v>
      </c>
      <c r="AK25" s="26">
        <f>+IFERROR((BD_MR_RF[[#This Row],[Valor Extra 2]]/BD_MR_RF[[#This Row],[Muestra]]),"0")</f>
        <v>0</v>
      </c>
      <c r="AL25" s="19">
        <v>0</v>
      </c>
      <c r="AM25" s="26">
        <f>+IFERROR((BD_MR_RF[[#This Row],[Calibre &gt;16]]/BD_MR_RF[[#This Row],[Muestra]]),"0")</f>
        <v>0</v>
      </c>
      <c r="AN25" s="19">
        <v>0</v>
      </c>
      <c r="AO25" s="26">
        <f>+IFERROR((BD_MR_RF[[#This Row],[Calibre &lt;16]]/BD_MR_RF[[#This Row],[Muestra]]),"0")</f>
        <v>0</v>
      </c>
      <c r="AP25" s="19" t="s">
        <v>892</v>
      </c>
      <c r="AQ25" s="19" t="s">
        <v>892</v>
      </c>
      <c r="AR25" s="19" t="s">
        <v>892</v>
      </c>
      <c r="AS25" s="19" t="s">
        <v>892</v>
      </c>
      <c r="AT25" s="19" t="s">
        <v>892</v>
      </c>
      <c r="AU25" s="19" t="s">
        <v>892</v>
      </c>
      <c r="AV25" s="28" t="s">
        <v>892</v>
      </c>
      <c r="AW25" s="29" t="s">
        <v>900</v>
      </c>
      <c r="AX25" s="19" t="s">
        <v>890</v>
      </c>
      <c r="AY25" s="19" t="s">
        <v>890</v>
      </c>
      <c r="AZ25" s="30">
        <f>SUM(BD_MR_RF[[#This Row],[Desviación de Color]]+BD_MR_RF[[#This Row],[Sobremaduro]]+BD_MR_RF[[#This Row],[Daño Mécanico]]+BD_MR_RF[[#This Row],[Daño Insecto]]+BD_MR_RF[[#This Row],[Block]]+BD_MR_RF[[#This Row],[Mohos]])</f>
        <v>141</v>
      </c>
      <c r="BA25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0.14100000000000001</v>
      </c>
      <c r="BB25" s="18" t="s">
        <v>901</v>
      </c>
      <c r="BC25" s="24">
        <f>1-BD_MR_RF[[#This Row],[% Defectos]]</f>
        <v>0.85899999999999999</v>
      </c>
      <c r="BD25" s="31" t="s">
        <v>902</v>
      </c>
      <c r="BE25" s="19">
        <f>SUM(BD_MR_RF[[#This Row],[Palos (Un.) (≤18)]:[Larvas (Un.) (≤24)]])</f>
        <v>0</v>
      </c>
      <c r="BF25" s="19">
        <f>SUM(BD_MR_RF[[#This Row],[Vidrio (Un.) (0)]:[Plástico (Un.) (0)]])</f>
        <v>0</v>
      </c>
      <c r="BG25" s="19" t="str">
        <f>IF(ISBLANK(BD_MR_RF[[#This Row],[Descripción del Producto]]),"",BD_MR_RF[[#This Row],[Descripción del Producto]])</f>
        <v>MO S/V Org. S/C PSP 12 kg en Caja</v>
      </c>
      <c r="BH25" s="19">
        <f>IF(ISBLANK(BD_MR_RF[[#This Row],[N° Lote]]),"",BD_MR_RF[[#This Row],[N° Lote]])</f>
        <v>304903</v>
      </c>
      <c r="BI25" s="19">
        <f>IF(ISBLANK(BD_MR_RF[[#This Row],[N° Pallet]]),"",BD_MR_RF[[#This Row],[N° Pallet]])</f>
        <v>49439</v>
      </c>
    </row>
    <row r="26" spans="1:61">
      <c r="A26" s="36">
        <v>46039</v>
      </c>
      <c r="B26" s="19">
        <f>_xlfn.ISOWEEKNUM(BD_MR_RF[[#This Row],[Fecha]])</f>
        <v>3</v>
      </c>
      <c r="C26" s="19">
        <v>2</v>
      </c>
      <c r="D26" s="19">
        <v>3</v>
      </c>
      <c r="E26" s="20">
        <v>304231000</v>
      </c>
      <c r="F26" s="18" t="str">
        <f>IFERROR("" &amp; _xlfn.XLOOKUP(BD_MR_RF[[#This Row],[Código]],BD_Cod!A:A,BD_Cod!B:B), "")</f>
        <v>MO S/V Org. S/C PSP 12 kg en Caja</v>
      </c>
      <c r="G26" s="21" t="str">
        <f>IFERROR(" " &amp;_xlfn.XLOOKUP(BD_MR_RF[[#This Row],[Código]],BD_Cod!A:A,BD_Cod!H:H," ")," ")</f>
        <v xml:space="preserve"> PSP</v>
      </c>
      <c r="H26" s="19">
        <v>49440</v>
      </c>
      <c r="I26" s="19">
        <v>304903</v>
      </c>
      <c r="J26" s="22">
        <v>1000</v>
      </c>
      <c r="K26" s="37">
        <v>0.93402777777777779</v>
      </c>
      <c r="L26" s="19" t="s">
        <v>244</v>
      </c>
      <c r="M26" s="22">
        <v>12540</v>
      </c>
      <c r="N26" s="23">
        <v>-13.8</v>
      </c>
      <c r="O26" s="19" t="s">
        <v>890</v>
      </c>
      <c r="P26" s="19" t="s">
        <v>890</v>
      </c>
      <c r="Q26" s="24">
        <f>1-BD_MR_RF[[#This Row],[% Defectos]]</f>
        <v>0.80999999999999994</v>
      </c>
      <c r="R26" s="25">
        <v>80</v>
      </c>
      <c r="S26" s="26">
        <f>+IFERROR((BD_MR_RF[[#This Row],[Desviación de Color]]/BD_MR_RF[[#This Row],[Muestra]]),"0")</f>
        <v>0.08</v>
      </c>
      <c r="T26" s="25">
        <v>0</v>
      </c>
      <c r="U26" s="26">
        <f>+IFERROR((BD_MR_RF[[#This Row],[Sobremaduro]]/BD_MR_RF[[#This Row],[Muestra]]),"0")</f>
        <v>0</v>
      </c>
      <c r="V26" s="25">
        <v>0</v>
      </c>
      <c r="W26" s="26">
        <f>+IFERROR((BD_MR_RF[[#This Row],[Daño Mécanico]]/BD_MR_RF[[#This Row],[Muestra]]),"0")</f>
        <v>0</v>
      </c>
      <c r="X26" s="25">
        <v>70</v>
      </c>
      <c r="Y26" s="26">
        <f>+IFERROR((BD_MR_RF[[#This Row],[Daño Insecto]]/BD_MR_RF[[#This Row],[Muestra]]),"0")</f>
        <v>7.0000000000000007E-2</v>
      </c>
      <c r="Z26" s="25">
        <v>40</v>
      </c>
      <c r="AA26" s="26">
        <f>+IFERROR((BD_MR_RF[[#This Row],[Block]]/BD_MR_RF[[#This Row],[Muestra]]),"0")</f>
        <v>0.04</v>
      </c>
      <c r="AB26" s="25">
        <v>0</v>
      </c>
      <c r="AC26" s="26">
        <f>+IFERROR((BD_MR_RF[[#This Row],[Mohos]]/BD_MR_RF[[#This Row],[Muestra]]),"0")</f>
        <v>0</v>
      </c>
      <c r="AD26" s="25">
        <v>0</v>
      </c>
      <c r="AE26" s="27">
        <v>0</v>
      </c>
      <c r="AG26" s="25">
        <v>0</v>
      </c>
      <c r="AH26" s="26">
        <f>+IFERROR((BD_MR_RF[[#This Row],[Valor Extra 1]]/BD_MR_RF[[#This Row],[Muestra]]),"0")</f>
        <v>0</v>
      </c>
      <c r="AJ26" s="25">
        <v>0</v>
      </c>
      <c r="AK26" s="26">
        <f>+IFERROR((BD_MR_RF[[#This Row],[Valor Extra 2]]/BD_MR_RF[[#This Row],[Muestra]]),"0")</f>
        <v>0</v>
      </c>
      <c r="AL26" s="19">
        <v>0</v>
      </c>
      <c r="AM26" s="26">
        <f>+IFERROR((BD_MR_RF[[#This Row],[Calibre &gt;16]]/BD_MR_RF[[#This Row],[Muestra]]),"0")</f>
        <v>0</v>
      </c>
      <c r="AN26" s="19">
        <v>0</v>
      </c>
      <c r="AO26" s="26">
        <f>+IFERROR((BD_MR_RF[[#This Row],[Calibre &lt;16]]/BD_MR_RF[[#This Row],[Muestra]]),"0")</f>
        <v>0</v>
      </c>
      <c r="AP26" s="19" t="s">
        <v>892</v>
      </c>
      <c r="AQ26" s="19" t="s">
        <v>892</v>
      </c>
      <c r="AR26" s="19" t="s">
        <v>892</v>
      </c>
      <c r="AS26" s="19" t="s">
        <v>892</v>
      </c>
      <c r="AT26" s="19" t="s">
        <v>892</v>
      </c>
      <c r="AU26" s="19" t="s">
        <v>892</v>
      </c>
      <c r="AV26" s="28" t="s">
        <v>892</v>
      </c>
      <c r="AW26" s="29" t="s">
        <v>900</v>
      </c>
      <c r="AX26" s="19" t="s">
        <v>890</v>
      </c>
      <c r="AY26" s="19" t="s">
        <v>890</v>
      </c>
      <c r="AZ26" s="30">
        <f>SUM(BD_MR_RF[[#This Row],[Desviación de Color]]+BD_MR_RF[[#This Row],[Sobremaduro]]+BD_MR_RF[[#This Row],[Daño Mécanico]]+BD_MR_RF[[#This Row],[Daño Insecto]]+BD_MR_RF[[#This Row],[Block]]+BD_MR_RF[[#This Row],[Mohos]])</f>
        <v>190</v>
      </c>
      <c r="BA26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0.19000000000000003</v>
      </c>
      <c r="BB26" s="18" t="s">
        <v>901</v>
      </c>
      <c r="BC26" s="24">
        <f>1-BD_MR_RF[[#This Row],[% Defectos]]</f>
        <v>0.80999999999999994</v>
      </c>
      <c r="BD26" s="31" t="s">
        <v>902</v>
      </c>
      <c r="BE26" s="19">
        <f>SUM(BD_MR_RF[[#This Row],[Palos (Un.) (≤18)]:[Larvas (Un.) (≤24)]])</f>
        <v>0</v>
      </c>
      <c r="BF26" s="19">
        <f>SUM(BD_MR_RF[[#This Row],[Vidrio (Un.) (0)]:[Plástico (Un.) (0)]])</f>
        <v>0</v>
      </c>
      <c r="BG26" s="19" t="str">
        <f>IF(ISBLANK(BD_MR_RF[[#This Row],[Descripción del Producto]]),"",BD_MR_RF[[#This Row],[Descripción del Producto]])</f>
        <v>MO S/V Org. S/C PSP 12 kg en Caja</v>
      </c>
      <c r="BH26" s="19">
        <f>IF(ISBLANK(BD_MR_RF[[#This Row],[N° Lote]]),"",BD_MR_RF[[#This Row],[N° Lote]])</f>
        <v>304903</v>
      </c>
      <c r="BI26" s="19">
        <f>IF(ISBLANK(BD_MR_RF[[#This Row],[N° Pallet]]),"",BD_MR_RF[[#This Row],[N° Pallet]])</f>
        <v>49440</v>
      </c>
    </row>
    <row r="27" spans="1:61">
      <c r="A27" s="36">
        <v>46039</v>
      </c>
      <c r="B27" s="19">
        <f>_xlfn.ISOWEEKNUM(BD_MR_RF[[#This Row],[Fecha]])</f>
        <v>3</v>
      </c>
      <c r="C27" s="19">
        <v>2</v>
      </c>
      <c r="D27" s="19">
        <v>3</v>
      </c>
      <c r="E27" s="20">
        <v>304231000</v>
      </c>
      <c r="F27" s="18" t="str">
        <f>IFERROR("" &amp; _xlfn.XLOOKUP(BD_MR_RF[[#This Row],[Código]],BD_Cod!A:A,BD_Cod!B:B), "")</f>
        <v>MO S/V Org. S/C PSP 12 kg en Caja</v>
      </c>
      <c r="G27" s="21" t="str">
        <f>IFERROR(" " &amp;_xlfn.XLOOKUP(BD_MR_RF[[#This Row],[Código]],BD_Cod!A:A,BD_Cod!H:H," ")," ")</f>
        <v xml:space="preserve"> PSP</v>
      </c>
      <c r="H27" s="19">
        <v>49441</v>
      </c>
      <c r="I27" s="19">
        <v>304903</v>
      </c>
      <c r="J27" s="22">
        <v>1000</v>
      </c>
      <c r="K27" s="37">
        <v>0.94166666666666665</v>
      </c>
      <c r="L27" s="19" t="s">
        <v>244</v>
      </c>
      <c r="M27" s="22">
        <v>12575</v>
      </c>
      <c r="N27" s="23">
        <v>-14.7</v>
      </c>
      <c r="O27" s="19" t="s">
        <v>890</v>
      </c>
      <c r="P27" s="19" t="s">
        <v>890</v>
      </c>
      <c r="Q27" s="24">
        <f>1-BD_MR_RF[[#This Row],[% Defectos]]</f>
        <v>0.81499999999999995</v>
      </c>
      <c r="R27" s="25">
        <v>50</v>
      </c>
      <c r="S27" s="26">
        <f>+IFERROR((BD_MR_RF[[#This Row],[Desviación de Color]]/BD_MR_RF[[#This Row],[Muestra]]),"0")</f>
        <v>0.05</v>
      </c>
      <c r="T27" s="25">
        <v>0</v>
      </c>
      <c r="U27" s="26">
        <f>+IFERROR((BD_MR_RF[[#This Row],[Sobremaduro]]/BD_MR_RF[[#This Row],[Muestra]]),"0")</f>
        <v>0</v>
      </c>
      <c r="V27" s="25">
        <v>0</v>
      </c>
      <c r="W27" s="26">
        <f>+IFERROR((BD_MR_RF[[#This Row],[Daño Mécanico]]/BD_MR_RF[[#This Row],[Muestra]]),"0")</f>
        <v>0</v>
      </c>
      <c r="X27" s="25">
        <v>105</v>
      </c>
      <c r="Y27" s="26">
        <f>+IFERROR((BD_MR_RF[[#This Row],[Daño Insecto]]/BD_MR_RF[[#This Row],[Muestra]]),"0")</f>
        <v>0.105</v>
      </c>
      <c r="Z27" s="25">
        <v>30</v>
      </c>
      <c r="AA27" s="26">
        <f>+IFERROR((BD_MR_RF[[#This Row],[Block]]/BD_MR_RF[[#This Row],[Muestra]]),"0")</f>
        <v>0.03</v>
      </c>
      <c r="AB27" s="25">
        <v>0</v>
      </c>
      <c r="AC27" s="26">
        <f>+IFERROR((BD_MR_RF[[#This Row],[Mohos]]/BD_MR_RF[[#This Row],[Muestra]]),"0")</f>
        <v>0</v>
      </c>
      <c r="AD27" s="25">
        <v>0</v>
      </c>
      <c r="AE27" s="27">
        <v>0</v>
      </c>
      <c r="AG27" s="25">
        <v>0</v>
      </c>
      <c r="AH27" s="26">
        <f>+IFERROR((BD_MR_RF[[#This Row],[Valor Extra 1]]/BD_MR_RF[[#This Row],[Muestra]]),"0")</f>
        <v>0</v>
      </c>
      <c r="AJ27" s="25">
        <v>0</v>
      </c>
      <c r="AK27" s="26">
        <f>+IFERROR((BD_MR_RF[[#This Row],[Valor Extra 2]]/BD_MR_RF[[#This Row],[Muestra]]),"0")</f>
        <v>0</v>
      </c>
      <c r="AL27" s="19">
        <v>0</v>
      </c>
      <c r="AM27" s="26">
        <f>+IFERROR((BD_MR_RF[[#This Row],[Calibre &gt;16]]/BD_MR_RF[[#This Row],[Muestra]]),"0")</f>
        <v>0</v>
      </c>
      <c r="AN27" s="19">
        <v>0</v>
      </c>
      <c r="AO27" s="26">
        <f>+IFERROR((BD_MR_RF[[#This Row],[Calibre &lt;16]]/BD_MR_RF[[#This Row],[Muestra]]),"0")</f>
        <v>0</v>
      </c>
      <c r="AP27" s="19" t="s">
        <v>892</v>
      </c>
      <c r="AQ27" s="19" t="s">
        <v>892</v>
      </c>
      <c r="AR27" s="19" t="s">
        <v>892</v>
      </c>
      <c r="AS27" s="19" t="s">
        <v>892</v>
      </c>
      <c r="AT27" s="19" t="s">
        <v>892</v>
      </c>
      <c r="AU27" s="19" t="s">
        <v>892</v>
      </c>
      <c r="AV27" s="28" t="s">
        <v>892</v>
      </c>
      <c r="AW27" s="29" t="s">
        <v>900</v>
      </c>
      <c r="AX27" s="19" t="s">
        <v>890</v>
      </c>
      <c r="AY27" s="19" t="s">
        <v>890</v>
      </c>
      <c r="AZ27" s="30">
        <f>SUM(BD_MR_RF[[#This Row],[Desviación de Color]]+BD_MR_RF[[#This Row],[Sobremaduro]]+BD_MR_RF[[#This Row],[Daño Mécanico]]+BD_MR_RF[[#This Row],[Daño Insecto]]+BD_MR_RF[[#This Row],[Block]]+BD_MR_RF[[#This Row],[Mohos]])</f>
        <v>185</v>
      </c>
      <c r="BA27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0.185</v>
      </c>
      <c r="BB27" s="18" t="s">
        <v>901</v>
      </c>
      <c r="BC27" s="24">
        <f>1-BD_MR_RF[[#This Row],[% Defectos]]</f>
        <v>0.81499999999999995</v>
      </c>
      <c r="BD27" s="31" t="s">
        <v>902</v>
      </c>
      <c r="BE27" s="19">
        <f>SUM(BD_MR_RF[[#This Row],[Palos (Un.) (≤18)]:[Larvas (Un.) (≤24)]])</f>
        <v>0</v>
      </c>
      <c r="BF27" s="19">
        <f>SUM(BD_MR_RF[[#This Row],[Vidrio (Un.) (0)]:[Plástico (Un.) (0)]])</f>
        <v>0</v>
      </c>
      <c r="BG27" s="19" t="str">
        <f>IF(ISBLANK(BD_MR_RF[[#This Row],[Descripción del Producto]]),"",BD_MR_RF[[#This Row],[Descripción del Producto]])</f>
        <v>MO S/V Org. S/C PSP 12 kg en Caja</v>
      </c>
      <c r="BH27" s="19">
        <f>IF(ISBLANK(BD_MR_RF[[#This Row],[N° Lote]]),"",BD_MR_RF[[#This Row],[N° Lote]])</f>
        <v>304903</v>
      </c>
      <c r="BI27" s="19">
        <f>IF(ISBLANK(BD_MR_RF[[#This Row],[N° Pallet]]),"",BD_MR_RF[[#This Row],[N° Pallet]])</f>
        <v>49441</v>
      </c>
    </row>
    <row r="28" spans="1:61">
      <c r="A28" s="36">
        <v>46039</v>
      </c>
      <c r="B28" s="19">
        <f>_xlfn.ISOWEEKNUM(BD_MR_RF[[#This Row],[Fecha]])</f>
        <v>3</v>
      </c>
      <c r="C28" s="19">
        <v>2</v>
      </c>
      <c r="D28" s="19">
        <v>3</v>
      </c>
      <c r="E28" s="20">
        <v>304231000</v>
      </c>
      <c r="F28" s="18" t="str">
        <f>IFERROR("" &amp; _xlfn.XLOOKUP(BD_MR_RF[[#This Row],[Código]],BD_Cod!A:A,BD_Cod!B:B), "")</f>
        <v>MO S/V Org. S/C PSP 12 kg en Caja</v>
      </c>
      <c r="G28" s="21" t="str">
        <f>IFERROR(" " &amp;_xlfn.XLOOKUP(BD_MR_RF[[#This Row],[Código]],BD_Cod!A:A,BD_Cod!H:H," ")," ")</f>
        <v xml:space="preserve"> PSP</v>
      </c>
      <c r="H28" s="19">
        <v>21561</v>
      </c>
      <c r="I28" s="19">
        <v>7830</v>
      </c>
      <c r="J28" s="22">
        <v>1000</v>
      </c>
      <c r="K28" s="37">
        <v>0.77847222222222223</v>
      </c>
      <c r="L28" s="19" t="s">
        <v>244</v>
      </c>
      <c r="M28" s="22">
        <v>12570</v>
      </c>
      <c r="N28" s="23">
        <v>-9.1999999999999993</v>
      </c>
      <c r="O28" s="19" t="s">
        <v>890</v>
      </c>
      <c r="P28" s="19" t="s">
        <v>890</v>
      </c>
      <c r="Q28" s="24">
        <f>1-BD_MR_RF[[#This Row],[% Defectos]]</f>
        <v>0.88500000000000001</v>
      </c>
      <c r="R28" s="25">
        <v>30</v>
      </c>
      <c r="S28" s="26">
        <f>+IFERROR((BD_MR_RF[[#This Row],[Desviación de Color]]/BD_MR_RF[[#This Row],[Muestra]]),"0")</f>
        <v>0.03</v>
      </c>
      <c r="T28" s="25">
        <v>0</v>
      </c>
      <c r="U28" s="26">
        <f>+IFERROR((BD_MR_RF[[#This Row],[Sobremaduro]]/BD_MR_RF[[#This Row],[Muestra]]),"0")</f>
        <v>0</v>
      </c>
      <c r="V28" s="25">
        <v>0</v>
      </c>
      <c r="W28" s="26">
        <f>+IFERROR((BD_MR_RF[[#This Row],[Daño Mécanico]]/BD_MR_RF[[#This Row],[Muestra]]),"0")</f>
        <v>0</v>
      </c>
      <c r="X28" s="25">
        <v>70</v>
      </c>
      <c r="Y28" s="26">
        <f>+IFERROR((BD_MR_RF[[#This Row],[Daño Insecto]]/BD_MR_RF[[#This Row],[Muestra]]),"0")</f>
        <v>7.0000000000000007E-2</v>
      </c>
      <c r="Z28" s="25">
        <v>15</v>
      </c>
      <c r="AA28" s="26">
        <f>+IFERROR((BD_MR_RF[[#This Row],[Block]]/BD_MR_RF[[#This Row],[Muestra]]),"0")</f>
        <v>1.4999999999999999E-2</v>
      </c>
      <c r="AB28" s="25">
        <v>0</v>
      </c>
      <c r="AC28" s="26">
        <f>+IFERROR((BD_MR_RF[[#This Row],[Mohos]]/BD_MR_RF[[#This Row],[Muestra]]),"0")</f>
        <v>0</v>
      </c>
      <c r="AD28" s="25">
        <v>0</v>
      </c>
      <c r="AE28" s="27">
        <v>0</v>
      </c>
      <c r="AG28" s="25">
        <v>0</v>
      </c>
      <c r="AH28" s="26">
        <f>+IFERROR((BD_MR_RF[[#This Row],[Valor Extra 1]]/BD_MR_RF[[#This Row],[Muestra]]),"0")</f>
        <v>0</v>
      </c>
      <c r="AJ28" s="25">
        <v>0</v>
      </c>
      <c r="AK28" s="26">
        <f>+IFERROR((BD_MR_RF[[#This Row],[Valor Extra 2]]/BD_MR_RF[[#This Row],[Muestra]]),"0")</f>
        <v>0</v>
      </c>
      <c r="AL28" s="19">
        <v>0</v>
      </c>
      <c r="AM28" s="26">
        <f>+IFERROR((BD_MR_RF[[#This Row],[Calibre &gt;16]]/BD_MR_RF[[#This Row],[Muestra]]),"0")</f>
        <v>0</v>
      </c>
      <c r="AN28" s="19">
        <v>0</v>
      </c>
      <c r="AO28" s="26">
        <f>+IFERROR((BD_MR_RF[[#This Row],[Calibre &lt;16]]/BD_MR_RF[[#This Row],[Muestra]]),"0")</f>
        <v>0</v>
      </c>
      <c r="AP28" s="19" t="s">
        <v>892</v>
      </c>
      <c r="AQ28" s="19" t="s">
        <v>892</v>
      </c>
      <c r="AR28" s="19" t="s">
        <v>892</v>
      </c>
      <c r="AS28" s="19" t="s">
        <v>892</v>
      </c>
      <c r="AT28" s="19" t="s">
        <v>892</v>
      </c>
      <c r="AU28" s="19" t="s">
        <v>892</v>
      </c>
      <c r="AV28" s="28" t="s">
        <v>892</v>
      </c>
      <c r="AW28" s="29" t="s">
        <v>900</v>
      </c>
      <c r="AX28" s="19" t="s">
        <v>890</v>
      </c>
      <c r="AY28" s="19" t="s">
        <v>890</v>
      </c>
      <c r="AZ28" s="30">
        <f>SUM(BD_MR_RF[[#This Row],[Desviación de Color]]+BD_MR_RF[[#This Row],[Sobremaduro]]+BD_MR_RF[[#This Row],[Daño Mécanico]]+BD_MR_RF[[#This Row],[Daño Insecto]]+BD_MR_RF[[#This Row],[Block]]+BD_MR_RF[[#This Row],[Mohos]])</f>
        <v>115</v>
      </c>
      <c r="BA28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0.115</v>
      </c>
      <c r="BB28" s="18" t="s">
        <v>901</v>
      </c>
      <c r="BC28" s="24">
        <f>1-BD_MR_RF[[#This Row],[% Defectos]]</f>
        <v>0.88500000000000001</v>
      </c>
      <c r="BD28" s="31" t="s">
        <v>902</v>
      </c>
      <c r="BE28" s="19">
        <f>SUM(BD_MR_RF[[#This Row],[Palos (Un.) (≤18)]:[Larvas (Un.) (≤24)]])</f>
        <v>0</v>
      </c>
      <c r="BF28" s="19">
        <f>SUM(BD_MR_RF[[#This Row],[Vidrio (Un.) (0)]:[Plástico (Un.) (0)]])</f>
        <v>0</v>
      </c>
      <c r="BG28" s="19" t="str">
        <f>IF(ISBLANK(BD_MR_RF[[#This Row],[Descripción del Producto]]),"",BD_MR_RF[[#This Row],[Descripción del Producto]])</f>
        <v>MO S/V Org. S/C PSP 12 kg en Caja</v>
      </c>
      <c r="BH28" s="19">
        <f>IF(ISBLANK(BD_MR_RF[[#This Row],[N° Lote]]),"",BD_MR_RF[[#This Row],[N° Lote]])</f>
        <v>7830</v>
      </c>
      <c r="BI28" s="19">
        <f>IF(ISBLANK(BD_MR_RF[[#This Row],[N° Pallet]]),"",BD_MR_RF[[#This Row],[N° Pallet]])</f>
        <v>21561</v>
      </c>
    </row>
    <row r="29" spans="1:61">
      <c r="A29" s="36">
        <v>46039</v>
      </c>
      <c r="B29" s="19">
        <f>_xlfn.ISOWEEKNUM(BD_MR_RF[[#This Row],[Fecha]])</f>
        <v>3</v>
      </c>
      <c r="C29" s="19">
        <v>2</v>
      </c>
      <c r="D29" s="19">
        <v>3</v>
      </c>
      <c r="E29" s="20">
        <v>304231000</v>
      </c>
      <c r="F29" s="18" t="str">
        <f>IFERROR("" &amp; _xlfn.XLOOKUP(BD_MR_RF[[#This Row],[Código]],BD_Cod!A:A,BD_Cod!B:B), "")</f>
        <v>MO S/V Org. S/C PSP 12 kg en Caja</v>
      </c>
      <c r="G29" s="21" t="str">
        <f>IFERROR(" " &amp;_xlfn.XLOOKUP(BD_MR_RF[[#This Row],[Código]],BD_Cod!A:A,BD_Cod!H:H," ")," ")</f>
        <v xml:space="preserve"> PSP</v>
      </c>
      <c r="H29" s="19">
        <v>49434</v>
      </c>
      <c r="I29" s="19">
        <v>304903</v>
      </c>
      <c r="J29" s="22">
        <v>1000</v>
      </c>
      <c r="K29" s="37">
        <v>0.78680555555555554</v>
      </c>
      <c r="L29" s="19" t="s">
        <v>244</v>
      </c>
      <c r="M29" s="22">
        <v>12535</v>
      </c>
      <c r="N29" s="23">
        <v>-10.3</v>
      </c>
      <c r="O29" s="19" t="s">
        <v>890</v>
      </c>
      <c r="P29" s="19" t="s">
        <v>890</v>
      </c>
      <c r="Q29" s="24">
        <f>1-BD_MR_RF[[#This Row],[% Defectos]]</f>
        <v>0.91</v>
      </c>
      <c r="R29" s="25">
        <v>70</v>
      </c>
      <c r="S29" s="26">
        <f>+IFERROR((BD_MR_RF[[#This Row],[Desviación de Color]]/BD_MR_RF[[#This Row],[Muestra]]),"0")</f>
        <v>7.0000000000000007E-2</v>
      </c>
      <c r="T29" s="25">
        <v>0</v>
      </c>
      <c r="U29" s="26">
        <f>+IFERROR((BD_MR_RF[[#This Row],[Sobremaduro]]/BD_MR_RF[[#This Row],[Muestra]]),"0")</f>
        <v>0</v>
      </c>
      <c r="V29" s="25">
        <v>0</v>
      </c>
      <c r="W29" s="26">
        <f>+IFERROR((BD_MR_RF[[#This Row],[Daño Mécanico]]/BD_MR_RF[[#This Row],[Muestra]]),"0")</f>
        <v>0</v>
      </c>
      <c r="X29" s="25">
        <v>20</v>
      </c>
      <c r="Y29" s="26">
        <f>+IFERROR((BD_MR_RF[[#This Row],[Daño Insecto]]/BD_MR_RF[[#This Row],[Muestra]]),"0")</f>
        <v>0.02</v>
      </c>
      <c r="Z29" s="25">
        <v>0</v>
      </c>
      <c r="AA29" s="26">
        <f>+IFERROR((BD_MR_RF[[#This Row],[Block]]/BD_MR_RF[[#This Row],[Muestra]]),"0")</f>
        <v>0</v>
      </c>
      <c r="AB29" s="25">
        <v>0</v>
      </c>
      <c r="AC29" s="26">
        <f>+IFERROR((BD_MR_RF[[#This Row],[Mohos]]/BD_MR_RF[[#This Row],[Muestra]]),"0")</f>
        <v>0</v>
      </c>
      <c r="AD29" s="25">
        <v>0</v>
      </c>
      <c r="AE29" s="27">
        <v>0</v>
      </c>
      <c r="AG29" s="25">
        <v>0</v>
      </c>
      <c r="AH29" s="26">
        <f>+IFERROR((BD_MR_RF[[#This Row],[Valor Extra 1]]/BD_MR_RF[[#This Row],[Muestra]]),"0")</f>
        <v>0</v>
      </c>
      <c r="AJ29" s="25">
        <v>0</v>
      </c>
      <c r="AK29" s="26">
        <f>+IFERROR((BD_MR_RF[[#This Row],[Valor Extra 2]]/BD_MR_RF[[#This Row],[Muestra]]),"0")</f>
        <v>0</v>
      </c>
      <c r="AL29" s="19">
        <v>0</v>
      </c>
      <c r="AM29" s="26">
        <f>+IFERROR((BD_MR_RF[[#This Row],[Calibre &gt;16]]/BD_MR_RF[[#This Row],[Muestra]]),"0")</f>
        <v>0</v>
      </c>
      <c r="AN29" s="19">
        <v>0</v>
      </c>
      <c r="AO29" s="26">
        <f>+IFERROR((BD_MR_RF[[#This Row],[Calibre &lt;16]]/BD_MR_RF[[#This Row],[Muestra]]),"0")</f>
        <v>0</v>
      </c>
      <c r="AP29" s="19" t="s">
        <v>892</v>
      </c>
      <c r="AQ29" s="19" t="s">
        <v>892</v>
      </c>
      <c r="AR29" s="19" t="s">
        <v>892</v>
      </c>
      <c r="AS29" s="19" t="s">
        <v>892</v>
      </c>
      <c r="AT29" s="19" t="s">
        <v>892</v>
      </c>
      <c r="AU29" s="19" t="s">
        <v>892</v>
      </c>
      <c r="AV29" s="28" t="s">
        <v>892</v>
      </c>
      <c r="AW29" s="29" t="s">
        <v>900</v>
      </c>
      <c r="AX29" s="19" t="s">
        <v>890</v>
      </c>
      <c r="AY29" s="19" t="s">
        <v>890</v>
      </c>
      <c r="AZ29" s="30">
        <f>SUM(BD_MR_RF[[#This Row],[Desviación de Color]]+BD_MR_RF[[#This Row],[Sobremaduro]]+BD_MR_RF[[#This Row],[Daño Mécanico]]+BD_MR_RF[[#This Row],[Daño Insecto]]+BD_MR_RF[[#This Row],[Block]]+BD_MR_RF[[#This Row],[Mohos]])</f>
        <v>90</v>
      </c>
      <c r="BA29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9.0000000000000011E-2</v>
      </c>
      <c r="BB29" s="18" t="s">
        <v>901</v>
      </c>
      <c r="BC29" s="24">
        <f>1-BD_MR_RF[[#This Row],[% Defectos]]</f>
        <v>0.91</v>
      </c>
      <c r="BD29" s="31" t="s">
        <v>902</v>
      </c>
      <c r="BE29" s="19">
        <f>SUM(BD_MR_RF[[#This Row],[Palos (Un.) (≤18)]:[Larvas (Un.) (≤24)]])</f>
        <v>0</v>
      </c>
      <c r="BF29" s="19">
        <f>SUM(BD_MR_RF[[#This Row],[Vidrio (Un.) (0)]:[Plástico (Un.) (0)]])</f>
        <v>0</v>
      </c>
      <c r="BG29" s="19" t="str">
        <f>IF(ISBLANK(BD_MR_RF[[#This Row],[Descripción del Producto]]),"",BD_MR_RF[[#This Row],[Descripción del Producto]])</f>
        <v>MO S/V Org. S/C PSP 12 kg en Caja</v>
      </c>
      <c r="BH29" s="19">
        <f>IF(ISBLANK(BD_MR_RF[[#This Row],[N° Lote]]),"",BD_MR_RF[[#This Row],[N° Lote]])</f>
        <v>304903</v>
      </c>
      <c r="BI29" s="19">
        <f>IF(ISBLANK(BD_MR_RF[[#This Row],[N° Pallet]]),"",BD_MR_RF[[#This Row],[N° Pallet]])</f>
        <v>49434</v>
      </c>
    </row>
    <row r="30" spans="1:61">
      <c r="A30" s="36">
        <v>46039</v>
      </c>
      <c r="B30" s="19">
        <f>_xlfn.ISOWEEKNUM(BD_MR_RF[[#This Row],[Fecha]])</f>
        <v>3</v>
      </c>
      <c r="C30" s="19">
        <v>2</v>
      </c>
      <c r="D30" s="19">
        <v>3</v>
      </c>
      <c r="E30" s="20">
        <v>304231000</v>
      </c>
      <c r="F30" s="18" t="str">
        <f>IFERROR("" &amp; _xlfn.XLOOKUP(BD_MR_RF[[#This Row],[Código]],BD_Cod!A:A,BD_Cod!B:B), "")</f>
        <v>MO S/V Org. S/C PSP 12 kg en Caja</v>
      </c>
      <c r="G30" s="21" t="str">
        <f>IFERROR(" " &amp;_xlfn.XLOOKUP(BD_MR_RF[[#This Row],[Código]],BD_Cod!A:A,BD_Cod!H:H," ")," ")</f>
        <v xml:space="preserve"> PSP</v>
      </c>
      <c r="H30" s="19">
        <v>49435</v>
      </c>
      <c r="I30" s="19">
        <v>304903</v>
      </c>
      <c r="J30" s="22">
        <v>1000</v>
      </c>
      <c r="K30" s="37">
        <v>0.79861111111111116</v>
      </c>
      <c r="L30" s="19" t="s">
        <v>244</v>
      </c>
      <c r="M30" s="22">
        <v>12535</v>
      </c>
      <c r="N30" s="23">
        <v>-11.6</v>
      </c>
      <c r="O30" s="19" t="s">
        <v>890</v>
      </c>
      <c r="P30" s="19" t="s">
        <v>890</v>
      </c>
      <c r="Q30" s="24">
        <f>1-BD_MR_RF[[#This Row],[% Defectos]]</f>
        <v>0.87</v>
      </c>
      <c r="R30" s="25">
        <v>40</v>
      </c>
      <c r="S30" s="26">
        <f>+IFERROR((BD_MR_RF[[#This Row],[Desviación de Color]]/BD_MR_RF[[#This Row],[Muestra]]),"0")</f>
        <v>0.04</v>
      </c>
      <c r="T30" s="25">
        <v>0</v>
      </c>
      <c r="U30" s="26">
        <f>+IFERROR((BD_MR_RF[[#This Row],[Sobremaduro]]/BD_MR_RF[[#This Row],[Muestra]]),"0")</f>
        <v>0</v>
      </c>
      <c r="V30" s="25">
        <v>0</v>
      </c>
      <c r="W30" s="26">
        <f>+IFERROR((BD_MR_RF[[#This Row],[Daño Mécanico]]/BD_MR_RF[[#This Row],[Muestra]]),"0")</f>
        <v>0</v>
      </c>
      <c r="X30" s="25">
        <v>90</v>
      </c>
      <c r="Y30" s="26">
        <f>+IFERROR((BD_MR_RF[[#This Row],[Daño Insecto]]/BD_MR_RF[[#This Row],[Muestra]]),"0")</f>
        <v>0.09</v>
      </c>
      <c r="Z30" s="25">
        <v>0</v>
      </c>
      <c r="AA30" s="26">
        <f>+IFERROR((BD_MR_RF[[#This Row],[Block]]/BD_MR_RF[[#This Row],[Muestra]]),"0")</f>
        <v>0</v>
      </c>
      <c r="AB30" s="25">
        <v>0</v>
      </c>
      <c r="AC30" s="26">
        <f>+IFERROR((BD_MR_RF[[#This Row],[Mohos]]/BD_MR_RF[[#This Row],[Muestra]]),"0")</f>
        <v>0</v>
      </c>
      <c r="AD30" s="25">
        <v>0</v>
      </c>
      <c r="AE30" s="27">
        <v>0</v>
      </c>
      <c r="AG30" s="25">
        <v>0</v>
      </c>
      <c r="AH30" s="26">
        <f>+IFERROR((BD_MR_RF[[#This Row],[Valor Extra 1]]/BD_MR_RF[[#This Row],[Muestra]]),"0")</f>
        <v>0</v>
      </c>
      <c r="AJ30" s="25">
        <v>0</v>
      </c>
      <c r="AK30" s="26">
        <f>+IFERROR((BD_MR_RF[[#This Row],[Valor Extra 2]]/BD_MR_RF[[#This Row],[Muestra]]),"0")</f>
        <v>0</v>
      </c>
      <c r="AL30" s="19">
        <v>0</v>
      </c>
      <c r="AM30" s="26">
        <f>+IFERROR((BD_MR_RF[[#This Row],[Calibre &gt;16]]/BD_MR_RF[[#This Row],[Muestra]]),"0")</f>
        <v>0</v>
      </c>
      <c r="AN30" s="19">
        <v>0</v>
      </c>
      <c r="AO30" s="26">
        <f>+IFERROR((BD_MR_RF[[#This Row],[Calibre &lt;16]]/BD_MR_RF[[#This Row],[Muestra]]),"0")</f>
        <v>0</v>
      </c>
      <c r="AP30" s="19" t="s">
        <v>892</v>
      </c>
      <c r="AQ30" s="19" t="s">
        <v>892</v>
      </c>
      <c r="AR30" s="19" t="s">
        <v>892</v>
      </c>
      <c r="AS30" s="19" t="s">
        <v>892</v>
      </c>
      <c r="AT30" s="19" t="s">
        <v>892</v>
      </c>
      <c r="AU30" s="19" t="s">
        <v>892</v>
      </c>
      <c r="AV30" s="28" t="s">
        <v>892</v>
      </c>
      <c r="AW30" s="29" t="s">
        <v>900</v>
      </c>
      <c r="AX30" s="19" t="s">
        <v>890</v>
      </c>
      <c r="AY30" s="19" t="s">
        <v>890</v>
      </c>
      <c r="AZ30" s="30">
        <f>SUM(BD_MR_RF[[#This Row],[Desviación de Color]]+BD_MR_RF[[#This Row],[Sobremaduro]]+BD_MR_RF[[#This Row],[Daño Mécanico]]+BD_MR_RF[[#This Row],[Daño Insecto]]+BD_MR_RF[[#This Row],[Block]]+BD_MR_RF[[#This Row],[Mohos]])</f>
        <v>130</v>
      </c>
      <c r="BA30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0.13</v>
      </c>
      <c r="BB30" s="18" t="s">
        <v>901</v>
      </c>
      <c r="BC30" s="24">
        <f>1-BD_MR_RF[[#This Row],[% Defectos]]</f>
        <v>0.87</v>
      </c>
      <c r="BD30" s="31" t="s">
        <v>902</v>
      </c>
      <c r="BE30" s="19">
        <f>SUM(BD_MR_RF[[#This Row],[Palos (Un.) (≤18)]:[Larvas (Un.) (≤24)]])</f>
        <v>0</v>
      </c>
      <c r="BF30" s="19">
        <f>SUM(BD_MR_RF[[#This Row],[Vidrio (Un.) (0)]:[Plástico (Un.) (0)]])</f>
        <v>0</v>
      </c>
      <c r="BG30" s="19" t="str">
        <f>IF(ISBLANK(BD_MR_RF[[#This Row],[Descripción del Producto]]),"",BD_MR_RF[[#This Row],[Descripción del Producto]])</f>
        <v>MO S/V Org. S/C PSP 12 kg en Caja</v>
      </c>
      <c r="BH30" s="19">
        <f>IF(ISBLANK(BD_MR_RF[[#This Row],[N° Lote]]),"",BD_MR_RF[[#This Row],[N° Lote]])</f>
        <v>304903</v>
      </c>
      <c r="BI30" s="19">
        <f>IF(ISBLANK(BD_MR_RF[[#This Row],[N° Pallet]]),"",BD_MR_RF[[#This Row],[N° Pallet]])</f>
        <v>49435</v>
      </c>
    </row>
    <row r="31" spans="1:61">
      <c r="A31" s="36">
        <v>46039</v>
      </c>
      <c r="B31" s="19">
        <f>_xlfn.ISOWEEKNUM(BD_MR_RF[[#This Row],[Fecha]])</f>
        <v>3</v>
      </c>
      <c r="C31" s="19">
        <v>2</v>
      </c>
      <c r="D31" s="19">
        <v>3</v>
      </c>
      <c r="E31" s="20">
        <v>304231000</v>
      </c>
      <c r="F31" s="18" t="str">
        <f>IFERROR("" &amp; _xlfn.XLOOKUP(BD_MR_RF[[#This Row],[Código]],BD_Cod!A:A,BD_Cod!B:B), "")</f>
        <v>MO S/V Org. S/C PSP 12 kg en Caja</v>
      </c>
      <c r="G31" s="21" t="str">
        <f>IFERROR(" " &amp;_xlfn.XLOOKUP(BD_MR_RF[[#This Row],[Código]],BD_Cod!A:A,BD_Cod!H:H," ")," ")</f>
        <v xml:space="preserve"> PSP</v>
      </c>
      <c r="H31" s="19">
        <v>49436</v>
      </c>
      <c r="I31" s="19">
        <v>304903</v>
      </c>
      <c r="J31" s="22">
        <v>1000</v>
      </c>
      <c r="K31" s="37">
        <v>0.8125</v>
      </c>
      <c r="L31" s="19" t="s">
        <v>244</v>
      </c>
      <c r="M31" s="22">
        <v>12520</v>
      </c>
      <c r="N31" s="23">
        <v>-12.8</v>
      </c>
      <c r="O31" s="19" t="s">
        <v>890</v>
      </c>
      <c r="P31" s="19" t="s">
        <v>890</v>
      </c>
      <c r="Q31" s="24">
        <f>1-BD_MR_RF[[#This Row],[% Defectos]]</f>
        <v>0.84</v>
      </c>
      <c r="R31" s="25">
        <v>90</v>
      </c>
      <c r="S31" s="26">
        <f>+IFERROR((BD_MR_RF[[#This Row],[Desviación de Color]]/BD_MR_RF[[#This Row],[Muestra]]),"0")</f>
        <v>0.09</v>
      </c>
      <c r="T31" s="25">
        <v>0</v>
      </c>
      <c r="U31" s="26">
        <f>+IFERROR((BD_MR_RF[[#This Row],[Sobremaduro]]/BD_MR_RF[[#This Row],[Muestra]]),"0")</f>
        <v>0</v>
      </c>
      <c r="V31" s="25">
        <v>10</v>
      </c>
      <c r="W31" s="26">
        <f>+IFERROR((BD_MR_RF[[#This Row],[Daño Mécanico]]/BD_MR_RF[[#This Row],[Muestra]]),"0")</f>
        <v>0.01</v>
      </c>
      <c r="X31" s="25">
        <v>50</v>
      </c>
      <c r="Y31" s="26">
        <f>+IFERROR((BD_MR_RF[[#This Row],[Daño Insecto]]/BD_MR_RF[[#This Row],[Muestra]]),"0")</f>
        <v>0.05</v>
      </c>
      <c r="Z31" s="25">
        <v>10</v>
      </c>
      <c r="AA31" s="26">
        <f>+IFERROR((BD_MR_RF[[#This Row],[Block]]/BD_MR_RF[[#This Row],[Muestra]]),"0")</f>
        <v>0.01</v>
      </c>
      <c r="AB31" s="25">
        <v>0</v>
      </c>
      <c r="AC31" s="26">
        <f>+IFERROR((BD_MR_RF[[#This Row],[Mohos]]/BD_MR_RF[[#This Row],[Muestra]]),"0")</f>
        <v>0</v>
      </c>
      <c r="AD31" s="25">
        <v>0</v>
      </c>
      <c r="AE31" s="27">
        <v>0</v>
      </c>
      <c r="AG31" s="25">
        <v>0</v>
      </c>
      <c r="AH31" s="26">
        <f>+IFERROR((BD_MR_RF[[#This Row],[Valor Extra 1]]/BD_MR_RF[[#This Row],[Muestra]]),"0")</f>
        <v>0</v>
      </c>
      <c r="AJ31" s="25">
        <v>0</v>
      </c>
      <c r="AK31" s="26">
        <f>+IFERROR((BD_MR_RF[[#This Row],[Valor Extra 2]]/BD_MR_RF[[#This Row],[Muestra]]),"0")</f>
        <v>0</v>
      </c>
      <c r="AL31" s="19">
        <v>0</v>
      </c>
      <c r="AM31" s="26">
        <f>+IFERROR((BD_MR_RF[[#This Row],[Calibre &gt;16]]/BD_MR_RF[[#This Row],[Muestra]]),"0")</f>
        <v>0</v>
      </c>
      <c r="AN31" s="19">
        <v>0</v>
      </c>
      <c r="AO31" s="26">
        <f>+IFERROR((BD_MR_RF[[#This Row],[Calibre &lt;16]]/BD_MR_RF[[#This Row],[Muestra]]),"0")</f>
        <v>0</v>
      </c>
      <c r="AP31" s="19" t="s">
        <v>892</v>
      </c>
      <c r="AQ31" s="19" t="s">
        <v>892</v>
      </c>
      <c r="AR31" s="19" t="s">
        <v>892</v>
      </c>
      <c r="AS31" s="19" t="s">
        <v>892</v>
      </c>
      <c r="AT31" s="19" t="s">
        <v>892</v>
      </c>
      <c r="AU31" s="19" t="s">
        <v>892</v>
      </c>
      <c r="AV31" s="28" t="s">
        <v>892</v>
      </c>
      <c r="AW31" s="29" t="s">
        <v>900</v>
      </c>
      <c r="AX31" s="19" t="s">
        <v>890</v>
      </c>
      <c r="AY31" s="19" t="s">
        <v>890</v>
      </c>
      <c r="AZ31" s="30">
        <f>SUM(BD_MR_RF[[#This Row],[Desviación de Color]]+BD_MR_RF[[#This Row],[Sobremaduro]]+BD_MR_RF[[#This Row],[Daño Mécanico]]+BD_MR_RF[[#This Row],[Daño Insecto]]+BD_MR_RF[[#This Row],[Block]]+BD_MR_RF[[#This Row],[Mohos]])</f>
        <v>160</v>
      </c>
      <c r="BA31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0.16</v>
      </c>
      <c r="BB31" s="18" t="s">
        <v>901</v>
      </c>
      <c r="BC31" s="24">
        <f>1-BD_MR_RF[[#This Row],[% Defectos]]</f>
        <v>0.84</v>
      </c>
      <c r="BD31" s="31" t="s">
        <v>902</v>
      </c>
      <c r="BE31" s="19">
        <f>SUM(BD_MR_RF[[#This Row],[Palos (Un.) (≤18)]:[Larvas (Un.) (≤24)]])</f>
        <v>0</v>
      </c>
      <c r="BF31" s="19">
        <f>SUM(BD_MR_RF[[#This Row],[Vidrio (Un.) (0)]:[Plástico (Un.) (0)]])</f>
        <v>0</v>
      </c>
      <c r="BG31" s="19" t="str">
        <f>IF(ISBLANK(BD_MR_RF[[#This Row],[Descripción del Producto]]),"",BD_MR_RF[[#This Row],[Descripción del Producto]])</f>
        <v>MO S/V Org. S/C PSP 12 kg en Caja</v>
      </c>
      <c r="BH31" s="19">
        <f>IF(ISBLANK(BD_MR_RF[[#This Row],[N° Lote]]),"",BD_MR_RF[[#This Row],[N° Lote]])</f>
        <v>304903</v>
      </c>
      <c r="BI31" s="19">
        <f>IF(ISBLANK(BD_MR_RF[[#This Row],[N° Pallet]]),"",BD_MR_RF[[#This Row],[N° Pallet]])</f>
        <v>49436</v>
      </c>
    </row>
    <row r="32" spans="1:61">
      <c r="A32" s="36">
        <v>46039</v>
      </c>
      <c r="B32" s="19">
        <f>_xlfn.ISOWEEKNUM(BD_MR_RF[[#This Row],[Fecha]])</f>
        <v>3</v>
      </c>
      <c r="C32" s="19">
        <v>2</v>
      </c>
      <c r="D32" s="19">
        <v>3</v>
      </c>
      <c r="E32" s="20">
        <v>304231000</v>
      </c>
      <c r="F32" s="18" t="str">
        <f>IFERROR("" &amp; _xlfn.XLOOKUP(BD_MR_RF[[#This Row],[Código]],BD_Cod!A:A,BD_Cod!B:B), "")</f>
        <v>MO S/V Org. S/C PSP 12 kg en Caja</v>
      </c>
      <c r="G32" s="21" t="str">
        <f>IFERROR(" " &amp;_xlfn.XLOOKUP(BD_MR_RF[[#This Row],[Código]],BD_Cod!A:A,BD_Cod!H:H," ")," ")</f>
        <v xml:space="preserve"> PSP</v>
      </c>
      <c r="H32" s="19">
        <v>49437</v>
      </c>
      <c r="I32" s="19">
        <v>304903</v>
      </c>
      <c r="J32" s="22">
        <v>1000</v>
      </c>
      <c r="K32" s="37">
        <v>0.90902777777777777</v>
      </c>
      <c r="L32" s="19" t="s">
        <v>244</v>
      </c>
      <c r="M32" s="22">
        <v>12525</v>
      </c>
      <c r="N32" s="23">
        <v>-12.6</v>
      </c>
      <c r="O32" s="19" t="s">
        <v>890</v>
      </c>
      <c r="P32" s="19" t="s">
        <v>890</v>
      </c>
      <c r="Q32" s="24">
        <f>1-BD_MR_RF[[#This Row],[% Defectos]]</f>
        <v>0.94899999999999995</v>
      </c>
      <c r="R32" s="25">
        <v>0</v>
      </c>
      <c r="S32" s="26">
        <f>+IFERROR((BD_MR_RF[[#This Row],[Desviación de Color]]/BD_MR_RF[[#This Row],[Muestra]]),"0")</f>
        <v>0</v>
      </c>
      <c r="T32" s="25">
        <v>0</v>
      </c>
      <c r="U32" s="26">
        <f>+IFERROR((BD_MR_RF[[#This Row],[Sobremaduro]]/BD_MR_RF[[#This Row],[Muestra]]),"0")</f>
        <v>0</v>
      </c>
      <c r="V32" s="25">
        <v>0</v>
      </c>
      <c r="W32" s="26">
        <f>+IFERROR((BD_MR_RF[[#This Row],[Daño Mécanico]]/BD_MR_RF[[#This Row],[Muestra]]),"0")</f>
        <v>0</v>
      </c>
      <c r="X32" s="25">
        <v>50</v>
      </c>
      <c r="Y32" s="26">
        <f>+IFERROR((BD_MR_RF[[#This Row],[Daño Insecto]]/BD_MR_RF[[#This Row],[Muestra]]),"0")</f>
        <v>0.05</v>
      </c>
      <c r="Z32" s="25">
        <v>0</v>
      </c>
      <c r="AA32" s="26">
        <f>+IFERROR((BD_MR_RF[[#This Row],[Block]]/BD_MR_RF[[#This Row],[Muestra]]),"0")</f>
        <v>0</v>
      </c>
      <c r="AB32" s="25">
        <v>1</v>
      </c>
      <c r="AC32" s="26">
        <f>+IFERROR((BD_MR_RF[[#This Row],[Mohos]]/BD_MR_RF[[#This Row],[Muestra]]),"0")</f>
        <v>1E-3</v>
      </c>
      <c r="AD32" s="25">
        <v>0</v>
      </c>
      <c r="AE32" s="27">
        <v>0</v>
      </c>
      <c r="AG32" s="25">
        <v>0</v>
      </c>
      <c r="AH32" s="26">
        <f>+IFERROR((BD_MR_RF[[#This Row],[Valor Extra 1]]/BD_MR_RF[[#This Row],[Muestra]]),"0")</f>
        <v>0</v>
      </c>
      <c r="AJ32" s="25">
        <v>0</v>
      </c>
      <c r="AK32" s="26">
        <f>+IFERROR((BD_MR_RF[[#This Row],[Valor Extra 2]]/BD_MR_RF[[#This Row],[Muestra]]),"0")</f>
        <v>0</v>
      </c>
      <c r="AL32" s="19">
        <v>0</v>
      </c>
      <c r="AM32" s="26">
        <f>+IFERROR((BD_MR_RF[[#This Row],[Calibre &gt;16]]/BD_MR_RF[[#This Row],[Muestra]]),"0")</f>
        <v>0</v>
      </c>
      <c r="AN32" s="19">
        <v>0</v>
      </c>
      <c r="AO32" s="26">
        <f>+IFERROR((BD_MR_RF[[#This Row],[Calibre &lt;16]]/BD_MR_RF[[#This Row],[Muestra]]),"0")</f>
        <v>0</v>
      </c>
      <c r="AP32" s="19" t="s">
        <v>892</v>
      </c>
      <c r="AQ32" s="19" t="s">
        <v>892</v>
      </c>
      <c r="AR32" s="19" t="s">
        <v>892</v>
      </c>
      <c r="AS32" s="19" t="s">
        <v>892</v>
      </c>
      <c r="AT32" s="19" t="s">
        <v>892</v>
      </c>
      <c r="AU32" s="19" t="s">
        <v>892</v>
      </c>
      <c r="AV32" s="28" t="s">
        <v>892</v>
      </c>
      <c r="AW32" s="29" t="s">
        <v>900</v>
      </c>
      <c r="AX32" s="19" t="s">
        <v>890</v>
      </c>
      <c r="AY32" s="19" t="s">
        <v>890</v>
      </c>
      <c r="AZ32" s="30">
        <f>SUM(BD_MR_RF[[#This Row],[Desviación de Color]]+BD_MR_RF[[#This Row],[Sobremaduro]]+BD_MR_RF[[#This Row],[Daño Mécanico]]+BD_MR_RF[[#This Row],[Daño Insecto]]+BD_MR_RF[[#This Row],[Block]]+BD_MR_RF[[#This Row],[Mohos]])</f>
        <v>51</v>
      </c>
      <c r="BA32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5.1000000000000004E-2</v>
      </c>
      <c r="BB32" s="18" t="s">
        <v>901</v>
      </c>
      <c r="BC32" s="24">
        <f>1-BD_MR_RF[[#This Row],[% Defectos]]</f>
        <v>0.94899999999999995</v>
      </c>
      <c r="BD32" s="31" t="s">
        <v>902</v>
      </c>
      <c r="BE32" s="19">
        <f>SUM(BD_MR_RF[[#This Row],[Palos (Un.) (≤18)]:[Larvas (Un.) (≤24)]])</f>
        <v>0</v>
      </c>
      <c r="BF32" s="19">
        <f>SUM(BD_MR_RF[[#This Row],[Vidrio (Un.) (0)]:[Plástico (Un.) (0)]])</f>
        <v>0</v>
      </c>
      <c r="BG32" s="19" t="str">
        <f>IF(ISBLANK(BD_MR_RF[[#This Row],[Descripción del Producto]]),"",BD_MR_RF[[#This Row],[Descripción del Producto]])</f>
        <v>MO S/V Org. S/C PSP 12 kg en Caja</v>
      </c>
      <c r="BH32" s="19">
        <f>IF(ISBLANK(BD_MR_RF[[#This Row],[N° Lote]]),"",BD_MR_RF[[#This Row],[N° Lote]])</f>
        <v>304903</v>
      </c>
      <c r="BI32" s="19">
        <f>IF(ISBLANK(BD_MR_RF[[#This Row],[N° Pallet]]),"",BD_MR_RF[[#This Row],[N° Pallet]])</f>
        <v>49437</v>
      </c>
    </row>
    <row r="33" spans="2:61">
      <c r="B33" s="19">
        <f>_xlfn.ISOWEEKNUM(BD_MR_RF[[#This Row],[Fecha]])</f>
        <v>52</v>
      </c>
      <c r="E33" s="20"/>
      <c r="F33" s="18" t="str">
        <f>IFERROR("" &amp; _xlfn.XLOOKUP(BD_MR_RF[[#This Row],[Código]],BD_Cod!A:A,BD_Cod!B:B), "")</f>
        <v/>
      </c>
      <c r="G33" s="21" t="str">
        <f>IFERROR(" " &amp;_xlfn.XLOOKUP(BD_MR_RF[[#This Row],[Código]],BD_Cod!A:A,BD_Cod!H:H," ")," ")</f>
        <v xml:space="preserve"> </v>
      </c>
      <c r="J33" s="22">
        <v>1000</v>
      </c>
      <c r="L33" s="19" t="s">
        <v>244</v>
      </c>
      <c r="O33" s="19" t="s">
        <v>890</v>
      </c>
      <c r="P33" s="19" t="s">
        <v>890</v>
      </c>
      <c r="Q33" s="24">
        <f>1-BD_MR_RF[[#This Row],[% Defectos]]</f>
        <v>1</v>
      </c>
      <c r="R33" s="25">
        <v>0</v>
      </c>
      <c r="S33" s="26">
        <f>+IFERROR((BD_MR_RF[[#This Row],[Desviación de Color]]/BD_MR_RF[[#This Row],[Muestra]]),"0")</f>
        <v>0</v>
      </c>
      <c r="T33" s="25">
        <v>0</v>
      </c>
      <c r="U33" s="26">
        <f>+IFERROR((BD_MR_RF[[#This Row],[Sobremaduro]]/BD_MR_RF[[#This Row],[Muestra]]),"0")</f>
        <v>0</v>
      </c>
      <c r="V33" s="25">
        <v>0</v>
      </c>
      <c r="W33" s="26">
        <f>+IFERROR((BD_MR_RF[[#This Row],[Daño Mécanico]]/BD_MR_RF[[#This Row],[Muestra]]),"0")</f>
        <v>0</v>
      </c>
      <c r="X33" s="25">
        <v>0</v>
      </c>
      <c r="Y33" s="26">
        <f>+IFERROR((BD_MR_RF[[#This Row],[Daño Insecto]]/BD_MR_RF[[#This Row],[Muestra]]),"0")</f>
        <v>0</v>
      </c>
      <c r="Z33" s="25">
        <v>0</v>
      </c>
      <c r="AA33" s="26">
        <f>+IFERROR((BD_MR_RF[[#This Row],[Block]]/BD_MR_RF[[#This Row],[Muestra]]),"0")</f>
        <v>0</v>
      </c>
      <c r="AB33" s="25">
        <v>0</v>
      </c>
      <c r="AC33" s="26">
        <f>+IFERROR((BD_MR_RF[[#This Row],[Mohos]]/BD_MR_RF[[#This Row],[Muestra]]),"0")</f>
        <v>0</v>
      </c>
      <c r="AD33" s="25">
        <v>0</v>
      </c>
      <c r="AE33" s="27">
        <v>0</v>
      </c>
      <c r="AG33" s="25">
        <v>0</v>
      </c>
      <c r="AH33" s="26">
        <f>+IFERROR((BD_MR_RF[[#This Row],[Valor Extra 1]]/BD_MR_RF[[#This Row],[Muestra]]),"0")</f>
        <v>0</v>
      </c>
      <c r="AJ33" s="25">
        <v>0</v>
      </c>
      <c r="AK33" s="26">
        <f>+IFERROR((BD_MR_RF[[#This Row],[Valor Extra 2]]/BD_MR_RF[[#This Row],[Muestra]]),"0")</f>
        <v>0</v>
      </c>
      <c r="AL33" s="19">
        <v>0</v>
      </c>
      <c r="AM33" s="26">
        <f>+IFERROR((BD_MR_RF[[#This Row],[Calibre &gt;16]]/BD_MR_RF[[#This Row],[Muestra]]),"0")</f>
        <v>0</v>
      </c>
      <c r="AN33" s="19">
        <v>0</v>
      </c>
      <c r="AO33" s="26">
        <f>+IFERROR((BD_MR_RF[[#This Row],[Calibre &lt;16]]/BD_MR_RF[[#This Row],[Muestra]]),"0")</f>
        <v>0</v>
      </c>
      <c r="AV33" s="28"/>
      <c r="AW33" s="29" t="s">
        <v>900</v>
      </c>
      <c r="AX33" s="19" t="s">
        <v>890</v>
      </c>
      <c r="AY33" s="19" t="s">
        <v>890</v>
      </c>
      <c r="AZ33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33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33" s="24">
        <f>1-BD_MR_RF[[#This Row],[% Defectos]]</f>
        <v>1</v>
      </c>
      <c r="BD33" s="31"/>
      <c r="BE33" s="19">
        <f>SUM(BD_MR_RF[[#This Row],[Palos (Un.) (≤18)]:[Larvas (Un.) (≤24)]])</f>
        <v>0</v>
      </c>
      <c r="BF33" s="19">
        <f>SUM(BD_MR_RF[[#This Row],[Vidrio (Un.) (0)]:[Plástico (Un.) (0)]])</f>
        <v>0</v>
      </c>
      <c r="BG33" s="19" t="str">
        <f>IF(ISBLANK(BD_MR_RF[[#This Row],[Descripción del Producto]]),"",BD_MR_RF[[#This Row],[Descripción del Producto]])</f>
        <v/>
      </c>
      <c r="BH33" s="19" t="str">
        <f>IF(ISBLANK(BD_MR_RF[[#This Row],[N° Lote]]),"",BD_MR_RF[[#This Row],[N° Lote]])</f>
        <v/>
      </c>
      <c r="BI33" s="19" t="str">
        <f>IF(ISBLANK(BD_MR_RF[[#This Row],[N° Pallet]]),"",BD_MR_RF[[#This Row],[N° Pallet]])</f>
        <v/>
      </c>
    </row>
    <row r="34" spans="2:61">
      <c r="B34" s="19">
        <f>_xlfn.ISOWEEKNUM(BD_MR_RF[[#This Row],[Fecha]])</f>
        <v>52</v>
      </c>
      <c r="E34" s="20"/>
      <c r="F34" s="18" t="str">
        <f>IFERROR("" &amp; _xlfn.XLOOKUP(BD_MR_RF[[#This Row],[Código]],BD_Cod!A:A,BD_Cod!B:B), "")</f>
        <v/>
      </c>
      <c r="G34" s="21" t="str">
        <f>IFERROR(" " &amp;_xlfn.XLOOKUP(BD_MR_RF[[#This Row],[Código]],BD_Cod!A:A,BD_Cod!H:H," ")," ")</f>
        <v xml:space="preserve"> </v>
      </c>
      <c r="J34" s="22">
        <v>1000</v>
      </c>
      <c r="L34" s="19" t="s">
        <v>244</v>
      </c>
      <c r="O34" s="19" t="s">
        <v>890</v>
      </c>
      <c r="P34" s="19" t="s">
        <v>890</v>
      </c>
      <c r="Q34" s="24">
        <f>1-BD_MR_RF[[#This Row],[% Defectos]]</f>
        <v>1</v>
      </c>
      <c r="R34" s="25">
        <v>0</v>
      </c>
      <c r="S34" s="26">
        <f>+IFERROR((BD_MR_RF[[#This Row],[Desviación de Color]]/BD_MR_RF[[#This Row],[Muestra]]),"0")</f>
        <v>0</v>
      </c>
      <c r="T34" s="25">
        <v>0</v>
      </c>
      <c r="U34" s="26">
        <f>+IFERROR((BD_MR_RF[[#This Row],[Sobremaduro]]/BD_MR_RF[[#This Row],[Muestra]]),"0")</f>
        <v>0</v>
      </c>
      <c r="V34" s="25">
        <v>0</v>
      </c>
      <c r="W34" s="26">
        <f>+IFERROR((BD_MR_RF[[#This Row],[Daño Mécanico]]/BD_MR_RF[[#This Row],[Muestra]]),"0")</f>
        <v>0</v>
      </c>
      <c r="X34" s="25">
        <v>0</v>
      </c>
      <c r="Y34" s="26">
        <f>+IFERROR((BD_MR_RF[[#This Row],[Daño Insecto]]/BD_MR_RF[[#This Row],[Muestra]]),"0")</f>
        <v>0</v>
      </c>
      <c r="Z34" s="25">
        <v>0</v>
      </c>
      <c r="AA34" s="26">
        <f>+IFERROR((BD_MR_RF[[#This Row],[Block]]/BD_MR_RF[[#This Row],[Muestra]]),"0")</f>
        <v>0</v>
      </c>
      <c r="AB34" s="25">
        <v>0</v>
      </c>
      <c r="AC34" s="26">
        <f>+IFERROR((BD_MR_RF[[#This Row],[Mohos]]/BD_MR_RF[[#This Row],[Muestra]]),"0")</f>
        <v>0</v>
      </c>
      <c r="AD34" s="25">
        <v>0</v>
      </c>
      <c r="AE34" s="27">
        <v>0</v>
      </c>
      <c r="AG34" s="25">
        <v>0</v>
      </c>
      <c r="AH34" s="26">
        <f>+IFERROR((BD_MR_RF[[#This Row],[Valor Extra 1]]/BD_MR_RF[[#This Row],[Muestra]]),"0")</f>
        <v>0</v>
      </c>
      <c r="AJ34" s="25">
        <v>0</v>
      </c>
      <c r="AK34" s="26">
        <f>+IFERROR((BD_MR_RF[[#This Row],[Valor Extra 2]]/BD_MR_RF[[#This Row],[Muestra]]),"0")</f>
        <v>0</v>
      </c>
      <c r="AL34" s="19">
        <v>0</v>
      </c>
      <c r="AM34" s="26">
        <f>+IFERROR((BD_MR_RF[[#This Row],[Calibre &gt;16]]/BD_MR_RF[[#This Row],[Muestra]]),"0")</f>
        <v>0</v>
      </c>
      <c r="AN34" s="19">
        <v>0</v>
      </c>
      <c r="AO34" s="26">
        <f>+IFERROR((BD_MR_RF[[#This Row],[Calibre &lt;16]]/BD_MR_RF[[#This Row],[Muestra]]),"0")</f>
        <v>0</v>
      </c>
      <c r="AV34" s="28"/>
      <c r="AW34" s="29" t="s">
        <v>900</v>
      </c>
      <c r="AX34" s="19" t="s">
        <v>890</v>
      </c>
      <c r="AY34" s="19" t="s">
        <v>890</v>
      </c>
      <c r="AZ34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34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34" s="24">
        <f>1-BD_MR_RF[[#This Row],[% Defectos]]</f>
        <v>1</v>
      </c>
      <c r="BD34" s="31"/>
      <c r="BE34" s="19">
        <f>SUM(BD_MR_RF[[#This Row],[Palos (Un.) (≤18)]:[Larvas (Un.) (≤24)]])</f>
        <v>0</v>
      </c>
      <c r="BF34" s="19">
        <f>SUM(BD_MR_RF[[#This Row],[Vidrio (Un.) (0)]:[Plástico (Un.) (0)]])</f>
        <v>0</v>
      </c>
      <c r="BG34" s="19" t="str">
        <f>IF(ISBLANK(BD_MR_RF[[#This Row],[Descripción del Producto]]),"",BD_MR_RF[[#This Row],[Descripción del Producto]])</f>
        <v/>
      </c>
      <c r="BH34" s="19" t="str">
        <f>IF(ISBLANK(BD_MR_RF[[#This Row],[N° Lote]]),"",BD_MR_RF[[#This Row],[N° Lote]])</f>
        <v/>
      </c>
      <c r="BI34" s="19" t="str">
        <f>IF(ISBLANK(BD_MR_RF[[#This Row],[N° Pallet]]),"",BD_MR_RF[[#This Row],[N° Pallet]])</f>
        <v/>
      </c>
    </row>
    <row r="35" spans="2:61">
      <c r="B35" s="19">
        <f>_xlfn.ISOWEEKNUM(BD_MR_RF[[#This Row],[Fecha]])</f>
        <v>52</v>
      </c>
      <c r="E35" s="20"/>
      <c r="F35" s="18" t="str">
        <f>IFERROR("" &amp; _xlfn.XLOOKUP(BD_MR_RF[[#This Row],[Código]],BD_Cod!A:A,BD_Cod!B:B), "")</f>
        <v/>
      </c>
      <c r="G35" s="21" t="str">
        <f>IFERROR(" " &amp;_xlfn.XLOOKUP(BD_MR_RF[[#This Row],[Código]],BD_Cod!A:A,BD_Cod!H:H," ")," ")</f>
        <v xml:space="preserve"> </v>
      </c>
      <c r="J35" s="22">
        <v>1000</v>
      </c>
      <c r="L35" s="19" t="s">
        <v>244</v>
      </c>
      <c r="O35" s="19" t="s">
        <v>890</v>
      </c>
      <c r="P35" s="19" t="s">
        <v>890</v>
      </c>
      <c r="Q35" s="24">
        <f>1-BD_MR_RF[[#This Row],[% Defectos]]</f>
        <v>1</v>
      </c>
      <c r="R35" s="25">
        <v>0</v>
      </c>
      <c r="S35" s="26">
        <f>+IFERROR((BD_MR_RF[[#This Row],[Desviación de Color]]/BD_MR_RF[[#This Row],[Muestra]]),"0")</f>
        <v>0</v>
      </c>
      <c r="T35" s="25">
        <v>0</v>
      </c>
      <c r="U35" s="26">
        <f>+IFERROR((BD_MR_RF[[#This Row],[Sobremaduro]]/BD_MR_RF[[#This Row],[Muestra]]),"0")</f>
        <v>0</v>
      </c>
      <c r="V35" s="25">
        <v>0</v>
      </c>
      <c r="W35" s="26">
        <f>+IFERROR((BD_MR_RF[[#This Row],[Daño Mécanico]]/BD_MR_RF[[#This Row],[Muestra]]),"0")</f>
        <v>0</v>
      </c>
      <c r="X35" s="25">
        <v>0</v>
      </c>
      <c r="Y35" s="26">
        <f>+IFERROR((BD_MR_RF[[#This Row],[Daño Insecto]]/BD_MR_RF[[#This Row],[Muestra]]),"0")</f>
        <v>0</v>
      </c>
      <c r="Z35" s="25">
        <v>0</v>
      </c>
      <c r="AA35" s="26">
        <f>+IFERROR((BD_MR_RF[[#This Row],[Block]]/BD_MR_RF[[#This Row],[Muestra]]),"0")</f>
        <v>0</v>
      </c>
      <c r="AB35" s="25">
        <v>0</v>
      </c>
      <c r="AC35" s="26">
        <f>+IFERROR((BD_MR_RF[[#This Row],[Mohos]]/BD_MR_RF[[#This Row],[Muestra]]),"0")</f>
        <v>0</v>
      </c>
      <c r="AD35" s="25">
        <v>0</v>
      </c>
      <c r="AE35" s="27">
        <v>0</v>
      </c>
      <c r="AG35" s="25">
        <v>0</v>
      </c>
      <c r="AH35" s="26">
        <f>+IFERROR((BD_MR_RF[[#This Row],[Valor Extra 1]]/BD_MR_RF[[#This Row],[Muestra]]),"0")</f>
        <v>0</v>
      </c>
      <c r="AJ35" s="25">
        <v>0</v>
      </c>
      <c r="AK35" s="26">
        <f>+IFERROR((BD_MR_RF[[#This Row],[Valor Extra 2]]/BD_MR_RF[[#This Row],[Muestra]]),"0")</f>
        <v>0</v>
      </c>
      <c r="AL35" s="19">
        <v>0</v>
      </c>
      <c r="AM35" s="26">
        <f>+IFERROR((BD_MR_RF[[#This Row],[Calibre &gt;16]]/BD_MR_RF[[#This Row],[Muestra]]),"0")</f>
        <v>0</v>
      </c>
      <c r="AN35" s="19">
        <v>0</v>
      </c>
      <c r="AO35" s="26">
        <f>+IFERROR((BD_MR_RF[[#This Row],[Calibre &lt;16]]/BD_MR_RF[[#This Row],[Muestra]]),"0")</f>
        <v>0</v>
      </c>
      <c r="AV35" s="28"/>
      <c r="AW35" s="29" t="s">
        <v>900</v>
      </c>
      <c r="AX35" s="19" t="s">
        <v>890</v>
      </c>
      <c r="AY35" s="19" t="s">
        <v>890</v>
      </c>
      <c r="AZ35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35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35" s="24">
        <f>1-BD_MR_RF[[#This Row],[% Defectos]]</f>
        <v>1</v>
      </c>
      <c r="BD35" s="31"/>
      <c r="BE35" s="19">
        <f>SUM(BD_MR_RF[[#This Row],[Palos (Un.) (≤18)]:[Larvas (Un.) (≤24)]])</f>
        <v>0</v>
      </c>
      <c r="BF35" s="19">
        <f>SUM(BD_MR_RF[[#This Row],[Vidrio (Un.) (0)]:[Plástico (Un.) (0)]])</f>
        <v>0</v>
      </c>
      <c r="BG35" s="19" t="str">
        <f>IF(ISBLANK(BD_MR_RF[[#This Row],[Descripción del Producto]]),"",BD_MR_RF[[#This Row],[Descripción del Producto]])</f>
        <v/>
      </c>
      <c r="BH35" s="19" t="str">
        <f>IF(ISBLANK(BD_MR_RF[[#This Row],[N° Lote]]),"",BD_MR_RF[[#This Row],[N° Lote]])</f>
        <v/>
      </c>
      <c r="BI35" s="19" t="str">
        <f>IF(ISBLANK(BD_MR_RF[[#This Row],[N° Pallet]]),"",BD_MR_RF[[#This Row],[N° Pallet]])</f>
        <v/>
      </c>
    </row>
    <row r="36" spans="2:61">
      <c r="B36" s="19">
        <f>_xlfn.ISOWEEKNUM(BD_MR_RF[[#This Row],[Fecha]])</f>
        <v>52</v>
      </c>
      <c r="E36" s="20"/>
      <c r="F36" s="18" t="str">
        <f>IFERROR("" &amp; _xlfn.XLOOKUP(BD_MR_RF[[#This Row],[Código]],BD_Cod!A:A,BD_Cod!B:B), "")</f>
        <v/>
      </c>
      <c r="G36" s="21" t="str">
        <f>IFERROR(" " &amp;_xlfn.XLOOKUP(BD_MR_RF[[#This Row],[Código]],BD_Cod!A:A,BD_Cod!H:H," ")," ")</f>
        <v xml:space="preserve"> </v>
      </c>
      <c r="J36" s="22">
        <v>1000</v>
      </c>
      <c r="L36" s="19" t="s">
        <v>244</v>
      </c>
      <c r="O36" s="19" t="s">
        <v>890</v>
      </c>
      <c r="P36" s="19" t="s">
        <v>890</v>
      </c>
      <c r="Q36" s="24">
        <f>1-BD_MR_RF[[#This Row],[% Defectos]]</f>
        <v>1</v>
      </c>
      <c r="R36" s="25">
        <v>0</v>
      </c>
      <c r="S36" s="26">
        <f>+IFERROR((BD_MR_RF[[#This Row],[Desviación de Color]]/BD_MR_RF[[#This Row],[Muestra]]),"0")</f>
        <v>0</v>
      </c>
      <c r="T36" s="25">
        <v>0</v>
      </c>
      <c r="U36" s="26">
        <f>+IFERROR((BD_MR_RF[[#This Row],[Sobremaduro]]/BD_MR_RF[[#This Row],[Muestra]]),"0")</f>
        <v>0</v>
      </c>
      <c r="V36" s="25">
        <v>0</v>
      </c>
      <c r="W36" s="26">
        <f>+IFERROR((BD_MR_RF[[#This Row],[Daño Mécanico]]/BD_MR_RF[[#This Row],[Muestra]]),"0")</f>
        <v>0</v>
      </c>
      <c r="X36" s="25">
        <v>0</v>
      </c>
      <c r="Y36" s="26">
        <f>+IFERROR((BD_MR_RF[[#This Row],[Daño Insecto]]/BD_MR_RF[[#This Row],[Muestra]]),"0")</f>
        <v>0</v>
      </c>
      <c r="Z36" s="25">
        <v>0</v>
      </c>
      <c r="AA36" s="26">
        <f>+IFERROR((BD_MR_RF[[#This Row],[Block]]/BD_MR_RF[[#This Row],[Muestra]]),"0")</f>
        <v>0</v>
      </c>
      <c r="AB36" s="25">
        <v>0</v>
      </c>
      <c r="AC36" s="26">
        <f>+IFERROR((BD_MR_RF[[#This Row],[Mohos]]/BD_MR_RF[[#This Row],[Muestra]]),"0")</f>
        <v>0</v>
      </c>
      <c r="AD36" s="25">
        <v>0</v>
      </c>
      <c r="AE36" s="27">
        <v>0</v>
      </c>
      <c r="AG36" s="25">
        <v>0</v>
      </c>
      <c r="AH36" s="26">
        <f>+IFERROR((BD_MR_RF[[#This Row],[Valor Extra 1]]/BD_MR_RF[[#This Row],[Muestra]]),"0")</f>
        <v>0</v>
      </c>
      <c r="AJ36" s="25">
        <v>0</v>
      </c>
      <c r="AK36" s="26">
        <f>+IFERROR((BD_MR_RF[[#This Row],[Valor Extra 2]]/BD_MR_RF[[#This Row],[Muestra]]),"0")</f>
        <v>0</v>
      </c>
      <c r="AL36" s="19">
        <v>0</v>
      </c>
      <c r="AM36" s="26">
        <f>+IFERROR((BD_MR_RF[[#This Row],[Calibre &gt;16]]/BD_MR_RF[[#This Row],[Muestra]]),"0")</f>
        <v>0</v>
      </c>
      <c r="AN36" s="19">
        <v>0</v>
      </c>
      <c r="AO36" s="26">
        <f>+IFERROR((BD_MR_RF[[#This Row],[Calibre &lt;16]]/BD_MR_RF[[#This Row],[Muestra]]),"0")</f>
        <v>0</v>
      </c>
      <c r="AV36" s="28"/>
      <c r="AW36" s="29" t="s">
        <v>900</v>
      </c>
      <c r="AX36" s="19" t="s">
        <v>890</v>
      </c>
      <c r="AY36" s="19" t="s">
        <v>890</v>
      </c>
      <c r="AZ36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36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36" s="24">
        <f>1-BD_MR_RF[[#This Row],[% Defectos]]</f>
        <v>1</v>
      </c>
      <c r="BD36" s="31"/>
      <c r="BE36" s="19">
        <f>SUM(BD_MR_RF[[#This Row],[Palos (Un.) (≤18)]:[Larvas (Un.) (≤24)]])</f>
        <v>0</v>
      </c>
      <c r="BF36" s="19">
        <f>SUM(BD_MR_RF[[#This Row],[Vidrio (Un.) (0)]:[Plástico (Un.) (0)]])</f>
        <v>0</v>
      </c>
      <c r="BG36" s="19" t="str">
        <f>IF(ISBLANK(BD_MR_RF[[#This Row],[Descripción del Producto]]),"",BD_MR_RF[[#This Row],[Descripción del Producto]])</f>
        <v/>
      </c>
      <c r="BH36" s="19" t="str">
        <f>IF(ISBLANK(BD_MR_RF[[#This Row],[N° Lote]]),"",BD_MR_RF[[#This Row],[N° Lote]])</f>
        <v/>
      </c>
      <c r="BI36" s="19" t="str">
        <f>IF(ISBLANK(BD_MR_RF[[#This Row],[N° Pallet]]),"",BD_MR_RF[[#This Row],[N° Pallet]])</f>
        <v/>
      </c>
    </row>
    <row r="37" spans="2:61">
      <c r="B37" s="19">
        <f>_xlfn.ISOWEEKNUM(BD_MR_RF[[#This Row],[Fecha]])</f>
        <v>52</v>
      </c>
      <c r="E37" s="20"/>
      <c r="F37" s="18" t="str">
        <f>IFERROR("" &amp; _xlfn.XLOOKUP(BD_MR_RF[[#This Row],[Código]],BD_Cod!A:A,BD_Cod!B:B), "")</f>
        <v/>
      </c>
      <c r="G37" s="21" t="str">
        <f>IFERROR(" " &amp;_xlfn.XLOOKUP(BD_MR_RF[[#This Row],[Código]],BD_Cod!A:A,BD_Cod!H:H," ")," ")</f>
        <v xml:space="preserve"> </v>
      </c>
      <c r="J37" s="22">
        <v>1000</v>
      </c>
      <c r="L37" s="19" t="s">
        <v>244</v>
      </c>
      <c r="O37" s="19" t="s">
        <v>890</v>
      </c>
      <c r="P37" s="19" t="s">
        <v>890</v>
      </c>
      <c r="Q37" s="24">
        <f>1-BD_MR_RF[[#This Row],[% Defectos]]</f>
        <v>1</v>
      </c>
      <c r="R37" s="25">
        <v>0</v>
      </c>
      <c r="S37" s="26">
        <f>+IFERROR((BD_MR_RF[[#This Row],[Desviación de Color]]/BD_MR_RF[[#This Row],[Muestra]]),"0")</f>
        <v>0</v>
      </c>
      <c r="T37" s="25">
        <v>0</v>
      </c>
      <c r="U37" s="26">
        <f>+IFERROR((BD_MR_RF[[#This Row],[Sobremaduro]]/BD_MR_RF[[#This Row],[Muestra]]),"0")</f>
        <v>0</v>
      </c>
      <c r="V37" s="25">
        <v>0</v>
      </c>
      <c r="W37" s="26">
        <f>+IFERROR((BD_MR_RF[[#This Row],[Daño Mécanico]]/BD_MR_RF[[#This Row],[Muestra]]),"0")</f>
        <v>0</v>
      </c>
      <c r="X37" s="25">
        <v>0</v>
      </c>
      <c r="Y37" s="26">
        <f>+IFERROR((BD_MR_RF[[#This Row],[Daño Insecto]]/BD_MR_RF[[#This Row],[Muestra]]),"0")</f>
        <v>0</v>
      </c>
      <c r="Z37" s="25">
        <v>0</v>
      </c>
      <c r="AA37" s="26">
        <f>+IFERROR((BD_MR_RF[[#This Row],[Block]]/BD_MR_RF[[#This Row],[Muestra]]),"0")</f>
        <v>0</v>
      </c>
      <c r="AB37" s="25">
        <v>0</v>
      </c>
      <c r="AC37" s="26">
        <f>+IFERROR((BD_MR_RF[[#This Row],[Mohos]]/BD_MR_RF[[#This Row],[Muestra]]),"0")</f>
        <v>0</v>
      </c>
      <c r="AD37" s="25">
        <v>0</v>
      </c>
      <c r="AE37" s="27">
        <v>0</v>
      </c>
      <c r="AG37" s="25">
        <v>0</v>
      </c>
      <c r="AH37" s="26">
        <f>+IFERROR((BD_MR_RF[[#This Row],[Valor Extra 1]]/BD_MR_RF[[#This Row],[Muestra]]),"0")</f>
        <v>0</v>
      </c>
      <c r="AJ37" s="25">
        <v>0</v>
      </c>
      <c r="AK37" s="26">
        <f>+IFERROR((BD_MR_RF[[#This Row],[Valor Extra 2]]/BD_MR_RF[[#This Row],[Muestra]]),"0")</f>
        <v>0</v>
      </c>
      <c r="AL37" s="19">
        <v>0</v>
      </c>
      <c r="AM37" s="26">
        <f>+IFERROR((BD_MR_RF[[#This Row],[Calibre &gt;16]]/BD_MR_RF[[#This Row],[Muestra]]),"0")</f>
        <v>0</v>
      </c>
      <c r="AN37" s="19">
        <v>0</v>
      </c>
      <c r="AO37" s="26">
        <f>+IFERROR((BD_MR_RF[[#This Row],[Calibre &lt;16]]/BD_MR_RF[[#This Row],[Muestra]]),"0")</f>
        <v>0</v>
      </c>
      <c r="AV37" s="28"/>
      <c r="AW37" s="29" t="s">
        <v>900</v>
      </c>
      <c r="AX37" s="19" t="s">
        <v>890</v>
      </c>
      <c r="AY37" s="19" t="s">
        <v>890</v>
      </c>
      <c r="AZ37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37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37" s="24">
        <f>1-BD_MR_RF[[#This Row],[% Defectos]]</f>
        <v>1</v>
      </c>
      <c r="BD37" s="31"/>
      <c r="BE37" s="19">
        <f>SUM(BD_MR_RF[[#This Row],[Palos (Un.) (≤18)]:[Larvas (Un.) (≤24)]])</f>
        <v>0</v>
      </c>
      <c r="BF37" s="19">
        <f>SUM(BD_MR_RF[[#This Row],[Vidrio (Un.) (0)]:[Plástico (Un.) (0)]])</f>
        <v>0</v>
      </c>
      <c r="BG37" s="19" t="str">
        <f>IF(ISBLANK(BD_MR_RF[[#This Row],[Descripción del Producto]]),"",BD_MR_RF[[#This Row],[Descripción del Producto]])</f>
        <v/>
      </c>
      <c r="BH37" s="19" t="str">
        <f>IF(ISBLANK(BD_MR_RF[[#This Row],[N° Lote]]),"",BD_MR_RF[[#This Row],[N° Lote]])</f>
        <v/>
      </c>
      <c r="BI37" s="19" t="str">
        <f>IF(ISBLANK(BD_MR_RF[[#This Row],[N° Pallet]]),"",BD_MR_RF[[#This Row],[N° Pallet]])</f>
        <v/>
      </c>
    </row>
    <row r="38" spans="2:61">
      <c r="B38" s="19">
        <f>_xlfn.ISOWEEKNUM(BD_MR_RF[[#This Row],[Fecha]])</f>
        <v>52</v>
      </c>
      <c r="E38" s="20"/>
      <c r="F38" s="18" t="str">
        <f>IFERROR("" &amp; _xlfn.XLOOKUP(BD_MR_RF[[#This Row],[Código]],BD_Cod!A:A,BD_Cod!B:B), "")</f>
        <v/>
      </c>
      <c r="G38" s="21" t="str">
        <f>IFERROR(" " &amp;_xlfn.XLOOKUP(BD_MR_RF[[#This Row],[Código]],BD_Cod!A:A,BD_Cod!H:H," ")," ")</f>
        <v xml:space="preserve"> </v>
      </c>
      <c r="J38" s="22">
        <v>1000</v>
      </c>
      <c r="L38" s="19" t="s">
        <v>244</v>
      </c>
      <c r="O38" s="19" t="s">
        <v>890</v>
      </c>
      <c r="P38" s="19" t="s">
        <v>890</v>
      </c>
      <c r="Q38" s="24">
        <f>1-BD_MR_RF[[#This Row],[% Defectos]]</f>
        <v>1</v>
      </c>
      <c r="R38" s="25">
        <v>0</v>
      </c>
      <c r="S38" s="26">
        <f>+IFERROR((BD_MR_RF[[#This Row],[Desviación de Color]]/BD_MR_RF[[#This Row],[Muestra]]),"0")</f>
        <v>0</v>
      </c>
      <c r="T38" s="25">
        <v>0</v>
      </c>
      <c r="U38" s="26">
        <f>+IFERROR((BD_MR_RF[[#This Row],[Sobremaduro]]/BD_MR_RF[[#This Row],[Muestra]]),"0")</f>
        <v>0</v>
      </c>
      <c r="V38" s="25">
        <v>0</v>
      </c>
      <c r="W38" s="26">
        <f>+IFERROR((BD_MR_RF[[#This Row],[Daño Mécanico]]/BD_MR_RF[[#This Row],[Muestra]]),"0")</f>
        <v>0</v>
      </c>
      <c r="X38" s="25">
        <v>0</v>
      </c>
      <c r="Y38" s="26">
        <f>+IFERROR((BD_MR_RF[[#This Row],[Daño Insecto]]/BD_MR_RF[[#This Row],[Muestra]]),"0")</f>
        <v>0</v>
      </c>
      <c r="Z38" s="25">
        <v>0</v>
      </c>
      <c r="AA38" s="26">
        <f>+IFERROR((BD_MR_RF[[#This Row],[Block]]/BD_MR_RF[[#This Row],[Muestra]]),"0")</f>
        <v>0</v>
      </c>
      <c r="AB38" s="25">
        <v>0</v>
      </c>
      <c r="AC38" s="26">
        <f>+IFERROR((BD_MR_RF[[#This Row],[Mohos]]/BD_MR_RF[[#This Row],[Muestra]]),"0")</f>
        <v>0</v>
      </c>
      <c r="AD38" s="25">
        <v>0</v>
      </c>
      <c r="AE38" s="27">
        <v>0</v>
      </c>
      <c r="AG38" s="25">
        <v>0</v>
      </c>
      <c r="AH38" s="26">
        <f>+IFERROR((BD_MR_RF[[#This Row],[Valor Extra 1]]/BD_MR_RF[[#This Row],[Muestra]]),"0")</f>
        <v>0</v>
      </c>
      <c r="AJ38" s="25">
        <v>0</v>
      </c>
      <c r="AK38" s="26">
        <f>+IFERROR((BD_MR_RF[[#This Row],[Valor Extra 2]]/BD_MR_RF[[#This Row],[Muestra]]),"0")</f>
        <v>0</v>
      </c>
      <c r="AL38" s="19">
        <v>0</v>
      </c>
      <c r="AM38" s="26">
        <f>+IFERROR((BD_MR_RF[[#This Row],[Calibre &gt;16]]/BD_MR_RF[[#This Row],[Muestra]]),"0")</f>
        <v>0</v>
      </c>
      <c r="AN38" s="19">
        <v>0</v>
      </c>
      <c r="AO38" s="26">
        <f>+IFERROR((BD_MR_RF[[#This Row],[Calibre &lt;16]]/BD_MR_RF[[#This Row],[Muestra]]),"0")</f>
        <v>0</v>
      </c>
      <c r="AV38" s="28"/>
      <c r="AW38" s="29" t="s">
        <v>900</v>
      </c>
      <c r="AX38" s="19" t="s">
        <v>890</v>
      </c>
      <c r="AY38" s="19" t="s">
        <v>890</v>
      </c>
      <c r="AZ38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38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38" s="24">
        <f>1-BD_MR_RF[[#This Row],[% Defectos]]</f>
        <v>1</v>
      </c>
      <c r="BD38" s="31"/>
      <c r="BE38" s="19">
        <f>SUM(BD_MR_RF[[#This Row],[Palos (Un.) (≤18)]:[Larvas (Un.) (≤24)]])</f>
        <v>0</v>
      </c>
      <c r="BF38" s="19">
        <f>SUM(BD_MR_RF[[#This Row],[Vidrio (Un.) (0)]:[Plástico (Un.) (0)]])</f>
        <v>0</v>
      </c>
      <c r="BG38" s="19" t="str">
        <f>IF(ISBLANK(BD_MR_RF[[#This Row],[Descripción del Producto]]),"",BD_MR_RF[[#This Row],[Descripción del Producto]])</f>
        <v/>
      </c>
      <c r="BH38" s="19" t="str">
        <f>IF(ISBLANK(BD_MR_RF[[#This Row],[N° Lote]]),"",BD_MR_RF[[#This Row],[N° Lote]])</f>
        <v/>
      </c>
      <c r="BI38" s="19" t="str">
        <f>IF(ISBLANK(BD_MR_RF[[#This Row],[N° Pallet]]),"",BD_MR_RF[[#This Row],[N° Pallet]])</f>
        <v/>
      </c>
    </row>
    <row r="39" spans="2:61">
      <c r="B39" s="19">
        <f>_xlfn.ISOWEEKNUM(BD_MR_RF[[#This Row],[Fecha]])</f>
        <v>52</v>
      </c>
      <c r="E39" s="20"/>
      <c r="F39" s="18" t="str">
        <f>IFERROR("" &amp; _xlfn.XLOOKUP(BD_MR_RF[[#This Row],[Código]],BD_Cod!A:A,BD_Cod!B:B), "")</f>
        <v/>
      </c>
      <c r="G39" s="21" t="str">
        <f>IFERROR(" " &amp;_xlfn.XLOOKUP(BD_MR_RF[[#This Row],[Código]],BD_Cod!A:A,BD_Cod!H:H," ")," ")</f>
        <v xml:space="preserve"> </v>
      </c>
      <c r="J39" s="22">
        <v>1000</v>
      </c>
      <c r="L39" s="19" t="s">
        <v>244</v>
      </c>
      <c r="O39" s="19" t="s">
        <v>890</v>
      </c>
      <c r="P39" s="19" t="s">
        <v>890</v>
      </c>
      <c r="Q39" s="24">
        <f>1-BD_MR_RF[[#This Row],[% Defectos]]</f>
        <v>1</v>
      </c>
      <c r="R39" s="25">
        <v>0</v>
      </c>
      <c r="S39" s="26">
        <f>+IFERROR((BD_MR_RF[[#This Row],[Desviación de Color]]/BD_MR_RF[[#This Row],[Muestra]]),"0")</f>
        <v>0</v>
      </c>
      <c r="T39" s="25">
        <v>0</v>
      </c>
      <c r="U39" s="26">
        <f>+IFERROR((BD_MR_RF[[#This Row],[Sobremaduro]]/BD_MR_RF[[#This Row],[Muestra]]),"0")</f>
        <v>0</v>
      </c>
      <c r="V39" s="25">
        <v>0</v>
      </c>
      <c r="W39" s="26">
        <f>+IFERROR((BD_MR_RF[[#This Row],[Daño Mécanico]]/BD_MR_RF[[#This Row],[Muestra]]),"0")</f>
        <v>0</v>
      </c>
      <c r="X39" s="25">
        <v>0</v>
      </c>
      <c r="Y39" s="26">
        <f>+IFERROR((BD_MR_RF[[#This Row],[Daño Insecto]]/BD_MR_RF[[#This Row],[Muestra]]),"0")</f>
        <v>0</v>
      </c>
      <c r="Z39" s="25">
        <v>0</v>
      </c>
      <c r="AA39" s="26">
        <f>+IFERROR((BD_MR_RF[[#This Row],[Block]]/BD_MR_RF[[#This Row],[Muestra]]),"0")</f>
        <v>0</v>
      </c>
      <c r="AB39" s="25">
        <v>0</v>
      </c>
      <c r="AC39" s="26">
        <f>+IFERROR((BD_MR_RF[[#This Row],[Mohos]]/BD_MR_RF[[#This Row],[Muestra]]),"0")</f>
        <v>0</v>
      </c>
      <c r="AD39" s="25">
        <v>0</v>
      </c>
      <c r="AE39" s="27">
        <v>0</v>
      </c>
      <c r="AG39" s="25">
        <v>0</v>
      </c>
      <c r="AH39" s="26">
        <f>+IFERROR((BD_MR_RF[[#This Row],[Valor Extra 1]]/BD_MR_RF[[#This Row],[Muestra]]),"0")</f>
        <v>0</v>
      </c>
      <c r="AJ39" s="25">
        <v>0</v>
      </c>
      <c r="AK39" s="26">
        <f>+IFERROR((BD_MR_RF[[#This Row],[Valor Extra 2]]/BD_MR_RF[[#This Row],[Muestra]]),"0")</f>
        <v>0</v>
      </c>
      <c r="AL39" s="19">
        <v>0</v>
      </c>
      <c r="AM39" s="26">
        <f>+IFERROR((BD_MR_RF[[#This Row],[Calibre &gt;16]]/BD_MR_RF[[#This Row],[Muestra]]),"0")</f>
        <v>0</v>
      </c>
      <c r="AN39" s="19">
        <v>0</v>
      </c>
      <c r="AO39" s="26">
        <f>+IFERROR((BD_MR_RF[[#This Row],[Calibre &lt;16]]/BD_MR_RF[[#This Row],[Muestra]]),"0")</f>
        <v>0</v>
      </c>
      <c r="AV39" s="28"/>
      <c r="AW39" s="29" t="s">
        <v>900</v>
      </c>
      <c r="AX39" s="19" t="s">
        <v>890</v>
      </c>
      <c r="AY39" s="19" t="s">
        <v>890</v>
      </c>
      <c r="AZ39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39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39" s="24">
        <f>1-BD_MR_RF[[#This Row],[% Defectos]]</f>
        <v>1</v>
      </c>
      <c r="BD39" s="31"/>
      <c r="BE39" s="19">
        <f>SUM(BD_MR_RF[[#This Row],[Palos (Un.) (≤18)]:[Larvas (Un.) (≤24)]])</f>
        <v>0</v>
      </c>
      <c r="BF39" s="19">
        <f>SUM(BD_MR_RF[[#This Row],[Vidrio (Un.) (0)]:[Plástico (Un.) (0)]])</f>
        <v>0</v>
      </c>
      <c r="BG39" s="19" t="str">
        <f>IF(ISBLANK(BD_MR_RF[[#This Row],[Descripción del Producto]]),"",BD_MR_RF[[#This Row],[Descripción del Producto]])</f>
        <v/>
      </c>
      <c r="BH39" s="19" t="str">
        <f>IF(ISBLANK(BD_MR_RF[[#This Row],[N° Lote]]),"",BD_MR_RF[[#This Row],[N° Lote]])</f>
        <v/>
      </c>
      <c r="BI39" s="19" t="str">
        <f>IF(ISBLANK(BD_MR_RF[[#This Row],[N° Pallet]]),"",BD_MR_RF[[#This Row],[N° Pallet]])</f>
        <v/>
      </c>
    </row>
    <row r="40" spans="2:61">
      <c r="B40" s="19">
        <f>_xlfn.ISOWEEKNUM(BD_MR_RF[[#This Row],[Fecha]])</f>
        <v>52</v>
      </c>
      <c r="E40" s="20"/>
      <c r="F40" s="18" t="str">
        <f>IFERROR("" &amp; _xlfn.XLOOKUP(BD_MR_RF[[#This Row],[Código]],BD_Cod!A:A,BD_Cod!B:B), "")</f>
        <v/>
      </c>
      <c r="G40" s="21" t="str">
        <f>IFERROR(" " &amp;_xlfn.XLOOKUP(BD_MR_RF[[#This Row],[Código]],BD_Cod!A:A,BD_Cod!H:H," ")," ")</f>
        <v xml:space="preserve"> </v>
      </c>
      <c r="J40" s="22">
        <v>1000</v>
      </c>
      <c r="L40" s="19" t="s">
        <v>244</v>
      </c>
      <c r="O40" s="19" t="s">
        <v>890</v>
      </c>
      <c r="P40" s="19" t="s">
        <v>890</v>
      </c>
      <c r="Q40" s="24">
        <f>1-BD_MR_RF[[#This Row],[% Defectos]]</f>
        <v>1</v>
      </c>
      <c r="R40" s="25">
        <v>0</v>
      </c>
      <c r="S40" s="26">
        <f>+IFERROR((BD_MR_RF[[#This Row],[Desviación de Color]]/BD_MR_RF[[#This Row],[Muestra]]),"0")</f>
        <v>0</v>
      </c>
      <c r="T40" s="25">
        <v>0</v>
      </c>
      <c r="U40" s="26">
        <f>+IFERROR((BD_MR_RF[[#This Row],[Sobremaduro]]/BD_MR_RF[[#This Row],[Muestra]]),"0")</f>
        <v>0</v>
      </c>
      <c r="V40" s="25">
        <v>0</v>
      </c>
      <c r="W40" s="26">
        <f>+IFERROR((BD_MR_RF[[#This Row],[Daño Mécanico]]/BD_MR_RF[[#This Row],[Muestra]]),"0")</f>
        <v>0</v>
      </c>
      <c r="X40" s="25">
        <v>0</v>
      </c>
      <c r="Y40" s="26">
        <f>+IFERROR((BD_MR_RF[[#This Row],[Daño Insecto]]/BD_MR_RF[[#This Row],[Muestra]]),"0")</f>
        <v>0</v>
      </c>
      <c r="Z40" s="25">
        <v>0</v>
      </c>
      <c r="AA40" s="26">
        <f>+IFERROR((BD_MR_RF[[#This Row],[Block]]/BD_MR_RF[[#This Row],[Muestra]]),"0")</f>
        <v>0</v>
      </c>
      <c r="AB40" s="25">
        <v>0</v>
      </c>
      <c r="AC40" s="26">
        <f>+IFERROR((BD_MR_RF[[#This Row],[Mohos]]/BD_MR_RF[[#This Row],[Muestra]]),"0")</f>
        <v>0</v>
      </c>
      <c r="AD40" s="25">
        <v>0</v>
      </c>
      <c r="AE40" s="27">
        <v>0</v>
      </c>
      <c r="AG40" s="25">
        <v>0</v>
      </c>
      <c r="AH40" s="26">
        <f>+IFERROR((BD_MR_RF[[#This Row],[Valor Extra 1]]/BD_MR_RF[[#This Row],[Muestra]]),"0")</f>
        <v>0</v>
      </c>
      <c r="AJ40" s="25">
        <v>0</v>
      </c>
      <c r="AK40" s="26">
        <f>+IFERROR((BD_MR_RF[[#This Row],[Valor Extra 2]]/BD_MR_RF[[#This Row],[Muestra]]),"0")</f>
        <v>0</v>
      </c>
      <c r="AL40" s="19">
        <v>0</v>
      </c>
      <c r="AM40" s="26">
        <f>+IFERROR((BD_MR_RF[[#This Row],[Calibre &gt;16]]/BD_MR_RF[[#This Row],[Muestra]]),"0")</f>
        <v>0</v>
      </c>
      <c r="AN40" s="19">
        <v>0</v>
      </c>
      <c r="AO40" s="26">
        <f>+IFERROR((BD_MR_RF[[#This Row],[Calibre &lt;16]]/BD_MR_RF[[#This Row],[Muestra]]),"0")</f>
        <v>0</v>
      </c>
      <c r="AV40" s="28"/>
      <c r="AW40" s="29" t="s">
        <v>900</v>
      </c>
      <c r="AX40" s="19" t="s">
        <v>890</v>
      </c>
      <c r="AY40" s="19" t="s">
        <v>890</v>
      </c>
      <c r="AZ40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0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0" s="24">
        <f>1-BD_MR_RF[[#This Row],[% Defectos]]</f>
        <v>1</v>
      </c>
      <c r="BD40" s="31"/>
      <c r="BE40" s="19">
        <f>SUM(BD_MR_RF[[#This Row],[Palos (Un.) (≤18)]:[Larvas (Un.) (≤24)]])</f>
        <v>0</v>
      </c>
      <c r="BF40" s="19">
        <f>SUM(BD_MR_RF[[#This Row],[Vidrio (Un.) (0)]:[Plástico (Un.) (0)]])</f>
        <v>0</v>
      </c>
      <c r="BG40" s="19" t="str">
        <f>IF(ISBLANK(BD_MR_RF[[#This Row],[Descripción del Producto]]),"",BD_MR_RF[[#This Row],[Descripción del Producto]])</f>
        <v/>
      </c>
      <c r="BH40" s="19" t="str">
        <f>IF(ISBLANK(BD_MR_RF[[#This Row],[N° Lote]]),"",BD_MR_RF[[#This Row],[N° Lote]])</f>
        <v/>
      </c>
      <c r="BI40" s="19" t="str">
        <f>IF(ISBLANK(BD_MR_RF[[#This Row],[N° Pallet]]),"",BD_MR_RF[[#This Row],[N° Pallet]])</f>
        <v/>
      </c>
    </row>
    <row r="41" spans="2:61">
      <c r="B41" s="19">
        <f>_xlfn.ISOWEEKNUM(BD_MR_RF[[#This Row],[Fecha]])</f>
        <v>52</v>
      </c>
      <c r="E41" s="20"/>
      <c r="F41" s="18" t="str">
        <f>IFERROR("" &amp; _xlfn.XLOOKUP(BD_MR_RF[[#This Row],[Código]],BD_Cod!A:A,BD_Cod!B:B), "")</f>
        <v/>
      </c>
      <c r="G41" s="21" t="str">
        <f>IFERROR(" " &amp;_xlfn.XLOOKUP(BD_MR_RF[[#This Row],[Código]],BD_Cod!A:A,BD_Cod!H:H," ")," ")</f>
        <v xml:space="preserve"> </v>
      </c>
      <c r="J41" s="22">
        <v>1000</v>
      </c>
      <c r="L41" s="19" t="s">
        <v>244</v>
      </c>
      <c r="O41" s="19" t="s">
        <v>890</v>
      </c>
      <c r="P41" s="19" t="s">
        <v>890</v>
      </c>
      <c r="Q41" s="24">
        <f>1-BD_MR_RF[[#This Row],[% Defectos]]</f>
        <v>1</v>
      </c>
      <c r="R41" s="25">
        <v>0</v>
      </c>
      <c r="S41" s="26">
        <f>+IFERROR((BD_MR_RF[[#This Row],[Desviación de Color]]/BD_MR_RF[[#This Row],[Muestra]]),"0")</f>
        <v>0</v>
      </c>
      <c r="T41" s="25">
        <v>0</v>
      </c>
      <c r="U41" s="26">
        <f>+IFERROR((BD_MR_RF[[#This Row],[Sobremaduro]]/BD_MR_RF[[#This Row],[Muestra]]),"0")</f>
        <v>0</v>
      </c>
      <c r="V41" s="25">
        <v>0</v>
      </c>
      <c r="W41" s="26">
        <f>+IFERROR((BD_MR_RF[[#This Row],[Daño Mécanico]]/BD_MR_RF[[#This Row],[Muestra]]),"0")</f>
        <v>0</v>
      </c>
      <c r="X41" s="25">
        <v>0</v>
      </c>
      <c r="Y41" s="26">
        <f>+IFERROR((BD_MR_RF[[#This Row],[Daño Insecto]]/BD_MR_RF[[#This Row],[Muestra]]),"0")</f>
        <v>0</v>
      </c>
      <c r="Z41" s="25">
        <v>0</v>
      </c>
      <c r="AA41" s="26">
        <f>+IFERROR((BD_MR_RF[[#This Row],[Block]]/BD_MR_RF[[#This Row],[Muestra]]),"0")</f>
        <v>0</v>
      </c>
      <c r="AB41" s="25">
        <v>0</v>
      </c>
      <c r="AC41" s="26">
        <f>+IFERROR((BD_MR_RF[[#This Row],[Mohos]]/BD_MR_RF[[#This Row],[Muestra]]),"0")</f>
        <v>0</v>
      </c>
      <c r="AD41" s="25">
        <v>0</v>
      </c>
      <c r="AE41" s="27">
        <v>0</v>
      </c>
      <c r="AG41" s="25">
        <v>0</v>
      </c>
      <c r="AH41" s="26">
        <f>+IFERROR((BD_MR_RF[[#This Row],[Valor Extra 1]]/BD_MR_RF[[#This Row],[Muestra]]),"0")</f>
        <v>0</v>
      </c>
      <c r="AJ41" s="25">
        <v>0</v>
      </c>
      <c r="AK41" s="26">
        <f>+IFERROR((BD_MR_RF[[#This Row],[Valor Extra 2]]/BD_MR_RF[[#This Row],[Muestra]]),"0")</f>
        <v>0</v>
      </c>
      <c r="AL41" s="19">
        <v>0</v>
      </c>
      <c r="AM41" s="26">
        <f>+IFERROR((BD_MR_RF[[#This Row],[Calibre &gt;16]]/BD_MR_RF[[#This Row],[Muestra]]),"0")</f>
        <v>0</v>
      </c>
      <c r="AN41" s="19">
        <v>0</v>
      </c>
      <c r="AO41" s="26">
        <f>+IFERROR((BD_MR_RF[[#This Row],[Calibre &lt;16]]/BD_MR_RF[[#This Row],[Muestra]]),"0")</f>
        <v>0</v>
      </c>
      <c r="AV41" s="28"/>
      <c r="AW41" s="29" t="s">
        <v>900</v>
      </c>
      <c r="AX41" s="19" t="s">
        <v>890</v>
      </c>
      <c r="AY41" s="19" t="s">
        <v>890</v>
      </c>
      <c r="AZ41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1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1" s="24">
        <f>1-BD_MR_RF[[#This Row],[% Defectos]]</f>
        <v>1</v>
      </c>
      <c r="BD41" s="31"/>
      <c r="BE41" s="19">
        <f>SUM(BD_MR_RF[[#This Row],[Palos (Un.) (≤18)]:[Larvas (Un.) (≤24)]])</f>
        <v>0</v>
      </c>
      <c r="BF41" s="19">
        <f>SUM(BD_MR_RF[[#This Row],[Vidrio (Un.) (0)]:[Plástico (Un.) (0)]])</f>
        <v>0</v>
      </c>
      <c r="BG41" s="19" t="str">
        <f>IF(ISBLANK(BD_MR_RF[[#This Row],[Descripción del Producto]]),"",BD_MR_RF[[#This Row],[Descripción del Producto]])</f>
        <v/>
      </c>
      <c r="BH41" s="19" t="str">
        <f>IF(ISBLANK(BD_MR_RF[[#This Row],[N° Lote]]),"",BD_MR_RF[[#This Row],[N° Lote]])</f>
        <v/>
      </c>
      <c r="BI41" s="19" t="str">
        <f>IF(ISBLANK(BD_MR_RF[[#This Row],[N° Pallet]]),"",BD_MR_RF[[#This Row],[N° Pallet]])</f>
        <v/>
      </c>
    </row>
    <row r="42" spans="2:61">
      <c r="B42" s="19">
        <f>_xlfn.ISOWEEKNUM(BD_MR_RF[[#This Row],[Fecha]])</f>
        <v>52</v>
      </c>
      <c r="E42" s="20"/>
      <c r="F42" s="18" t="str">
        <f>IFERROR("" &amp; _xlfn.XLOOKUP(BD_MR_RF[[#This Row],[Código]],BD_Cod!A:A,BD_Cod!B:B), "")</f>
        <v/>
      </c>
      <c r="G42" s="21" t="str">
        <f>IFERROR(" " &amp;_xlfn.XLOOKUP(BD_MR_RF[[#This Row],[Código]],BD_Cod!A:A,BD_Cod!H:H," ")," ")</f>
        <v xml:space="preserve"> </v>
      </c>
      <c r="J42" s="22">
        <v>1000</v>
      </c>
      <c r="L42" s="19" t="s">
        <v>244</v>
      </c>
      <c r="O42" s="19" t="s">
        <v>890</v>
      </c>
      <c r="P42" s="19" t="s">
        <v>890</v>
      </c>
      <c r="Q42" s="24">
        <f>1-BD_MR_RF[[#This Row],[% Defectos]]</f>
        <v>1</v>
      </c>
      <c r="R42" s="25">
        <v>0</v>
      </c>
      <c r="S42" s="26">
        <f>+IFERROR((BD_MR_RF[[#This Row],[Desviación de Color]]/BD_MR_RF[[#This Row],[Muestra]]),"0")</f>
        <v>0</v>
      </c>
      <c r="T42" s="25">
        <v>0</v>
      </c>
      <c r="U42" s="26">
        <f>+IFERROR((BD_MR_RF[[#This Row],[Sobremaduro]]/BD_MR_RF[[#This Row],[Muestra]]),"0")</f>
        <v>0</v>
      </c>
      <c r="V42" s="25">
        <v>0</v>
      </c>
      <c r="W42" s="26">
        <f>+IFERROR((BD_MR_RF[[#This Row],[Daño Mécanico]]/BD_MR_RF[[#This Row],[Muestra]]),"0")</f>
        <v>0</v>
      </c>
      <c r="X42" s="25">
        <v>0</v>
      </c>
      <c r="Y42" s="26">
        <f>+IFERROR((BD_MR_RF[[#This Row],[Daño Insecto]]/BD_MR_RF[[#This Row],[Muestra]]),"0")</f>
        <v>0</v>
      </c>
      <c r="Z42" s="25">
        <v>0</v>
      </c>
      <c r="AA42" s="26">
        <f>+IFERROR((BD_MR_RF[[#This Row],[Block]]/BD_MR_RF[[#This Row],[Muestra]]),"0")</f>
        <v>0</v>
      </c>
      <c r="AB42" s="25">
        <v>0</v>
      </c>
      <c r="AC42" s="26">
        <f>+IFERROR((BD_MR_RF[[#This Row],[Mohos]]/BD_MR_RF[[#This Row],[Muestra]]),"0")</f>
        <v>0</v>
      </c>
      <c r="AD42" s="25">
        <v>0</v>
      </c>
      <c r="AE42" s="27">
        <v>0</v>
      </c>
      <c r="AG42" s="25">
        <v>0</v>
      </c>
      <c r="AH42" s="26">
        <f>+IFERROR((BD_MR_RF[[#This Row],[Valor Extra 1]]/BD_MR_RF[[#This Row],[Muestra]]),"0")</f>
        <v>0</v>
      </c>
      <c r="AJ42" s="25">
        <v>0</v>
      </c>
      <c r="AK42" s="26">
        <f>+IFERROR((BD_MR_RF[[#This Row],[Valor Extra 2]]/BD_MR_RF[[#This Row],[Muestra]]),"0")</f>
        <v>0</v>
      </c>
      <c r="AL42" s="19">
        <v>0</v>
      </c>
      <c r="AM42" s="26">
        <f>+IFERROR((BD_MR_RF[[#This Row],[Calibre &gt;16]]/BD_MR_RF[[#This Row],[Muestra]]),"0")</f>
        <v>0</v>
      </c>
      <c r="AN42" s="19">
        <v>0</v>
      </c>
      <c r="AO42" s="26">
        <f>+IFERROR((BD_MR_RF[[#This Row],[Calibre &lt;16]]/BD_MR_RF[[#This Row],[Muestra]]),"0")</f>
        <v>0</v>
      </c>
      <c r="AV42" s="28"/>
      <c r="AW42" s="29" t="s">
        <v>900</v>
      </c>
      <c r="AX42" s="19" t="s">
        <v>890</v>
      </c>
      <c r="AY42" s="19" t="s">
        <v>890</v>
      </c>
      <c r="AZ42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2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2" s="24">
        <f>1-BD_MR_RF[[#This Row],[% Defectos]]</f>
        <v>1</v>
      </c>
      <c r="BD42" s="31"/>
      <c r="BE42" s="19">
        <f>SUM(BD_MR_RF[[#This Row],[Palos (Un.) (≤18)]:[Larvas (Un.) (≤24)]])</f>
        <v>0</v>
      </c>
      <c r="BF42" s="19">
        <f>SUM(BD_MR_RF[[#This Row],[Vidrio (Un.) (0)]:[Plástico (Un.) (0)]])</f>
        <v>0</v>
      </c>
      <c r="BG42" s="19" t="str">
        <f>IF(ISBLANK(BD_MR_RF[[#This Row],[Descripción del Producto]]),"",BD_MR_RF[[#This Row],[Descripción del Producto]])</f>
        <v/>
      </c>
      <c r="BH42" s="19" t="str">
        <f>IF(ISBLANK(BD_MR_RF[[#This Row],[N° Lote]]),"",BD_MR_RF[[#This Row],[N° Lote]])</f>
        <v/>
      </c>
      <c r="BI42" s="19" t="str">
        <f>IF(ISBLANK(BD_MR_RF[[#This Row],[N° Pallet]]),"",BD_MR_RF[[#This Row],[N° Pallet]])</f>
        <v/>
      </c>
    </row>
    <row r="43" spans="2:61">
      <c r="B43" s="19">
        <f>_xlfn.ISOWEEKNUM(BD_MR_RF[[#This Row],[Fecha]])</f>
        <v>52</v>
      </c>
      <c r="E43" s="20"/>
      <c r="F43" s="18" t="str">
        <f>IFERROR("" &amp; _xlfn.XLOOKUP(BD_MR_RF[[#This Row],[Código]],BD_Cod!A:A,BD_Cod!B:B), "")</f>
        <v/>
      </c>
      <c r="G43" s="21" t="str">
        <f>IFERROR(" " &amp;_xlfn.XLOOKUP(BD_MR_RF[[#This Row],[Código]],BD_Cod!A:A,BD_Cod!H:H," ")," ")</f>
        <v xml:space="preserve"> </v>
      </c>
      <c r="J43" s="22">
        <v>1000</v>
      </c>
      <c r="L43" s="19" t="s">
        <v>244</v>
      </c>
      <c r="O43" s="19" t="s">
        <v>890</v>
      </c>
      <c r="P43" s="19" t="s">
        <v>890</v>
      </c>
      <c r="Q43" s="24">
        <f>1-BD_MR_RF[[#This Row],[% Defectos]]</f>
        <v>1</v>
      </c>
      <c r="R43" s="25">
        <v>0</v>
      </c>
      <c r="S43" s="26">
        <f>+IFERROR((BD_MR_RF[[#This Row],[Desviación de Color]]/BD_MR_RF[[#This Row],[Muestra]]),"0")</f>
        <v>0</v>
      </c>
      <c r="T43" s="25">
        <v>0</v>
      </c>
      <c r="U43" s="26">
        <f>+IFERROR((BD_MR_RF[[#This Row],[Sobremaduro]]/BD_MR_RF[[#This Row],[Muestra]]),"0")</f>
        <v>0</v>
      </c>
      <c r="V43" s="25">
        <v>0</v>
      </c>
      <c r="W43" s="26">
        <f>+IFERROR((BD_MR_RF[[#This Row],[Daño Mécanico]]/BD_MR_RF[[#This Row],[Muestra]]),"0")</f>
        <v>0</v>
      </c>
      <c r="X43" s="25">
        <v>0</v>
      </c>
      <c r="Y43" s="26">
        <f>+IFERROR((BD_MR_RF[[#This Row],[Daño Insecto]]/BD_MR_RF[[#This Row],[Muestra]]),"0")</f>
        <v>0</v>
      </c>
      <c r="Z43" s="25">
        <v>0</v>
      </c>
      <c r="AA43" s="26">
        <f>+IFERROR((BD_MR_RF[[#This Row],[Block]]/BD_MR_RF[[#This Row],[Muestra]]),"0")</f>
        <v>0</v>
      </c>
      <c r="AB43" s="25">
        <v>0</v>
      </c>
      <c r="AC43" s="26">
        <f>+IFERROR((BD_MR_RF[[#This Row],[Mohos]]/BD_MR_RF[[#This Row],[Muestra]]),"0")</f>
        <v>0</v>
      </c>
      <c r="AD43" s="25">
        <v>0</v>
      </c>
      <c r="AE43" s="27">
        <v>0</v>
      </c>
      <c r="AG43" s="25">
        <v>0</v>
      </c>
      <c r="AH43" s="26">
        <f>+IFERROR((BD_MR_RF[[#This Row],[Valor Extra 1]]/BD_MR_RF[[#This Row],[Muestra]]),"0")</f>
        <v>0</v>
      </c>
      <c r="AJ43" s="25">
        <v>0</v>
      </c>
      <c r="AK43" s="26">
        <f>+IFERROR((BD_MR_RF[[#This Row],[Valor Extra 2]]/BD_MR_RF[[#This Row],[Muestra]]),"0")</f>
        <v>0</v>
      </c>
      <c r="AL43" s="19">
        <v>0</v>
      </c>
      <c r="AM43" s="26">
        <f>+IFERROR((BD_MR_RF[[#This Row],[Calibre &gt;16]]/BD_MR_RF[[#This Row],[Muestra]]),"0")</f>
        <v>0</v>
      </c>
      <c r="AN43" s="19">
        <v>0</v>
      </c>
      <c r="AO43" s="26">
        <f>+IFERROR((BD_MR_RF[[#This Row],[Calibre &lt;16]]/BD_MR_RF[[#This Row],[Muestra]]),"0")</f>
        <v>0</v>
      </c>
      <c r="AV43" s="28"/>
      <c r="AW43" s="29" t="s">
        <v>900</v>
      </c>
      <c r="AX43" s="19" t="s">
        <v>890</v>
      </c>
      <c r="AY43" s="19" t="s">
        <v>890</v>
      </c>
      <c r="AZ43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3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3" s="24">
        <f>1-BD_MR_RF[[#This Row],[% Defectos]]</f>
        <v>1</v>
      </c>
      <c r="BD43" s="31"/>
      <c r="BE43" s="19">
        <f>SUM(BD_MR_RF[[#This Row],[Palos (Un.) (≤18)]:[Larvas (Un.) (≤24)]])</f>
        <v>0</v>
      </c>
      <c r="BF43" s="19">
        <f>SUM(BD_MR_RF[[#This Row],[Vidrio (Un.) (0)]:[Plástico (Un.) (0)]])</f>
        <v>0</v>
      </c>
      <c r="BG43" s="19" t="str">
        <f>IF(ISBLANK(BD_MR_RF[[#This Row],[Descripción del Producto]]),"",BD_MR_RF[[#This Row],[Descripción del Producto]])</f>
        <v/>
      </c>
      <c r="BH43" s="19" t="str">
        <f>IF(ISBLANK(BD_MR_RF[[#This Row],[N° Lote]]),"",BD_MR_RF[[#This Row],[N° Lote]])</f>
        <v/>
      </c>
      <c r="BI43" s="19" t="str">
        <f>IF(ISBLANK(BD_MR_RF[[#This Row],[N° Pallet]]),"",BD_MR_RF[[#This Row],[N° Pallet]])</f>
        <v/>
      </c>
    </row>
    <row r="44" spans="2:61">
      <c r="B44" s="19">
        <f>_xlfn.ISOWEEKNUM(BD_MR_RF[[#This Row],[Fecha]])</f>
        <v>52</v>
      </c>
      <c r="E44" s="20"/>
      <c r="F44" s="18" t="str">
        <f>IFERROR("" &amp; _xlfn.XLOOKUP(BD_MR_RF[[#This Row],[Código]],BD_Cod!A:A,BD_Cod!B:B), "")</f>
        <v/>
      </c>
      <c r="G44" s="21" t="str">
        <f>IFERROR(" " &amp;_xlfn.XLOOKUP(BD_MR_RF[[#This Row],[Código]],BD_Cod!A:A,BD_Cod!H:H," ")," ")</f>
        <v xml:space="preserve"> </v>
      </c>
      <c r="J44" s="22">
        <v>1000</v>
      </c>
      <c r="L44" s="19" t="s">
        <v>244</v>
      </c>
      <c r="O44" s="19" t="s">
        <v>890</v>
      </c>
      <c r="P44" s="19" t="s">
        <v>890</v>
      </c>
      <c r="Q44" s="24">
        <f>1-BD_MR_RF[[#This Row],[% Defectos]]</f>
        <v>1</v>
      </c>
      <c r="R44" s="25">
        <v>0</v>
      </c>
      <c r="S44" s="26">
        <f>+IFERROR((BD_MR_RF[[#This Row],[Desviación de Color]]/BD_MR_RF[[#This Row],[Muestra]]),"0")</f>
        <v>0</v>
      </c>
      <c r="T44" s="25">
        <v>0</v>
      </c>
      <c r="U44" s="26">
        <f>+IFERROR((BD_MR_RF[[#This Row],[Sobremaduro]]/BD_MR_RF[[#This Row],[Muestra]]),"0")</f>
        <v>0</v>
      </c>
      <c r="V44" s="25">
        <v>0</v>
      </c>
      <c r="W44" s="26">
        <f>+IFERROR((BD_MR_RF[[#This Row],[Daño Mécanico]]/BD_MR_RF[[#This Row],[Muestra]]),"0")</f>
        <v>0</v>
      </c>
      <c r="X44" s="25">
        <v>0</v>
      </c>
      <c r="Y44" s="26">
        <f>+IFERROR((BD_MR_RF[[#This Row],[Daño Insecto]]/BD_MR_RF[[#This Row],[Muestra]]),"0")</f>
        <v>0</v>
      </c>
      <c r="Z44" s="25">
        <v>0</v>
      </c>
      <c r="AA44" s="26">
        <f>+IFERROR((BD_MR_RF[[#This Row],[Block]]/BD_MR_RF[[#This Row],[Muestra]]),"0")</f>
        <v>0</v>
      </c>
      <c r="AB44" s="25">
        <v>0</v>
      </c>
      <c r="AC44" s="26">
        <f>+IFERROR((BD_MR_RF[[#This Row],[Mohos]]/BD_MR_RF[[#This Row],[Muestra]]),"0")</f>
        <v>0</v>
      </c>
      <c r="AD44" s="25">
        <v>0</v>
      </c>
      <c r="AE44" s="27">
        <v>0</v>
      </c>
      <c r="AG44" s="25">
        <v>0</v>
      </c>
      <c r="AH44" s="26">
        <f>+IFERROR((BD_MR_RF[[#This Row],[Valor Extra 1]]/BD_MR_RF[[#This Row],[Muestra]]),"0")</f>
        <v>0</v>
      </c>
      <c r="AJ44" s="25">
        <v>0</v>
      </c>
      <c r="AK44" s="26">
        <f>+IFERROR((BD_MR_RF[[#This Row],[Valor Extra 2]]/BD_MR_RF[[#This Row],[Muestra]]),"0")</f>
        <v>0</v>
      </c>
      <c r="AL44" s="19">
        <v>0</v>
      </c>
      <c r="AM44" s="26">
        <f>+IFERROR((BD_MR_RF[[#This Row],[Calibre &gt;16]]/BD_MR_RF[[#This Row],[Muestra]]),"0")</f>
        <v>0</v>
      </c>
      <c r="AN44" s="19">
        <v>0</v>
      </c>
      <c r="AO44" s="26">
        <f>+IFERROR((BD_MR_RF[[#This Row],[Calibre &lt;16]]/BD_MR_RF[[#This Row],[Muestra]]),"0")</f>
        <v>0</v>
      </c>
      <c r="AV44" s="28"/>
      <c r="AW44" s="29" t="s">
        <v>900</v>
      </c>
      <c r="AX44" s="19" t="s">
        <v>890</v>
      </c>
      <c r="AY44" s="19" t="s">
        <v>890</v>
      </c>
      <c r="AZ44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4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4" s="24">
        <f>1-BD_MR_RF[[#This Row],[% Defectos]]</f>
        <v>1</v>
      </c>
      <c r="BD44" s="31"/>
      <c r="BE44" s="19">
        <f>SUM(BD_MR_RF[[#This Row],[Palos (Un.) (≤18)]:[Larvas (Un.) (≤24)]])</f>
        <v>0</v>
      </c>
      <c r="BF44" s="19">
        <f>SUM(BD_MR_RF[[#This Row],[Vidrio (Un.) (0)]:[Plástico (Un.) (0)]])</f>
        <v>0</v>
      </c>
      <c r="BG44" s="19" t="str">
        <f>IF(ISBLANK(BD_MR_RF[[#This Row],[Descripción del Producto]]),"",BD_MR_RF[[#This Row],[Descripción del Producto]])</f>
        <v/>
      </c>
      <c r="BH44" s="19" t="str">
        <f>IF(ISBLANK(BD_MR_RF[[#This Row],[N° Lote]]),"",BD_MR_RF[[#This Row],[N° Lote]])</f>
        <v/>
      </c>
      <c r="BI44" s="19" t="str">
        <f>IF(ISBLANK(BD_MR_RF[[#This Row],[N° Pallet]]),"",BD_MR_RF[[#This Row],[N° Pallet]])</f>
        <v/>
      </c>
    </row>
    <row r="45" spans="2:61">
      <c r="B45" s="19">
        <f>_xlfn.ISOWEEKNUM(BD_MR_RF[[#This Row],[Fecha]])</f>
        <v>52</v>
      </c>
      <c r="E45" s="20"/>
      <c r="F45" s="18" t="str">
        <f>IFERROR("" &amp; _xlfn.XLOOKUP(BD_MR_RF[[#This Row],[Código]],BD_Cod!A:A,BD_Cod!B:B), "")</f>
        <v/>
      </c>
      <c r="G45" s="21" t="str">
        <f>IFERROR(" " &amp;_xlfn.XLOOKUP(BD_MR_RF[[#This Row],[Código]],BD_Cod!A:A,BD_Cod!H:H," ")," ")</f>
        <v xml:space="preserve"> </v>
      </c>
      <c r="J45" s="22">
        <v>1000</v>
      </c>
      <c r="L45" s="19" t="s">
        <v>244</v>
      </c>
      <c r="O45" s="19" t="s">
        <v>890</v>
      </c>
      <c r="P45" s="19" t="s">
        <v>890</v>
      </c>
      <c r="Q45" s="24">
        <f>1-BD_MR_RF[[#This Row],[% Defectos]]</f>
        <v>1</v>
      </c>
      <c r="R45" s="25">
        <v>0</v>
      </c>
      <c r="S45" s="26">
        <f>+IFERROR((BD_MR_RF[[#This Row],[Desviación de Color]]/BD_MR_RF[[#This Row],[Muestra]]),"0")</f>
        <v>0</v>
      </c>
      <c r="T45" s="25">
        <v>0</v>
      </c>
      <c r="U45" s="26">
        <f>+IFERROR((BD_MR_RF[[#This Row],[Sobremaduro]]/BD_MR_RF[[#This Row],[Muestra]]),"0")</f>
        <v>0</v>
      </c>
      <c r="V45" s="25">
        <v>0</v>
      </c>
      <c r="W45" s="26">
        <f>+IFERROR((BD_MR_RF[[#This Row],[Daño Mécanico]]/BD_MR_RF[[#This Row],[Muestra]]),"0")</f>
        <v>0</v>
      </c>
      <c r="X45" s="25">
        <v>0</v>
      </c>
      <c r="Y45" s="26">
        <f>+IFERROR((BD_MR_RF[[#This Row],[Daño Insecto]]/BD_MR_RF[[#This Row],[Muestra]]),"0")</f>
        <v>0</v>
      </c>
      <c r="Z45" s="25">
        <v>0</v>
      </c>
      <c r="AA45" s="26">
        <f>+IFERROR((BD_MR_RF[[#This Row],[Block]]/BD_MR_RF[[#This Row],[Muestra]]),"0")</f>
        <v>0</v>
      </c>
      <c r="AB45" s="25">
        <v>0</v>
      </c>
      <c r="AC45" s="26">
        <f>+IFERROR((BD_MR_RF[[#This Row],[Mohos]]/BD_MR_RF[[#This Row],[Muestra]]),"0")</f>
        <v>0</v>
      </c>
      <c r="AD45" s="25">
        <v>0</v>
      </c>
      <c r="AE45" s="27">
        <v>0</v>
      </c>
      <c r="AG45" s="25">
        <v>0</v>
      </c>
      <c r="AH45" s="26">
        <f>+IFERROR((BD_MR_RF[[#This Row],[Valor Extra 1]]/BD_MR_RF[[#This Row],[Muestra]]),"0")</f>
        <v>0</v>
      </c>
      <c r="AJ45" s="25">
        <v>0</v>
      </c>
      <c r="AK45" s="26">
        <f>+IFERROR((BD_MR_RF[[#This Row],[Valor Extra 2]]/BD_MR_RF[[#This Row],[Muestra]]),"0")</f>
        <v>0</v>
      </c>
      <c r="AL45" s="19">
        <v>0</v>
      </c>
      <c r="AM45" s="26">
        <f>+IFERROR((BD_MR_RF[[#This Row],[Calibre &gt;16]]/BD_MR_RF[[#This Row],[Muestra]]),"0")</f>
        <v>0</v>
      </c>
      <c r="AN45" s="19">
        <v>0</v>
      </c>
      <c r="AO45" s="26">
        <f>+IFERROR((BD_MR_RF[[#This Row],[Calibre &lt;16]]/BD_MR_RF[[#This Row],[Muestra]]),"0")</f>
        <v>0</v>
      </c>
      <c r="AV45" s="28"/>
      <c r="AW45" s="29" t="s">
        <v>900</v>
      </c>
      <c r="AX45" s="19" t="s">
        <v>890</v>
      </c>
      <c r="AY45" s="19" t="s">
        <v>890</v>
      </c>
      <c r="AZ45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5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5" s="24">
        <f>1-BD_MR_RF[[#This Row],[% Defectos]]</f>
        <v>1</v>
      </c>
      <c r="BD45" s="31"/>
      <c r="BE45" s="19">
        <f>SUM(BD_MR_RF[[#This Row],[Palos (Un.) (≤18)]:[Larvas (Un.) (≤24)]])</f>
        <v>0</v>
      </c>
      <c r="BF45" s="19">
        <f>SUM(BD_MR_RF[[#This Row],[Vidrio (Un.) (0)]:[Plástico (Un.) (0)]])</f>
        <v>0</v>
      </c>
      <c r="BG45" s="19" t="str">
        <f>IF(ISBLANK(BD_MR_RF[[#This Row],[Descripción del Producto]]),"",BD_MR_RF[[#This Row],[Descripción del Producto]])</f>
        <v/>
      </c>
      <c r="BH45" s="19" t="str">
        <f>IF(ISBLANK(BD_MR_RF[[#This Row],[N° Lote]]),"",BD_MR_RF[[#This Row],[N° Lote]])</f>
        <v/>
      </c>
      <c r="BI45" s="19" t="str">
        <f>IF(ISBLANK(BD_MR_RF[[#This Row],[N° Pallet]]),"",BD_MR_RF[[#This Row],[N° Pallet]])</f>
        <v/>
      </c>
    </row>
    <row r="46" spans="2:61">
      <c r="B46" s="19">
        <f>_xlfn.ISOWEEKNUM(BD_MR_RF[[#This Row],[Fecha]])</f>
        <v>52</v>
      </c>
      <c r="E46" s="20"/>
      <c r="F46" s="18" t="str">
        <f>IFERROR("" &amp; _xlfn.XLOOKUP(BD_MR_RF[[#This Row],[Código]],BD_Cod!A:A,BD_Cod!B:B), "")</f>
        <v/>
      </c>
      <c r="G46" s="21" t="str">
        <f>IFERROR(" " &amp;_xlfn.XLOOKUP(BD_MR_RF[[#This Row],[Código]],BD_Cod!A:A,BD_Cod!H:H," ")," ")</f>
        <v xml:space="preserve"> </v>
      </c>
      <c r="J46" s="22">
        <v>1000</v>
      </c>
      <c r="L46" s="19" t="s">
        <v>244</v>
      </c>
      <c r="O46" s="19" t="s">
        <v>890</v>
      </c>
      <c r="P46" s="19" t="s">
        <v>890</v>
      </c>
      <c r="Q46" s="24">
        <f>1-BD_MR_RF[[#This Row],[% Defectos]]</f>
        <v>1</v>
      </c>
      <c r="R46" s="25">
        <v>0</v>
      </c>
      <c r="S46" s="26">
        <f>+IFERROR((BD_MR_RF[[#This Row],[Desviación de Color]]/BD_MR_RF[[#This Row],[Muestra]]),"0")</f>
        <v>0</v>
      </c>
      <c r="T46" s="25">
        <v>0</v>
      </c>
      <c r="U46" s="26">
        <f>+IFERROR((BD_MR_RF[[#This Row],[Sobremaduro]]/BD_MR_RF[[#This Row],[Muestra]]),"0")</f>
        <v>0</v>
      </c>
      <c r="V46" s="25">
        <v>0</v>
      </c>
      <c r="W46" s="26">
        <f>+IFERROR((BD_MR_RF[[#This Row],[Daño Mécanico]]/BD_MR_RF[[#This Row],[Muestra]]),"0")</f>
        <v>0</v>
      </c>
      <c r="X46" s="25">
        <v>0</v>
      </c>
      <c r="Y46" s="26">
        <f>+IFERROR((BD_MR_RF[[#This Row],[Daño Insecto]]/BD_MR_RF[[#This Row],[Muestra]]),"0")</f>
        <v>0</v>
      </c>
      <c r="Z46" s="25">
        <v>0</v>
      </c>
      <c r="AA46" s="26">
        <f>+IFERROR((BD_MR_RF[[#This Row],[Block]]/BD_MR_RF[[#This Row],[Muestra]]),"0")</f>
        <v>0</v>
      </c>
      <c r="AB46" s="25">
        <v>0</v>
      </c>
      <c r="AC46" s="26">
        <f>+IFERROR((BD_MR_RF[[#This Row],[Mohos]]/BD_MR_RF[[#This Row],[Muestra]]),"0")</f>
        <v>0</v>
      </c>
      <c r="AD46" s="25">
        <v>0</v>
      </c>
      <c r="AE46" s="27">
        <v>0</v>
      </c>
      <c r="AG46" s="25">
        <v>0</v>
      </c>
      <c r="AH46" s="26">
        <f>+IFERROR((BD_MR_RF[[#This Row],[Valor Extra 1]]/BD_MR_RF[[#This Row],[Muestra]]),"0")</f>
        <v>0</v>
      </c>
      <c r="AJ46" s="25">
        <v>0</v>
      </c>
      <c r="AK46" s="26">
        <f>+IFERROR((BD_MR_RF[[#This Row],[Valor Extra 2]]/BD_MR_RF[[#This Row],[Muestra]]),"0")</f>
        <v>0</v>
      </c>
      <c r="AL46" s="19">
        <v>0</v>
      </c>
      <c r="AM46" s="26">
        <f>+IFERROR((BD_MR_RF[[#This Row],[Calibre &gt;16]]/BD_MR_RF[[#This Row],[Muestra]]),"0")</f>
        <v>0</v>
      </c>
      <c r="AN46" s="19">
        <v>0</v>
      </c>
      <c r="AO46" s="26">
        <f>+IFERROR((BD_MR_RF[[#This Row],[Calibre &lt;16]]/BD_MR_RF[[#This Row],[Muestra]]),"0")</f>
        <v>0</v>
      </c>
      <c r="AV46" s="28"/>
      <c r="AW46" s="29" t="s">
        <v>900</v>
      </c>
      <c r="AX46" s="19" t="s">
        <v>890</v>
      </c>
      <c r="AY46" s="19" t="s">
        <v>890</v>
      </c>
      <c r="AZ46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6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6" s="24">
        <f>1-BD_MR_RF[[#This Row],[% Defectos]]</f>
        <v>1</v>
      </c>
      <c r="BD46" s="31"/>
      <c r="BE46" s="19">
        <f>SUM(BD_MR_RF[[#This Row],[Palos (Un.) (≤18)]:[Larvas (Un.) (≤24)]])</f>
        <v>0</v>
      </c>
      <c r="BF46" s="19">
        <f>SUM(BD_MR_RF[[#This Row],[Vidrio (Un.) (0)]:[Plástico (Un.) (0)]])</f>
        <v>0</v>
      </c>
      <c r="BG46" s="19" t="str">
        <f>IF(ISBLANK(BD_MR_RF[[#This Row],[Descripción del Producto]]),"",BD_MR_RF[[#This Row],[Descripción del Producto]])</f>
        <v/>
      </c>
      <c r="BH46" s="19" t="str">
        <f>IF(ISBLANK(BD_MR_RF[[#This Row],[N° Lote]]),"",BD_MR_RF[[#This Row],[N° Lote]])</f>
        <v/>
      </c>
      <c r="BI46" s="19" t="str">
        <f>IF(ISBLANK(BD_MR_RF[[#This Row],[N° Pallet]]),"",BD_MR_RF[[#This Row],[N° Pallet]])</f>
        <v/>
      </c>
    </row>
    <row r="47" spans="2:61">
      <c r="B47" s="19">
        <f>_xlfn.ISOWEEKNUM(BD_MR_RF[[#This Row],[Fecha]])</f>
        <v>52</v>
      </c>
      <c r="E47" s="20"/>
      <c r="F47" s="18" t="str">
        <f>IFERROR("" &amp; _xlfn.XLOOKUP(BD_MR_RF[[#This Row],[Código]],BD_Cod!A:A,BD_Cod!B:B), "")</f>
        <v/>
      </c>
      <c r="G47" s="21" t="str">
        <f>IFERROR(" " &amp;_xlfn.XLOOKUP(BD_MR_RF[[#This Row],[Código]],BD_Cod!A:A,BD_Cod!H:H," ")," ")</f>
        <v xml:space="preserve"> </v>
      </c>
      <c r="J47" s="22">
        <v>1000</v>
      </c>
      <c r="L47" s="19" t="s">
        <v>244</v>
      </c>
      <c r="O47" s="19" t="s">
        <v>890</v>
      </c>
      <c r="P47" s="19" t="s">
        <v>890</v>
      </c>
      <c r="Q47" s="24">
        <f>1-BD_MR_RF[[#This Row],[% Defectos]]</f>
        <v>1</v>
      </c>
      <c r="R47" s="25">
        <v>0</v>
      </c>
      <c r="S47" s="26">
        <f>+IFERROR((BD_MR_RF[[#This Row],[Desviación de Color]]/BD_MR_RF[[#This Row],[Muestra]]),"0")</f>
        <v>0</v>
      </c>
      <c r="T47" s="25">
        <v>0</v>
      </c>
      <c r="U47" s="26">
        <f>+IFERROR((BD_MR_RF[[#This Row],[Sobremaduro]]/BD_MR_RF[[#This Row],[Muestra]]),"0")</f>
        <v>0</v>
      </c>
      <c r="V47" s="25">
        <v>0</v>
      </c>
      <c r="W47" s="26">
        <f>+IFERROR((BD_MR_RF[[#This Row],[Daño Mécanico]]/BD_MR_RF[[#This Row],[Muestra]]),"0")</f>
        <v>0</v>
      </c>
      <c r="X47" s="25">
        <v>0</v>
      </c>
      <c r="Y47" s="26">
        <f>+IFERROR((BD_MR_RF[[#This Row],[Daño Insecto]]/BD_MR_RF[[#This Row],[Muestra]]),"0")</f>
        <v>0</v>
      </c>
      <c r="Z47" s="25">
        <v>0</v>
      </c>
      <c r="AA47" s="26">
        <f>+IFERROR((BD_MR_RF[[#This Row],[Block]]/BD_MR_RF[[#This Row],[Muestra]]),"0")</f>
        <v>0</v>
      </c>
      <c r="AB47" s="25">
        <v>0</v>
      </c>
      <c r="AC47" s="26">
        <f>+IFERROR((BD_MR_RF[[#This Row],[Mohos]]/BD_MR_RF[[#This Row],[Muestra]]),"0")</f>
        <v>0</v>
      </c>
      <c r="AD47" s="25">
        <v>0</v>
      </c>
      <c r="AE47" s="27">
        <v>0</v>
      </c>
      <c r="AG47" s="25">
        <v>0</v>
      </c>
      <c r="AH47" s="26">
        <f>+IFERROR((BD_MR_RF[[#This Row],[Valor Extra 1]]/BD_MR_RF[[#This Row],[Muestra]]),"0")</f>
        <v>0</v>
      </c>
      <c r="AJ47" s="25">
        <v>0</v>
      </c>
      <c r="AK47" s="26">
        <f>+IFERROR((BD_MR_RF[[#This Row],[Valor Extra 2]]/BD_MR_RF[[#This Row],[Muestra]]),"0")</f>
        <v>0</v>
      </c>
      <c r="AL47" s="19">
        <v>0</v>
      </c>
      <c r="AM47" s="26">
        <f>+IFERROR((BD_MR_RF[[#This Row],[Calibre &gt;16]]/BD_MR_RF[[#This Row],[Muestra]]),"0")</f>
        <v>0</v>
      </c>
      <c r="AN47" s="19">
        <v>0</v>
      </c>
      <c r="AO47" s="26">
        <f>+IFERROR((BD_MR_RF[[#This Row],[Calibre &lt;16]]/BD_MR_RF[[#This Row],[Muestra]]),"0")</f>
        <v>0</v>
      </c>
      <c r="AV47" s="28"/>
      <c r="AW47" s="29" t="s">
        <v>900</v>
      </c>
      <c r="AX47" s="19" t="s">
        <v>890</v>
      </c>
      <c r="AY47" s="19" t="s">
        <v>890</v>
      </c>
      <c r="AZ47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7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7" s="24">
        <f>1-BD_MR_RF[[#This Row],[% Defectos]]</f>
        <v>1</v>
      </c>
      <c r="BD47" s="31"/>
      <c r="BE47" s="19">
        <f>SUM(BD_MR_RF[[#This Row],[Palos (Un.) (≤18)]:[Larvas (Un.) (≤24)]])</f>
        <v>0</v>
      </c>
      <c r="BF47" s="19">
        <f>SUM(BD_MR_RF[[#This Row],[Vidrio (Un.) (0)]:[Plástico (Un.) (0)]])</f>
        <v>0</v>
      </c>
      <c r="BG47" s="19" t="str">
        <f>IF(ISBLANK(BD_MR_RF[[#This Row],[Descripción del Producto]]),"",BD_MR_RF[[#This Row],[Descripción del Producto]])</f>
        <v/>
      </c>
      <c r="BH47" s="19" t="str">
        <f>IF(ISBLANK(BD_MR_RF[[#This Row],[N° Lote]]),"",BD_MR_RF[[#This Row],[N° Lote]])</f>
        <v/>
      </c>
      <c r="BI47" s="19" t="str">
        <f>IF(ISBLANK(BD_MR_RF[[#This Row],[N° Pallet]]),"",BD_MR_RF[[#This Row],[N° Pallet]])</f>
        <v/>
      </c>
    </row>
    <row r="48" spans="2:61">
      <c r="B48" s="19">
        <f>_xlfn.ISOWEEKNUM(BD_MR_RF[[#This Row],[Fecha]])</f>
        <v>52</v>
      </c>
      <c r="E48" s="20"/>
      <c r="F48" s="18" t="str">
        <f>IFERROR("" &amp; _xlfn.XLOOKUP(BD_MR_RF[[#This Row],[Código]],BD_Cod!A:A,BD_Cod!B:B), "")</f>
        <v/>
      </c>
      <c r="G48" s="21" t="str">
        <f>IFERROR(" " &amp;_xlfn.XLOOKUP(BD_MR_RF[[#This Row],[Código]],BD_Cod!A:A,BD_Cod!H:H," ")," ")</f>
        <v xml:space="preserve"> </v>
      </c>
      <c r="J48" s="22">
        <v>1000</v>
      </c>
      <c r="L48" s="19" t="s">
        <v>244</v>
      </c>
      <c r="O48" s="19" t="s">
        <v>890</v>
      </c>
      <c r="P48" s="19" t="s">
        <v>890</v>
      </c>
      <c r="Q48" s="24">
        <f>1-BD_MR_RF[[#This Row],[% Defectos]]</f>
        <v>1</v>
      </c>
      <c r="R48" s="25">
        <v>0</v>
      </c>
      <c r="S48" s="26">
        <f>+IFERROR((BD_MR_RF[[#This Row],[Desviación de Color]]/BD_MR_RF[[#This Row],[Muestra]]),"0")</f>
        <v>0</v>
      </c>
      <c r="T48" s="25">
        <v>0</v>
      </c>
      <c r="U48" s="26">
        <f>+IFERROR((BD_MR_RF[[#This Row],[Sobremaduro]]/BD_MR_RF[[#This Row],[Muestra]]),"0")</f>
        <v>0</v>
      </c>
      <c r="V48" s="25">
        <v>0</v>
      </c>
      <c r="W48" s="26">
        <f>+IFERROR((BD_MR_RF[[#This Row],[Daño Mécanico]]/BD_MR_RF[[#This Row],[Muestra]]),"0")</f>
        <v>0</v>
      </c>
      <c r="X48" s="25">
        <v>0</v>
      </c>
      <c r="Y48" s="26">
        <f>+IFERROR((BD_MR_RF[[#This Row],[Daño Insecto]]/BD_MR_RF[[#This Row],[Muestra]]),"0")</f>
        <v>0</v>
      </c>
      <c r="Z48" s="25">
        <v>0</v>
      </c>
      <c r="AA48" s="26">
        <f>+IFERROR((BD_MR_RF[[#This Row],[Block]]/BD_MR_RF[[#This Row],[Muestra]]),"0")</f>
        <v>0</v>
      </c>
      <c r="AB48" s="25">
        <v>0</v>
      </c>
      <c r="AC48" s="26">
        <f>+IFERROR((BD_MR_RF[[#This Row],[Mohos]]/BD_MR_RF[[#This Row],[Muestra]]),"0")</f>
        <v>0</v>
      </c>
      <c r="AD48" s="25">
        <v>0</v>
      </c>
      <c r="AE48" s="27">
        <v>0</v>
      </c>
      <c r="AG48" s="25">
        <v>0</v>
      </c>
      <c r="AH48" s="26">
        <f>+IFERROR((BD_MR_RF[[#This Row],[Valor Extra 1]]/BD_MR_RF[[#This Row],[Muestra]]),"0")</f>
        <v>0</v>
      </c>
      <c r="AJ48" s="25">
        <v>0</v>
      </c>
      <c r="AK48" s="26">
        <f>+IFERROR((BD_MR_RF[[#This Row],[Valor Extra 2]]/BD_MR_RF[[#This Row],[Muestra]]),"0")</f>
        <v>0</v>
      </c>
      <c r="AL48" s="19">
        <v>0</v>
      </c>
      <c r="AM48" s="26">
        <f>+IFERROR((BD_MR_RF[[#This Row],[Calibre &gt;16]]/BD_MR_RF[[#This Row],[Muestra]]),"0")</f>
        <v>0</v>
      </c>
      <c r="AN48" s="19">
        <v>0</v>
      </c>
      <c r="AO48" s="26">
        <f>+IFERROR((BD_MR_RF[[#This Row],[Calibre &lt;16]]/BD_MR_RF[[#This Row],[Muestra]]),"0")</f>
        <v>0</v>
      </c>
      <c r="AV48" s="28"/>
      <c r="AW48" s="29" t="s">
        <v>900</v>
      </c>
      <c r="AX48" s="19" t="s">
        <v>890</v>
      </c>
      <c r="AY48" s="19" t="s">
        <v>890</v>
      </c>
      <c r="AZ48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8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8" s="24">
        <f>1-BD_MR_RF[[#This Row],[% Defectos]]</f>
        <v>1</v>
      </c>
      <c r="BD48" s="31"/>
      <c r="BE48" s="19">
        <f>SUM(BD_MR_RF[[#This Row],[Palos (Un.) (≤18)]:[Larvas (Un.) (≤24)]])</f>
        <v>0</v>
      </c>
      <c r="BF48" s="19">
        <f>SUM(BD_MR_RF[[#This Row],[Vidrio (Un.) (0)]:[Plástico (Un.) (0)]])</f>
        <v>0</v>
      </c>
      <c r="BG48" s="19" t="str">
        <f>IF(ISBLANK(BD_MR_RF[[#This Row],[Descripción del Producto]]),"",BD_MR_RF[[#This Row],[Descripción del Producto]])</f>
        <v/>
      </c>
      <c r="BH48" s="19" t="str">
        <f>IF(ISBLANK(BD_MR_RF[[#This Row],[N° Lote]]),"",BD_MR_RF[[#This Row],[N° Lote]])</f>
        <v/>
      </c>
      <c r="BI48" s="19" t="str">
        <f>IF(ISBLANK(BD_MR_RF[[#This Row],[N° Pallet]]),"",BD_MR_RF[[#This Row],[N° Pallet]])</f>
        <v/>
      </c>
    </row>
    <row r="49" spans="2:61">
      <c r="B49" s="19">
        <f>_xlfn.ISOWEEKNUM(BD_MR_RF[[#This Row],[Fecha]])</f>
        <v>52</v>
      </c>
      <c r="E49" s="20"/>
      <c r="F49" s="18" t="str">
        <f>IFERROR("" &amp; _xlfn.XLOOKUP(BD_MR_RF[[#This Row],[Código]],BD_Cod!A:A,BD_Cod!B:B), "")</f>
        <v/>
      </c>
      <c r="G49" s="21" t="str">
        <f>IFERROR(" " &amp;_xlfn.XLOOKUP(BD_MR_RF[[#This Row],[Código]],BD_Cod!A:A,BD_Cod!H:H," ")," ")</f>
        <v xml:space="preserve"> </v>
      </c>
      <c r="J49" s="22">
        <v>1000</v>
      </c>
      <c r="L49" s="19" t="s">
        <v>244</v>
      </c>
      <c r="O49" s="19" t="s">
        <v>890</v>
      </c>
      <c r="P49" s="19" t="s">
        <v>890</v>
      </c>
      <c r="Q49" s="24">
        <f>1-BD_MR_RF[[#This Row],[% Defectos]]</f>
        <v>1</v>
      </c>
      <c r="R49" s="25">
        <v>0</v>
      </c>
      <c r="S49" s="26">
        <f>+IFERROR((BD_MR_RF[[#This Row],[Desviación de Color]]/BD_MR_RF[[#This Row],[Muestra]]),"0")</f>
        <v>0</v>
      </c>
      <c r="T49" s="25">
        <v>0</v>
      </c>
      <c r="U49" s="26">
        <f>+IFERROR((BD_MR_RF[[#This Row],[Sobremaduro]]/BD_MR_RF[[#This Row],[Muestra]]),"0")</f>
        <v>0</v>
      </c>
      <c r="V49" s="25">
        <v>0</v>
      </c>
      <c r="W49" s="26">
        <f>+IFERROR((BD_MR_RF[[#This Row],[Daño Mécanico]]/BD_MR_RF[[#This Row],[Muestra]]),"0")</f>
        <v>0</v>
      </c>
      <c r="X49" s="25">
        <v>0</v>
      </c>
      <c r="Y49" s="26">
        <f>+IFERROR((BD_MR_RF[[#This Row],[Daño Insecto]]/BD_MR_RF[[#This Row],[Muestra]]),"0")</f>
        <v>0</v>
      </c>
      <c r="Z49" s="25">
        <v>0</v>
      </c>
      <c r="AA49" s="26">
        <f>+IFERROR((BD_MR_RF[[#This Row],[Block]]/BD_MR_RF[[#This Row],[Muestra]]),"0")</f>
        <v>0</v>
      </c>
      <c r="AB49" s="25">
        <v>0</v>
      </c>
      <c r="AC49" s="26">
        <f>+IFERROR((BD_MR_RF[[#This Row],[Mohos]]/BD_MR_RF[[#This Row],[Muestra]]),"0")</f>
        <v>0</v>
      </c>
      <c r="AD49" s="25">
        <v>0</v>
      </c>
      <c r="AE49" s="27">
        <v>0</v>
      </c>
      <c r="AG49" s="25">
        <v>0</v>
      </c>
      <c r="AH49" s="26">
        <f>+IFERROR((BD_MR_RF[[#This Row],[Valor Extra 1]]/BD_MR_RF[[#This Row],[Muestra]]),"0")</f>
        <v>0</v>
      </c>
      <c r="AJ49" s="25">
        <v>0</v>
      </c>
      <c r="AK49" s="26">
        <f>+IFERROR((BD_MR_RF[[#This Row],[Valor Extra 2]]/BD_MR_RF[[#This Row],[Muestra]]),"0")</f>
        <v>0</v>
      </c>
      <c r="AL49" s="19">
        <v>0</v>
      </c>
      <c r="AM49" s="26">
        <f>+IFERROR((BD_MR_RF[[#This Row],[Calibre &gt;16]]/BD_MR_RF[[#This Row],[Muestra]]),"0")</f>
        <v>0</v>
      </c>
      <c r="AN49" s="19">
        <v>0</v>
      </c>
      <c r="AO49" s="26">
        <f>+IFERROR((BD_MR_RF[[#This Row],[Calibre &lt;16]]/BD_MR_RF[[#This Row],[Muestra]]),"0")</f>
        <v>0</v>
      </c>
      <c r="AV49" s="28"/>
      <c r="AW49" s="29" t="s">
        <v>900</v>
      </c>
      <c r="AX49" s="19" t="s">
        <v>890</v>
      </c>
      <c r="AY49" s="19" t="s">
        <v>890</v>
      </c>
      <c r="AZ49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49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49" s="24">
        <f>1-BD_MR_RF[[#This Row],[% Defectos]]</f>
        <v>1</v>
      </c>
      <c r="BD49" s="31"/>
      <c r="BE49" s="19">
        <f>SUM(BD_MR_RF[[#This Row],[Palos (Un.) (≤18)]:[Larvas (Un.) (≤24)]])</f>
        <v>0</v>
      </c>
      <c r="BF49" s="19">
        <f>SUM(BD_MR_RF[[#This Row],[Vidrio (Un.) (0)]:[Plástico (Un.) (0)]])</f>
        <v>0</v>
      </c>
      <c r="BG49" s="19" t="str">
        <f>IF(ISBLANK(BD_MR_RF[[#This Row],[Descripción del Producto]]),"",BD_MR_RF[[#This Row],[Descripción del Producto]])</f>
        <v/>
      </c>
      <c r="BH49" s="19" t="str">
        <f>IF(ISBLANK(BD_MR_RF[[#This Row],[N° Lote]]),"",BD_MR_RF[[#This Row],[N° Lote]])</f>
        <v/>
      </c>
      <c r="BI49" s="19" t="str">
        <f>IF(ISBLANK(BD_MR_RF[[#This Row],[N° Pallet]]),"",BD_MR_RF[[#This Row],[N° Pallet]])</f>
        <v/>
      </c>
    </row>
    <row r="50" spans="2:61">
      <c r="B50" s="19">
        <f>_xlfn.ISOWEEKNUM(BD_MR_RF[[#This Row],[Fecha]])</f>
        <v>52</v>
      </c>
      <c r="E50" s="20"/>
      <c r="F50" s="18" t="str">
        <f>IFERROR("" &amp; _xlfn.XLOOKUP(BD_MR_RF[[#This Row],[Código]],BD_Cod!A:A,BD_Cod!B:B), "")</f>
        <v/>
      </c>
      <c r="G50" s="21" t="str">
        <f>IFERROR(" " &amp;_xlfn.XLOOKUP(BD_MR_RF[[#This Row],[Código]],BD_Cod!A:A,BD_Cod!H:H," ")," ")</f>
        <v xml:space="preserve"> </v>
      </c>
      <c r="J50" s="22">
        <v>1000</v>
      </c>
      <c r="L50" s="19" t="s">
        <v>244</v>
      </c>
      <c r="O50" s="19" t="s">
        <v>890</v>
      </c>
      <c r="P50" s="19" t="s">
        <v>890</v>
      </c>
      <c r="Q50" s="24">
        <f>1-BD_MR_RF[[#This Row],[% Defectos]]</f>
        <v>1</v>
      </c>
      <c r="R50" s="25">
        <v>0</v>
      </c>
      <c r="S50" s="26">
        <f>+IFERROR((BD_MR_RF[[#This Row],[Desviación de Color]]/BD_MR_RF[[#This Row],[Muestra]]),"0")</f>
        <v>0</v>
      </c>
      <c r="T50" s="25">
        <v>0</v>
      </c>
      <c r="U50" s="26">
        <f>+IFERROR((BD_MR_RF[[#This Row],[Sobremaduro]]/BD_MR_RF[[#This Row],[Muestra]]),"0")</f>
        <v>0</v>
      </c>
      <c r="V50" s="25">
        <v>0</v>
      </c>
      <c r="W50" s="26">
        <f>+IFERROR((BD_MR_RF[[#This Row],[Daño Mécanico]]/BD_MR_RF[[#This Row],[Muestra]]),"0")</f>
        <v>0</v>
      </c>
      <c r="X50" s="25">
        <v>0</v>
      </c>
      <c r="Y50" s="26">
        <f>+IFERROR((BD_MR_RF[[#This Row],[Daño Insecto]]/BD_MR_RF[[#This Row],[Muestra]]),"0")</f>
        <v>0</v>
      </c>
      <c r="Z50" s="25">
        <v>0</v>
      </c>
      <c r="AA50" s="26">
        <f>+IFERROR((BD_MR_RF[[#This Row],[Block]]/BD_MR_RF[[#This Row],[Muestra]]),"0")</f>
        <v>0</v>
      </c>
      <c r="AB50" s="25">
        <v>0</v>
      </c>
      <c r="AC50" s="26">
        <f>+IFERROR((BD_MR_RF[[#This Row],[Mohos]]/BD_MR_RF[[#This Row],[Muestra]]),"0")</f>
        <v>0</v>
      </c>
      <c r="AD50" s="25">
        <v>0</v>
      </c>
      <c r="AE50" s="27">
        <v>0</v>
      </c>
      <c r="AG50" s="25">
        <v>0</v>
      </c>
      <c r="AH50" s="26">
        <f>+IFERROR((BD_MR_RF[[#This Row],[Valor Extra 1]]/BD_MR_RF[[#This Row],[Muestra]]),"0")</f>
        <v>0</v>
      </c>
      <c r="AJ50" s="25">
        <v>0</v>
      </c>
      <c r="AK50" s="26">
        <f>+IFERROR((BD_MR_RF[[#This Row],[Valor Extra 2]]/BD_MR_RF[[#This Row],[Muestra]]),"0")</f>
        <v>0</v>
      </c>
      <c r="AL50" s="19">
        <v>0</v>
      </c>
      <c r="AM50" s="26">
        <f>+IFERROR((BD_MR_RF[[#This Row],[Calibre &gt;16]]/BD_MR_RF[[#This Row],[Muestra]]),"0")</f>
        <v>0</v>
      </c>
      <c r="AN50" s="19">
        <v>0</v>
      </c>
      <c r="AO50" s="26">
        <f>+IFERROR((BD_MR_RF[[#This Row],[Calibre &lt;16]]/BD_MR_RF[[#This Row],[Muestra]]),"0")</f>
        <v>0</v>
      </c>
      <c r="AV50" s="28"/>
      <c r="AW50" s="29" t="s">
        <v>900</v>
      </c>
      <c r="AX50" s="19" t="s">
        <v>890</v>
      </c>
      <c r="AY50" s="19" t="s">
        <v>890</v>
      </c>
      <c r="AZ50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0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0" s="24">
        <f>1-BD_MR_RF[[#This Row],[% Defectos]]</f>
        <v>1</v>
      </c>
      <c r="BD50" s="31"/>
      <c r="BE50" s="19">
        <f>SUM(BD_MR_RF[[#This Row],[Palos (Un.) (≤18)]:[Larvas (Un.) (≤24)]])</f>
        <v>0</v>
      </c>
      <c r="BF50" s="19">
        <f>SUM(BD_MR_RF[[#This Row],[Vidrio (Un.) (0)]:[Plástico (Un.) (0)]])</f>
        <v>0</v>
      </c>
      <c r="BG50" s="19" t="str">
        <f>IF(ISBLANK(BD_MR_RF[[#This Row],[Descripción del Producto]]),"",BD_MR_RF[[#This Row],[Descripción del Producto]])</f>
        <v/>
      </c>
      <c r="BH50" s="19" t="str">
        <f>IF(ISBLANK(BD_MR_RF[[#This Row],[N° Lote]]),"",BD_MR_RF[[#This Row],[N° Lote]])</f>
        <v/>
      </c>
      <c r="BI50" s="19" t="str">
        <f>IF(ISBLANK(BD_MR_RF[[#This Row],[N° Pallet]]),"",BD_MR_RF[[#This Row],[N° Pallet]])</f>
        <v/>
      </c>
    </row>
    <row r="51" spans="2:61">
      <c r="B51" s="19">
        <f>_xlfn.ISOWEEKNUM(BD_MR_RF[[#This Row],[Fecha]])</f>
        <v>52</v>
      </c>
      <c r="E51" s="20"/>
      <c r="F51" s="18" t="str">
        <f>IFERROR("" &amp; _xlfn.XLOOKUP(BD_MR_RF[[#This Row],[Código]],BD_Cod!A:A,BD_Cod!B:B), "")</f>
        <v/>
      </c>
      <c r="G51" s="21" t="str">
        <f>IFERROR(" " &amp;_xlfn.XLOOKUP(BD_MR_RF[[#This Row],[Código]],BD_Cod!A:A,BD_Cod!H:H," ")," ")</f>
        <v xml:space="preserve"> </v>
      </c>
      <c r="J51" s="22">
        <v>1000</v>
      </c>
      <c r="L51" s="19" t="s">
        <v>244</v>
      </c>
      <c r="O51" s="19" t="s">
        <v>890</v>
      </c>
      <c r="P51" s="19" t="s">
        <v>890</v>
      </c>
      <c r="Q51" s="24">
        <f>1-BD_MR_RF[[#This Row],[% Defectos]]</f>
        <v>1</v>
      </c>
      <c r="R51" s="25">
        <v>0</v>
      </c>
      <c r="S51" s="26">
        <f>+IFERROR((BD_MR_RF[[#This Row],[Desviación de Color]]/BD_MR_RF[[#This Row],[Muestra]]),"0")</f>
        <v>0</v>
      </c>
      <c r="T51" s="25">
        <v>0</v>
      </c>
      <c r="U51" s="26">
        <f>+IFERROR((BD_MR_RF[[#This Row],[Sobremaduro]]/BD_MR_RF[[#This Row],[Muestra]]),"0")</f>
        <v>0</v>
      </c>
      <c r="V51" s="25">
        <v>0</v>
      </c>
      <c r="W51" s="26">
        <f>+IFERROR((BD_MR_RF[[#This Row],[Daño Mécanico]]/BD_MR_RF[[#This Row],[Muestra]]),"0")</f>
        <v>0</v>
      </c>
      <c r="X51" s="25">
        <v>0</v>
      </c>
      <c r="Y51" s="26">
        <f>+IFERROR((BD_MR_RF[[#This Row],[Daño Insecto]]/BD_MR_RF[[#This Row],[Muestra]]),"0")</f>
        <v>0</v>
      </c>
      <c r="Z51" s="25">
        <v>0</v>
      </c>
      <c r="AA51" s="26">
        <f>+IFERROR((BD_MR_RF[[#This Row],[Block]]/BD_MR_RF[[#This Row],[Muestra]]),"0")</f>
        <v>0</v>
      </c>
      <c r="AB51" s="25">
        <v>0</v>
      </c>
      <c r="AC51" s="26">
        <f>+IFERROR((BD_MR_RF[[#This Row],[Mohos]]/BD_MR_RF[[#This Row],[Muestra]]),"0")</f>
        <v>0</v>
      </c>
      <c r="AD51" s="25">
        <v>0</v>
      </c>
      <c r="AE51" s="27">
        <v>0</v>
      </c>
      <c r="AG51" s="25">
        <v>0</v>
      </c>
      <c r="AH51" s="26">
        <f>+IFERROR((BD_MR_RF[[#This Row],[Valor Extra 1]]/BD_MR_RF[[#This Row],[Muestra]]),"0")</f>
        <v>0</v>
      </c>
      <c r="AJ51" s="25">
        <v>0</v>
      </c>
      <c r="AK51" s="26">
        <f>+IFERROR((BD_MR_RF[[#This Row],[Valor Extra 2]]/BD_MR_RF[[#This Row],[Muestra]]),"0")</f>
        <v>0</v>
      </c>
      <c r="AL51" s="19">
        <v>0</v>
      </c>
      <c r="AM51" s="26">
        <f>+IFERROR((BD_MR_RF[[#This Row],[Calibre &gt;16]]/BD_MR_RF[[#This Row],[Muestra]]),"0")</f>
        <v>0</v>
      </c>
      <c r="AN51" s="19">
        <v>0</v>
      </c>
      <c r="AO51" s="26">
        <f>+IFERROR((BD_MR_RF[[#This Row],[Calibre &lt;16]]/BD_MR_RF[[#This Row],[Muestra]]),"0")</f>
        <v>0</v>
      </c>
      <c r="AV51" s="28"/>
      <c r="AW51" s="29" t="s">
        <v>900</v>
      </c>
      <c r="AX51" s="19" t="s">
        <v>890</v>
      </c>
      <c r="AY51" s="19" t="s">
        <v>890</v>
      </c>
      <c r="AZ51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1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1" s="24">
        <f>1-BD_MR_RF[[#This Row],[% Defectos]]</f>
        <v>1</v>
      </c>
      <c r="BD51" s="31"/>
      <c r="BE51" s="19">
        <f>SUM(BD_MR_RF[[#This Row],[Palos (Un.) (≤18)]:[Larvas (Un.) (≤24)]])</f>
        <v>0</v>
      </c>
      <c r="BF51" s="19">
        <f>SUM(BD_MR_RF[[#This Row],[Vidrio (Un.) (0)]:[Plástico (Un.) (0)]])</f>
        <v>0</v>
      </c>
      <c r="BG51" s="19" t="str">
        <f>IF(ISBLANK(BD_MR_RF[[#This Row],[Descripción del Producto]]),"",BD_MR_RF[[#This Row],[Descripción del Producto]])</f>
        <v/>
      </c>
      <c r="BH51" s="19" t="str">
        <f>IF(ISBLANK(BD_MR_RF[[#This Row],[N° Lote]]),"",BD_MR_RF[[#This Row],[N° Lote]])</f>
        <v/>
      </c>
      <c r="BI51" s="19" t="str">
        <f>IF(ISBLANK(BD_MR_RF[[#This Row],[N° Pallet]]),"",BD_MR_RF[[#This Row],[N° Pallet]])</f>
        <v/>
      </c>
    </row>
    <row r="52" spans="2:61">
      <c r="B52" s="19">
        <f>_xlfn.ISOWEEKNUM(BD_MR_RF[[#This Row],[Fecha]])</f>
        <v>52</v>
      </c>
      <c r="E52" s="20"/>
      <c r="F52" s="18" t="str">
        <f>IFERROR("" &amp; _xlfn.XLOOKUP(BD_MR_RF[[#This Row],[Código]],BD_Cod!A:A,BD_Cod!B:B), "")</f>
        <v/>
      </c>
      <c r="G52" s="21" t="str">
        <f>IFERROR(" " &amp;_xlfn.XLOOKUP(BD_MR_RF[[#This Row],[Código]],BD_Cod!A:A,BD_Cod!H:H," ")," ")</f>
        <v xml:space="preserve"> </v>
      </c>
      <c r="J52" s="22">
        <v>1000</v>
      </c>
      <c r="L52" s="19" t="s">
        <v>244</v>
      </c>
      <c r="O52" s="19" t="s">
        <v>890</v>
      </c>
      <c r="P52" s="19" t="s">
        <v>890</v>
      </c>
      <c r="Q52" s="24">
        <f>1-BD_MR_RF[[#This Row],[% Defectos]]</f>
        <v>1</v>
      </c>
      <c r="R52" s="25">
        <v>0</v>
      </c>
      <c r="S52" s="26">
        <f>+IFERROR((BD_MR_RF[[#This Row],[Desviación de Color]]/BD_MR_RF[[#This Row],[Muestra]]),"0")</f>
        <v>0</v>
      </c>
      <c r="T52" s="25">
        <v>0</v>
      </c>
      <c r="U52" s="26">
        <f>+IFERROR((BD_MR_RF[[#This Row],[Sobremaduro]]/BD_MR_RF[[#This Row],[Muestra]]),"0")</f>
        <v>0</v>
      </c>
      <c r="V52" s="25">
        <v>0</v>
      </c>
      <c r="W52" s="26">
        <f>+IFERROR((BD_MR_RF[[#This Row],[Daño Mécanico]]/BD_MR_RF[[#This Row],[Muestra]]),"0")</f>
        <v>0</v>
      </c>
      <c r="X52" s="25">
        <v>0</v>
      </c>
      <c r="Y52" s="26">
        <f>+IFERROR((BD_MR_RF[[#This Row],[Daño Insecto]]/BD_MR_RF[[#This Row],[Muestra]]),"0")</f>
        <v>0</v>
      </c>
      <c r="Z52" s="25">
        <v>0</v>
      </c>
      <c r="AA52" s="26">
        <f>+IFERROR((BD_MR_RF[[#This Row],[Block]]/BD_MR_RF[[#This Row],[Muestra]]),"0")</f>
        <v>0</v>
      </c>
      <c r="AB52" s="25">
        <v>0</v>
      </c>
      <c r="AC52" s="26">
        <f>+IFERROR((BD_MR_RF[[#This Row],[Mohos]]/BD_MR_RF[[#This Row],[Muestra]]),"0")</f>
        <v>0</v>
      </c>
      <c r="AD52" s="25">
        <v>0</v>
      </c>
      <c r="AE52" s="27">
        <v>0</v>
      </c>
      <c r="AG52" s="25">
        <v>0</v>
      </c>
      <c r="AH52" s="26">
        <f>+IFERROR((BD_MR_RF[[#This Row],[Valor Extra 1]]/BD_MR_RF[[#This Row],[Muestra]]),"0")</f>
        <v>0</v>
      </c>
      <c r="AJ52" s="25">
        <v>0</v>
      </c>
      <c r="AK52" s="26">
        <f>+IFERROR((BD_MR_RF[[#This Row],[Valor Extra 2]]/BD_MR_RF[[#This Row],[Muestra]]),"0")</f>
        <v>0</v>
      </c>
      <c r="AL52" s="19">
        <v>0</v>
      </c>
      <c r="AM52" s="26">
        <f>+IFERROR((BD_MR_RF[[#This Row],[Calibre &gt;16]]/BD_MR_RF[[#This Row],[Muestra]]),"0")</f>
        <v>0</v>
      </c>
      <c r="AN52" s="19">
        <v>0</v>
      </c>
      <c r="AO52" s="26">
        <f>+IFERROR((BD_MR_RF[[#This Row],[Calibre &lt;16]]/BD_MR_RF[[#This Row],[Muestra]]),"0")</f>
        <v>0</v>
      </c>
      <c r="AV52" s="28"/>
      <c r="AW52" s="29" t="s">
        <v>900</v>
      </c>
      <c r="AX52" s="19" t="s">
        <v>890</v>
      </c>
      <c r="AY52" s="19" t="s">
        <v>890</v>
      </c>
      <c r="AZ52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2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2" s="24">
        <f>1-BD_MR_RF[[#This Row],[% Defectos]]</f>
        <v>1</v>
      </c>
      <c r="BD52" s="31"/>
      <c r="BE52" s="19">
        <f>SUM(BD_MR_RF[[#This Row],[Palos (Un.) (≤18)]:[Larvas (Un.) (≤24)]])</f>
        <v>0</v>
      </c>
      <c r="BF52" s="19">
        <f>SUM(BD_MR_RF[[#This Row],[Vidrio (Un.) (0)]:[Plástico (Un.) (0)]])</f>
        <v>0</v>
      </c>
      <c r="BG52" s="19" t="str">
        <f>IF(ISBLANK(BD_MR_RF[[#This Row],[Descripción del Producto]]),"",BD_MR_RF[[#This Row],[Descripción del Producto]])</f>
        <v/>
      </c>
      <c r="BH52" s="19" t="str">
        <f>IF(ISBLANK(BD_MR_RF[[#This Row],[N° Lote]]),"",BD_MR_RF[[#This Row],[N° Lote]])</f>
        <v/>
      </c>
      <c r="BI52" s="19" t="str">
        <f>IF(ISBLANK(BD_MR_RF[[#This Row],[N° Pallet]]),"",BD_MR_RF[[#This Row],[N° Pallet]])</f>
        <v/>
      </c>
    </row>
    <row r="53" spans="2:61">
      <c r="B53" s="19">
        <f>_xlfn.ISOWEEKNUM(BD_MR_RF[[#This Row],[Fecha]])</f>
        <v>52</v>
      </c>
      <c r="E53" s="20"/>
      <c r="F53" s="18" t="str">
        <f>IFERROR("" &amp; _xlfn.XLOOKUP(BD_MR_RF[[#This Row],[Código]],BD_Cod!A:A,BD_Cod!B:B), "")</f>
        <v/>
      </c>
      <c r="G53" s="21" t="str">
        <f>IFERROR(" " &amp;_xlfn.XLOOKUP(BD_MR_RF[[#This Row],[Código]],BD_Cod!A:A,BD_Cod!H:H," ")," ")</f>
        <v xml:space="preserve"> </v>
      </c>
      <c r="J53" s="22">
        <v>1000</v>
      </c>
      <c r="L53" s="19" t="s">
        <v>244</v>
      </c>
      <c r="O53" s="19" t="s">
        <v>890</v>
      </c>
      <c r="P53" s="19" t="s">
        <v>890</v>
      </c>
      <c r="Q53" s="24">
        <f>1-BD_MR_RF[[#This Row],[% Defectos]]</f>
        <v>1</v>
      </c>
      <c r="R53" s="25">
        <v>0</v>
      </c>
      <c r="S53" s="26">
        <f>+IFERROR((BD_MR_RF[[#This Row],[Desviación de Color]]/BD_MR_RF[[#This Row],[Muestra]]),"0")</f>
        <v>0</v>
      </c>
      <c r="T53" s="25">
        <v>0</v>
      </c>
      <c r="U53" s="26">
        <f>+IFERROR((BD_MR_RF[[#This Row],[Sobremaduro]]/BD_MR_RF[[#This Row],[Muestra]]),"0")</f>
        <v>0</v>
      </c>
      <c r="V53" s="25">
        <v>0</v>
      </c>
      <c r="W53" s="26">
        <f>+IFERROR((BD_MR_RF[[#This Row],[Daño Mécanico]]/BD_MR_RF[[#This Row],[Muestra]]),"0")</f>
        <v>0</v>
      </c>
      <c r="X53" s="25">
        <v>0</v>
      </c>
      <c r="Y53" s="26">
        <f>+IFERROR((BD_MR_RF[[#This Row],[Daño Insecto]]/BD_MR_RF[[#This Row],[Muestra]]),"0")</f>
        <v>0</v>
      </c>
      <c r="Z53" s="25">
        <v>0</v>
      </c>
      <c r="AA53" s="26">
        <f>+IFERROR((BD_MR_RF[[#This Row],[Block]]/BD_MR_RF[[#This Row],[Muestra]]),"0")</f>
        <v>0</v>
      </c>
      <c r="AB53" s="25">
        <v>0</v>
      </c>
      <c r="AC53" s="26">
        <f>+IFERROR((BD_MR_RF[[#This Row],[Mohos]]/BD_MR_RF[[#This Row],[Muestra]]),"0")</f>
        <v>0</v>
      </c>
      <c r="AD53" s="25">
        <v>0</v>
      </c>
      <c r="AE53" s="27">
        <v>0</v>
      </c>
      <c r="AG53" s="25">
        <v>0</v>
      </c>
      <c r="AH53" s="26">
        <f>+IFERROR((BD_MR_RF[[#This Row],[Valor Extra 1]]/BD_MR_RF[[#This Row],[Muestra]]),"0")</f>
        <v>0</v>
      </c>
      <c r="AJ53" s="25">
        <v>0</v>
      </c>
      <c r="AK53" s="26">
        <f>+IFERROR((BD_MR_RF[[#This Row],[Valor Extra 2]]/BD_MR_RF[[#This Row],[Muestra]]),"0")</f>
        <v>0</v>
      </c>
      <c r="AL53" s="19">
        <v>0</v>
      </c>
      <c r="AM53" s="26">
        <f>+IFERROR((BD_MR_RF[[#This Row],[Calibre &gt;16]]/BD_MR_RF[[#This Row],[Muestra]]),"0")</f>
        <v>0</v>
      </c>
      <c r="AN53" s="19">
        <v>0</v>
      </c>
      <c r="AO53" s="26">
        <f>+IFERROR((BD_MR_RF[[#This Row],[Calibre &lt;16]]/BD_MR_RF[[#This Row],[Muestra]]),"0")</f>
        <v>0</v>
      </c>
      <c r="AV53" s="28"/>
      <c r="AW53" s="29" t="s">
        <v>900</v>
      </c>
      <c r="AX53" s="19" t="s">
        <v>890</v>
      </c>
      <c r="AY53" s="19" t="s">
        <v>890</v>
      </c>
      <c r="AZ53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3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3" s="24">
        <f>1-BD_MR_RF[[#This Row],[% Defectos]]</f>
        <v>1</v>
      </c>
      <c r="BD53" s="31"/>
      <c r="BE53" s="19">
        <f>SUM(BD_MR_RF[[#This Row],[Palos (Un.) (≤18)]:[Larvas (Un.) (≤24)]])</f>
        <v>0</v>
      </c>
      <c r="BF53" s="19">
        <f>SUM(BD_MR_RF[[#This Row],[Vidrio (Un.) (0)]:[Plástico (Un.) (0)]])</f>
        <v>0</v>
      </c>
      <c r="BG53" s="19" t="str">
        <f>IF(ISBLANK(BD_MR_RF[[#This Row],[Descripción del Producto]]),"",BD_MR_RF[[#This Row],[Descripción del Producto]])</f>
        <v/>
      </c>
      <c r="BH53" s="19" t="str">
        <f>IF(ISBLANK(BD_MR_RF[[#This Row],[N° Lote]]),"",BD_MR_RF[[#This Row],[N° Lote]])</f>
        <v/>
      </c>
      <c r="BI53" s="19" t="str">
        <f>IF(ISBLANK(BD_MR_RF[[#This Row],[N° Pallet]]),"",BD_MR_RF[[#This Row],[N° Pallet]])</f>
        <v/>
      </c>
    </row>
    <row r="54" spans="2:61">
      <c r="B54" s="19">
        <f>_xlfn.ISOWEEKNUM(BD_MR_RF[[#This Row],[Fecha]])</f>
        <v>52</v>
      </c>
      <c r="E54" s="20"/>
      <c r="F54" s="18" t="str">
        <f>IFERROR("" &amp; _xlfn.XLOOKUP(BD_MR_RF[[#This Row],[Código]],BD_Cod!A:A,BD_Cod!B:B), "")</f>
        <v/>
      </c>
      <c r="G54" s="21" t="str">
        <f>IFERROR(" " &amp;_xlfn.XLOOKUP(BD_MR_RF[[#This Row],[Código]],BD_Cod!A:A,BD_Cod!H:H," ")," ")</f>
        <v xml:space="preserve"> </v>
      </c>
      <c r="J54" s="22">
        <v>1000</v>
      </c>
      <c r="L54" s="19" t="s">
        <v>244</v>
      </c>
      <c r="O54" s="19" t="s">
        <v>890</v>
      </c>
      <c r="P54" s="19" t="s">
        <v>890</v>
      </c>
      <c r="Q54" s="24">
        <f>1-BD_MR_RF[[#This Row],[% Defectos]]</f>
        <v>1</v>
      </c>
      <c r="R54" s="25">
        <v>0</v>
      </c>
      <c r="S54" s="26">
        <f>+IFERROR((BD_MR_RF[[#This Row],[Desviación de Color]]/BD_MR_RF[[#This Row],[Muestra]]),"0")</f>
        <v>0</v>
      </c>
      <c r="T54" s="25">
        <v>0</v>
      </c>
      <c r="U54" s="26">
        <f>+IFERROR((BD_MR_RF[[#This Row],[Sobremaduro]]/BD_MR_RF[[#This Row],[Muestra]]),"0")</f>
        <v>0</v>
      </c>
      <c r="V54" s="25">
        <v>0</v>
      </c>
      <c r="W54" s="26">
        <f>+IFERROR((BD_MR_RF[[#This Row],[Daño Mécanico]]/BD_MR_RF[[#This Row],[Muestra]]),"0")</f>
        <v>0</v>
      </c>
      <c r="X54" s="25">
        <v>0</v>
      </c>
      <c r="Y54" s="26">
        <f>+IFERROR((BD_MR_RF[[#This Row],[Daño Insecto]]/BD_MR_RF[[#This Row],[Muestra]]),"0")</f>
        <v>0</v>
      </c>
      <c r="Z54" s="25">
        <v>0</v>
      </c>
      <c r="AA54" s="26">
        <f>+IFERROR((BD_MR_RF[[#This Row],[Block]]/BD_MR_RF[[#This Row],[Muestra]]),"0")</f>
        <v>0</v>
      </c>
      <c r="AB54" s="25">
        <v>0</v>
      </c>
      <c r="AC54" s="26">
        <f>+IFERROR((BD_MR_RF[[#This Row],[Mohos]]/BD_MR_RF[[#This Row],[Muestra]]),"0")</f>
        <v>0</v>
      </c>
      <c r="AD54" s="25">
        <v>0</v>
      </c>
      <c r="AE54" s="27">
        <v>0</v>
      </c>
      <c r="AG54" s="25">
        <v>0</v>
      </c>
      <c r="AH54" s="26">
        <f>+IFERROR((BD_MR_RF[[#This Row],[Valor Extra 1]]/BD_MR_RF[[#This Row],[Muestra]]),"0")</f>
        <v>0</v>
      </c>
      <c r="AJ54" s="25">
        <v>0</v>
      </c>
      <c r="AK54" s="26">
        <f>+IFERROR((BD_MR_RF[[#This Row],[Valor Extra 2]]/BD_MR_RF[[#This Row],[Muestra]]),"0")</f>
        <v>0</v>
      </c>
      <c r="AL54" s="19">
        <v>0</v>
      </c>
      <c r="AM54" s="26">
        <f>+IFERROR((BD_MR_RF[[#This Row],[Calibre &gt;16]]/BD_MR_RF[[#This Row],[Muestra]]),"0")</f>
        <v>0</v>
      </c>
      <c r="AN54" s="19">
        <v>0</v>
      </c>
      <c r="AO54" s="26">
        <f>+IFERROR((BD_MR_RF[[#This Row],[Calibre &lt;16]]/BD_MR_RF[[#This Row],[Muestra]]),"0")</f>
        <v>0</v>
      </c>
      <c r="AV54" s="28"/>
      <c r="AW54" s="29" t="s">
        <v>900</v>
      </c>
      <c r="AX54" s="19" t="s">
        <v>890</v>
      </c>
      <c r="AY54" s="19" t="s">
        <v>890</v>
      </c>
      <c r="AZ54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4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4" s="24">
        <f>1-BD_MR_RF[[#This Row],[% Defectos]]</f>
        <v>1</v>
      </c>
      <c r="BD54" s="31"/>
      <c r="BE54" s="19">
        <f>SUM(BD_MR_RF[[#This Row],[Palos (Un.) (≤18)]:[Larvas (Un.) (≤24)]])</f>
        <v>0</v>
      </c>
      <c r="BF54" s="19">
        <f>SUM(BD_MR_RF[[#This Row],[Vidrio (Un.) (0)]:[Plástico (Un.) (0)]])</f>
        <v>0</v>
      </c>
      <c r="BG54" s="19" t="str">
        <f>IF(ISBLANK(BD_MR_RF[[#This Row],[Descripción del Producto]]),"",BD_MR_RF[[#This Row],[Descripción del Producto]])</f>
        <v/>
      </c>
      <c r="BH54" s="19" t="str">
        <f>IF(ISBLANK(BD_MR_RF[[#This Row],[N° Lote]]),"",BD_MR_RF[[#This Row],[N° Lote]])</f>
        <v/>
      </c>
      <c r="BI54" s="19" t="str">
        <f>IF(ISBLANK(BD_MR_RF[[#This Row],[N° Pallet]]),"",BD_MR_RF[[#This Row],[N° Pallet]])</f>
        <v/>
      </c>
    </row>
    <row r="55" spans="2:61">
      <c r="B55" s="19">
        <f>_xlfn.ISOWEEKNUM(BD_MR_RF[[#This Row],[Fecha]])</f>
        <v>52</v>
      </c>
      <c r="E55" s="20"/>
      <c r="F55" s="18" t="str">
        <f>IFERROR("" &amp; _xlfn.XLOOKUP(BD_MR_RF[[#This Row],[Código]],BD_Cod!A:A,BD_Cod!B:B), "")</f>
        <v/>
      </c>
      <c r="G55" s="21" t="str">
        <f>IFERROR(" " &amp;_xlfn.XLOOKUP(BD_MR_RF[[#This Row],[Código]],BD_Cod!A:A,BD_Cod!H:H," ")," ")</f>
        <v xml:space="preserve"> </v>
      </c>
      <c r="J55" s="22">
        <v>1000</v>
      </c>
      <c r="L55" s="19" t="s">
        <v>244</v>
      </c>
      <c r="O55" s="19" t="s">
        <v>890</v>
      </c>
      <c r="P55" s="19" t="s">
        <v>890</v>
      </c>
      <c r="Q55" s="24">
        <f>1-BD_MR_RF[[#This Row],[% Defectos]]</f>
        <v>1</v>
      </c>
      <c r="R55" s="25">
        <v>0</v>
      </c>
      <c r="S55" s="26">
        <f>+IFERROR((BD_MR_RF[[#This Row],[Desviación de Color]]/BD_MR_RF[[#This Row],[Muestra]]),"0")</f>
        <v>0</v>
      </c>
      <c r="T55" s="25">
        <v>0</v>
      </c>
      <c r="U55" s="26">
        <f>+IFERROR((BD_MR_RF[[#This Row],[Sobremaduro]]/BD_MR_RF[[#This Row],[Muestra]]),"0")</f>
        <v>0</v>
      </c>
      <c r="V55" s="25">
        <v>0</v>
      </c>
      <c r="W55" s="26">
        <f>+IFERROR((BD_MR_RF[[#This Row],[Daño Mécanico]]/BD_MR_RF[[#This Row],[Muestra]]),"0")</f>
        <v>0</v>
      </c>
      <c r="X55" s="25">
        <v>0</v>
      </c>
      <c r="Y55" s="26">
        <f>+IFERROR((BD_MR_RF[[#This Row],[Daño Insecto]]/BD_MR_RF[[#This Row],[Muestra]]),"0")</f>
        <v>0</v>
      </c>
      <c r="Z55" s="25">
        <v>0</v>
      </c>
      <c r="AA55" s="26">
        <f>+IFERROR((BD_MR_RF[[#This Row],[Block]]/BD_MR_RF[[#This Row],[Muestra]]),"0")</f>
        <v>0</v>
      </c>
      <c r="AB55" s="25">
        <v>0</v>
      </c>
      <c r="AC55" s="26">
        <f>+IFERROR((BD_MR_RF[[#This Row],[Mohos]]/BD_MR_RF[[#This Row],[Muestra]]),"0")</f>
        <v>0</v>
      </c>
      <c r="AD55" s="25">
        <v>0</v>
      </c>
      <c r="AE55" s="27">
        <v>0</v>
      </c>
      <c r="AG55" s="25">
        <v>0</v>
      </c>
      <c r="AH55" s="26">
        <f>+IFERROR((BD_MR_RF[[#This Row],[Valor Extra 1]]/BD_MR_RF[[#This Row],[Muestra]]),"0")</f>
        <v>0</v>
      </c>
      <c r="AJ55" s="25">
        <v>0</v>
      </c>
      <c r="AK55" s="26">
        <f>+IFERROR((BD_MR_RF[[#This Row],[Valor Extra 2]]/BD_MR_RF[[#This Row],[Muestra]]),"0")</f>
        <v>0</v>
      </c>
      <c r="AL55" s="19">
        <v>0</v>
      </c>
      <c r="AM55" s="26">
        <f>+IFERROR((BD_MR_RF[[#This Row],[Calibre &gt;16]]/BD_MR_RF[[#This Row],[Muestra]]),"0")</f>
        <v>0</v>
      </c>
      <c r="AN55" s="19">
        <v>0</v>
      </c>
      <c r="AO55" s="26">
        <f>+IFERROR((BD_MR_RF[[#This Row],[Calibre &lt;16]]/BD_MR_RF[[#This Row],[Muestra]]),"0")</f>
        <v>0</v>
      </c>
      <c r="AV55" s="28"/>
      <c r="AW55" s="29" t="s">
        <v>900</v>
      </c>
      <c r="AX55" s="19" t="s">
        <v>890</v>
      </c>
      <c r="AY55" s="19" t="s">
        <v>890</v>
      </c>
      <c r="AZ55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5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5" s="24">
        <f>1-BD_MR_RF[[#This Row],[% Defectos]]</f>
        <v>1</v>
      </c>
      <c r="BD55" s="31"/>
      <c r="BE55" s="19">
        <f>SUM(BD_MR_RF[[#This Row],[Palos (Un.) (≤18)]:[Larvas (Un.) (≤24)]])</f>
        <v>0</v>
      </c>
      <c r="BF55" s="19">
        <f>SUM(BD_MR_RF[[#This Row],[Vidrio (Un.) (0)]:[Plástico (Un.) (0)]])</f>
        <v>0</v>
      </c>
      <c r="BG55" s="19" t="str">
        <f>IF(ISBLANK(BD_MR_RF[[#This Row],[Descripción del Producto]]),"",BD_MR_RF[[#This Row],[Descripción del Producto]])</f>
        <v/>
      </c>
      <c r="BH55" s="19" t="str">
        <f>IF(ISBLANK(BD_MR_RF[[#This Row],[N° Lote]]),"",BD_MR_RF[[#This Row],[N° Lote]])</f>
        <v/>
      </c>
      <c r="BI55" s="19" t="str">
        <f>IF(ISBLANK(BD_MR_RF[[#This Row],[N° Pallet]]),"",BD_MR_RF[[#This Row],[N° Pallet]])</f>
        <v/>
      </c>
    </row>
    <row r="56" spans="2:61">
      <c r="B56" s="19">
        <f>_xlfn.ISOWEEKNUM(BD_MR_RF[[#This Row],[Fecha]])</f>
        <v>52</v>
      </c>
      <c r="E56" s="20"/>
      <c r="F56" s="18" t="str">
        <f>IFERROR("" &amp; _xlfn.XLOOKUP(BD_MR_RF[[#This Row],[Código]],BD_Cod!A:A,BD_Cod!B:B), "")</f>
        <v/>
      </c>
      <c r="G56" s="21" t="str">
        <f>IFERROR(" " &amp;_xlfn.XLOOKUP(BD_MR_RF[[#This Row],[Código]],BD_Cod!A:A,BD_Cod!H:H," ")," ")</f>
        <v xml:space="preserve"> </v>
      </c>
      <c r="J56" s="22">
        <v>1000</v>
      </c>
      <c r="L56" s="19" t="s">
        <v>244</v>
      </c>
      <c r="O56" s="19" t="s">
        <v>890</v>
      </c>
      <c r="P56" s="19" t="s">
        <v>890</v>
      </c>
      <c r="Q56" s="24">
        <f>1-BD_MR_RF[[#This Row],[% Defectos]]</f>
        <v>1</v>
      </c>
      <c r="R56" s="25">
        <v>0</v>
      </c>
      <c r="S56" s="26">
        <f>+IFERROR((BD_MR_RF[[#This Row],[Desviación de Color]]/BD_MR_RF[[#This Row],[Muestra]]),"0")</f>
        <v>0</v>
      </c>
      <c r="T56" s="25">
        <v>0</v>
      </c>
      <c r="U56" s="26">
        <f>+IFERROR((BD_MR_RF[[#This Row],[Sobremaduro]]/BD_MR_RF[[#This Row],[Muestra]]),"0")</f>
        <v>0</v>
      </c>
      <c r="V56" s="25">
        <v>0</v>
      </c>
      <c r="W56" s="26">
        <f>+IFERROR((BD_MR_RF[[#This Row],[Daño Mécanico]]/BD_MR_RF[[#This Row],[Muestra]]),"0")</f>
        <v>0</v>
      </c>
      <c r="X56" s="25">
        <v>0</v>
      </c>
      <c r="Y56" s="26">
        <f>+IFERROR((BD_MR_RF[[#This Row],[Daño Insecto]]/BD_MR_RF[[#This Row],[Muestra]]),"0")</f>
        <v>0</v>
      </c>
      <c r="Z56" s="25">
        <v>0</v>
      </c>
      <c r="AA56" s="26">
        <f>+IFERROR((BD_MR_RF[[#This Row],[Block]]/BD_MR_RF[[#This Row],[Muestra]]),"0")</f>
        <v>0</v>
      </c>
      <c r="AB56" s="25">
        <v>0</v>
      </c>
      <c r="AC56" s="26">
        <f>+IFERROR((BD_MR_RF[[#This Row],[Mohos]]/BD_MR_RF[[#This Row],[Muestra]]),"0")</f>
        <v>0</v>
      </c>
      <c r="AD56" s="25">
        <v>0</v>
      </c>
      <c r="AE56" s="27">
        <v>0</v>
      </c>
      <c r="AG56" s="25">
        <v>0</v>
      </c>
      <c r="AH56" s="26">
        <f>+IFERROR((BD_MR_RF[[#This Row],[Valor Extra 1]]/BD_MR_RF[[#This Row],[Muestra]]),"0")</f>
        <v>0</v>
      </c>
      <c r="AJ56" s="25">
        <v>0</v>
      </c>
      <c r="AK56" s="26">
        <f>+IFERROR((BD_MR_RF[[#This Row],[Valor Extra 2]]/BD_MR_RF[[#This Row],[Muestra]]),"0")</f>
        <v>0</v>
      </c>
      <c r="AL56" s="19">
        <v>0</v>
      </c>
      <c r="AM56" s="26">
        <f>+IFERROR((BD_MR_RF[[#This Row],[Calibre &gt;16]]/BD_MR_RF[[#This Row],[Muestra]]),"0")</f>
        <v>0</v>
      </c>
      <c r="AN56" s="19">
        <v>0</v>
      </c>
      <c r="AO56" s="26">
        <f>+IFERROR((BD_MR_RF[[#This Row],[Calibre &lt;16]]/BD_MR_RF[[#This Row],[Muestra]]),"0")</f>
        <v>0</v>
      </c>
      <c r="AV56" s="28"/>
      <c r="AW56" s="29" t="s">
        <v>900</v>
      </c>
      <c r="AX56" s="19" t="s">
        <v>890</v>
      </c>
      <c r="AY56" s="19" t="s">
        <v>890</v>
      </c>
      <c r="AZ56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6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6" s="24">
        <f>1-BD_MR_RF[[#This Row],[% Defectos]]</f>
        <v>1</v>
      </c>
      <c r="BD56" s="31"/>
      <c r="BE56" s="19">
        <f>SUM(BD_MR_RF[[#This Row],[Palos (Un.) (≤18)]:[Larvas (Un.) (≤24)]])</f>
        <v>0</v>
      </c>
      <c r="BF56" s="19">
        <f>SUM(BD_MR_RF[[#This Row],[Vidrio (Un.) (0)]:[Plástico (Un.) (0)]])</f>
        <v>0</v>
      </c>
      <c r="BG56" s="19" t="str">
        <f>IF(ISBLANK(BD_MR_RF[[#This Row],[Descripción del Producto]]),"",BD_MR_RF[[#This Row],[Descripción del Producto]])</f>
        <v/>
      </c>
      <c r="BH56" s="19" t="str">
        <f>IF(ISBLANK(BD_MR_RF[[#This Row],[N° Lote]]),"",BD_MR_RF[[#This Row],[N° Lote]])</f>
        <v/>
      </c>
      <c r="BI56" s="19" t="str">
        <f>IF(ISBLANK(BD_MR_RF[[#This Row],[N° Pallet]]),"",BD_MR_RF[[#This Row],[N° Pallet]])</f>
        <v/>
      </c>
    </row>
    <row r="57" spans="2:61">
      <c r="B57" s="19">
        <f>_xlfn.ISOWEEKNUM(BD_MR_RF[[#This Row],[Fecha]])</f>
        <v>52</v>
      </c>
      <c r="E57" s="20"/>
      <c r="F57" s="18" t="str">
        <f>IFERROR("" &amp; _xlfn.XLOOKUP(BD_MR_RF[[#This Row],[Código]],BD_Cod!A:A,BD_Cod!B:B), "")</f>
        <v/>
      </c>
      <c r="G57" s="21" t="str">
        <f>IFERROR(" " &amp;_xlfn.XLOOKUP(BD_MR_RF[[#This Row],[Código]],BD_Cod!A:A,BD_Cod!H:H," ")," ")</f>
        <v xml:space="preserve"> </v>
      </c>
      <c r="J57" s="22">
        <v>1000</v>
      </c>
      <c r="L57" s="19" t="s">
        <v>244</v>
      </c>
      <c r="O57" s="19" t="s">
        <v>890</v>
      </c>
      <c r="P57" s="19" t="s">
        <v>890</v>
      </c>
      <c r="Q57" s="24">
        <f>1-BD_MR_RF[[#This Row],[% Defectos]]</f>
        <v>1</v>
      </c>
      <c r="R57" s="25">
        <v>0</v>
      </c>
      <c r="S57" s="26">
        <f>+IFERROR((BD_MR_RF[[#This Row],[Desviación de Color]]/BD_MR_RF[[#This Row],[Muestra]]),"0")</f>
        <v>0</v>
      </c>
      <c r="T57" s="25">
        <v>0</v>
      </c>
      <c r="U57" s="26">
        <f>+IFERROR((BD_MR_RF[[#This Row],[Sobremaduro]]/BD_MR_RF[[#This Row],[Muestra]]),"0")</f>
        <v>0</v>
      </c>
      <c r="V57" s="25">
        <v>0</v>
      </c>
      <c r="W57" s="26">
        <f>+IFERROR((BD_MR_RF[[#This Row],[Daño Mécanico]]/BD_MR_RF[[#This Row],[Muestra]]),"0")</f>
        <v>0</v>
      </c>
      <c r="X57" s="25">
        <v>0</v>
      </c>
      <c r="Y57" s="26">
        <f>+IFERROR((BD_MR_RF[[#This Row],[Daño Insecto]]/BD_MR_RF[[#This Row],[Muestra]]),"0")</f>
        <v>0</v>
      </c>
      <c r="Z57" s="25">
        <v>0</v>
      </c>
      <c r="AA57" s="26">
        <f>+IFERROR((BD_MR_RF[[#This Row],[Block]]/BD_MR_RF[[#This Row],[Muestra]]),"0")</f>
        <v>0</v>
      </c>
      <c r="AB57" s="25">
        <v>0</v>
      </c>
      <c r="AC57" s="26">
        <f>+IFERROR((BD_MR_RF[[#This Row],[Mohos]]/BD_MR_RF[[#This Row],[Muestra]]),"0")</f>
        <v>0</v>
      </c>
      <c r="AD57" s="25">
        <v>0</v>
      </c>
      <c r="AE57" s="27">
        <v>0</v>
      </c>
      <c r="AG57" s="25">
        <v>0</v>
      </c>
      <c r="AH57" s="26">
        <f>+IFERROR((BD_MR_RF[[#This Row],[Valor Extra 1]]/BD_MR_RF[[#This Row],[Muestra]]),"0")</f>
        <v>0</v>
      </c>
      <c r="AJ57" s="25">
        <v>0</v>
      </c>
      <c r="AK57" s="26">
        <f>+IFERROR((BD_MR_RF[[#This Row],[Valor Extra 2]]/BD_MR_RF[[#This Row],[Muestra]]),"0")</f>
        <v>0</v>
      </c>
      <c r="AL57" s="19">
        <v>0</v>
      </c>
      <c r="AM57" s="26">
        <f>+IFERROR((BD_MR_RF[[#This Row],[Calibre &gt;16]]/BD_MR_RF[[#This Row],[Muestra]]),"0")</f>
        <v>0</v>
      </c>
      <c r="AN57" s="19">
        <v>0</v>
      </c>
      <c r="AO57" s="26">
        <f>+IFERROR((BD_MR_RF[[#This Row],[Calibre &lt;16]]/BD_MR_RF[[#This Row],[Muestra]]),"0")</f>
        <v>0</v>
      </c>
      <c r="AV57" s="28"/>
      <c r="AW57" s="29" t="s">
        <v>900</v>
      </c>
      <c r="AX57" s="19" t="s">
        <v>890</v>
      </c>
      <c r="AY57" s="19" t="s">
        <v>890</v>
      </c>
      <c r="AZ57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7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7" s="24">
        <f>1-BD_MR_RF[[#This Row],[% Defectos]]</f>
        <v>1</v>
      </c>
      <c r="BD57" s="31"/>
      <c r="BE57" s="19">
        <f>SUM(BD_MR_RF[[#This Row],[Palos (Un.) (≤18)]:[Larvas (Un.) (≤24)]])</f>
        <v>0</v>
      </c>
      <c r="BF57" s="19">
        <f>SUM(BD_MR_RF[[#This Row],[Vidrio (Un.) (0)]:[Plástico (Un.) (0)]])</f>
        <v>0</v>
      </c>
      <c r="BG57" s="19" t="str">
        <f>IF(ISBLANK(BD_MR_RF[[#This Row],[Descripción del Producto]]),"",BD_MR_RF[[#This Row],[Descripción del Producto]])</f>
        <v/>
      </c>
      <c r="BH57" s="19" t="str">
        <f>IF(ISBLANK(BD_MR_RF[[#This Row],[N° Lote]]),"",BD_MR_RF[[#This Row],[N° Lote]])</f>
        <v/>
      </c>
      <c r="BI57" s="19" t="str">
        <f>IF(ISBLANK(BD_MR_RF[[#This Row],[N° Pallet]]),"",BD_MR_RF[[#This Row],[N° Pallet]])</f>
        <v/>
      </c>
    </row>
    <row r="58" spans="2:61">
      <c r="B58" s="19">
        <f>_xlfn.ISOWEEKNUM(BD_MR_RF[[#This Row],[Fecha]])</f>
        <v>52</v>
      </c>
      <c r="E58" s="20"/>
      <c r="F58" s="18" t="str">
        <f>IFERROR("" &amp; _xlfn.XLOOKUP(BD_MR_RF[[#This Row],[Código]],BD_Cod!A:A,BD_Cod!B:B), "")</f>
        <v/>
      </c>
      <c r="G58" s="21" t="str">
        <f>IFERROR(" " &amp;_xlfn.XLOOKUP(BD_MR_RF[[#This Row],[Código]],BD_Cod!A:A,BD_Cod!H:H," ")," ")</f>
        <v xml:space="preserve"> </v>
      </c>
      <c r="J58" s="22">
        <v>1000</v>
      </c>
      <c r="L58" s="19" t="s">
        <v>244</v>
      </c>
      <c r="O58" s="19" t="s">
        <v>890</v>
      </c>
      <c r="P58" s="19" t="s">
        <v>890</v>
      </c>
      <c r="Q58" s="24">
        <f>1-BD_MR_RF[[#This Row],[% Defectos]]</f>
        <v>1</v>
      </c>
      <c r="R58" s="25">
        <v>0</v>
      </c>
      <c r="S58" s="26">
        <f>+IFERROR((BD_MR_RF[[#This Row],[Desviación de Color]]/BD_MR_RF[[#This Row],[Muestra]]),"0")</f>
        <v>0</v>
      </c>
      <c r="T58" s="25">
        <v>0</v>
      </c>
      <c r="U58" s="26">
        <f>+IFERROR((BD_MR_RF[[#This Row],[Sobremaduro]]/BD_MR_RF[[#This Row],[Muestra]]),"0")</f>
        <v>0</v>
      </c>
      <c r="V58" s="25">
        <v>0</v>
      </c>
      <c r="W58" s="26">
        <f>+IFERROR((BD_MR_RF[[#This Row],[Daño Mécanico]]/BD_MR_RF[[#This Row],[Muestra]]),"0")</f>
        <v>0</v>
      </c>
      <c r="X58" s="25">
        <v>0</v>
      </c>
      <c r="Y58" s="26">
        <f>+IFERROR((BD_MR_RF[[#This Row],[Daño Insecto]]/BD_MR_RF[[#This Row],[Muestra]]),"0")</f>
        <v>0</v>
      </c>
      <c r="Z58" s="25">
        <v>0</v>
      </c>
      <c r="AA58" s="26">
        <f>+IFERROR((BD_MR_RF[[#This Row],[Block]]/BD_MR_RF[[#This Row],[Muestra]]),"0")</f>
        <v>0</v>
      </c>
      <c r="AB58" s="25">
        <v>0</v>
      </c>
      <c r="AC58" s="26">
        <f>+IFERROR((BD_MR_RF[[#This Row],[Mohos]]/BD_MR_RF[[#This Row],[Muestra]]),"0")</f>
        <v>0</v>
      </c>
      <c r="AD58" s="25">
        <v>0</v>
      </c>
      <c r="AE58" s="27">
        <v>0</v>
      </c>
      <c r="AG58" s="25">
        <v>0</v>
      </c>
      <c r="AH58" s="26">
        <f>+IFERROR((BD_MR_RF[[#This Row],[Valor Extra 1]]/BD_MR_RF[[#This Row],[Muestra]]),"0")</f>
        <v>0</v>
      </c>
      <c r="AJ58" s="25">
        <v>0</v>
      </c>
      <c r="AK58" s="26">
        <f>+IFERROR((BD_MR_RF[[#This Row],[Valor Extra 2]]/BD_MR_RF[[#This Row],[Muestra]]),"0")</f>
        <v>0</v>
      </c>
      <c r="AL58" s="19">
        <v>0</v>
      </c>
      <c r="AM58" s="26">
        <f>+IFERROR((BD_MR_RF[[#This Row],[Calibre &gt;16]]/BD_MR_RF[[#This Row],[Muestra]]),"0")</f>
        <v>0</v>
      </c>
      <c r="AN58" s="19">
        <v>0</v>
      </c>
      <c r="AO58" s="26">
        <f>+IFERROR((BD_MR_RF[[#This Row],[Calibre &lt;16]]/BD_MR_RF[[#This Row],[Muestra]]),"0")</f>
        <v>0</v>
      </c>
      <c r="AV58" s="28"/>
      <c r="AW58" s="29" t="s">
        <v>900</v>
      </c>
      <c r="AX58" s="19" t="s">
        <v>890</v>
      </c>
      <c r="AY58" s="19" t="s">
        <v>890</v>
      </c>
      <c r="AZ58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8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8" s="24">
        <f>1-BD_MR_RF[[#This Row],[% Defectos]]</f>
        <v>1</v>
      </c>
      <c r="BD58" s="31"/>
      <c r="BE58" s="19">
        <f>SUM(BD_MR_RF[[#This Row],[Palos (Un.) (≤18)]:[Larvas (Un.) (≤24)]])</f>
        <v>0</v>
      </c>
      <c r="BF58" s="19">
        <f>SUM(BD_MR_RF[[#This Row],[Vidrio (Un.) (0)]:[Plástico (Un.) (0)]])</f>
        <v>0</v>
      </c>
      <c r="BG58" s="19" t="str">
        <f>IF(ISBLANK(BD_MR_RF[[#This Row],[Descripción del Producto]]),"",BD_MR_RF[[#This Row],[Descripción del Producto]])</f>
        <v/>
      </c>
      <c r="BH58" s="19" t="str">
        <f>IF(ISBLANK(BD_MR_RF[[#This Row],[N° Lote]]),"",BD_MR_RF[[#This Row],[N° Lote]])</f>
        <v/>
      </c>
      <c r="BI58" s="19" t="str">
        <f>IF(ISBLANK(BD_MR_RF[[#This Row],[N° Pallet]]),"",BD_MR_RF[[#This Row],[N° Pallet]])</f>
        <v/>
      </c>
    </row>
    <row r="59" spans="2:61">
      <c r="B59" s="19">
        <f>_xlfn.ISOWEEKNUM(BD_MR_RF[[#This Row],[Fecha]])</f>
        <v>52</v>
      </c>
      <c r="E59" s="20"/>
      <c r="F59" s="18" t="str">
        <f>IFERROR("" &amp; _xlfn.XLOOKUP(BD_MR_RF[[#This Row],[Código]],BD_Cod!A:A,BD_Cod!B:B), "")</f>
        <v/>
      </c>
      <c r="G59" s="21" t="str">
        <f>IFERROR(" " &amp;_xlfn.XLOOKUP(BD_MR_RF[[#This Row],[Código]],BD_Cod!A:A,BD_Cod!H:H," ")," ")</f>
        <v xml:space="preserve"> </v>
      </c>
      <c r="J59" s="22">
        <v>1000</v>
      </c>
      <c r="L59" s="19" t="s">
        <v>244</v>
      </c>
      <c r="O59" s="19" t="s">
        <v>890</v>
      </c>
      <c r="P59" s="19" t="s">
        <v>890</v>
      </c>
      <c r="Q59" s="24">
        <f>1-BD_MR_RF[[#This Row],[% Defectos]]</f>
        <v>1</v>
      </c>
      <c r="R59" s="25">
        <v>0</v>
      </c>
      <c r="S59" s="26">
        <f>+IFERROR((BD_MR_RF[[#This Row],[Desviación de Color]]/BD_MR_RF[[#This Row],[Muestra]]),"0")</f>
        <v>0</v>
      </c>
      <c r="T59" s="25">
        <v>0</v>
      </c>
      <c r="U59" s="26">
        <f>+IFERROR((BD_MR_RF[[#This Row],[Sobremaduro]]/BD_MR_RF[[#This Row],[Muestra]]),"0")</f>
        <v>0</v>
      </c>
      <c r="V59" s="25">
        <v>0</v>
      </c>
      <c r="W59" s="26">
        <f>+IFERROR((BD_MR_RF[[#This Row],[Daño Mécanico]]/BD_MR_RF[[#This Row],[Muestra]]),"0")</f>
        <v>0</v>
      </c>
      <c r="X59" s="25">
        <v>0</v>
      </c>
      <c r="Y59" s="26">
        <f>+IFERROR((BD_MR_RF[[#This Row],[Daño Insecto]]/BD_MR_RF[[#This Row],[Muestra]]),"0")</f>
        <v>0</v>
      </c>
      <c r="Z59" s="25">
        <v>0</v>
      </c>
      <c r="AA59" s="26">
        <f>+IFERROR((BD_MR_RF[[#This Row],[Block]]/BD_MR_RF[[#This Row],[Muestra]]),"0")</f>
        <v>0</v>
      </c>
      <c r="AB59" s="25">
        <v>0</v>
      </c>
      <c r="AC59" s="26">
        <f>+IFERROR((BD_MR_RF[[#This Row],[Mohos]]/BD_MR_RF[[#This Row],[Muestra]]),"0")</f>
        <v>0</v>
      </c>
      <c r="AD59" s="25">
        <v>0</v>
      </c>
      <c r="AE59" s="27">
        <v>0</v>
      </c>
      <c r="AG59" s="25">
        <v>0</v>
      </c>
      <c r="AH59" s="26">
        <f>+IFERROR((BD_MR_RF[[#This Row],[Valor Extra 1]]/BD_MR_RF[[#This Row],[Muestra]]),"0")</f>
        <v>0</v>
      </c>
      <c r="AJ59" s="25">
        <v>0</v>
      </c>
      <c r="AK59" s="26">
        <f>+IFERROR((BD_MR_RF[[#This Row],[Valor Extra 2]]/BD_MR_RF[[#This Row],[Muestra]]),"0")</f>
        <v>0</v>
      </c>
      <c r="AL59" s="19">
        <v>0</v>
      </c>
      <c r="AM59" s="26">
        <f>+IFERROR((BD_MR_RF[[#This Row],[Calibre &gt;16]]/BD_MR_RF[[#This Row],[Muestra]]),"0")</f>
        <v>0</v>
      </c>
      <c r="AN59" s="19">
        <v>0</v>
      </c>
      <c r="AO59" s="26">
        <f>+IFERROR((BD_MR_RF[[#This Row],[Calibre &lt;16]]/BD_MR_RF[[#This Row],[Muestra]]),"0")</f>
        <v>0</v>
      </c>
      <c r="AV59" s="28"/>
      <c r="AW59" s="29" t="s">
        <v>900</v>
      </c>
      <c r="AX59" s="19" t="s">
        <v>890</v>
      </c>
      <c r="AY59" s="19" t="s">
        <v>890</v>
      </c>
      <c r="AZ59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59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59" s="24">
        <f>1-BD_MR_RF[[#This Row],[% Defectos]]</f>
        <v>1</v>
      </c>
      <c r="BD59" s="31"/>
      <c r="BE59" s="19">
        <f>SUM(BD_MR_RF[[#This Row],[Palos (Un.) (≤18)]:[Larvas (Un.) (≤24)]])</f>
        <v>0</v>
      </c>
      <c r="BF59" s="19">
        <f>SUM(BD_MR_RF[[#This Row],[Vidrio (Un.) (0)]:[Plástico (Un.) (0)]])</f>
        <v>0</v>
      </c>
      <c r="BG59" s="19" t="str">
        <f>IF(ISBLANK(BD_MR_RF[[#This Row],[Descripción del Producto]]),"",BD_MR_RF[[#This Row],[Descripción del Producto]])</f>
        <v/>
      </c>
      <c r="BH59" s="19" t="str">
        <f>IF(ISBLANK(BD_MR_RF[[#This Row],[N° Lote]]),"",BD_MR_RF[[#This Row],[N° Lote]])</f>
        <v/>
      </c>
      <c r="BI59" s="19" t="str">
        <f>IF(ISBLANK(BD_MR_RF[[#This Row],[N° Pallet]]),"",BD_MR_RF[[#This Row],[N° Pallet]])</f>
        <v/>
      </c>
    </row>
    <row r="60" spans="2:61">
      <c r="B60" s="19">
        <f>_xlfn.ISOWEEKNUM(BD_MR_RF[[#This Row],[Fecha]])</f>
        <v>52</v>
      </c>
      <c r="E60" s="20"/>
      <c r="F60" s="18" t="str">
        <f>IFERROR("" &amp; _xlfn.XLOOKUP(BD_MR_RF[[#This Row],[Código]],BD_Cod!A:A,BD_Cod!B:B), "")</f>
        <v/>
      </c>
      <c r="G60" s="21" t="str">
        <f>IFERROR(" " &amp;_xlfn.XLOOKUP(BD_MR_RF[[#This Row],[Código]],BD_Cod!A:A,BD_Cod!H:H," ")," ")</f>
        <v xml:space="preserve"> </v>
      </c>
      <c r="J60" s="22">
        <v>1000</v>
      </c>
      <c r="L60" s="19" t="s">
        <v>244</v>
      </c>
      <c r="O60" s="19" t="s">
        <v>890</v>
      </c>
      <c r="P60" s="19" t="s">
        <v>890</v>
      </c>
      <c r="Q60" s="24">
        <f>1-BD_MR_RF[[#This Row],[% Defectos]]</f>
        <v>1</v>
      </c>
      <c r="R60" s="25">
        <v>0</v>
      </c>
      <c r="S60" s="26">
        <f>+IFERROR((BD_MR_RF[[#This Row],[Desviación de Color]]/BD_MR_RF[[#This Row],[Muestra]]),"0")</f>
        <v>0</v>
      </c>
      <c r="T60" s="25">
        <v>0</v>
      </c>
      <c r="U60" s="26">
        <f>+IFERROR((BD_MR_RF[[#This Row],[Sobremaduro]]/BD_MR_RF[[#This Row],[Muestra]]),"0")</f>
        <v>0</v>
      </c>
      <c r="V60" s="25">
        <v>0</v>
      </c>
      <c r="W60" s="26">
        <f>+IFERROR((BD_MR_RF[[#This Row],[Daño Mécanico]]/BD_MR_RF[[#This Row],[Muestra]]),"0")</f>
        <v>0</v>
      </c>
      <c r="X60" s="25">
        <v>0</v>
      </c>
      <c r="Y60" s="26">
        <f>+IFERROR((BD_MR_RF[[#This Row],[Daño Insecto]]/BD_MR_RF[[#This Row],[Muestra]]),"0")</f>
        <v>0</v>
      </c>
      <c r="Z60" s="25">
        <v>0</v>
      </c>
      <c r="AA60" s="26">
        <f>+IFERROR((BD_MR_RF[[#This Row],[Block]]/BD_MR_RF[[#This Row],[Muestra]]),"0")</f>
        <v>0</v>
      </c>
      <c r="AB60" s="25">
        <v>0</v>
      </c>
      <c r="AC60" s="26">
        <f>+IFERROR((BD_MR_RF[[#This Row],[Mohos]]/BD_MR_RF[[#This Row],[Muestra]]),"0")</f>
        <v>0</v>
      </c>
      <c r="AD60" s="25">
        <v>0</v>
      </c>
      <c r="AE60" s="27">
        <v>0</v>
      </c>
      <c r="AG60" s="25">
        <v>0</v>
      </c>
      <c r="AH60" s="26">
        <f>+IFERROR((BD_MR_RF[[#This Row],[Valor Extra 1]]/BD_MR_RF[[#This Row],[Muestra]]),"0")</f>
        <v>0</v>
      </c>
      <c r="AJ60" s="25">
        <v>0</v>
      </c>
      <c r="AK60" s="26">
        <f>+IFERROR((BD_MR_RF[[#This Row],[Valor Extra 2]]/BD_MR_RF[[#This Row],[Muestra]]),"0")</f>
        <v>0</v>
      </c>
      <c r="AL60" s="19">
        <v>0</v>
      </c>
      <c r="AM60" s="26">
        <f>+IFERROR((BD_MR_RF[[#This Row],[Calibre &gt;16]]/BD_MR_RF[[#This Row],[Muestra]]),"0")</f>
        <v>0</v>
      </c>
      <c r="AN60" s="19">
        <v>0</v>
      </c>
      <c r="AO60" s="26">
        <f>+IFERROR((BD_MR_RF[[#This Row],[Calibre &lt;16]]/BD_MR_RF[[#This Row],[Muestra]]),"0")</f>
        <v>0</v>
      </c>
      <c r="AV60" s="28"/>
      <c r="AW60" s="29" t="s">
        <v>900</v>
      </c>
      <c r="AX60" s="19" t="s">
        <v>890</v>
      </c>
      <c r="AY60" s="19" t="s">
        <v>890</v>
      </c>
      <c r="AZ60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0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0" s="24">
        <f>1-BD_MR_RF[[#This Row],[% Defectos]]</f>
        <v>1</v>
      </c>
      <c r="BD60" s="31"/>
      <c r="BE60" s="19">
        <f>SUM(BD_MR_RF[[#This Row],[Palos (Un.) (≤18)]:[Larvas (Un.) (≤24)]])</f>
        <v>0</v>
      </c>
      <c r="BF60" s="19">
        <f>SUM(BD_MR_RF[[#This Row],[Vidrio (Un.) (0)]:[Plástico (Un.) (0)]])</f>
        <v>0</v>
      </c>
      <c r="BG60" s="19" t="str">
        <f>IF(ISBLANK(BD_MR_RF[[#This Row],[Descripción del Producto]]),"",BD_MR_RF[[#This Row],[Descripción del Producto]])</f>
        <v/>
      </c>
      <c r="BH60" s="19" t="str">
        <f>IF(ISBLANK(BD_MR_RF[[#This Row],[N° Lote]]),"",BD_MR_RF[[#This Row],[N° Lote]])</f>
        <v/>
      </c>
      <c r="BI60" s="19" t="str">
        <f>IF(ISBLANK(BD_MR_RF[[#This Row],[N° Pallet]]),"",BD_MR_RF[[#This Row],[N° Pallet]])</f>
        <v/>
      </c>
    </row>
    <row r="61" spans="2:61">
      <c r="B61" s="19">
        <f>_xlfn.ISOWEEKNUM(BD_MR_RF[[#This Row],[Fecha]])</f>
        <v>52</v>
      </c>
      <c r="E61" s="20"/>
      <c r="F61" s="18" t="str">
        <f>IFERROR("" &amp; _xlfn.XLOOKUP(BD_MR_RF[[#This Row],[Código]],BD_Cod!A:A,BD_Cod!B:B), "")</f>
        <v/>
      </c>
      <c r="G61" s="21" t="str">
        <f>IFERROR(" " &amp;_xlfn.XLOOKUP(BD_MR_RF[[#This Row],[Código]],BD_Cod!A:A,BD_Cod!H:H," ")," ")</f>
        <v xml:space="preserve"> </v>
      </c>
      <c r="J61" s="22">
        <v>1000</v>
      </c>
      <c r="L61" s="19" t="s">
        <v>244</v>
      </c>
      <c r="O61" s="19" t="s">
        <v>890</v>
      </c>
      <c r="P61" s="19" t="s">
        <v>890</v>
      </c>
      <c r="Q61" s="24">
        <f>1-BD_MR_RF[[#This Row],[% Defectos]]</f>
        <v>1</v>
      </c>
      <c r="R61" s="25">
        <v>0</v>
      </c>
      <c r="S61" s="26">
        <f>+IFERROR((BD_MR_RF[[#This Row],[Desviación de Color]]/BD_MR_RF[[#This Row],[Muestra]]),"0")</f>
        <v>0</v>
      </c>
      <c r="T61" s="25">
        <v>0</v>
      </c>
      <c r="U61" s="26">
        <f>+IFERROR((BD_MR_RF[[#This Row],[Sobremaduro]]/BD_MR_RF[[#This Row],[Muestra]]),"0")</f>
        <v>0</v>
      </c>
      <c r="V61" s="25">
        <v>0</v>
      </c>
      <c r="W61" s="26">
        <f>+IFERROR((BD_MR_RF[[#This Row],[Daño Mécanico]]/BD_MR_RF[[#This Row],[Muestra]]),"0")</f>
        <v>0</v>
      </c>
      <c r="X61" s="25">
        <v>0</v>
      </c>
      <c r="Y61" s="26">
        <f>+IFERROR((BD_MR_RF[[#This Row],[Daño Insecto]]/BD_MR_RF[[#This Row],[Muestra]]),"0")</f>
        <v>0</v>
      </c>
      <c r="Z61" s="25">
        <v>0</v>
      </c>
      <c r="AA61" s="26">
        <f>+IFERROR((BD_MR_RF[[#This Row],[Block]]/BD_MR_RF[[#This Row],[Muestra]]),"0")</f>
        <v>0</v>
      </c>
      <c r="AB61" s="25">
        <v>0</v>
      </c>
      <c r="AC61" s="26">
        <f>+IFERROR((BD_MR_RF[[#This Row],[Mohos]]/BD_MR_RF[[#This Row],[Muestra]]),"0")</f>
        <v>0</v>
      </c>
      <c r="AD61" s="25">
        <v>0</v>
      </c>
      <c r="AE61" s="27">
        <v>0</v>
      </c>
      <c r="AG61" s="25">
        <v>0</v>
      </c>
      <c r="AH61" s="26">
        <f>+IFERROR((BD_MR_RF[[#This Row],[Valor Extra 1]]/BD_MR_RF[[#This Row],[Muestra]]),"0")</f>
        <v>0</v>
      </c>
      <c r="AJ61" s="25">
        <v>0</v>
      </c>
      <c r="AK61" s="26">
        <f>+IFERROR((BD_MR_RF[[#This Row],[Valor Extra 2]]/BD_MR_RF[[#This Row],[Muestra]]),"0")</f>
        <v>0</v>
      </c>
      <c r="AL61" s="19">
        <v>0</v>
      </c>
      <c r="AM61" s="26">
        <f>+IFERROR((BD_MR_RF[[#This Row],[Calibre &gt;16]]/BD_MR_RF[[#This Row],[Muestra]]),"0")</f>
        <v>0</v>
      </c>
      <c r="AN61" s="19">
        <v>0</v>
      </c>
      <c r="AO61" s="26">
        <f>+IFERROR((BD_MR_RF[[#This Row],[Calibre &lt;16]]/BD_MR_RF[[#This Row],[Muestra]]),"0")</f>
        <v>0</v>
      </c>
      <c r="AV61" s="28"/>
      <c r="AW61" s="29" t="s">
        <v>900</v>
      </c>
      <c r="AX61" s="19" t="s">
        <v>890</v>
      </c>
      <c r="AY61" s="19" t="s">
        <v>890</v>
      </c>
      <c r="AZ61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1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1" s="24">
        <f>1-BD_MR_RF[[#This Row],[% Defectos]]</f>
        <v>1</v>
      </c>
      <c r="BD61" s="31"/>
      <c r="BE61" s="19">
        <f>SUM(BD_MR_RF[[#This Row],[Palos (Un.) (≤18)]:[Larvas (Un.) (≤24)]])</f>
        <v>0</v>
      </c>
      <c r="BF61" s="19">
        <f>SUM(BD_MR_RF[[#This Row],[Vidrio (Un.) (0)]:[Plástico (Un.) (0)]])</f>
        <v>0</v>
      </c>
      <c r="BG61" s="19" t="str">
        <f>IF(ISBLANK(BD_MR_RF[[#This Row],[Descripción del Producto]]),"",BD_MR_RF[[#This Row],[Descripción del Producto]])</f>
        <v/>
      </c>
      <c r="BH61" s="19" t="str">
        <f>IF(ISBLANK(BD_MR_RF[[#This Row],[N° Lote]]),"",BD_MR_RF[[#This Row],[N° Lote]])</f>
        <v/>
      </c>
      <c r="BI61" s="19" t="str">
        <f>IF(ISBLANK(BD_MR_RF[[#This Row],[N° Pallet]]),"",BD_MR_RF[[#This Row],[N° Pallet]])</f>
        <v/>
      </c>
    </row>
    <row r="62" spans="2:61">
      <c r="B62" s="19">
        <f>_xlfn.ISOWEEKNUM(BD_MR_RF[[#This Row],[Fecha]])</f>
        <v>52</v>
      </c>
      <c r="E62" s="20"/>
      <c r="F62" s="18" t="str">
        <f>IFERROR("" &amp; _xlfn.XLOOKUP(BD_MR_RF[[#This Row],[Código]],BD_Cod!A:A,BD_Cod!B:B), "")</f>
        <v/>
      </c>
      <c r="G62" s="21" t="str">
        <f>IFERROR(" " &amp;_xlfn.XLOOKUP(BD_MR_RF[[#This Row],[Código]],BD_Cod!A:A,BD_Cod!H:H," ")," ")</f>
        <v xml:space="preserve"> </v>
      </c>
      <c r="J62" s="22">
        <v>1000</v>
      </c>
      <c r="L62" s="19" t="s">
        <v>244</v>
      </c>
      <c r="O62" s="19" t="s">
        <v>890</v>
      </c>
      <c r="P62" s="19" t="s">
        <v>890</v>
      </c>
      <c r="Q62" s="24">
        <f>1-BD_MR_RF[[#This Row],[% Defectos]]</f>
        <v>1</v>
      </c>
      <c r="R62" s="25">
        <v>0</v>
      </c>
      <c r="S62" s="26">
        <f>+IFERROR((BD_MR_RF[[#This Row],[Desviación de Color]]/BD_MR_RF[[#This Row],[Muestra]]),"0")</f>
        <v>0</v>
      </c>
      <c r="T62" s="25">
        <v>0</v>
      </c>
      <c r="U62" s="26">
        <f>+IFERROR((BD_MR_RF[[#This Row],[Sobremaduro]]/BD_MR_RF[[#This Row],[Muestra]]),"0")</f>
        <v>0</v>
      </c>
      <c r="V62" s="25">
        <v>0</v>
      </c>
      <c r="W62" s="26">
        <f>+IFERROR((BD_MR_RF[[#This Row],[Daño Mécanico]]/BD_MR_RF[[#This Row],[Muestra]]),"0")</f>
        <v>0</v>
      </c>
      <c r="X62" s="25">
        <v>0</v>
      </c>
      <c r="Y62" s="26">
        <f>+IFERROR((BD_MR_RF[[#This Row],[Daño Insecto]]/BD_MR_RF[[#This Row],[Muestra]]),"0")</f>
        <v>0</v>
      </c>
      <c r="Z62" s="25">
        <v>0</v>
      </c>
      <c r="AA62" s="26">
        <f>+IFERROR((BD_MR_RF[[#This Row],[Block]]/BD_MR_RF[[#This Row],[Muestra]]),"0")</f>
        <v>0</v>
      </c>
      <c r="AB62" s="25">
        <v>0</v>
      </c>
      <c r="AC62" s="26">
        <f>+IFERROR((BD_MR_RF[[#This Row],[Mohos]]/BD_MR_RF[[#This Row],[Muestra]]),"0")</f>
        <v>0</v>
      </c>
      <c r="AD62" s="25">
        <v>0</v>
      </c>
      <c r="AE62" s="27">
        <v>0</v>
      </c>
      <c r="AG62" s="25">
        <v>0</v>
      </c>
      <c r="AH62" s="26">
        <f>+IFERROR((BD_MR_RF[[#This Row],[Valor Extra 1]]/BD_MR_RF[[#This Row],[Muestra]]),"0")</f>
        <v>0</v>
      </c>
      <c r="AJ62" s="25">
        <v>0</v>
      </c>
      <c r="AK62" s="26">
        <f>+IFERROR((BD_MR_RF[[#This Row],[Valor Extra 2]]/BD_MR_RF[[#This Row],[Muestra]]),"0")</f>
        <v>0</v>
      </c>
      <c r="AL62" s="19">
        <v>0</v>
      </c>
      <c r="AM62" s="26">
        <f>+IFERROR((BD_MR_RF[[#This Row],[Calibre &gt;16]]/BD_MR_RF[[#This Row],[Muestra]]),"0")</f>
        <v>0</v>
      </c>
      <c r="AN62" s="19">
        <v>0</v>
      </c>
      <c r="AO62" s="26">
        <f>+IFERROR((BD_MR_RF[[#This Row],[Calibre &lt;16]]/BD_MR_RF[[#This Row],[Muestra]]),"0")</f>
        <v>0</v>
      </c>
      <c r="AV62" s="28"/>
      <c r="AW62" s="29" t="s">
        <v>900</v>
      </c>
      <c r="AX62" s="19" t="s">
        <v>890</v>
      </c>
      <c r="AY62" s="19" t="s">
        <v>890</v>
      </c>
      <c r="AZ62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2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2" s="24">
        <f>1-BD_MR_RF[[#This Row],[% Defectos]]</f>
        <v>1</v>
      </c>
      <c r="BD62" s="31"/>
      <c r="BE62" s="19">
        <f>SUM(BD_MR_RF[[#This Row],[Palos (Un.) (≤18)]:[Larvas (Un.) (≤24)]])</f>
        <v>0</v>
      </c>
      <c r="BF62" s="19">
        <f>SUM(BD_MR_RF[[#This Row],[Vidrio (Un.) (0)]:[Plástico (Un.) (0)]])</f>
        <v>0</v>
      </c>
      <c r="BG62" s="19" t="str">
        <f>IF(ISBLANK(BD_MR_RF[[#This Row],[Descripción del Producto]]),"",BD_MR_RF[[#This Row],[Descripción del Producto]])</f>
        <v/>
      </c>
      <c r="BH62" s="19" t="str">
        <f>IF(ISBLANK(BD_MR_RF[[#This Row],[N° Lote]]),"",BD_MR_RF[[#This Row],[N° Lote]])</f>
        <v/>
      </c>
      <c r="BI62" s="19" t="str">
        <f>IF(ISBLANK(BD_MR_RF[[#This Row],[N° Pallet]]),"",BD_MR_RF[[#This Row],[N° Pallet]])</f>
        <v/>
      </c>
    </row>
    <row r="63" spans="2:61">
      <c r="B63" s="19">
        <f>_xlfn.ISOWEEKNUM(BD_MR_RF[[#This Row],[Fecha]])</f>
        <v>52</v>
      </c>
      <c r="E63" s="20"/>
      <c r="F63" s="18" t="str">
        <f>IFERROR("" &amp; _xlfn.XLOOKUP(BD_MR_RF[[#This Row],[Código]],BD_Cod!A:A,BD_Cod!B:B), "")</f>
        <v/>
      </c>
      <c r="G63" s="21" t="str">
        <f>IFERROR(" " &amp;_xlfn.XLOOKUP(BD_MR_RF[[#This Row],[Código]],BD_Cod!A:A,BD_Cod!H:H," ")," ")</f>
        <v xml:space="preserve"> </v>
      </c>
      <c r="J63" s="22">
        <v>1000</v>
      </c>
      <c r="L63" s="19" t="s">
        <v>244</v>
      </c>
      <c r="O63" s="19" t="s">
        <v>890</v>
      </c>
      <c r="P63" s="19" t="s">
        <v>890</v>
      </c>
      <c r="Q63" s="24">
        <f>1-BD_MR_RF[[#This Row],[% Defectos]]</f>
        <v>1</v>
      </c>
      <c r="R63" s="25">
        <v>0</v>
      </c>
      <c r="S63" s="26">
        <f>+IFERROR((BD_MR_RF[[#This Row],[Desviación de Color]]/BD_MR_RF[[#This Row],[Muestra]]),"0")</f>
        <v>0</v>
      </c>
      <c r="T63" s="25">
        <v>0</v>
      </c>
      <c r="U63" s="26">
        <f>+IFERROR((BD_MR_RF[[#This Row],[Sobremaduro]]/BD_MR_RF[[#This Row],[Muestra]]),"0")</f>
        <v>0</v>
      </c>
      <c r="V63" s="25">
        <v>0</v>
      </c>
      <c r="W63" s="26">
        <f>+IFERROR((BD_MR_RF[[#This Row],[Daño Mécanico]]/BD_MR_RF[[#This Row],[Muestra]]),"0")</f>
        <v>0</v>
      </c>
      <c r="X63" s="25">
        <v>0</v>
      </c>
      <c r="Y63" s="26">
        <f>+IFERROR((BD_MR_RF[[#This Row],[Daño Insecto]]/BD_MR_RF[[#This Row],[Muestra]]),"0")</f>
        <v>0</v>
      </c>
      <c r="Z63" s="25">
        <v>0</v>
      </c>
      <c r="AA63" s="26">
        <f>+IFERROR((BD_MR_RF[[#This Row],[Block]]/BD_MR_RF[[#This Row],[Muestra]]),"0")</f>
        <v>0</v>
      </c>
      <c r="AB63" s="25">
        <v>0</v>
      </c>
      <c r="AC63" s="26">
        <f>+IFERROR((BD_MR_RF[[#This Row],[Mohos]]/BD_MR_RF[[#This Row],[Muestra]]),"0")</f>
        <v>0</v>
      </c>
      <c r="AD63" s="25">
        <v>0</v>
      </c>
      <c r="AE63" s="27">
        <v>0</v>
      </c>
      <c r="AG63" s="25">
        <v>0</v>
      </c>
      <c r="AH63" s="26">
        <f>+IFERROR((BD_MR_RF[[#This Row],[Valor Extra 1]]/BD_MR_RF[[#This Row],[Muestra]]),"0")</f>
        <v>0</v>
      </c>
      <c r="AJ63" s="25">
        <v>0</v>
      </c>
      <c r="AK63" s="26">
        <f>+IFERROR((BD_MR_RF[[#This Row],[Valor Extra 2]]/BD_MR_RF[[#This Row],[Muestra]]),"0")</f>
        <v>0</v>
      </c>
      <c r="AL63" s="19">
        <v>0</v>
      </c>
      <c r="AM63" s="26">
        <f>+IFERROR((BD_MR_RF[[#This Row],[Calibre &gt;16]]/BD_MR_RF[[#This Row],[Muestra]]),"0")</f>
        <v>0</v>
      </c>
      <c r="AN63" s="19">
        <v>0</v>
      </c>
      <c r="AO63" s="26">
        <f>+IFERROR((BD_MR_RF[[#This Row],[Calibre &lt;16]]/BD_MR_RF[[#This Row],[Muestra]]),"0")</f>
        <v>0</v>
      </c>
      <c r="AV63" s="28"/>
      <c r="AW63" s="29" t="s">
        <v>900</v>
      </c>
      <c r="AX63" s="19" t="s">
        <v>890</v>
      </c>
      <c r="AY63" s="19" t="s">
        <v>890</v>
      </c>
      <c r="AZ63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3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3" s="24">
        <f>1-BD_MR_RF[[#This Row],[% Defectos]]</f>
        <v>1</v>
      </c>
      <c r="BD63" s="31"/>
      <c r="BE63" s="19">
        <f>SUM(BD_MR_RF[[#This Row],[Palos (Un.) (≤18)]:[Larvas (Un.) (≤24)]])</f>
        <v>0</v>
      </c>
      <c r="BF63" s="19">
        <f>SUM(BD_MR_RF[[#This Row],[Vidrio (Un.) (0)]:[Plástico (Un.) (0)]])</f>
        <v>0</v>
      </c>
      <c r="BG63" s="19" t="str">
        <f>IF(ISBLANK(BD_MR_RF[[#This Row],[Descripción del Producto]]),"",BD_MR_RF[[#This Row],[Descripción del Producto]])</f>
        <v/>
      </c>
      <c r="BH63" s="19" t="str">
        <f>IF(ISBLANK(BD_MR_RF[[#This Row],[N° Lote]]),"",BD_MR_RF[[#This Row],[N° Lote]])</f>
        <v/>
      </c>
      <c r="BI63" s="19" t="str">
        <f>IF(ISBLANK(BD_MR_RF[[#This Row],[N° Pallet]]),"",BD_MR_RF[[#This Row],[N° Pallet]])</f>
        <v/>
      </c>
    </row>
    <row r="64" spans="2:61">
      <c r="B64" s="19">
        <f>_xlfn.ISOWEEKNUM(BD_MR_RF[[#This Row],[Fecha]])</f>
        <v>52</v>
      </c>
      <c r="E64" s="20"/>
      <c r="F64" s="18" t="str">
        <f>IFERROR("" &amp; _xlfn.XLOOKUP(BD_MR_RF[[#This Row],[Código]],BD_Cod!A:A,BD_Cod!B:B), "")</f>
        <v/>
      </c>
      <c r="G64" s="21" t="str">
        <f>IFERROR(" " &amp;_xlfn.XLOOKUP(BD_MR_RF[[#This Row],[Código]],BD_Cod!A:A,BD_Cod!H:H," ")," ")</f>
        <v xml:space="preserve"> </v>
      </c>
      <c r="J64" s="22">
        <v>1000</v>
      </c>
      <c r="L64" s="19" t="s">
        <v>244</v>
      </c>
      <c r="O64" s="19" t="s">
        <v>890</v>
      </c>
      <c r="P64" s="19" t="s">
        <v>890</v>
      </c>
      <c r="Q64" s="24">
        <f>1-BD_MR_RF[[#This Row],[% Defectos]]</f>
        <v>1</v>
      </c>
      <c r="R64" s="25">
        <v>0</v>
      </c>
      <c r="S64" s="26">
        <f>+IFERROR((BD_MR_RF[[#This Row],[Desviación de Color]]/BD_MR_RF[[#This Row],[Muestra]]),"0")</f>
        <v>0</v>
      </c>
      <c r="T64" s="25">
        <v>0</v>
      </c>
      <c r="U64" s="26">
        <f>+IFERROR((BD_MR_RF[[#This Row],[Sobremaduro]]/BD_MR_RF[[#This Row],[Muestra]]),"0")</f>
        <v>0</v>
      </c>
      <c r="V64" s="25">
        <v>0</v>
      </c>
      <c r="W64" s="26">
        <f>+IFERROR((BD_MR_RF[[#This Row],[Daño Mécanico]]/BD_MR_RF[[#This Row],[Muestra]]),"0")</f>
        <v>0</v>
      </c>
      <c r="X64" s="25">
        <v>0</v>
      </c>
      <c r="Y64" s="26">
        <f>+IFERROR((BD_MR_RF[[#This Row],[Daño Insecto]]/BD_MR_RF[[#This Row],[Muestra]]),"0")</f>
        <v>0</v>
      </c>
      <c r="Z64" s="25">
        <v>0</v>
      </c>
      <c r="AA64" s="26">
        <f>+IFERROR((BD_MR_RF[[#This Row],[Block]]/BD_MR_RF[[#This Row],[Muestra]]),"0")</f>
        <v>0</v>
      </c>
      <c r="AB64" s="25">
        <v>0</v>
      </c>
      <c r="AC64" s="26">
        <f>+IFERROR((BD_MR_RF[[#This Row],[Mohos]]/BD_MR_RF[[#This Row],[Muestra]]),"0")</f>
        <v>0</v>
      </c>
      <c r="AD64" s="25">
        <v>0</v>
      </c>
      <c r="AE64" s="27">
        <v>0</v>
      </c>
      <c r="AG64" s="25">
        <v>0</v>
      </c>
      <c r="AH64" s="26">
        <f>+IFERROR((BD_MR_RF[[#This Row],[Valor Extra 1]]/BD_MR_RF[[#This Row],[Muestra]]),"0")</f>
        <v>0</v>
      </c>
      <c r="AJ64" s="25">
        <v>0</v>
      </c>
      <c r="AK64" s="26">
        <f>+IFERROR((BD_MR_RF[[#This Row],[Valor Extra 2]]/BD_MR_RF[[#This Row],[Muestra]]),"0")</f>
        <v>0</v>
      </c>
      <c r="AL64" s="19">
        <v>0</v>
      </c>
      <c r="AM64" s="26">
        <f>+IFERROR((BD_MR_RF[[#This Row],[Calibre &gt;16]]/BD_MR_RF[[#This Row],[Muestra]]),"0")</f>
        <v>0</v>
      </c>
      <c r="AN64" s="19">
        <v>0</v>
      </c>
      <c r="AO64" s="26">
        <f>+IFERROR((BD_MR_RF[[#This Row],[Calibre &lt;16]]/BD_MR_RF[[#This Row],[Muestra]]),"0")</f>
        <v>0</v>
      </c>
      <c r="AV64" s="28"/>
      <c r="AW64" s="29" t="s">
        <v>900</v>
      </c>
      <c r="AX64" s="19" t="s">
        <v>890</v>
      </c>
      <c r="AY64" s="19" t="s">
        <v>890</v>
      </c>
      <c r="AZ64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4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4" s="24">
        <f>1-BD_MR_RF[[#This Row],[% Defectos]]</f>
        <v>1</v>
      </c>
      <c r="BD64" s="31"/>
      <c r="BE64" s="19">
        <f>SUM(BD_MR_RF[[#This Row],[Palos (Un.) (≤18)]:[Larvas (Un.) (≤24)]])</f>
        <v>0</v>
      </c>
      <c r="BF64" s="19">
        <f>SUM(BD_MR_RF[[#This Row],[Vidrio (Un.) (0)]:[Plástico (Un.) (0)]])</f>
        <v>0</v>
      </c>
      <c r="BG64" s="19" t="str">
        <f>IF(ISBLANK(BD_MR_RF[[#This Row],[Descripción del Producto]]),"",BD_MR_RF[[#This Row],[Descripción del Producto]])</f>
        <v/>
      </c>
      <c r="BH64" s="19" t="str">
        <f>IF(ISBLANK(BD_MR_RF[[#This Row],[N° Lote]]),"",BD_MR_RF[[#This Row],[N° Lote]])</f>
        <v/>
      </c>
      <c r="BI64" s="19" t="str">
        <f>IF(ISBLANK(BD_MR_RF[[#This Row],[N° Pallet]]),"",BD_MR_RF[[#This Row],[N° Pallet]])</f>
        <v/>
      </c>
    </row>
    <row r="65" spans="2:61">
      <c r="B65" s="19">
        <f>_xlfn.ISOWEEKNUM(BD_MR_RF[[#This Row],[Fecha]])</f>
        <v>52</v>
      </c>
      <c r="E65" s="20"/>
      <c r="F65" s="18" t="str">
        <f>IFERROR("" &amp; _xlfn.XLOOKUP(BD_MR_RF[[#This Row],[Código]],BD_Cod!A:A,BD_Cod!B:B), "")</f>
        <v/>
      </c>
      <c r="G65" s="21" t="str">
        <f>IFERROR(" " &amp;_xlfn.XLOOKUP(BD_MR_RF[[#This Row],[Código]],BD_Cod!A:A,BD_Cod!H:H," ")," ")</f>
        <v xml:space="preserve"> </v>
      </c>
      <c r="J65" s="22">
        <v>1000</v>
      </c>
      <c r="L65" s="19" t="s">
        <v>244</v>
      </c>
      <c r="O65" s="19" t="s">
        <v>890</v>
      </c>
      <c r="P65" s="19" t="s">
        <v>890</v>
      </c>
      <c r="Q65" s="24">
        <f>1-BD_MR_RF[[#This Row],[% Defectos]]</f>
        <v>1</v>
      </c>
      <c r="R65" s="25">
        <v>0</v>
      </c>
      <c r="S65" s="26">
        <f>+IFERROR((BD_MR_RF[[#This Row],[Desviación de Color]]/BD_MR_RF[[#This Row],[Muestra]]),"0")</f>
        <v>0</v>
      </c>
      <c r="T65" s="25">
        <v>0</v>
      </c>
      <c r="U65" s="26">
        <f>+IFERROR((BD_MR_RF[[#This Row],[Sobremaduro]]/BD_MR_RF[[#This Row],[Muestra]]),"0")</f>
        <v>0</v>
      </c>
      <c r="V65" s="25">
        <v>0</v>
      </c>
      <c r="W65" s="26">
        <f>+IFERROR((BD_MR_RF[[#This Row],[Daño Mécanico]]/BD_MR_RF[[#This Row],[Muestra]]),"0")</f>
        <v>0</v>
      </c>
      <c r="X65" s="25">
        <v>0</v>
      </c>
      <c r="Y65" s="26">
        <f>+IFERROR((BD_MR_RF[[#This Row],[Daño Insecto]]/BD_MR_RF[[#This Row],[Muestra]]),"0")</f>
        <v>0</v>
      </c>
      <c r="Z65" s="25">
        <v>0</v>
      </c>
      <c r="AA65" s="26">
        <f>+IFERROR((BD_MR_RF[[#This Row],[Block]]/BD_MR_RF[[#This Row],[Muestra]]),"0")</f>
        <v>0</v>
      </c>
      <c r="AB65" s="25">
        <v>0</v>
      </c>
      <c r="AC65" s="26">
        <f>+IFERROR((BD_MR_RF[[#This Row],[Mohos]]/BD_MR_RF[[#This Row],[Muestra]]),"0")</f>
        <v>0</v>
      </c>
      <c r="AD65" s="25">
        <v>0</v>
      </c>
      <c r="AE65" s="27">
        <v>0</v>
      </c>
      <c r="AG65" s="25">
        <v>0</v>
      </c>
      <c r="AH65" s="26">
        <f>+IFERROR((BD_MR_RF[[#This Row],[Valor Extra 1]]/BD_MR_RF[[#This Row],[Muestra]]),"0")</f>
        <v>0</v>
      </c>
      <c r="AJ65" s="25">
        <v>0</v>
      </c>
      <c r="AK65" s="26">
        <f>+IFERROR((BD_MR_RF[[#This Row],[Valor Extra 2]]/BD_MR_RF[[#This Row],[Muestra]]),"0")</f>
        <v>0</v>
      </c>
      <c r="AL65" s="19">
        <v>0</v>
      </c>
      <c r="AM65" s="26">
        <f>+IFERROR((BD_MR_RF[[#This Row],[Calibre &gt;16]]/BD_MR_RF[[#This Row],[Muestra]]),"0")</f>
        <v>0</v>
      </c>
      <c r="AN65" s="19">
        <v>0</v>
      </c>
      <c r="AO65" s="26">
        <f>+IFERROR((BD_MR_RF[[#This Row],[Calibre &lt;16]]/BD_MR_RF[[#This Row],[Muestra]]),"0")</f>
        <v>0</v>
      </c>
      <c r="AV65" s="28"/>
      <c r="AW65" s="29" t="s">
        <v>900</v>
      </c>
      <c r="AX65" s="19" t="s">
        <v>890</v>
      </c>
      <c r="AY65" s="19" t="s">
        <v>890</v>
      </c>
      <c r="AZ65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5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5" s="24">
        <f>1-BD_MR_RF[[#This Row],[% Defectos]]</f>
        <v>1</v>
      </c>
      <c r="BD65" s="31"/>
      <c r="BE65" s="19">
        <f>SUM(BD_MR_RF[[#This Row],[Palos (Un.) (≤18)]:[Larvas (Un.) (≤24)]])</f>
        <v>0</v>
      </c>
      <c r="BF65" s="19">
        <f>SUM(BD_MR_RF[[#This Row],[Vidrio (Un.) (0)]:[Plástico (Un.) (0)]])</f>
        <v>0</v>
      </c>
      <c r="BG65" s="19" t="str">
        <f>IF(ISBLANK(BD_MR_RF[[#This Row],[Descripción del Producto]]),"",BD_MR_RF[[#This Row],[Descripción del Producto]])</f>
        <v/>
      </c>
      <c r="BH65" s="19" t="str">
        <f>IF(ISBLANK(BD_MR_RF[[#This Row],[N° Lote]]),"",BD_MR_RF[[#This Row],[N° Lote]])</f>
        <v/>
      </c>
      <c r="BI65" s="19" t="str">
        <f>IF(ISBLANK(BD_MR_RF[[#This Row],[N° Pallet]]),"",BD_MR_RF[[#This Row],[N° Pallet]])</f>
        <v/>
      </c>
    </row>
    <row r="66" spans="2:61">
      <c r="B66" s="19">
        <f>_xlfn.ISOWEEKNUM(BD_MR_RF[[#This Row],[Fecha]])</f>
        <v>52</v>
      </c>
      <c r="E66" s="20"/>
      <c r="F66" s="18" t="str">
        <f>IFERROR("" &amp; _xlfn.XLOOKUP(BD_MR_RF[[#This Row],[Código]],BD_Cod!A:A,BD_Cod!B:B), "")</f>
        <v/>
      </c>
      <c r="G66" s="21" t="str">
        <f>IFERROR(" " &amp;_xlfn.XLOOKUP(BD_MR_RF[[#This Row],[Código]],BD_Cod!A:A,BD_Cod!H:H," ")," ")</f>
        <v xml:space="preserve"> </v>
      </c>
      <c r="J66" s="22">
        <v>1000</v>
      </c>
      <c r="L66" s="19" t="s">
        <v>244</v>
      </c>
      <c r="O66" s="19" t="s">
        <v>890</v>
      </c>
      <c r="P66" s="19" t="s">
        <v>890</v>
      </c>
      <c r="Q66" s="24">
        <f>1-BD_MR_RF[[#This Row],[% Defectos]]</f>
        <v>1</v>
      </c>
      <c r="R66" s="25">
        <v>0</v>
      </c>
      <c r="S66" s="26">
        <f>+IFERROR((BD_MR_RF[[#This Row],[Desviación de Color]]/BD_MR_RF[[#This Row],[Muestra]]),"0")</f>
        <v>0</v>
      </c>
      <c r="T66" s="25">
        <v>0</v>
      </c>
      <c r="U66" s="26">
        <f>+IFERROR((BD_MR_RF[[#This Row],[Sobremaduro]]/BD_MR_RF[[#This Row],[Muestra]]),"0")</f>
        <v>0</v>
      </c>
      <c r="V66" s="25">
        <v>0</v>
      </c>
      <c r="W66" s="26">
        <f>+IFERROR((BD_MR_RF[[#This Row],[Daño Mécanico]]/BD_MR_RF[[#This Row],[Muestra]]),"0")</f>
        <v>0</v>
      </c>
      <c r="X66" s="25">
        <v>0</v>
      </c>
      <c r="Y66" s="26">
        <f>+IFERROR((BD_MR_RF[[#This Row],[Daño Insecto]]/BD_MR_RF[[#This Row],[Muestra]]),"0")</f>
        <v>0</v>
      </c>
      <c r="Z66" s="25">
        <v>0</v>
      </c>
      <c r="AA66" s="26">
        <f>+IFERROR((BD_MR_RF[[#This Row],[Block]]/BD_MR_RF[[#This Row],[Muestra]]),"0")</f>
        <v>0</v>
      </c>
      <c r="AB66" s="25">
        <v>0</v>
      </c>
      <c r="AC66" s="26">
        <f>+IFERROR((BD_MR_RF[[#This Row],[Mohos]]/BD_MR_RF[[#This Row],[Muestra]]),"0")</f>
        <v>0</v>
      </c>
      <c r="AD66" s="25">
        <v>0</v>
      </c>
      <c r="AE66" s="27">
        <v>0</v>
      </c>
      <c r="AG66" s="25">
        <v>0</v>
      </c>
      <c r="AH66" s="26">
        <f>+IFERROR((BD_MR_RF[[#This Row],[Valor Extra 1]]/BD_MR_RF[[#This Row],[Muestra]]),"0")</f>
        <v>0</v>
      </c>
      <c r="AJ66" s="25">
        <v>0</v>
      </c>
      <c r="AK66" s="26">
        <f>+IFERROR((BD_MR_RF[[#This Row],[Valor Extra 2]]/BD_MR_RF[[#This Row],[Muestra]]),"0")</f>
        <v>0</v>
      </c>
      <c r="AL66" s="19">
        <v>0</v>
      </c>
      <c r="AM66" s="26">
        <f>+IFERROR((BD_MR_RF[[#This Row],[Calibre &gt;16]]/BD_MR_RF[[#This Row],[Muestra]]),"0")</f>
        <v>0</v>
      </c>
      <c r="AN66" s="19">
        <v>0</v>
      </c>
      <c r="AO66" s="26">
        <f>+IFERROR((BD_MR_RF[[#This Row],[Calibre &lt;16]]/BD_MR_RF[[#This Row],[Muestra]]),"0")</f>
        <v>0</v>
      </c>
      <c r="AV66" s="28"/>
      <c r="AW66" s="29" t="s">
        <v>900</v>
      </c>
      <c r="AX66" s="19" t="s">
        <v>890</v>
      </c>
      <c r="AY66" s="19" t="s">
        <v>890</v>
      </c>
      <c r="AZ66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6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6" s="24">
        <f>1-BD_MR_RF[[#This Row],[% Defectos]]</f>
        <v>1</v>
      </c>
      <c r="BD66" s="31"/>
      <c r="BE66" s="19">
        <f>SUM(BD_MR_RF[[#This Row],[Palos (Un.) (≤18)]:[Larvas (Un.) (≤24)]])</f>
        <v>0</v>
      </c>
      <c r="BF66" s="19">
        <f>SUM(BD_MR_RF[[#This Row],[Vidrio (Un.) (0)]:[Plástico (Un.) (0)]])</f>
        <v>0</v>
      </c>
      <c r="BG66" s="19" t="str">
        <f>IF(ISBLANK(BD_MR_RF[[#This Row],[Descripción del Producto]]),"",BD_MR_RF[[#This Row],[Descripción del Producto]])</f>
        <v/>
      </c>
      <c r="BH66" s="19" t="str">
        <f>IF(ISBLANK(BD_MR_RF[[#This Row],[N° Lote]]),"",BD_MR_RF[[#This Row],[N° Lote]])</f>
        <v/>
      </c>
      <c r="BI66" s="19" t="str">
        <f>IF(ISBLANK(BD_MR_RF[[#This Row],[N° Pallet]]),"",BD_MR_RF[[#This Row],[N° Pallet]])</f>
        <v/>
      </c>
    </row>
    <row r="67" spans="2:61">
      <c r="B67" s="19">
        <f>_xlfn.ISOWEEKNUM(BD_MR_RF[[#This Row],[Fecha]])</f>
        <v>52</v>
      </c>
      <c r="E67" s="20"/>
      <c r="F67" s="18" t="str">
        <f>IFERROR("" &amp; _xlfn.XLOOKUP(BD_MR_RF[[#This Row],[Código]],BD_Cod!A:A,BD_Cod!B:B), "")</f>
        <v/>
      </c>
      <c r="G67" s="21" t="str">
        <f>IFERROR(" " &amp;_xlfn.XLOOKUP(BD_MR_RF[[#This Row],[Código]],BD_Cod!A:A,BD_Cod!H:H," ")," ")</f>
        <v xml:space="preserve"> </v>
      </c>
      <c r="J67" s="22">
        <v>1000</v>
      </c>
      <c r="L67" s="19" t="s">
        <v>244</v>
      </c>
      <c r="O67" s="19" t="s">
        <v>890</v>
      </c>
      <c r="P67" s="19" t="s">
        <v>890</v>
      </c>
      <c r="Q67" s="24">
        <f>1-BD_MR_RF[[#This Row],[% Defectos]]</f>
        <v>1</v>
      </c>
      <c r="R67" s="25">
        <v>0</v>
      </c>
      <c r="S67" s="26">
        <f>+IFERROR((BD_MR_RF[[#This Row],[Desviación de Color]]/BD_MR_RF[[#This Row],[Muestra]]),"0")</f>
        <v>0</v>
      </c>
      <c r="T67" s="25">
        <v>0</v>
      </c>
      <c r="U67" s="26">
        <f>+IFERROR((BD_MR_RF[[#This Row],[Sobremaduro]]/BD_MR_RF[[#This Row],[Muestra]]),"0")</f>
        <v>0</v>
      </c>
      <c r="V67" s="25">
        <v>0</v>
      </c>
      <c r="W67" s="26">
        <f>+IFERROR((BD_MR_RF[[#This Row],[Daño Mécanico]]/BD_MR_RF[[#This Row],[Muestra]]),"0")</f>
        <v>0</v>
      </c>
      <c r="X67" s="25">
        <v>0</v>
      </c>
      <c r="Y67" s="26">
        <f>+IFERROR((BD_MR_RF[[#This Row],[Daño Insecto]]/BD_MR_RF[[#This Row],[Muestra]]),"0")</f>
        <v>0</v>
      </c>
      <c r="Z67" s="25">
        <v>0</v>
      </c>
      <c r="AA67" s="26">
        <f>+IFERROR((BD_MR_RF[[#This Row],[Block]]/BD_MR_RF[[#This Row],[Muestra]]),"0")</f>
        <v>0</v>
      </c>
      <c r="AB67" s="25">
        <v>0</v>
      </c>
      <c r="AC67" s="26">
        <f>+IFERROR((BD_MR_RF[[#This Row],[Mohos]]/BD_MR_RF[[#This Row],[Muestra]]),"0")</f>
        <v>0</v>
      </c>
      <c r="AD67" s="25">
        <v>0</v>
      </c>
      <c r="AE67" s="27">
        <v>0</v>
      </c>
      <c r="AG67" s="25">
        <v>0</v>
      </c>
      <c r="AH67" s="26">
        <f>+IFERROR((BD_MR_RF[[#This Row],[Valor Extra 1]]/BD_MR_RF[[#This Row],[Muestra]]),"0")</f>
        <v>0</v>
      </c>
      <c r="AJ67" s="25">
        <v>0</v>
      </c>
      <c r="AK67" s="26">
        <f>+IFERROR((BD_MR_RF[[#This Row],[Valor Extra 2]]/BD_MR_RF[[#This Row],[Muestra]]),"0")</f>
        <v>0</v>
      </c>
      <c r="AL67" s="19">
        <v>0</v>
      </c>
      <c r="AM67" s="26">
        <f>+IFERROR((BD_MR_RF[[#This Row],[Calibre &gt;16]]/BD_MR_RF[[#This Row],[Muestra]]),"0")</f>
        <v>0</v>
      </c>
      <c r="AN67" s="19">
        <v>0</v>
      </c>
      <c r="AO67" s="26">
        <f>+IFERROR((BD_MR_RF[[#This Row],[Calibre &lt;16]]/BD_MR_RF[[#This Row],[Muestra]]),"0")</f>
        <v>0</v>
      </c>
      <c r="AV67" s="28"/>
      <c r="AW67" s="29" t="s">
        <v>900</v>
      </c>
      <c r="AX67" s="19" t="s">
        <v>890</v>
      </c>
      <c r="AY67" s="19" t="s">
        <v>890</v>
      </c>
      <c r="AZ67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7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7" s="24">
        <f>1-BD_MR_RF[[#This Row],[% Defectos]]</f>
        <v>1</v>
      </c>
      <c r="BD67" s="31"/>
      <c r="BE67" s="19">
        <f>SUM(BD_MR_RF[[#This Row],[Palos (Un.) (≤18)]:[Larvas (Un.) (≤24)]])</f>
        <v>0</v>
      </c>
      <c r="BF67" s="19">
        <f>SUM(BD_MR_RF[[#This Row],[Vidrio (Un.) (0)]:[Plástico (Un.) (0)]])</f>
        <v>0</v>
      </c>
      <c r="BG67" s="19" t="str">
        <f>IF(ISBLANK(BD_MR_RF[[#This Row],[Descripción del Producto]]),"",BD_MR_RF[[#This Row],[Descripción del Producto]])</f>
        <v/>
      </c>
      <c r="BH67" s="19" t="str">
        <f>IF(ISBLANK(BD_MR_RF[[#This Row],[N° Lote]]),"",BD_MR_RF[[#This Row],[N° Lote]])</f>
        <v/>
      </c>
      <c r="BI67" s="19" t="str">
        <f>IF(ISBLANK(BD_MR_RF[[#This Row],[N° Pallet]]),"",BD_MR_RF[[#This Row],[N° Pallet]])</f>
        <v/>
      </c>
    </row>
    <row r="68" spans="2:61">
      <c r="B68" s="19">
        <f>_xlfn.ISOWEEKNUM(BD_MR_RF[[#This Row],[Fecha]])</f>
        <v>52</v>
      </c>
      <c r="E68" s="20"/>
      <c r="F68" s="18" t="str">
        <f>IFERROR("" &amp; _xlfn.XLOOKUP(BD_MR_RF[[#This Row],[Código]],BD_Cod!A:A,BD_Cod!B:B), "")</f>
        <v/>
      </c>
      <c r="G68" s="21" t="str">
        <f>IFERROR(" " &amp;_xlfn.XLOOKUP(BD_MR_RF[[#This Row],[Código]],BD_Cod!A:A,BD_Cod!H:H," ")," ")</f>
        <v xml:space="preserve"> </v>
      </c>
      <c r="J68" s="22">
        <v>1000</v>
      </c>
      <c r="L68" s="19" t="s">
        <v>244</v>
      </c>
      <c r="O68" s="19" t="s">
        <v>890</v>
      </c>
      <c r="P68" s="19" t="s">
        <v>890</v>
      </c>
      <c r="Q68" s="24">
        <f>1-BD_MR_RF[[#This Row],[% Defectos]]</f>
        <v>1</v>
      </c>
      <c r="R68" s="25">
        <v>0</v>
      </c>
      <c r="S68" s="26">
        <f>+IFERROR((BD_MR_RF[[#This Row],[Desviación de Color]]/BD_MR_RF[[#This Row],[Muestra]]),"0")</f>
        <v>0</v>
      </c>
      <c r="T68" s="25">
        <v>0</v>
      </c>
      <c r="U68" s="26">
        <f>+IFERROR((BD_MR_RF[[#This Row],[Sobremaduro]]/BD_MR_RF[[#This Row],[Muestra]]),"0")</f>
        <v>0</v>
      </c>
      <c r="V68" s="25">
        <v>0</v>
      </c>
      <c r="W68" s="26">
        <f>+IFERROR((BD_MR_RF[[#This Row],[Daño Mécanico]]/BD_MR_RF[[#This Row],[Muestra]]),"0")</f>
        <v>0</v>
      </c>
      <c r="X68" s="25">
        <v>0</v>
      </c>
      <c r="Y68" s="26">
        <f>+IFERROR((BD_MR_RF[[#This Row],[Daño Insecto]]/BD_MR_RF[[#This Row],[Muestra]]),"0")</f>
        <v>0</v>
      </c>
      <c r="Z68" s="25">
        <v>0</v>
      </c>
      <c r="AA68" s="26">
        <f>+IFERROR((BD_MR_RF[[#This Row],[Block]]/BD_MR_RF[[#This Row],[Muestra]]),"0")</f>
        <v>0</v>
      </c>
      <c r="AB68" s="25">
        <v>0</v>
      </c>
      <c r="AC68" s="26">
        <f>+IFERROR((BD_MR_RF[[#This Row],[Mohos]]/BD_MR_RF[[#This Row],[Muestra]]),"0")</f>
        <v>0</v>
      </c>
      <c r="AD68" s="25">
        <v>0</v>
      </c>
      <c r="AE68" s="27">
        <v>0</v>
      </c>
      <c r="AG68" s="25">
        <v>0</v>
      </c>
      <c r="AH68" s="26">
        <f>+IFERROR((BD_MR_RF[[#This Row],[Valor Extra 1]]/BD_MR_RF[[#This Row],[Muestra]]),"0")</f>
        <v>0</v>
      </c>
      <c r="AJ68" s="25">
        <v>0</v>
      </c>
      <c r="AK68" s="26">
        <f>+IFERROR((BD_MR_RF[[#This Row],[Valor Extra 2]]/BD_MR_RF[[#This Row],[Muestra]]),"0")</f>
        <v>0</v>
      </c>
      <c r="AL68" s="19">
        <v>0</v>
      </c>
      <c r="AM68" s="26">
        <f>+IFERROR((BD_MR_RF[[#This Row],[Calibre &gt;16]]/BD_MR_RF[[#This Row],[Muestra]]),"0")</f>
        <v>0</v>
      </c>
      <c r="AN68" s="19">
        <v>0</v>
      </c>
      <c r="AO68" s="26">
        <f>+IFERROR((BD_MR_RF[[#This Row],[Calibre &lt;16]]/BD_MR_RF[[#This Row],[Muestra]]),"0")</f>
        <v>0</v>
      </c>
      <c r="AV68" s="28"/>
      <c r="AW68" s="29" t="s">
        <v>900</v>
      </c>
      <c r="AX68" s="19" t="s">
        <v>890</v>
      </c>
      <c r="AY68" s="19" t="s">
        <v>890</v>
      </c>
      <c r="AZ68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8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8" s="24">
        <f>1-BD_MR_RF[[#This Row],[% Defectos]]</f>
        <v>1</v>
      </c>
      <c r="BD68" s="31"/>
      <c r="BE68" s="19">
        <f>SUM(BD_MR_RF[[#This Row],[Palos (Un.) (≤18)]:[Larvas (Un.) (≤24)]])</f>
        <v>0</v>
      </c>
      <c r="BF68" s="19">
        <f>SUM(BD_MR_RF[[#This Row],[Vidrio (Un.) (0)]:[Plástico (Un.) (0)]])</f>
        <v>0</v>
      </c>
      <c r="BG68" s="19" t="str">
        <f>IF(ISBLANK(BD_MR_RF[[#This Row],[Descripción del Producto]]),"",BD_MR_RF[[#This Row],[Descripción del Producto]])</f>
        <v/>
      </c>
      <c r="BH68" s="19" t="str">
        <f>IF(ISBLANK(BD_MR_RF[[#This Row],[N° Lote]]),"",BD_MR_RF[[#This Row],[N° Lote]])</f>
        <v/>
      </c>
      <c r="BI68" s="19" t="str">
        <f>IF(ISBLANK(BD_MR_RF[[#This Row],[N° Pallet]]),"",BD_MR_RF[[#This Row],[N° Pallet]])</f>
        <v/>
      </c>
    </row>
    <row r="69" spans="2:61">
      <c r="B69" s="19">
        <f>_xlfn.ISOWEEKNUM(BD_MR_RF[[#This Row],[Fecha]])</f>
        <v>52</v>
      </c>
      <c r="E69" s="20"/>
      <c r="F69" s="18" t="str">
        <f>IFERROR("" &amp; _xlfn.XLOOKUP(BD_MR_RF[[#This Row],[Código]],BD_Cod!A:A,BD_Cod!B:B), "")</f>
        <v/>
      </c>
      <c r="G69" s="21" t="str">
        <f>IFERROR(" " &amp;_xlfn.XLOOKUP(BD_MR_RF[[#This Row],[Código]],BD_Cod!A:A,BD_Cod!H:H," ")," ")</f>
        <v xml:space="preserve"> </v>
      </c>
      <c r="J69" s="22">
        <v>1000</v>
      </c>
      <c r="L69" s="19" t="s">
        <v>244</v>
      </c>
      <c r="O69" s="19" t="s">
        <v>890</v>
      </c>
      <c r="P69" s="19" t="s">
        <v>890</v>
      </c>
      <c r="Q69" s="24">
        <f>1-BD_MR_RF[[#This Row],[% Defectos]]</f>
        <v>1</v>
      </c>
      <c r="R69" s="25">
        <v>0</v>
      </c>
      <c r="S69" s="26">
        <f>+IFERROR((BD_MR_RF[[#This Row],[Desviación de Color]]/BD_MR_RF[[#This Row],[Muestra]]),"0")</f>
        <v>0</v>
      </c>
      <c r="T69" s="25">
        <v>0</v>
      </c>
      <c r="U69" s="26">
        <f>+IFERROR((BD_MR_RF[[#This Row],[Sobremaduro]]/BD_MR_RF[[#This Row],[Muestra]]),"0")</f>
        <v>0</v>
      </c>
      <c r="V69" s="25">
        <v>0</v>
      </c>
      <c r="W69" s="26">
        <f>+IFERROR((BD_MR_RF[[#This Row],[Daño Mécanico]]/BD_MR_RF[[#This Row],[Muestra]]),"0")</f>
        <v>0</v>
      </c>
      <c r="X69" s="25">
        <v>0</v>
      </c>
      <c r="Y69" s="26">
        <f>+IFERROR((BD_MR_RF[[#This Row],[Daño Insecto]]/BD_MR_RF[[#This Row],[Muestra]]),"0")</f>
        <v>0</v>
      </c>
      <c r="Z69" s="25">
        <v>0</v>
      </c>
      <c r="AA69" s="26">
        <f>+IFERROR((BD_MR_RF[[#This Row],[Block]]/BD_MR_RF[[#This Row],[Muestra]]),"0")</f>
        <v>0</v>
      </c>
      <c r="AB69" s="25">
        <v>0</v>
      </c>
      <c r="AC69" s="26">
        <f>+IFERROR((BD_MR_RF[[#This Row],[Mohos]]/BD_MR_RF[[#This Row],[Muestra]]),"0")</f>
        <v>0</v>
      </c>
      <c r="AD69" s="25">
        <v>0</v>
      </c>
      <c r="AE69" s="27">
        <v>0</v>
      </c>
      <c r="AG69" s="25">
        <v>0</v>
      </c>
      <c r="AH69" s="26">
        <f>+IFERROR((BD_MR_RF[[#This Row],[Valor Extra 1]]/BD_MR_RF[[#This Row],[Muestra]]),"0")</f>
        <v>0</v>
      </c>
      <c r="AJ69" s="25">
        <v>0</v>
      </c>
      <c r="AK69" s="26">
        <f>+IFERROR((BD_MR_RF[[#This Row],[Valor Extra 2]]/BD_MR_RF[[#This Row],[Muestra]]),"0")</f>
        <v>0</v>
      </c>
      <c r="AL69" s="19">
        <v>0</v>
      </c>
      <c r="AM69" s="26">
        <f>+IFERROR((BD_MR_RF[[#This Row],[Calibre &gt;16]]/BD_MR_RF[[#This Row],[Muestra]]),"0")</f>
        <v>0</v>
      </c>
      <c r="AN69" s="19">
        <v>0</v>
      </c>
      <c r="AO69" s="26">
        <f>+IFERROR((BD_MR_RF[[#This Row],[Calibre &lt;16]]/BD_MR_RF[[#This Row],[Muestra]]),"0")</f>
        <v>0</v>
      </c>
      <c r="AV69" s="28"/>
      <c r="AW69" s="29" t="s">
        <v>900</v>
      </c>
      <c r="AX69" s="19" t="s">
        <v>890</v>
      </c>
      <c r="AY69" s="19" t="s">
        <v>890</v>
      </c>
      <c r="AZ69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69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69" s="24">
        <f>1-BD_MR_RF[[#This Row],[% Defectos]]</f>
        <v>1</v>
      </c>
      <c r="BD69" s="31"/>
      <c r="BE69" s="19">
        <f>SUM(BD_MR_RF[[#This Row],[Palos (Un.) (≤18)]:[Larvas (Un.) (≤24)]])</f>
        <v>0</v>
      </c>
      <c r="BF69" s="19">
        <f>SUM(BD_MR_RF[[#This Row],[Vidrio (Un.) (0)]:[Plástico (Un.) (0)]])</f>
        <v>0</v>
      </c>
      <c r="BG69" s="19" t="str">
        <f>IF(ISBLANK(BD_MR_RF[[#This Row],[Descripción del Producto]]),"",BD_MR_RF[[#This Row],[Descripción del Producto]])</f>
        <v/>
      </c>
      <c r="BH69" s="19" t="str">
        <f>IF(ISBLANK(BD_MR_RF[[#This Row],[N° Lote]]),"",BD_MR_RF[[#This Row],[N° Lote]])</f>
        <v/>
      </c>
      <c r="BI69" s="19" t="str">
        <f>IF(ISBLANK(BD_MR_RF[[#This Row],[N° Pallet]]),"",BD_MR_RF[[#This Row],[N° Pallet]])</f>
        <v/>
      </c>
    </row>
    <row r="70" spans="2:61">
      <c r="B70" s="19">
        <f>_xlfn.ISOWEEKNUM(BD_MR_RF[[#This Row],[Fecha]])</f>
        <v>52</v>
      </c>
      <c r="E70" s="20"/>
      <c r="F70" s="18" t="str">
        <f>IFERROR("" &amp; _xlfn.XLOOKUP(BD_MR_RF[[#This Row],[Código]],BD_Cod!A:A,BD_Cod!B:B), "")</f>
        <v/>
      </c>
      <c r="G70" s="21" t="str">
        <f>IFERROR(" " &amp;_xlfn.XLOOKUP(BD_MR_RF[[#This Row],[Código]],BD_Cod!A:A,BD_Cod!H:H," ")," ")</f>
        <v xml:space="preserve"> </v>
      </c>
      <c r="J70" s="22">
        <v>1000</v>
      </c>
      <c r="L70" s="19" t="s">
        <v>244</v>
      </c>
      <c r="O70" s="19" t="s">
        <v>890</v>
      </c>
      <c r="P70" s="19" t="s">
        <v>890</v>
      </c>
      <c r="Q70" s="24">
        <f>1-BD_MR_RF[[#This Row],[% Defectos]]</f>
        <v>1</v>
      </c>
      <c r="R70" s="25">
        <v>0</v>
      </c>
      <c r="S70" s="26">
        <f>+IFERROR((BD_MR_RF[[#This Row],[Desviación de Color]]/BD_MR_RF[[#This Row],[Muestra]]),"0")</f>
        <v>0</v>
      </c>
      <c r="T70" s="25">
        <v>0</v>
      </c>
      <c r="U70" s="26">
        <f>+IFERROR((BD_MR_RF[[#This Row],[Sobremaduro]]/BD_MR_RF[[#This Row],[Muestra]]),"0")</f>
        <v>0</v>
      </c>
      <c r="V70" s="25">
        <v>0</v>
      </c>
      <c r="W70" s="26">
        <f>+IFERROR((BD_MR_RF[[#This Row],[Daño Mécanico]]/BD_MR_RF[[#This Row],[Muestra]]),"0")</f>
        <v>0</v>
      </c>
      <c r="X70" s="25">
        <v>0</v>
      </c>
      <c r="Y70" s="26">
        <f>+IFERROR((BD_MR_RF[[#This Row],[Daño Insecto]]/BD_MR_RF[[#This Row],[Muestra]]),"0")</f>
        <v>0</v>
      </c>
      <c r="Z70" s="25">
        <v>0</v>
      </c>
      <c r="AA70" s="26">
        <f>+IFERROR((BD_MR_RF[[#This Row],[Block]]/BD_MR_RF[[#This Row],[Muestra]]),"0")</f>
        <v>0</v>
      </c>
      <c r="AB70" s="25">
        <v>0</v>
      </c>
      <c r="AC70" s="26">
        <f>+IFERROR((BD_MR_RF[[#This Row],[Mohos]]/BD_MR_RF[[#This Row],[Muestra]]),"0")</f>
        <v>0</v>
      </c>
      <c r="AD70" s="25">
        <v>0</v>
      </c>
      <c r="AE70" s="27">
        <v>0</v>
      </c>
      <c r="AG70" s="25">
        <v>0</v>
      </c>
      <c r="AH70" s="26">
        <f>+IFERROR((BD_MR_RF[[#This Row],[Valor Extra 1]]/BD_MR_RF[[#This Row],[Muestra]]),"0")</f>
        <v>0</v>
      </c>
      <c r="AJ70" s="25">
        <v>0</v>
      </c>
      <c r="AK70" s="26">
        <f>+IFERROR((BD_MR_RF[[#This Row],[Valor Extra 2]]/BD_MR_RF[[#This Row],[Muestra]]),"0")</f>
        <v>0</v>
      </c>
      <c r="AL70" s="19">
        <v>0</v>
      </c>
      <c r="AM70" s="26">
        <f>+IFERROR((BD_MR_RF[[#This Row],[Calibre &gt;16]]/BD_MR_RF[[#This Row],[Muestra]]),"0")</f>
        <v>0</v>
      </c>
      <c r="AN70" s="19">
        <v>0</v>
      </c>
      <c r="AO70" s="26">
        <f>+IFERROR((BD_MR_RF[[#This Row],[Calibre &lt;16]]/BD_MR_RF[[#This Row],[Muestra]]),"0")</f>
        <v>0</v>
      </c>
      <c r="AV70" s="28"/>
      <c r="AW70" s="29" t="s">
        <v>900</v>
      </c>
      <c r="AX70" s="19" t="s">
        <v>890</v>
      </c>
      <c r="AY70" s="19" t="s">
        <v>890</v>
      </c>
      <c r="AZ70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0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0" s="24">
        <f>1-BD_MR_RF[[#This Row],[% Defectos]]</f>
        <v>1</v>
      </c>
      <c r="BD70" s="31"/>
      <c r="BE70" s="19">
        <f>SUM(BD_MR_RF[[#This Row],[Palos (Un.) (≤18)]:[Larvas (Un.) (≤24)]])</f>
        <v>0</v>
      </c>
      <c r="BF70" s="19">
        <f>SUM(BD_MR_RF[[#This Row],[Vidrio (Un.) (0)]:[Plástico (Un.) (0)]])</f>
        <v>0</v>
      </c>
      <c r="BG70" s="19" t="str">
        <f>IF(ISBLANK(BD_MR_RF[[#This Row],[Descripción del Producto]]),"",BD_MR_RF[[#This Row],[Descripción del Producto]])</f>
        <v/>
      </c>
      <c r="BH70" s="19" t="str">
        <f>IF(ISBLANK(BD_MR_RF[[#This Row],[N° Lote]]),"",BD_MR_RF[[#This Row],[N° Lote]])</f>
        <v/>
      </c>
      <c r="BI70" s="19" t="str">
        <f>IF(ISBLANK(BD_MR_RF[[#This Row],[N° Pallet]]),"",BD_MR_RF[[#This Row],[N° Pallet]])</f>
        <v/>
      </c>
    </row>
    <row r="71" spans="2:61">
      <c r="B71" s="19">
        <f>_xlfn.ISOWEEKNUM(BD_MR_RF[[#This Row],[Fecha]])</f>
        <v>52</v>
      </c>
      <c r="E71" s="20"/>
      <c r="F71" s="18" t="str">
        <f>IFERROR("" &amp; _xlfn.XLOOKUP(BD_MR_RF[[#This Row],[Código]],BD_Cod!A:A,BD_Cod!B:B), "")</f>
        <v/>
      </c>
      <c r="G71" s="21" t="str">
        <f>IFERROR(" " &amp;_xlfn.XLOOKUP(BD_MR_RF[[#This Row],[Código]],BD_Cod!A:A,BD_Cod!H:H," ")," ")</f>
        <v xml:space="preserve"> </v>
      </c>
      <c r="J71" s="22">
        <v>1000</v>
      </c>
      <c r="L71" s="19" t="s">
        <v>244</v>
      </c>
      <c r="O71" s="19" t="s">
        <v>890</v>
      </c>
      <c r="P71" s="19" t="s">
        <v>890</v>
      </c>
      <c r="Q71" s="24">
        <f>1-BD_MR_RF[[#This Row],[% Defectos]]</f>
        <v>1</v>
      </c>
      <c r="R71" s="25">
        <v>0</v>
      </c>
      <c r="S71" s="26">
        <f>+IFERROR((BD_MR_RF[[#This Row],[Desviación de Color]]/BD_MR_RF[[#This Row],[Muestra]]),"0")</f>
        <v>0</v>
      </c>
      <c r="T71" s="25">
        <v>0</v>
      </c>
      <c r="U71" s="26">
        <f>+IFERROR((BD_MR_RF[[#This Row],[Sobremaduro]]/BD_MR_RF[[#This Row],[Muestra]]),"0")</f>
        <v>0</v>
      </c>
      <c r="V71" s="25">
        <v>0</v>
      </c>
      <c r="W71" s="26">
        <f>+IFERROR((BD_MR_RF[[#This Row],[Daño Mécanico]]/BD_MR_RF[[#This Row],[Muestra]]),"0")</f>
        <v>0</v>
      </c>
      <c r="X71" s="25">
        <v>0</v>
      </c>
      <c r="Y71" s="26">
        <f>+IFERROR((BD_MR_RF[[#This Row],[Daño Insecto]]/BD_MR_RF[[#This Row],[Muestra]]),"0")</f>
        <v>0</v>
      </c>
      <c r="Z71" s="25">
        <v>0</v>
      </c>
      <c r="AA71" s="26">
        <f>+IFERROR((BD_MR_RF[[#This Row],[Block]]/BD_MR_RF[[#This Row],[Muestra]]),"0")</f>
        <v>0</v>
      </c>
      <c r="AB71" s="25">
        <v>0</v>
      </c>
      <c r="AC71" s="26">
        <f>+IFERROR((BD_MR_RF[[#This Row],[Mohos]]/BD_MR_RF[[#This Row],[Muestra]]),"0")</f>
        <v>0</v>
      </c>
      <c r="AD71" s="25">
        <v>0</v>
      </c>
      <c r="AE71" s="27">
        <v>0</v>
      </c>
      <c r="AG71" s="25">
        <v>0</v>
      </c>
      <c r="AH71" s="26">
        <f>+IFERROR((BD_MR_RF[[#This Row],[Valor Extra 1]]/BD_MR_RF[[#This Row],[Muestra]]),"0")</f>
        <v>0</v>
      </c>
      <c r="AJ71" s="25">
        <v>0</v>
      </c>
      <c r="AK71" s="26">
        <f>+IFERROR((BD_MR_RF[[#This Row],[Valor Extra 2]]/BD_MR_RF[[#This Row],[Muestra]]),"0")</f>
        <v>0</v>
      </c>
      <c r="AL71" s="19">
        <v>0</v>
      </c>
      <c r="AM71" s="26">
        <f>+IFERROR((BD_MR_RF[[#This Row],[Calibre &gt;16]]/BD_MR_RF[[#This Row],[Muestra]]),"0")</f>
        <v>0</v>
      </c>
      <c r="AN71" s="19">
        <v>0</v>
      </c>
      <c r="AO71" s="26">
        <f>+IFERROR((BD_MR_RF[[#This Row],[Calibre &lt;16]]/BD_MR_RF[[#This Row],[Muestra]]),"0")</f>
        <v>0</v>
      </c>
      <c r="AV71" s="28"/>
      <c r="AW71" s="29" t="s">
        <v>900</v>
      </c>
      <c r="AX71" s="19" t="s">
        <v>890</v>
      </c>
      <c r="AY71" s="19" t="s">
        <v>890</v>
      </c>
      <c r="AZ71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1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1" s="24">
        <f>1-BD_MR_RF[[#This Row],[% Defectos]]</f>
        <v>1</v>
      </c>
      <c r="BD71" s="31"/>
      <c r="BE71" s="19">
        <f>SUM(BD_MR_RF[[#This Row],[Palos (Un.) (≤18)]:[Larvas (Un.) (≤24)]])</f>
        <v>0</v>
      </c>
      <c r="BF71" s="19">
        <f>SUM(BD_MR_RF[[#This Row],[Vidrio (Un.) (0)]:[Plástico (Un.) (0)]])</f>
        <v>0</v>
      </c>
      <c r="BG71" s="19" t="str">
        <f>IF(ISBLANK(BD_MR_RF[[#This Row],[Descripción del Producto]]),"",BD_MR_RF[[#This Row],[Descripción del Producto]])</f>
        <v/>
      </c>
      <c r="BH71" s="19" t="str">
        <f>IF(ISBLANK(BD_MR_RF[[#This Row],[N° Lote]]),"",BD_MR_RF[[#This Row],[N° Lote]])</f>
        <v/>
      </c>
      <c r="BI71" s="19" t="str">
        <f>IF(ISBLANK(BD_MR_RF[[#This Row],[N° Pallet]]),"",BD_MR_RF[[#This Row],[N° Pallet]])</f>
        <v/>
      </c>
    </row>
    <row r="72" spans="2:61">
      <c r="B72" s="19">
        <f>_xlfn.ISOWEEKNUM(BD_MR_RF[[#This Row],[Fecha]])</f>
        <v>52</v>
      </c>
      <c r="E72" s="20"/>
      <c r="F72" s="18" t="str">
        <f>IFERROR("" &amp; _xlfn.XLOOKUP(BD_MR_RF[[#This Row],[Código]],BD_Cod!A:A,BD_Cod!B:B), "")</f>
        <v/>
      </c>
      <c r="G72" s="21" t="str">
        <f>IFERROR(" " &amp;_xlfn.XLOOKUP(BD_MR_RF[[#This Row],[Código]],BD_Cod!A:A,BD_Cod!H:H," ")," ")</f>
        <v xml:space="preserve"> </v>
      </c>
      <c r="J72" s="22">
        <v>1000</v>
      </c>
      <c r="L72" s="19" t="s">
        <v>244</v>
      </c>
      <c r="O72" s="19" t="s">
        <v>890</v>
      </c>
      <c r="P72" s="19" t="s">
        <v>890</v>
      </c>
      <c r="Q72" s="24">
        <f>1-BD_MR_RF[[#This Row],[% Defectos]]</f>
        <v>1</v>
      </c>
      <c r="R72" s="25">
        <v>0</v>
      </c>
      <c r="S72" s="26">
        <f>+IFERROR((BD_MR_RF[[#This Row],[Desviación de Color]]/BD_MR_RF[[#This Row],[Muestra]]),"0")</f>
        <v>0</v>
      </c>
      <c r="T72" s="25">
        <v>0</v>
      </c>
      <c r="U72" s="26">
        <f>+IFERROR((BD_MR_RF[[#This Row],[Sobremaduro]]/BD_MR_RF[[#This Row],[Muestra]]),"0")</f>
        <v>0</v>
      </c>
      <c r="V72" s="25">
        <v>0</v>
      </c>
      <c r="W72" s="26">
        <f>+IFERROR((BD_MR_RF[[#This Row],[Daño Mécanico]]/BD_MR_RF[[#This Row],[Muestra]]),"0")</f>
        <v>0</v>
      </c>
      <c r="X72" s="25">
        <v>0</v>
      </c>
      <c r="Y72" s="26">
        <f>+IFERROR((BD_MR_RF[[#This Row],[Daño Insecto]]/BD_MR_RF[[#This Row],[Muestra]]),"0")</f>
        <v>0</v>
      </c>
      <c r="Z72" s="25">
        <v>0</v>
      </c>
      <c r="AA72" s="26">
        <f>+IFERROR((BD_MR_RF[[#This Row],[Block]]/BD_MR_RF[[#This Row],[Muestra]]),"0")</f>
        <v>0</v>
      </c>
      <c r="AB72" s="25">
        <v>0</v>
      </c>
      <c r="AC72" s="26">
        <f>+IFERROR((BD_MR_RF[[#This Row],[Mohos]]/BD_MR_RF[[#This Row],[Muestra]]),"0")</f>
        <v>0</v>
      </c>
      <c r="AD72" s="25">
        <v>0</v>
      </c>
      <c r="AE72" s="27">
        <v>0</v>
      </c>
      <c r="AG72" s="25">
        <v>0</v>
      </c>
      <c r="AH72" s="26">
        <f>+IFERROR((BD_MR_RF[[#This Row],[Valor Extra 1]]/BD_MR_RF[[#This Row],[Muestra]]),"0")</f>
        <v>0</v>
      </c>
      <c r="AJ72" s="25">
        <v>0</v>
      </c>
      <c r="AK72" s="26">
        <f>+IFERROR((BD_MR_RF[[#This Row],[Valor Extra 2]]/BD_MR_RF[[#This Row],[Muestra]]),"0")</f>
        <v>0</v>
      </c>
      <c r="AL72" s="19">
        <v>0</v>
      </c>
      <c r="AM72" s="26">
        <f>+IFERROR((BD_MR_RF[[#This Row],[Calibre &gt;16]]/BD_MR_RF[[#This Row],[Muestra]]),"0")</f>
        <v>0</v>
      </c>
      <c r="AN72" s="19">
        <v>0</v>
      </c>
      <c r="AO72" s="26">
        <f>+IFERROR((BD_MR_RF[[#This Row],[Calibre &lt;16]]/BD_MR_RF[[#This Row],[Muestra]]),"0")</f>
        <v>0</v>
      </c>
      <c r="AV72" s="28"/>
      <c r="AW72" s="29" t="s">
        <v>900</v>
      </c>
      <c r="AX72" s="19" t="s">
        <v>890</v>
      </c>
      <c r="AY72" s="19" t="s">
        <v>890</v>
      </c>
      <c r="AZ72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2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2" s="24">
        <f>1-BD_MR_RF[[#This Row],[% Defectos]]</f>
        <v>1</v>
      </c>
      <c r="BD72" s="31"/>
      <c r="BE72" s="19">
        <f>SUM(BD_MR_RF[[#This Row],[Palos (Un.) (≤18)]:[Larvas (Un.) (≤24)]])</f>
        <v>0</v>
      </c>
      <c r="BF72" s="19">
        <f>SUM(BD_MR_RF[[#This Row],[Vidrio (Un.) (0)]:[Plástico (Un.) (0)]])</f>
        <v>0</v>
      </c>
      <c r="BG72" s="19" t="str">
        <f>IF(ISBLANK(BD_MR_RF[[#This Row],[Descripción del Producto]]),"",BD_MR_RF[[#This Row],[Descripción del Producto]])</f>
        <v/>
      </c>
      <c r="BH72" s="19" t="str">
        <f>IF(ISBLANK(BD_MR_RF[[#This Row],[N° Lote]]),"",BD_MR_RF[[#This Row],[N° Lote]])</f>
        <v/>
      </c>
      <c r="BI72" s="19" t="str">
        <f>IF(ISBLANK(BD_MR_RF[[#This Row],[N° Pallet]]),"",BD_MR_RF[[#This Row],[N° Pallet]])</f>
        <v/>
      </c>
    </row>
    <row r="73" spans="2:61">
      <c r="B73" s="19">
        <f>_xlfn.ISOWEEKNUM(BD_MR_RF[[#This Row],[Fecha]])</f>
        <v>52</v>
      </c>
      <c r="E73" s="20"/>
      <c r="F73" s="18" t="str">
        <f>IFERROR("" &amp; _xlfn.XLOOKUP(BD_MR_RF[[#This Row],[Código]],BD_Cod!A:A,BD_Cod!B:B), "")</f>
        <v/>
      </c>
      <c r="G73" s="21" t="str">
        <f>IFERROR(" " &amp;_xlfn.XLOOKUP(BD_MR_RF[[#This Row],[Código]],BD_Cod!A:A,BD_Cod!H:H," ")," ")</f>
        <v xml:space="preserve"> </v>
      </c>
      <c r="J73" s="22">
        <v>1000</v>
      </c>
      <c r="L73" s="19" t="s">
        <v>244</v>
      </c>
      <c r="O73" s="19" t="s">
        <v>890</v>
      </c>
      <c r="P73" s="19" t="s">
        <v>890</v>
      </c>
      <c r="Q73" s="24">
        <f>1-BD_MR_RF[[#This Row],[% Defectos]]</f>
        <v>1</v>
      </c>
      <c r="R73" s="25">
        <v>0</v>
      </c>
      <c r="S73" s="26">
        <f>+IFERROR((BD_MR_RF[[#This Row],[Desviación de Color]]/BD_MR_RF[[#This Row],[Muestra]]),"0")</f>
        <v>0</v>
      </c>
      <c r="T73" s="25">
        <v>0</v>
      </c>
      <c r="U73" s="26">
        <f>+IFERROR((BD_MR_RF[[#This Row],[Sobremaduro]]/BD_MR_RF[[#This Row],[Muestra]]),"0")</f>
        <v>0</v>
      </c>
      <c r="V73" s="25">
        <v>0</v>
      </c>
      <c r="W73" s="26">
        <f>+IFERROR((BD_MR_RF[[#This Row],[Daño Mécanico]]/BD_MR_RF[[#This Row],[Muestra]]),"0")</f>
        <v>0</v>
      </c>
      <c r="X73" s="25">
        <v>0</v>
      </c>
      <c r="Y73" s="26">
        <f>+IFERROR((BD_MR_RF[[#This Row],[Daño Insecto]]/BD_MR_RF[[#This Row],[Muestra]]),"0")</f>
        <v>0</v>
      </c>
      <c r="Z73" s="25">
        <v>0</v>
      </c>
      <c r="AA73" s="26">
        <f>+IFERROR((BD_MR_RF[[#This Row],[Block]]/BD_MR_RF[[#This Row],[Muestra]]),"0")</f>
        <v>0</v>
      </c>
      <c r="AB73" s="25">
        <v>0</v>
      </c>
      <c r="AC73" s="26">
        <f>+IFERROR((BD_MR_RF[[#This Row],[Mohos]]/BD_MR_RF[[#This Row],[Muestra]]),"0")</f>
        <v>0</v>
      </c>
      <c r="AD73" s="25">
        <v>0</v>
      </c>
      <c r="AE73" s="27">
        <v>0</v>
      </c>
      <c r="AG73" s="25">
        <v>0</v>
      </c>
      <c r="AH73" s="26">
        <f>+IFERROR((BD_MR_RF[[#This Row],[Valor Extra 1]]/BD_MR_RF[[#This Row],[Muestra]]),"0")</f>
        <v>0</v>
      </c>
      <c r="AJ73" s="25">
        <v>0</v>
      </c>
      <c r="AK73" s="26">
        <f>+IFERROR((BD_MR_RF[[#This Row],[Valor Extra 2]]/BD_MR_RF[[#This Row],[Muestra]]),"0")</f>
        <v>0</v>
      </c>
      <c r="AL73" s="19">
        <v>0</v>
      </c>
      <c r="AM73" s="26">
        <f>+IFERROR((BD_MR_RF[[#This Row],[Calibre &gt;16]]/BD_MR_RF[[#This Row],[Muestra]]),"0")</f>
        <v>0</v>
      </c>
      <c r="AN73" s="19">
        <v>0</v>
      </c>
      <c r="AO73" s="26">
        <f>+IFERROR((BD_MR_RF[[#This Row],[Calibre &lt;16]]/BD_MR_RF[[#This Row],[Muestra]]),"0")</f>
        <v>0</v>
      </c>
      <c r="AV73" s="28"/>
      <c r="AW73" s="29" t="s">
        <v>900</v>
      </c>
      <c r="AX73" s="19" t="s">
        <v>890</v>
      </c>
      <c r="AY73" s="19" t="s">
        <v>890</v>
      </c>
      <c r="AZ73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3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3" s="24">
        <f>1-BD_MR_RF[[#This Row],[% Defectos]]</f>
        <v>1</v>
      </c>
      <c r="BD73" s="31"/>
      <c r="BE73" s="19">
        <f>SUM(BD_MR_RF[[#This Row],[Palos (Un.) (≤18)]:[Larvas (Un.) (≤24)]])</f>
        <v>0</v>
      </c>
      <c r="BF73" s="19">
        <f>SUM(BD_MR_RF[[#This Row],[Vidrio (Un.) (0)]:[Plástico (Un.) (0)]])</f>
        <v>0</v>
      </c>
      <c r="BG73" s="19" t="str">
        <f>IF(ISBLANK(BD_MR_RF[[#This Row],[Descripción del Producto]]),"",BD_MR_RF[[#This Row],[Descripción del Producto]])</f>
        <v/>
      </c>
      <c r="BH73" s="19" t="str">
        <f>IF(ISBLANK(BD_MR_RF[[#This Row],[N° Lote]]),"",BD_MR_RF[[#This Row],[N° Lote]])</f>
        <v/>
      </c>
      <c r="BI73" s="19" t="str">
        <f>IF(ISBLANK(BD_MR_RF[[#This Row],[N° Pallet]]),"",BD_MR_RF[[#This Row],[N° Pallet]])</f>
        <v/>
      </c>
    </row>
    <row r="74" spans="2:61">
      <c r="B74" s="19">
        <f>_xlfn.ISOWEEKNUM(BD_MR_RF[[#This Row],[Fecha]])</f>
        <v>52</v>
      </c>
      <c r="E74" s="20"/>
      <c r="F74" s="18" t="str">
        <f>IFERROR("" &amp; _xlfn.XLOOKUP(BD_MR_RF[[#This Row],[Código]],BD_Cod!A:A,BD_Cod!B:B), "")</f>
        <v/>
      </c>
      <c r="G74" s="21" t="str">
        <f>IFERROR(" " &amp;_xlfn.XLOOKUP(BD_MR_RF[[#This Row],[Código]],BD_Cod!A:A,BD_Cod!H:H," ")," ")</f>
        <v xml:space="preserve"> </v>
      </c>
      <c r="J74" s="22">
        <v>1000</v>
      </c>
      <c r="L74" s="19" t="s">
        <v>244</v>
      </c>
      <c r="O74" s="19" t="s">
        <v>890</v>
      </c>
      <c r="P74" s="19" t="s">
        <v>890</v>
      </c>
      <c r="Q74" s="24">
        <f>1-BD_MR_RF[[#This Row],[% Defectos]]</f>
        <v>1</v>
      </c>
      <c r="R74" s="25">
        <v>0</v>
      </c>
      <c r="S74" s="26">
        <f>+IFERROR((BD_MR_RF[[#This Row],[Desviación de Color]]/BD_MR_RF[[#This Row],[Muestra]]),"0")</f>
        <v>0</v>
      </c>
      <c r="T74" s="25">
        <v>0</v>
      </c>
      <c r="U74" s="26">
        <f>+IFERROR((BD_MR_RF[[#This Row],[Sobremaduro]]/BD_MR_RF[[#This Row],[Muestra]]),"0")</f>
        <v>0</v>
      </c>
      <c r="V74" s="25">
        <v>0</v>
      </c>
      <c r="W74" s="26">
        <f>+IFERROR((BD_MR_RF[[#This Row],[Daño Mécanico]]/BD_MR_RF[[#This Row],[Muestra]]),"0")</f>
        <v>0</v>
      </c>
      <c r="X74" s="25">
        <v>0</v>
      </c>
      <c r="Y74" s="26">
        <f>+IFERROR((BD_MR_RF[[#This Row],[Daño Insecto]]/BD_MR_RF[[#This Row],[Muestra]]),"0")</f>
        <v>0</v>
      </c>
      <c r="Z74" s="25">
        <v>0</v>
      </c>
      <c r="AA74" s="26">
        <f>+IFERROR((BD_MR_RF[[#This Row],[Block]]/BD_MR_RF[[#This Row],[Muestra]]),"0")</f>
        <v>0</v>
      </c>
      <c r="AB74" s="25">
        <v>0</v>
      </c>
      <c r="AC74" s="26">
        <f>+IFERROR((BD_MR_RF[[#This Row],[Mohos]]/BD_MR_RF[[#This Row],[Muestra]]),"0")</f>
        <v>0</v>
      </c>
      <c r="AD74" s="25">
        <v>0</v>
      </c>
      <c r="AE74" s="27">
        <v>0</v>
      </c>
      <c r="AG74" s="25">
        <v>0</v>
      </c>
      <c r="AH74" s="26">
        <f>+IFERROR((BD_MR_RF[[#This Row],[Valor Extra 1]]/BD_MR_RF[[#This Row],[Muestra]]),"0")</f>
        <v>0</v>
      </c>
      <c r="AJ74" s="25">
        <v>0</v>
      </c>
      <c r="AK74" s="26">
        <f>+IFERROR((BD_MR_RF[[#This Row],[Valor Extra 2]]/BD_MR_RF[[#This Row],[Muestra]]),"0")</f>
        <v>0</v>
      </c>
      <c r="AL74" s="19">
        <v>0</v>
      </c>
      <c r="AM74" s="26">
        <f>+IFERROR((BD_MR_RF[[#This Row],[Calibre &gt;16]]/BD_MR_RF[[#This Row],[Muestra]]),"0")</f>
        <v>0</v>
      </c>
      <c r="AN74" s="19">
        <v>0</v>
      </c>
      <c r="AO74" s="26">
        <f>+IFERROR((BD_MR_RF[[#This Row],[Calibre &lt;16]]/BD_MR_RF[[#This Row],[Muestra]]),"0")</f>
        <v>0</v>
      </c>
      <c r="AV74" s="28"/>
      <c r="AW74" s="29" t="s">
        <v>900</v>
      </c>
      <c r="AX74" s="19" t="s">
        <v>890</v>
      </c>
      <c r="AY74" s="19" t="s">
        <v>890</v>
      </c>
      <c r="AZ74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4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4" s="24">
        <f>1-BD_MR_RF[[#This Row],[% Defectos]]</f>
        <v>1</v>
      </c>
      <c r="BD74" s="31"/>
      <c r="BE74" s="19">
        <f>SUM(BD_MR_RF[[#This Row],[Palos (Un.) (≤18)]:[Larvas (Un.) (≤24)]])</f>
        <v>0</v>
      </c>
      <c r="BF74" s="19">
        <f>SUM(BD_MR_RF[[#This Row],[Vidrio (Un.) (0)]:[Plástico (Un.) (0)]])</f>
        <v>0</v>
      </c>
      <c r="BG74" s="19" t="str">
        <f>IF(ISBLANK(BD_MR_RF[[#This Row],[Descripción del Producto]]),"",BD_MR_RF[[#This Row],[Descripción del Producto]])</f>
        <v/>
      </c>
      <c r="BH74" s="19" t="str">
        <f>IF(ISBLANK(BD_MR_RF[[#This Row],[N° Lote]]),"",BD_MR_RF[[#This Row],[N° Lote]])</f>
        <v/>
      </c>
      <c r="BI74" s="19" t="str">
        <f>IF(ISBLANK(BD_MR_RF[[#This Row],[N° Pallet]]),"",BD_MR_RF[[#This Row],[N° Pallet]])</f>
        <v/>
      </c>
    </row>
    <row r="75" spans="2:61">
      <c r="B75" s="19">
        <f>_xlfn.ISOWEEKNUM(BD_MR_RF[[#This Row],[Fecha]])</f>
        <v>52</v>
      </c>
      <c r="E75" s="20"/>
      <c r="F75" s="18" t="str">
        <f>IFERROR("" &amp; _xlfn.XLOOKUP(BD_MR_RF[[#This Row],[Código]],BD_Cod!A:A,BD_Cod!B:B), "")</f>
        <v/>
      </c>
      <c r="G75" s="21" t="str">
        <f>IFERROR(" " &amp;_xlfn.XLOOKUP(BD_MR_RF[[#This Row],[Código]],BD_Cod!A:A,BD_Cod!H:H," ")," ")</f>
        <v xml:space="preserve"> </v>
      </c>
      <c r="J75" s="22">
        <v>1000</v>
      </c>
      <c r="L75" s="19" t="s">
        <v>244</v>
      </c>
      <c r="O75" s="19" t="s">
        <v>890</v>
      </c>
      <c r="P75" s="19" t="s">
        <v>890</v>
      </c>
      <c r="Q75" s="24">
        <f>1-BD_MR_RF[[#This Row],[% Defectos]]</f>
        <v>1</v>
      </c>
      <c r="R75" s="25">
        <v>0</v>
      </c>
      <c r="S75" s="26">
        <f>+IFERROR((BD_MR_RF[[#This Row],[Desviación de Color]]/BD_MR_RF[[#This Row],[Muestra]]),"0")</f>
        <v>0</v>
      </c>
      <c r="T75" s="25">
        <v>0</v>
      </c>
      <c r="U75" s="26">
        <f>+IFERROR((BD_MR_RF[[#This Row],[Sobremaduro]]/BD_MR_RF[[#This Row],[Muestra]]),"0")</f>
        <v>0</v>
      </c>
      <c r="V75" s="25">
        <v>0</v>
      </c>
      <c r="W75" s="26">
        <f>+IFERROR((BD_MR_RF[[#This Row],[Daño Mécanico]]/BD_MR_RF[[#This Row],[Muestra]]),"0")</f>
        <v>0</v>
      </c>
      <c r="X75" s="25">
        <v>0</v>
      </c>
      <c r="Y75" s="26">
        <f>+IFERROR((BD_MR_RF[[#This Row],[Daño Insecto]]/BD_MR_RF[[#This Row],[Muestra]]),"0")</f>
        <v>0</v>
      </c>
      <c r="Z75" s="25">
        <v>0</v>
      </c>
      <c r="AA75" s="26">
        <f>+IFERROR((BD_MR_RF[[#This Row],[Block]]/BD_MR_RF[[#This Row],[Muestra]]),"0")</f>
        <v>0</v>
      </c>
      <c r="AB75" s="25">
        <v>0</v>
      </c>
      <c r="AC75" s="26">
        <f>+IFERROR((BD_MR_RF[[#This Row],[Mohos]]/BD_MR_RF[[#This Row],[Muestra]]),"0")</f>
        <v>0</v>
      </c>
      <c r="AD75" s="25">
        <v>0</v>
      </c>
      <c r="AE75" s="27">
        <v>0</v>
      </c>
      <c r="AG75" s="25">
        <v>0</v>
      </c>
      <c r="AH75" s="26">
        <f>+IFERROR((BD_MR_RF[[#This Row],[Valor Extra 1]]/BD_MR_RF[[#This Row],[Muestra]]),"0")</f>
        <v>0</v>
      </c>
      <c r="AJ75" s="25">
        <v>0</v>
      </c>
      <c r="AK75" s="26">
        <f>+IFERROR((BD_MR_RF[[#This Row],[Valor Extra 2]]/BD_MR_RF[[#This Row],[Muestra]]),"0")</f>
        <v>0</v>
      </c>
      <c r="AL75" s="19">
        <v>0</v>
      </c>
      <c r="AM75" s="26">
        <f>+IFERROR((BD_MR_RF[[#This Row],[Calibre &gt;16]]/BD_MR_RF[[#This Row],[Muestra]]),"0")</f>
        <v>0</v>
      </c>
      <c r="AN75" s="19">
        <v>0</v>
      </c>
      <c r="AO75" s="26">
        <f>+IFERROR((BD_MR_RF[[#This Row],[Calibre &lt;16]]/BD_MR_RF[[#This Row],[Muestra]]),"0")</f>
        <v>0</v>
      </c>
      <c r="AV75" s="28"/>
      <c r="AW75" s="29" t="s">
        <v>900</v>
      </c>
      <c r="AX75" s="19" t="s">
        <v>890</v>
      </c>
      <c r="AY75" s="19" t="s">
        <v>890</v>
      </c>
      <c r="AZ75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5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5" s="24">
        <f>1-BD_MR_RF[[#This Row],[% Defectos]]</f>
        <v>1</v>
      </c>
      <c r="BD75" s="31"/>
      <c r="BE75" s="19">
        <f>SUM(BD_MR_RF[[#This Row],[Palos (Un.) (≤18)]:[Larvas (Un.) (≤24)]])</f>
        <v>0</v>
      </c>
      <c r="BF75" s="19">
        <f>SUM(BD_MR_RF[[#This Row],[Vidrio (Un.) (0)]:[Plástico (Un.) (0)]])</f>
        <v>0</v>
      </c>
      <c r="BG75" s="19" t="str">
        <f>IF(ISBLANK(BD_MR_RF[[#This Row],[Descripción del Producto]]),"",BD_MR_RF[[#This Row],[Descripción del Producto]])</f>
        <v/>
      </c>
      <c r="BH75" s="19" t="str">
        <f>IF(ISBLANK(BD_MR_RF[[#This Row],[N° Lote]]),"",BD_MR_RF[[#This Row],[N° Lote]])</f>
        <v/>
      </c>
      <c r="BI75" s="19" t="str">
        <f>IF(ISBLANK(BD_MR_RF[[#This Row],[N° Pallet]]),"",BD_MR_RF[[#This Row],[N° Pallet]])</f>
        <v/>
      </c>
    </row>
    <row r="76" spans="2:61">
      <c r="B76" s="19">
        <f>_xlfn.ISOWEEKNUM(BD_MR_RF[[#This Row],[Fecha]])</f>
        <v>52</v>
      </c>
      <c r="E76" s="20"/>
      <c r="F76" s="18" t="str">
        <f>IFERROR("" &amp; _xlfn.XLOOKUP(BD_MR_RF[[#This Row],[Código]],BD_Cod!A:A,BD_Cod!B:B), "")</f>
        <v/>
      </c>
      <c r="G76" s="21" t="str">
        <f>IFERROR(" " &amp;_xlfn.XLOOKUP(BD_MR_RF[[#This Row],[Código]],BD_Cod!A:A,BD_Cod!H:H," ")," ")</f>
        <v xml:space="preserve"> </v>
      </c>
      <c r="J76" s="22">
        <v>1000</v>
      </c>
      <c r="L76" s="19" t="s">
        <v>244</v>
      </c>
      <c r="O76" s="19" t="s">
        <v>890</v>
      </c>
      <c r="P76" s="19" t="s">
        <v>890</v>
      </c>
      <c r="Q76" s="24">
        <f>1-BD_MR_RF[[#This Row],[% Defectos]]</f>
        <v>1</v>
      </c>
      <c r="R76" s="25">
        <v>0</v>
      </c>
      <c r="S76" s="26">
        <f>+IFERROR((BD_MR_RF[[#This Row],[Desviación de Color]]/BD_MR_RF[[#This Row],[Muestra]]),"0")</f>
        <v>0</v>
      </c>
      <c r="T76" s="25">
        <v>0</v>
      </c>
      <c r="U76" s="26">
        <f>+IFERROR((BD_MR_RF[[#This Row],[Sobremaduro]]/BD_MR_RF[[#This Row],[Muestra]]),"0")</f>
        <v>0</v>
      </c>
      <c r="V76" s="25">
        <v>0</v>
      </c>
      <c r="W76" s="26">
        <f>+IFERROR((BD_MR_RF[[#This Row],[Daño Mécanico]]/BD_MR_RF[[#This Row],[Muestra]]),"0")</f>
        <v>0</v>
      </c>
      <c r="X76" s="25">
        <v>0</v>
      </c>
      <c r="Y76" s="26">
        <f>+IFERROR((BD_MR_RF[[#This Row],[Daño Insecto]]/BD_MR_RF[[#This Row],[Muestra]]),"0")</f>
        <v>0</v>
      </c>
      <c r="Z76" s="25">
        <v>0</v>
      </c>
      <c r="AA76" s="26">
        <f>+IFERROR((BD_MR_RF[[#This Row],[Block]]/BD_MR_RF[[#This Row],[Muestra]]),"0")</f>
        <v>0</v>
      </c>
      <c r="AB76" s="25">
        <v>0</v>
      </c>
      <c r="AC76" s="26">
        <f>+IFERROR((BD_MR_RF[[#This Row],[Mohos]]/BD_MR_RF[[#This Row],[Muestra]]),"0")</f>
        <v>0</v>
      </c>
      <c r="AD76" s="25">
        <v>0</v>
      </c>
      <c r="AE76" s="27">
        <v>0</v>
      </c>
      <c r="AG76" s="25">
        <v>0</v>
      </c>
      <c r="AH76" s="26">
        <f>+IFERROR((BD_MR_RF[[#This Row],[Valor Extra 1]]/BD_MR_RF[[#This Row],[Muestra]]),"0")</f>
        <v>0</v>
      </c>
      <c r="AJ76" s="25">
        <v>0</v>
      </c>
      <c r="AK76" s="26">
        <f>+IFERROR((BD_MR_RF[[#This Row],[Valor Extra 2]]/BD_MR_RF[[#This Row],[Muestra]]),"0")</f>
        <v>0</v>
      </c>
      <c r="AL76" s="19">
        <v>0</v>
      </c>
      <c r="AM76" s="26">
        <f>+IFERROR((BD_MR_RF[[#This Row],[Calibre &gt;16]]/BD_MR_RF[[#This Row],[Muestra]]),"0")</f>
        <v>0</v>
      </c>
      <c r="AN76" s="19">
        <v>0</v>
      </c>
      <c r="AO76" s="26">
        <f>+IFERROR((BD_MR_RF[[#This Row],[Calibre &lt;16]]/BD_MR_RF[[#This Row],[Muestra]]),"0")</f>
        <v>0</v>
      </c>
      <c r="AV76" s="28"/>
      <c r="AW76" s="29" t="s">
        <v>900</v>
      </c>
      <c r="AX76" s="19" t="s">
        <v>890</v>
      </c>
      <c r="AY76" s="19" t="s">
        <v>890</v>
      </c>
      <c r="AZ76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6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6" s="24">
        <f>1-BD_MR_RF[[#This Row],[% Defectos]]</f>
        <v>1</v>
      </c>
      <c r="BD76" s="31"/>
      <c r="BE76" s="19">
        <f>SUM(BD_MR_RF[[#This Row],[Palos (Un.) (≤18)]:[Larvas (Un.) (≤24)]])</f>
        <v>0</v>
      </c>
      <c r="BF76" s="19">
        <f>SUM(BD_MR_RF[[#This Row],[Vidrio (Un.) (0)]:[Plástico (Un.) (0)]])</f>
        <v>0</v>
      </c>
      <c r="BG76" s="19" t="str">
        <f>IF(ISBLANK(BD_MR_RF[[#This Row],[Descripción del Producto]]),"",BD_MR_RF[[#This Row],[Descripción del Producto]])</f>
        <v/>
      </c>
      <c r="BH76" s="19" t="str">
        <f>IF(ISBLANK(BD_MR_RF[[#This Row],[N° Lote]]),"",BD_MR_RF[[#This Row],[N° Lote]])</f>
        <v/>
      </c>
      <c r="BI76" s="19" t="str">
        <f>IF(ISBLANK(BD_MR_RF[[#This Row],[N° Pallet]]),"",BD_MR_RF[[#This Row],[N° Pallet]])</f>
        <v/>
      </c>
    </row>
    <row r="77" spans="2:61">
      <c r="B77" s="19">
        <f>_xlfn.ISOWEEKNUM(BD_MR_RF[[#This Row],[Fecha]])</f>
        <v>52</v>
      </c>
      <c r="E77" s="20"/>
      <c r="F77" s="18" t="str">
        <f>IFERROR("" &amp; _xlfn.XLOOKUP(BD_MR_RF[[#This Row],[Código]],BD_Cod!A:A,BD_Cod!B:B), "")</f>
        <v/>
      </c>
      <c r="G77" s="21" t="str">
        <f>IFERROR(" " &amp;_xlfn.XLOOKUP(BD_MR_RF[[#This Row],[Código]],BD_Cod!A:A,BD_Cod!H:H," ")," ")</f>
        <v xml:space="preserve"> </v>
      </c>
      <c r="J77" s="22">
        <v>1000</v>
      </c>
      <c r="L77" s="19" t="s">
        <v>244</v>
      </c>
      <c r="O77" s="19" t="s">
        <v>890</v>
      </c>
      <c r="P77" s="19" t="s">
        <v>890</v>
      </c>
      <c r="Q77" s="24">
        <f>1-BD_MR_RF[[#This Row],[% Defectos]]</f>
        <v>1</v>
      </c>
      <c r="R77" s="25">
        <v>0</v>
      </c>
      <c r="S77" s="26">
        <f>+IFERROR((BD_MR_RF[[#This Row],[Desviación de Color]]/BD_MR_RF[[#This Row],[Muestra]]),"0")</f>
        <v>0</v>
      </c>
      <c r="T77" s="25">
        <v>0</v>
      </c>
      <c r="U77" s="26">
        <f>+IFERROR((BD_MR_RF[[#This Row],[Sobremaduro]]/BD_MR_RF[[#This Row],[Muestra]]),"0")</f>
        <v>0</v>
      </c>
      <c r="V77" s="25">
        <v>0</v>
      </c>
      <c r="W77" s="26">
        <f>+IFERROR((BD_MR_RF[[#This Row],[Daño Mécanico]]/BD_MR_RF[[#This Row],[Muestra]]),"0")</f>
        <v>0</v>
      </c>
      <c r="X77" s="25">
        <v>0</v>
      </c>
      <c r="Y77" s="26">
        <f>+IFERROR((BD_MR_RF[[#This Row],[Daño Insecto]]/BD_MR_RF[[#This Row],[Muestra]]),"0")</f>
        <v>0</v>
      </c>
      <c r="Z77" s="25">
        <v>0</v>
      </c>
      <c r="AA77" s="26">
        <f>+IFERROR((BD_MR_RF[[#This Row],[Block]]/BD_MR_RF[[#This Row],[Muestra]]),"0")</f>
        <v>0</v>
      </c>
      <c r="AB77" s="25">
        <v>0</v>
      </c>
      <c r="AC77" s="26">
        <f>+IFERROR((BD_MR_RF[[#This Row],[Mohos]]/BD_MR_RF[[#This Row],[Muestra]]),"0")</f>
        <v>0</v>
      </c>
      <c r="AD77" s="25">
        <v>0</v>
      </c>
      <c r="AE77" s="27">
        <v>0</v>
      </c>
      <c r="AG77" s="25">
        <v>0</v>
      </c>
      <c r="AH77" s="26">
        <f>+IFERROR((BD_MR_RF[[#This Row],[Valor Extra 1]]/BD_MR_RF[[#This Row],[Muestra]]),"0")</f>
        <v>0</v>
      </c>
      <c r="AJ77" s="25">
        <v>0</v>
      </c>
      <c r="AK77" s="26">
        <f>+IFERROR((BD_MR_RF[[#This Row],[Valor Extra 2]]/BD_MR_RF[[#This Row],[Muestra]]),"0")</f>
        <v>0</v>
      </c>
      <c r="AL77" s="19">
        <v>0</v>
      </c>
      <c r="AM77" s="26">
        <f>+IFERROR((BD_MR_RF[[#This Row],[Calibre &gt;16]]/BD_MR_RF[[#This Row],[Muestra]]),"0")</f>
        <v>0</v>
      </c>
      <c r="AN77" s="19">
        <v>0</v>
      </c>
      <c r="AO77" s="26">
        <f>+IFERROR((BD_MR_RF[[#This Row],[Calibre &lt;16]]/BD_MR_RF[[#This Row],[Muestra]]),"0")</f>
        <v>0</v>
      </c>
      <c r="AV77" s="28"/>
      <c r="AW77" s="29" t="s">
        <v>900</v>
      </c>
      <c r="AX77" s="19" t="s">
        <v>890</v>
      </c>
      <c r="AY77" s="19" t="s">
        <v>890</v>
      </c>
      <c r="AZ77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7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7" s="24">
        <f>1-BD_MR_RF[[#This Row],[% Defectos]]</f>
        <v>1</v>
      </c>
      <c r="BD77" s="31"/>
      <c r="BE77" s="19">
        <f>SUM(BD_MR_RF[[#This Row],[Palos (Un.) (≤18)]:[Larvas (Un.) (≤24)]])</f>
        <v>0</v>
      </c>
      <c r="BF77" s="19">
        <f>SUM(BD_MR_RF[[#This Row],[Vidrio (Un.) (0)]:[Plástico (Un.) (0)]])</f>
        <v>0</v>
      </c>
      <c r="BG77" s="19" t="str">
        <f>IF(ISBLANK(BD_MR_RF[[#This Row],[Descripción del Producto]]),"",BD_MR_RF[[#This Row],[Descripción del Producto]])</f>
        <v/>
      </c>
      <c r="BH77" s="19" t="str">
        <f>IF(ISBLANK(BD_MR_RF[[#This Row],[N° Lote]]),"",BD_MR_RF[[#This Row],[N° Lote]])</f>
        <v/>
      </c>
      <c r="BI77" s="19" t="str">
        <f>IF(ISBLANK(BD_MR_RF[[#This Row],[N° Pallet]]),"",BD_MR_RF[[#This Row],[N° Pallet]])</f>
        <v/>
      </c>
    </row>
    <row r="78" spans="2:61">
      <c r="B78" s="19">
        <f>_xlfn.ISOWEEKNUM(BD_MR_RF[[#This Row],[Fecha]])</f>
        <v>52</v>
      </c>
      <c r="E78" s="20"/>
      <c r="F78" s="18" t="str">
        <f>IFERROR("" &amp; _xlfn.XLOOKUP(BD_MR_RF[[#This Row],[Código]],BD_Cod!A:A,BD_Cod!B:B), "")</f>
        <v/>
      </c>
      <c r="G78" s="21" t="str">
        <f>IFERROR(" " &amp;_xlfn.XLOOKUP(BD_MR_RF[[#This Row],[Código]],BD_Cod!A:A,BD_Cod!H:H," ")," ")</f>
        <v xml:space="preserve"> </v>
      </c>
      <c r="J78" s="22">
        <v>1000</v>
      </c>
      <c r="L78" s="19" t="s">
        <v>244</v>
      </c>
      <c r="O78" s="19" t="s">
        <v>890</v>
      </c>
      <c r="P78" s="19" t="s">
        <v>890</v>
      </c>
      <c r="Q78" s="24">
        <f>1-BD_MR_RF[[#This Row],[% Defectos]]</f>
        <v>1</v>
      </c>
      <c r="R78" s="25">
        <v>0</v>
      </c>
      <c r="S78" s="26">
        <f>+IFERROR((BD_MR_RF[[#This Row],[Desviación de Color]]/BD_MR_RF[[#This Row],[Muestra]]),"0")</f>
        <v>0</v>
      </c>
      <c r="T78" s="25">
        <v>0</v>
      </c>
      <c r="U78" s="26">
        <f>+IFERROR((BD_MR_RF[[#This Row],[Sobremaduro]]/BD_MR_RF[[#This Row],[Muestra]]),"0")</f>
        <v>0</v>
      </c>
      <c r="V78" s="25">
        <v>0</v>
      </c>
      <c r="W78" s="26">
        <f>+IFERROR((BD_MR_RF[[#This Row],[Daño Mécanico]]/BD_MR_RF[[#This Row],[Muestra]]),"0")</f>
        <v>0</v>
      </c>
      <c r="X78" s="25">
        <v>0</v>
      </c>
      <c r="Y78" s="26">
        <f>+IFERROR((BD_MR_RF[[#This Row],[Daño Insecto]]/BD_MR_RF[[#This Row],[Muestra]]),"0")</f>
        <v>0</v>
      </c>
      <c r="Z78" s="25">
        <v>0</v>
      </c>
      <c r="AA78" s="26">
        <f>+IFERROR((BD_MR_RF[[#This Row],[Block]]/BD_MR_RF[[#This Row],[Muestra]]),"0")</f>
        <v>0</v>
      </c>
      <c r="AB78" s="25">
        <v>0</v>
      </c>
      <c r="AC78" s="26">
        <f>+IFERROR((BD_MR_RF[[#This Row],[Mohos]]/BD_MR_RF[[#This Row],[Muestra]]),"0")</f>
        <v>0</v>
      </c>
      <c r="AD78" s="25">
        <v>0</v>
      </c>
      <c r="AE78" s="27">
        <v>0</v>
      </c>
      <c r="AG78" s="25">
        <v>0</v>
      </c>
      <c r="AH78" s="26">
        <f>+IFERROR((BD_MR_RF[[#This Row],[Valor Extra 1]]/BD_MR_RF[[#This Row],[Muestra]]),"0")</f>
        <v>0</v>
      </c>
      <c r="AJ78" s="25">
        <v>0</v>
      </c>
      <c r="AK78" s="26">
        <f>+IFERROR((BD_MR_RF[[#This Row],[Valor Extra 2]]/BD_MR_RF[[#This Row],[Muestra]]),"0")</f>
        <v>0</v>
      </c>
      <c r="AL78" s="19">
        <v>0</v>
      </c>
      <c r="AM78" s="26">
        <f>+IFERROR((BD_MR_RF[[#This Row],[Calibre &gt;16]]/BD_MR_RF[[#This Row],[Muestra]]),"0")</f>
        <v>0</v>
      </c>
      <c r="AN78" s="19">
        <v>0</v>
      </c>
      <c r="AO78" s="26">
        <f>+IFERROR((BD_MR_RF[[#This Row],[Calibre &lt;16]]/BD_MR_RF[[#This Row],[Muestra]]),"0")</f>
        <v>0</v>
      </c>
      <c r="AV78" s="28"/>
      <c r="AW78" s="29" t="s">
        <v>900</v>
      </c>
      <c r="AX78" s="19" t="s">
        <v>890</v>
      </c>
      <c r="AY78" s="19" t="s">
        <v>890</v>
      </c>
      <c r="AZ78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8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8" s="24">
        <f>1-BD_MR_RF[[#This Row],[% Defectos]]</f>
        <v>1</v>
      </c>
      <c r="BD78" s="31"/>
      <c r="BE78" s="19">
        <f>SUM(BD_MR_RF[[#This Row],[Palos (Un.) (≤18)]:[Larvas (Un.) (≤24)]])</f>
        <v>0</v>
      </c>
      <c r="BF78" s="19">
        <f>SUM(BD_MR_RF[[#This Row],[Vidrio (Un.) (0)]:[Plástico (Un.) (0)]])</f>
        <v>0</v>
      </c>
      <c r="BG78" s="19" t="str">
        <f>IF(ISBLANK(BD_MR_RF[[#This Row],[Descripción del Producto]]),"",BD_MR_RF[[#This Row],[Descripción del Producto]])</f>
        <v/>
      </c>
      <c r="BH78" s="19" t="str">
        <f>IF(ISBLANK(BD_MR_RF[[#This Row],[N° Lote]]),"",BD_MR_RF[[#This Row],[N° Lote]])</f>
        <v/>
      </c>
      <c r="BI78" s="19" t="str">
        <f>IF(ISBLANK(BD_MR_RF[[#This Row],[N° Pallet]]),"",BD_MR_RF[[#This Row],[N° Pallet]])</f>
        <v/>
      </c>
    </row>
    <row r="79" spans="2:61">
      <c r="B79" s="19">
        <f>_xlfn.ISOWEEKNUM(BD_MR_RF[[#This Row],[Fecha]])</f>
        <v>52</v>
      </c>
      <c r="E79" s="20"/>
      <c r="F79" s="18" t="str">
        <f>IFERROR("" &amp; _xlfn.XLOOKUP(BD_MR_RF[[#This Row],[Código]],BD_Cod!A:A,BD_Cod!B:B), "")</f>
        <v/>
      </c>
      <c r="G79" s="21" t="str">
        <f>IFERROR(" " &amp;_xlfn.XLOOKUP(BD_MR_RF[[#This Row],[Código]],BD_Cod!A:A,BD_Cod!H:H," ")," ")</f>
        <v xml:space="preserve"> </v>
      </c>
      <c r="J79" s="22">
        <v>1000</v>
      </c>
      <c r="L79" s="19" t="s">
        <v>244</v>
      </c>
      <c r="O79" s="19" t="s">
        <v>890</v>
      </c>
      <c r="P79" s="19" t="s">
        <v>890</v>
      </c>
      <c r="Q79" s="24">
        <f>1-BD_MR_RF[[#This Row],[% Defectos]]</f>
        <v>1</v>
      </c>
      <c r="R79" s="25">
        <v>0</v>
      </c>
      <c r="S79" s="26">
        <f>+IFERROR((BD_MR_RF[[#This Row],[Desviación de Color]]/BD_MR_RF[[#This Row],[Muestra]]),"0")</f>
        <v>0</v>
      </c>
      <c r="T79" s="25">
        <v>0</v>
      </c>
      <c r="U79" s="26">
        <f>+IFERROR((BD_MR_RF[[#This Row],[Sobremaduro]]/BD_MR_RF[[#This Row],[Muestra]]),"0")</f>
        <v>0</v>
      </c>
      <c r="V79" s="25">
        <v>0</v>
      </c>
      <c r="W79" s="26">
        <f>+IFERROR((BD_MR_RF[[#This Row],[Daño Mécanico]]/BD_MR_RF[[#This Row],[Muestra]]),"0")</f>
        <v>0</v>
      </c>
      <c r="X79" s="25">
        <v>0</v>
      </c>
      <c r="Y79" s="26">
        <f>+IFERROR((BD_MR_RF[[#This Row],[Daño Insecto]]/BD_MR_RF[[#This Row],[Muestra]]),"0")</f>
        <v>0</v>
      </c>
      <c r="Z79" s="25">
        <v>0</v>
      </c>
      <c r="AA79" s="26">
        <f>+IFERROR((BD_MR_RF[[#This Row],[Block]]/BD_MR_RF[[#This Row],[Muestra]]),"0")</f>
        <v>0</v>
      </c>
      <c r="AB79" s="25">
        <v>0</v>
      </c>
      <c r="AC79" s="26">
        <f>+IFERROR((BD_MR_RF[[#This Row],[Mohos]]/BD_MR_RF[[#This Row],[Muestra]]),"0")</f>
        <v>0</v>
      </c>
      <c r="AD79" s="25">
        <v>0</v>
      </c>
      <c r="AE79" s="27">
        <v>0</v>
      </c>
      <c r="AG79" s="25">
        <v>0</v>
      </c>
      <c r="AH79" s="26">
        <f>+IFERROR((BD_MR_RF[[#This Row],[Valor Extra 1]]/BD_MR_RF[[#This Row],[Muestra]]),"0")</f>
        <v>0</v>
      </c>
      <c r="AJ79" s="25">
        <v>0</v>
      </c>
      <c r="AK79" s="26">
        <f>+IFERROR((BD_MR_RF[[#This Row],[Valor Extra 2]]/BD_MR_RF[[#This Row],[Muestra]]),"0")</f>
        <v>0</v>
      </c>
      <c r="AL79" s="19">
        <v>0</v>
      </c>
      <c r="AM79" s="26">
        <f>+IFERROR((BD_MR_RF[[#This Row],[Calibre &gt;16]]/BD_MR_RF[[#This Row],[Muestra]]),"0")</f>
        <v>0</v>
      </c>
      <c r="AN79" s="19">
        <v>0</v>
      </c>
      <c r="AO79" s="26">
        <f>+IFERROR((BD_MR_RF[[#This Row],[Calibre &lt;16]]/BD_MR_RF[[#This Row],[Muestra]]),"0")</f>
        <v>0</v>
      </c>
      <c r="AV79" s="28"/>
      <c r="AW79" s="29" t="s">
        <v>900</v>
      </c>
      <c r="AX79" s="19" t="s">
        <v>890</v>
      </c>
      <c r="AY79" s="19" t="s">
        <v>890</v>
      </c>
      <c r="AZ79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79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79" s="24">
        <f>1-BD_MR_RF[[#This Row],[% Defectos]]</f>
        <v>1</v>
      </c>
      <c r="BD79" s="31"/>
      <c r="BE79" s="19">
        <f>SUM(BD_MR_RF[[#This Row],[Palos (Un.) (≤18)]:[Larvas (Un.) (≤24)]])</f>
        <v>0</v>
      </c>
      <c r="BF79" s="19">
        <f>SUM(BD_MR_RF[[#This Row],[Vidrio (Un.) (0)]:[Plástico (Un.) (0)]])</f>
        <v>0</v>
      </c>
      <c r="BG79" s="19" t="str">
        <f>IF(ISBLANK(BD_MR_RF[[#This Row],[Descripción del Producto]]),"",BD_MR_RF[[#This Row],[Descripción del Producto]])</f>
        <v/>
      </c>
      <c r="BH79" s="19" t="str">
        <f>IF(ISBLANK(BD_MR_RF[[#This Row],[N° Lote]]),"",BD_MR_RF[[#This Row],[N° Lote]])</f>
        <v/>
      </c>
      <c r="BI79" s="19" t="str">
        <f>IF(ISBLANK(BD_MR_RF[[#This Row],[N° Pallet]]),"",BD_MR_RF[[#This Row],[N° Pallet]])</f>
        <v/>
      </c>
    </row>
    <row r="80" spans="2:61">
      <c r="B80" s="19">
        <f>_xlfn.ISOWEEKNUM(BD_MR_RF[[#This Row],[Fecha]])</f>
        <v>52</v>
      </c>
      <c r="E80" s="20"/>
      <c r="F80" s="18" t="str">
        <f>IFERROR("" &amp; _xlfn.XLOOKUP(BD_MR_RF[[#This Row],[Código]],BD_Cod!A:A,BD_Cod!B:B), "")</f>
        <v/>
      </c>
      <c r="G80" s="21" t="str">
        <f>IFERROR(" " &amp;_xlfn.XLOOKUP(BD_MR_RF[[#This Row],[Código]],BD_Cod!A:A,BD_Cod!H:H," ")," ")</f>
        <v xml:space="preserve"> </v>
      </c>
      <c r="J80" s="22">
        <v>1000</v>
      </c>
      <c r="L80" s="19" t="s">
        <v>244</v>
      </c>
      <c r="O80" s="19" t="s">
        <v>890</v>
      </c>
      <c r="P80" s="19" t="s">
        <v>890</v>
      </c>
      <c r="Q80" s="24">
        <f>1-BD_MR_RF[[#This Row],[% Defectos]]</f>
        <v>1</v>
      </c>
      <c r="R80" s="25">
        <v>0</v>
      </c>
      <c r="S80" s="26">
        <f>+IFERROR((BD_MR_RF[[#This Row],[Desviación de Color]]/BD_MR_RF[[#This Row],[Muestra]]),"0")</f>
        <v>0</v>
      </c>
      <c r="T80" s="25">
        <v>0</v>
      </c>
      <c r="U80" s="26">
        <f>+IFERROR((BD_MR_RF[[#This Row],[Sobremaduro]]/BD_MR_RF[[#This Row],[Muestra]]),"0")</f>
        <v>0</v>
      </c>
      <c r="V80" s="25">
        <v>0</v>
      </c>
      <c r="W80" s="26">
        <f>+IFERROR((BD_MR_RF[[#This Row],[Daño Mécanico]]/BD_MR_RF[[#This Row],[Muestra]]),"0")</f>
        <v>0</v>
      </c>
      <c r="X80" s="25">
        <v>0</v>
      </c>
      <c r="Y80" s="26">
        <f>+IFERROR((BD_MR_RF[[#This Row],[Daño Insecto]]/BD_MR_RF[[#This Row],[Muestra]]),"0")</f>
        <v>0</v>
      </c>
      <c r="Z80" s="25">
        <v>0</v>
      </c>
      <c r="AA80" s="26">
        <f>+IFERROR((BD_MR_RF[[#This Row],[Block]]/BD_MR_RF[[#This Row],[Muestra]]),"0")</f>
        <v>0</v>
      </c>
      <c r="AB80" s="25">
        <v>0</v>
      </c>
      <c r="AC80" s="26">
        <f>+IFERROR((BD_MR_RF[[#This Row],[Mohos]]/BD_MR_RF[[#This Row],[Muestra]]),"0")</f>
        <v>0</v>
      </c>
      <c r="AD80" s="25">
        <v>0</v>
      </c>
      <c r="AE80" s="27">
        <v>0</v>
      </c>
      <c r="AG80" s="25">
        <v>0</v>
      </c>
      <c r="AH80" s="26">
        <f>+IFERROR((BD_MR_RF[[#This Row],[Valor Extra 1]]/BD_MR_RF[[#This Row],[Muestra]]),"0")</f>
        <v>0</v>
      </c>
      <c r="AJ80" s="25">
        <v>0</v>
      </c>
      <c r="AK80" s="26">
        <f>+IFERROR((BD_MR_RF[[#This Row],[Valor Extra 2]]/BD_MR_RF[[#This Row],[Muestra]]),"0")</f>
        <v>0</v>
      </c>
      <c r="AL80" s="19">
        <v>0</v>
      </c>
      <c r="AM80" s="26">
        <f>+IFERROR((BD_MR_RF[[#This Row],[Calibre &gt;16]]/BD_MR_RF[[#This Row],[Muestra]]),"0")</f>
        <v>0</v>
      </c>
      <c r="AN80" s="19">
        <v>0</v>
      </c>
      <c r="AO80" s="26">
        <f>+IFERROR((BD_MR_RF[[#This Row],[Calibre &lt;16]]/BD_MR_RF[[#This Row],[Muestra]]),"0")</f>
        <v>0</v>
      </c>
      <c r="AV80" s="28"/>
      <c r="AW80" s="29" t="s">
        <v>900</v>
      </c>
      <c r="AX80" s="19" t="s">
        <v>890</v>
      </c>
      <c r="AY80" s="19" t="s">
        <v>890</v>
      </c>
      <c r="AZ80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0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0" s="24">
        <f>1-BD_MR_RF[[#This Row],[% Defectos]]</f>
        <v>1</v>
      </c>
      <c r="BD80" s="31"/>
      <c r="BE80" s="19">
        <f>SUM(BD_MR_RF[[#This Row],[Palos (Un.) (≤18)]:[Larvas (Un.) (≤24)]])</f>
        <v>0</v>
      </c>
      <c r="BF80" s="19">
        <f>SUM(BD_MR_RF[[#This Row],[Vidrio (Un.) (0)]:[Plástico (Un.) (0)]])</f>
        <v>0</v>
      </c>
      <c r="BG80" s="19" t="str">
        <f>IF(ISBLANK(BD_MR_RF[[#This Row],[Descripción del Producto]]),"",BD_MR_RF[[#This Row],[Descripción del Producto]])</f>
        <v/>
      </c>
      <c r="BH80" s="19" t="str">
        <f>IF(ISBLANK(BD_MR_RF[[#This Row],[N° Lote]]),"",BD_MR_RF[[#This Row],[N° Lote]])</f>
        <v/>
      </c>
      <c r="BI80" s="19" t="str">
        <f>IF(ISBLANK(BD_MR_RF[[#This Row],[N° Pallet]]),"",BD_MR_RF[[#This Row],[N° Pallet]])</f>
        <v/>
      </c>
    </row>
    <row r="81" spans="2:61">
      <c r="B81" s="19">
        <f>_xlfn.ISOWEEKNUM(BD_MR_RF[[#This Row],[Fecha]])</f>
        <v>52</v>
      </c>
      <c r="E81" s="20"/>
      <c r="F81" s="18" t="str">
        <f>IFERROR("" &amp; _xlfn.XLOOKUP(BD_MR_RF[[#This Row],[Código]],BD_Cod!A:A,BD_Cod!B:B), "")</f>
        <v/>
      </c>
      <c r="G81" s="21" t="str">
        <f>IFERROR(" " &amp;_xlfn.XLOOKUP(BD_MR_RF[[#This Row],[Código]],BD_Cod!A:A,BD_Cod!H:H," ")," ")</f>
        <v xml:space="preserve"> </v>
      </c>
      <c r="J81" s="22">
        <v>1000</v>
      </c>
      <c r="L81" s="19" t="s">
        <v>244</v>
      </c>
      <c r="O81" s="19" t="s">
        <v>890</v>
      </c>
      <c r="P81" s="19" t="s">
        <v>890</v>
      </c>
      <c r="Q81" s="24">
        <f>1-BD_MR_RF[[#This Row],[% Defectos]]</f>
        <v>1</v>
      </c>
      <c r="R81" s="25">
        <v>0</v>
      </c>
      <c r="S81" s="26">
        <f>+IFERROR((BD_MR_RF[[#This Row],[Desviación de Color]]/BD_MR_RF[[#This Row],[Muestra]]),"0")</f>
        <v>0</v>
      </c>
      <c r="T81" s="25">
        <v>0</v>
      </c>
      <c r="U81" s="26">
        <f>+IFERROR((BD_MR_RF[[#This Row],[Sobremaduro]]/BD_MR_RF[[#This Row],[Muestra]]),"0")</f>
        <v>0</v>
      </c>
      <c r="V81" s="25">
        <v>0</v>
      </c>
      <c r="W81" s="26">
        <f>+IFERROR((BD_MR_RF[[#This Row],[Daño Mécanico]]/BD_MR_RF[[#This Row],[Muestra]]),"0")</f>
        <v>0</v>
      </c>
      <c r="X81" s="25">
        <v>0</v>
      </c>
      <c r="Y81" s="26">
        <f>+IFERROR((BD_MR_RF[[#This Row],[Daño Insecto]]/BD_MR_RF[[#This Row],[Muestra]]),"0")</f>
        <v>0</v>
      </c>
      <c r="Z81" s="25">
        <v>0</v>
      </c>
      <c r="AA81" s="26">
        <f>+IFERROR((BD_MR_RF[[#This Row],[Block]]/BD_MR_RF[[#This Row],[Muestra]]),"0")</f>
        <v>0</v>
      </c>
      <c r="AB81" s="25">
        <v>0</v>
      </c>
      <c r="AC81" s="26">
        <f>+IFERROR((BD_MR_RF[[#This Row],[Mohos]]/BD_MR_RF[[#This Row],[Muestra]]),"0")</f>
        <v>0</v>
      </c>
      <c r="AD81" s="25">
        <v>0</v>
      </c>
      <c r="AE81" s="27">
        <v>0</v>
      </c>
      <c r="AG81" s="25">
        <v>0</v>
      </c>
      <c r="AH81" s="26">
        <f>+IFERROR((BD_MR_RF[[#This Row],[Valor Extra 1]]/BD_MR_RF[[#This Row],[Muestra]]),"0")</f>
        <v>0</v>
      </c>
      <c r="AJ81" s="25">
        <v>0</v>
      </c>
      <c r="AK81" s="26">
        <f>+IFERROR((BD_MR_RF[[#This Row],[Valor Extra 2]]/BD_MR_RF[[#This Row],[Muestra]]),"0")</f>
        <v>0</v>
      </c>
      <c r="AL81" s="19">
        <v>0</v>
      </c>
      <c r="AM81" s="26">
        <f>+IFERROR((BD_MR_RF[[#This Row],[Calibre &gt;16]]/BD_MR_RF[[#This Row],[Muestra]]),"0")</f>
        <v>0</v>
      </c>
      <c r="AN81" s="19">
        <v>0</v>
      </c>
      <c r="AO81" s="26">
        <f>+IFERROR((BD_MR_RF[[#This Row],[Calibre &lt;16]]/BD_MR_RF[[#This Row],[Muestra]]),"0")</f>
        <v>0</v>
      </c>
      <c r="AV81" s="28"/>
      <c r="AW81" s="29" t="s">
        <v>900</v>
      </c>
      <c r="AX81" s="19" t="s">
        <v>890</v>
      </c>
      <c r="AY81" s="19" t="s">
        <v>890</v>
      </c>
      <c r="AZ81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1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1" s="24">
        <f>1-BD_MR_RF[[#This Row],[% Defectos]]</f>
        <v>1</v>
      </c>
      <c r="BD81" s="31"/>
      <c r="BE81" s="19">
        <f>SUM(BD_MR_RF[[#This Row],[Palos (Un.) (≤18)]:[Larvas (Un.) (≤24)]])</f>
        <v>0</v>
      </c>
      <c r="BF81" s="19">
        <f>SUM(BD_MR_RF[[#This Row],[Vidrio (Un.) (0)]:[Plástico (Un.) (0)]])</f>
        <v>0</v>
      </c>
      <c r="BG81" s="19" t="str">
        <f>IF(ISBLANK(BD_MR_RF[[#This Row],[Descripción del Producto]]),"",BD_MR_RF[[#This Row],[Descripción del Producto]])</f>
        <v/>
      </c>
      <c r="BH81" s="19" t="str">
        <f>IF(ISBLANK(BD_MR_RF[[#This Row],[N° Lote]]),"",BD_MR_RF[[#This Row],[N° Lote]])</f>
        <v/>
      </c>
      <c r="BI81" s="19" t="str">
        <f>IF(ISBLANK(BD_MR_RF[[#This Row],[N° Pallet]]),"",BD_MR_RF[[#This Row],[N° Pallet]])</f>
        <v/>
      </c>
    </row>
    <row r="82" spans="2:61">
      <c r="B82" s="19">
        <f>_xlfn.ISOWEEKNUM(BD_MR_RF[[#This Row],[Fecha]])</f>
        <v>52</v>
      </c>
      <c r="E82" s="20"/>
      <c r="F82" s="18" t="str">
        <f>IFERROR("" &amp; _xlfn.XLOOKUP(BD_MR_RF[[#This Row],[Código]],BD_Cod!A:A,BD_Cod!B:B), "")</f>
        <v/>
      </c>
      <c r="G82" s="21" t="str">
        <f>IFERROR(" " &amp;_xlfn.XLOOKUP(BD_MR_RF[[#This Row],[Código]],BD_Cod!A:A,BD_Cod!H:H," ")," ")</f>
        <v xml:space="preserve"> </v>
      </c>
      <c r="J82" s="22">
        <v>1000</v>
      </c>
      <c r="L82" s="19" t="s">
        <v>244</v>
      </c>
      <c r="O82" s="19" t="s">
        <v>890</v>
      </c>
      <c r="P82" s="19" t="s">
        <v>890</v>
      </c>
      <c r="Q82" s="24">
        <f>1-BD_MR_RF[[#This Row],[% Defectos]]</f>
        <v>1</v>
      </c>
      <c r="R82" s="25">
        <v>0</v>
      </c>
      <c r="S82" s="26">
        <f>+IFERROR((BD_MR_RF[[#This Row],[Desviación de Color]]/BD_MR_RF[[#This Row],[Muestra]]),"0")</f>
        <v>0</v>
      </c>
      <c r="T82" s="25">
        <v>0</v>
      </c>
      <c r="U82" s="26">
        <f>+IFERROR((BD_MR_RF[[#This Row],[Sobremaduro]]/BD_MR_RF[[#This Row],[Muestra]]),"0")</f>
        <v>0</v>
      </c>
      <c r="V82" s="25">
        <v>0</v>
      </c>
      <c r="W82" s="26">
        <f>+IFERROR((BD_MR_RF[[#This Row],[Daño Mécanico]]/BD_MR_RF[[#This Row],[Muestra]]),"0")</f>
        <v>0</v>
      </c>
      <c r="X82" s="25">
        <v>0</v>
      </c>
      <c r="Y82" s="26">
        <f>+IFERROR((BD_MR_RF[[#This Row],[Daño Insecto]]/BD_MR_RF[[#This Row],[Muestra]]),"0")</f>
        <v>0</v>
      </c>
      <c r="Z82" s="25">
        <v>0</v>
      </c>
      <c r="AA82" s="26">
        <f>+IFERROR((BD_MR_RF[[#This Row],[Block]]/BD_MR_RF[[#This Row],[Muestra]]),"0")</f>
        <v>0</v>
      </c>
      <c r="AB82" s="25">
        <v>0</v>
      </c>
      <c r="AC82" s="26">
        <f>+IFERROR((BD_MR_RF[[#This Row],[Mohos]]/BD_MR_RF[[#This Row],[Muestra]]),"0")</f>
        <v>0</v>
      </c>
      <c r="AD82" s="25">
        <v>0</v>
      </c>
      <c r="AE82" s="27">
        <v>0</v>
      </c>
      <c r="AG82" s="25">
        <v>0</v>
      </c>
      <c r="AH82" s="26">
        <f>+IFERROR((BD_MR_RF[[#This Row],[Valor Extra 1]]/BD_MR_RF[[#This Row],[Muestra]]),"0")</f>
        <v>0</v>
      </c>
      <c r="AJ82" s="25">
        <v>0</v>
      </c>
      <c r="AK82" s="26">
        <f>+IFERROR((BD_MR_RF[[#This Row],[Valor Extra 2]]/BD_MR_RF[[#This Row],[Muestra]]),"0")</f>
        <v>0</v>
      </c>
      <c r="AL82" s="19">
        <v>0</v>
      </c>
      <c r="AM82" s="26">
        <f>+IFERROR((BD_MR_RF[[#This Row],[Calibre &gt;16]]/BD_MR_RF[[#This Row],[Muestra]]),"0")</f>
        <v>0</v>
      </c>
      <c r="AN82" s="19">
        <v>0</v>
      </c>
      <c r="AO82" s="26">
        <f>+IFERROR((BD_MR_RF[[#This Row],[Calibre &lt;16]]/BD_MR_RF[[#This Row],[Muestra]]),"0")</f>
        <v>0</v>
      </c>
      <c r="AV82" s="28"/>
      <c r="AW82" s="29" t="s">
        <v>900</v>
      </c>
      <c r="AX82" s="19" t="s">
        <v>890</v>
      </c>
      <c r="AY82" s="19" t="s">
        <v>890</v>
      </c>
      <c r="AZ82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2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2" s="24">
        <f>1-BD_MR_RF[[#This Row],[% Defectos]]</f>
        <v>1</v>
      </c>
      <c r="BD82" s="31"/>
      <c r="BE82" s="19">
        <f>SUM(BD_MR_RF[[#This Row],[Palos (Un.) (≤18)]:[Larvas (Un.) (≤24)]])</f>
        <v>0</v>
      </c>
      <c r="BF82" s="19">
        <f>SUM(BD_MR_RF[[#This Row],[Vidrio (Un.) (0)]:[Plástico (Un.) (0)]])</f>
        <v>0</v>
      </c>
      <c r="BG82" s="19" t="str">
        <f>IF(ISBLANK(BD_MR_RF[[#This Row],[Descripción del Producto]]),"",BD_MR_RF[[#This Row],[Descripción del Producto]])</f>
        <v/>
      </c>
      <c r="BH82" s="19" t="str">
        <f>IF(ISBLANK(BD_MR_RF[[#This Row],[N° Lote]]),"",BD_MR_RF[[#This Row],[N° Lote]])</f>
        <v/>
      </c>
      <c r="BI82" s="19" t="str">
        <f>IF(ISBLANK(BD_MR_RF[[#This Row],[N° Pallet]]),"",BD_MR_RF[[#This Row],[N° Pallet]])</f>
        <v/>
      </c>
    </row>
    <row r="83" spans="2:61">
      <c r="B83" s="19">
        <f>_xlfn.ISOWEEKNUM(BD_MR_RF[[#This Row],[Fecha]])</f>
        <v>52</v>
      </c>
      <c r="E83" s="20"/>
      <c r="F83" s="18" t="str">
        <f>IFERROR("" &amp; _xlfn.XLOOKUP(BD_MR_RF[[#This Row],[Código]],BD_Cod!A:A,BD_Cod!B:B), "")</f>
        <v/>
      </c>
      <c r="G83" s="21" t="str">
        <f>IFERROR(" " &amp;_xlfn.XLOOKUP(BD_MR_RF[[#This Row],[Código]],BD_Cod!A:A,BD_Cod!H:H," ")," ")</f>
        <v xml:space="preserve"> </v>
      </c>
      <c r="J83" s="22">
        <v>1000</v>
      </c>
      <c r="L83" s="19" t="s">
        <v>244</v>
      </c>
      <c r="O83" s="19" t="s">
        <v>890</v>
      </c>
      <c r="P83" s="19" t="s">
        <v>890</v>
      </c>
      <c r="Q83" s="24">
        <f>1-BD_MR_RF[[#This Row],[% Defectos]]</f>
        <v>1</v>
      </c>
      <c r="R83" s="25">
        <v>0</v>
      </c>
      <c r="S83" s="26">
        <f>+IFERROR((BD_MR_RF[[#This Row],[Desviación de Color]]/BD_MR_RF[[#This Row],[Muestra]]),"0")</f>
        <v>0</v>
      </c>
      <c r="T83" s="25">
        <v>0</v>
      </c>
      <c r="U83" s="26">
        <f>+IFERROR((BD_MR_RF[[#This Row],[Sobremaduro]]/BD_MR_RF[[#This Row],[Muestra]]),"0")</f>
        <v>0</v>
      </c>
      <c r="V83" s="25">
        <v>0</v>
      </c>
      <c r="W83" s="26">
        <f>+IFERROR((BD_MR_RF[[#This Row],[Daño Mécanico]]/BD_MR_RF[[#This Row],[Muestra]]),"0")</f>
        <v>0</v>
      </c>
      <c r="X83" s="25">
        <v>0</v>
      </c>
      <c r="Y83" s="26">
        <f>+IFERROR((BD_MR_RF[[#This Row],[Daño Insecto]]/BD_MR_RF[[#This Row],[Muestra]]),"0")</f>
        <v>0</v>
      </c>
      <c r="Z83" s="25">
        <v>0</v>
      </c>
      <c r="AA83" s="26">
        <f>+IFERROR((BD_MR_RF[[#This Row],[Block]]/BD_MR_RF[[#This Row],[Muestra]]),"0")</f>
        <v>0</v>
      </c>
      <c r="AB83" s="25">
        <v>0</v>
      </c>
      <c r="AC83" s="26">
        <f>+IFERROR((BD_MR_RF[[#This Row],[Mohos]]/BD_MR_RF[[#This Row],[Muestra]]),"0")</f>
        <v>0</v>
      </c>
      <c r="AD83" s="25">
        <v>0</v>
      </c>
      <c r="AE83" s="27">
        <v>0</v>
      </c>
      <c r="AG83" s="25">
        <v>0</v>
      </c>
      <c r="AH83" s="26">
        <f>+IFERROR((BD_MR_RF[[#This Row],[Valor Extra 1]]/BD_MR_RF[[#This Row],[Muestra]]),"0")</f>
        <v>0</v>
      </c>
      <c r="AJ83" s="25">
        <v>0</v>
      </c>
      <c r="AK83" s="26">
        <f>+IFERROR((BD_MR_RF[[#This Row],[Valor Extra 2]]/BD_MR_RF[[#This Row],[Muestra]]),"0")</f>
        <v>0</v>
      </c>
      <c r="AL83" s="19">
        <v>0</v>
      </c>
      <c r="AM83" s="26">
        <f>+IFERROR((BD_MR_RF[[#This Row],[Calibre &gt;16]]/BD_MR_RF[[#This Row],[Muestra]]),"0")</f>
        <v>0</v>
      </c>
      <c r="AN83" s="19">
        <v>0</v>
      </c>
      <c r="AO83" s="26">
        <f>+IFERROR((BD_MR_RF[[#This Row],[Calibre &lt;16]]/BD_MR_RF[[#This Row],[Muestra]]),"0")</f>
        <v>0</v>
      </c>
      <c r="AV83" s="28"/>
      <c r="AW83" s="29" t="s">
        <v>900</v>
      </c>
      <c r="AX83" s="19" t="s">
        <v>890</v>
      </c>
      <c r="AY83" s="19" t="s">
        <v>890</v>
      </c>
      <c r="AZ83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3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3" s="24">
        <f>1-BD_MR_RF[[#This Row],[% Defectos]]</f>
        <v>1</v>
      </c>
      <c r="BD83" s="31"/>
      <c r="BE83" s="19">
        <f>SUM(BD_MR_RF[[#This Row],[Palos (Un.) (≤18)]:[Larvas (Un.) (≤24)]])</f>
        <v>0</v>
      </c>
      <c r="BF83" s="19">
        <f>SUM(BD_MR_RF[[#This Row],[Vidrio (Un.) (0)]:[Plástico (Un.) (0)]])</f>
        <v>0</v>
      </c>
      <c r="BG83" s="19" t="str">
        <f>IF(ISBLANK(BD_MR_RF[[#This Row],[Descripción del Producto]]),"",BD_MR_RF[[#This Row],[Descripción del Producto]])</f>
        <v/>
      </c>
      <c r="BH83" s="19" t="str">
        <f>IF(ISBLANK(BD_MR_RF[[#This Row],[N° Lote]]),"",BD_MR_RF[[#This Row],[N° Lote]])</f>
        <v/>
      </c>
      <c r="BI83" s="19" t="str">
        <f>IF(ISBLANK(BD_MR_RF[[#This Row],[N° Pallet]]),"",BD_MR_RF[[#This Row],[N° Pallet]])</f>
        <v/>
      </c>
    </row>
    <row r="84" spans="2:61">
      <c r="B84" s="19">
        <f>_xlfn.ISOWEEKNUM(BD_MR_RF[[#This Row],[Fecha]])</f>
        <v>52</v>
      </c>
      <c r="E84" s="20"/>
      <c r="F84" s="18" t="str">
        <f>IFERROR("" &amp; _xlfn.XLOOKUP(BD_MR_RF[[#This Row],[Código]],BD_Cod!A:A,BD_Cod!B:B), "")</f>
        <v/>
      </c>
      <c r="G84" s="21" t="str">
        <f>IFERROR(" " &amp;_xlfn.XLOOKUP(BD_MR_RF[[#This Row],[Código]],BD_Cod!A:A,BD_Cod!H:H," ")," ")</f>
        <v xml:space="preserve"> </v>
      </c>
      <c r="J84" s="22">
        <v>1000</v>
      </c>
      <c r="L84" s="19" t="s">
        <v>244</v>
      </c>
      <c r="O84" s="19" t="s">
        <v>890</v>
      </c>
      <c r="P84" s="19" t="s">
        <v>890</v>
      </c>
      <c r="Q84" s="24">
        <f>1-BD_MR_RF[[#This Row],[% Defectos]]</f>
        <v>1</v>
      </c>
      <c r="R84" s="25">
        <v>0</v>
      </c>
      <c r="S84" s="26">
        <f>+IFERROR((BD_MR_RF[[#This Row],[Desviación de Color]]/BD_MR_RF[[#This Row],[Muestra]]),"0")</f>
        <v>0</v>
      </c>
      <c r="T84" s="25">
        <v>0</v>
      </c>
      <c r="U84" s="26">
        <f>+IFERROR((BD_MR_RF[[#This Row],[Sobremaduro]]/BD_MR_RF[[#This Row],[Muestra]]),"0")</f>
        <v>0</v>
      </c>
      <c r="V84" s="25">
        <v>0</v>
      </c>
      <c r="W84" s="26">
        <f>+IFERROR((BD_MR_RF[[#This Row],[Daño Mécanico]]/BD_MR_RF[[#This Row],[Muestra]]),"0")</f>
        <v>0</v>
      </c>
      <c r="X84" s="25">
        <v>0</v>
      </c>
      <c r="Y84" s="26">
        <f>+IFERROR((BD_MR_RF[[#This Row],[Daño Insecto]]/BD_MR_RF[[#This Row],[Muestra]]),"0")</f>
        <v>0</v>
      </c>
      <c r="Z84" s="25">
        <v>0</v>
      </c>
      <c r="AA84" s="26">
        <f>+IFERROR((BD_MR_RF[[#This Row],[Block]]/BD_MR_RF[[#This Row],[Muestra]]),"0")</f>
        <v>0</v>
      </c>
      <c r="AB84" s="25">
        <v>0</v>
      </c>
      <c r="AC84" s="26">
        <f>+IFERROR((BD_MR_RF[[#This Row],[Mohos]]/BD_MR_RF[[#This Row],[Muestra]]),"0")</f>
        <v>0</v>
      </c>
      <c r="AD84" s="25">
        <v>0</v>
      </c>
      <c r="AE84" s="27">
        <v>0</v>
      </c>
      <c r="AG84" s="25">
        <v>0</v>
      </c>
      <c r="AH84" s="26">
        <f>+IFERROR((BD_MR_RF[[#This Row],[Valor Extra 1]]/BD_MR_RF[[#This Row],[Muestra]]),"0")</f>
        <v>0</v>
      </c>
      <c r="AJ84" s="25">
        <v>0</v>
      </c>
      <c r="AK84" s="26">
        <f>+IFERROR((BD_MR_RF[[#This Row],[Valor Extra 2]]/BD_MR_RF[[#This Row],[Muestra]]),"0")</f>
        <v>0</v>
      </c>
      <c r="AL84" s="19">
        <v>0</v>
      </c>
      <c r="AM84" s="26">
        <f>+IFERROR((BD_MR_RF[[#This Row],[Calibre &gt;16]]/BD_MR_RF[[#This Row],[Muestra]]),"0")</f>
        <v>0</v>
      </c>
      <c r="AN84" s="19">
        <v>0</v>
      </c>
      <c r="AO84" s="26">
        <f>+IFERROR((BD_MR_RF[[#This Row],[Calibre &lt;16]]/BD_MR_RF[[#This Row],[Muestra]]),"0")</f>
        <v>0</v>
      </c>
      <c r="AV84" s="28"/>
      <c r="AW84" s="29" t="s">
        <v>900</v>
      </c>
      <c r="AX84" s="19" t="s">
        <v>890</v>
      </c>
      <c r="AY84" s="19" t="s">
        <v>890</v>
      </c>
      <c r="AZ84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4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4" s="24">
        <f>1-BD_MR_RF[[#This Row],[% Defectos]]</f>
        <v>1</v>
      </c>
      <c r="BD84" s="31"/>
      <c r="BE84" s="19">
        <f>SUM(BD_MR_RF[[#This Row],[Palos (Un.) (≤18)]:[Larvas (Un.) (≤24)]])</f>
        <v>0</v>
      </c>
      <c r="BF84" s="19">
        <f>SUM(BD_MR_RF[[#This Row],[Vidrio (Un.) (0)]:[Plástico (Un.) (0)]])</f>
        <v>0</v>
      </c>
      <c r="BG84" s="19" t="str">
        <f>IF(ISBLANK(BD_MR_RF[[#This Row],[Descripción del Producto]]),"",BD_MR_RF[[#This Row],[Descripción del Producto]])</f>
        <v/>
      </c>
      <c r="BH84" s="19" t="str">
        <f>IF(ISBLANK(BD_MR_RF[[#This Row],[N° Lote]]),"",BD_MR_RF[[#This Row],[N° Lote]])</f>
        <v/>
      </c>
      <c r="BI84" s="19" t="str">
        <f>IF(ISBLANK(BD_MR_RF[[#This Row],[N° Pallet]]),"",BD_MR_RF[[#This Row],[N° Pallet]])</f>
        <v/>
      </c>
    </row>
    <row r="85" spans="2:61">
      <c r="B85" s="19">
        <f>_xlfn.ISOWEEKNUM(BD_MR_RF[[#This Row],[Fecha]])</f>
        <v>52</v>
      </c>
      <c r="E85" s="20"/>
      <c r="F85" s="18" t="str">
        <f>IFERROR("" &amp; _xlfn.XLOOKUP(BD_MR_RF[[#This Row],[Código]],BD_Cod!A:A,BD_Cod!B:B), "")</f>
        <v/>
      </c>
      <c r="G85" s="21" t="str">
        <f>IFERROR(" " &amp;_xlfn.XLOOKUP(BD_MR_RF[[#This Row],[Código]],BD_Cod!A:A,BD_Cod!H:H," ")," ")</f>
        <v xml:space="preserve"> </v>
      </c>
      <c r="J85" s="22">
        <v>1000</v>
      </c>
      <c r="L85" s="19" t="s">
        <v>244</v>
      </c>
      <c r="O85" s="19" t="s">
        <v>890</v>
      </c>
      <c r="P85" s="19" t="s">
        <v>890</v>
      </c>
      <c r="Q85" s="24">
        <f>1-BD_MR_RF[[#This Row],[% Defectos]]</f>
        <v>1</v>
      </c>
      <c r="R85" s="25">
        <v>0</v>
      </c>
      <c r="S85" s="26">
        <f>+IFERROR((BD_MR_RF[[#This Row],[Desviación de Color]]/BD_MR_RF[[#This Row],[Muestra]]),"0")</f>
        <v>0</v>
      </c>
      <c r="T85" s="25">
        <v>0</v>
      </c>
      <c r="U85" s="26">
        <f>+IFERROR((BD_MR_RF[[#This Row],[Sobremaduro]]/BD_MR_RF[[#This Row],[Muestra]]),"0")</f>
        <v>0</v>
      </c>
      <c r="V85" s="25">
        <v>0</v>
      </c>
      <c r="W85" s="26">
        <f>+IFERROR((BD_MR_RF[[#This Row],[Daño Mécanico]]/BD_MR_RF[[#This Row],[Muestra]]),"0")</f>
        <v>0</v>
      </c>
      <c r="X85" s="25">
        <v>0</v>
      </c>
      <c r="Y85" s="26">
        <f>+IFERROR((BD_MR_RF[[#This Row],[Daño Insecto]]/BD_MR_RF[[#This Row],[Muestra]]),"0")</f>
        <v>0</v>
      </c>
      <c r="Z85" s="25">
        <v>0</v>
      </c>
      <c r="AA85" s="26">
        <f>+IFERROR((BD_MR_RF[[#This Row],[Block]]/BD_MR_RF[[#This Row],[Muestra]]),"0")</f>
        <v>0</v>
      </c>
      <c r="AB85" s="25">
        <v>0</v>
      </c>
      <c r="AC85" s="26">
        <f>+IFERROR((BD_MR_RF[[#This Row],[Mohos]]/BD_MR_RF[[#This Row],[Muestra]]),"0")</f>
        <v>0</v>
      </c>
      <c r="AD85" s="25">
        <v>0</v>
      </c>
      <c r="AE85" s="27">
        <v>0</v>
      </c>
      <c r="AG85" s="25">
        <v>0</v>
      </c>
      <c r="AH85" s="26">
        <f>+IFERROR((BD_MR_RF[[#This Row],[Valor Extra 1]]/BD_MR_RF[[#This Row],[Muestra]]),"0")</f>
        <v>0</v>
      </c>
      <c r="AJ85" s="25">
        <v>0</v>
      </c>
      <c r="AK85" s="26">
        <f>+IFERROR((BD_MR_RF[[#This Row],[Valor Extra 2]]/BD_MR_RF[[#This Row],[Muestra]]),"0")</f>
        <v>0</v>
      </c>
      <c r="AL85" s="19">
        <v>0</v>
      </c>
      <c r="AM85" s="26">
        <f>+IFERROR((BD_MR_RF[[#This Row],[Calibre &gt;16]]/BD_MR_RF[[#This Row],[Muestra]]),"0")</f>
        <v>0</v>
      </c>
      <c r="AN85" s="19">
        <v>0</v>
      </c>
      <c r="AO85" s="26">
        <f>+IFERROR((BD_MR_RF[[#This Row],[Calibre &lt;16]]/BD_MR_RF[[#This Row],[Muestra]]),"0")</f>
        <v>0</v>
      </c>
      <c r="AV85" s="28"/>
      <c r="AW85" s="29" t="s">
        <v>900</v>
      </c>
      <c r="AX85" s="19" t="s">
        <v>890</v>
      </c>
      <c r="AY85" s="19" t="s">
        <v>890</v>
      </c>
      <c r="AZ85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5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5" s="24">
        <f>1-BD_MR_RF[[#This Row],[% Defectos]]</f>
        <v>1</v>
      </c>
      <c r="BD85" s="31"/>
      <c r="BE85" s="19">
        <f>SUM(BD_MR_RF[[#This Row],[Palos (Un.) (≤18)]:[Larvas (Un.) (≤24)]])</f>
        <v>0</v>
      </c>
      <c r="BF85" s="19">
        <f>SUM(BD_MR_RF[[#This Row],[Vidrio (Un.) (0)]:[Plástico (Un.) (0)]])</f>
        <v>0</v>
      </c>
      <c r="BG85" s="19" t="str">
        <f>IF(ISBLANK(BD_MR_RF[[#This Row],[Descripción del Producto]]),"",BD_MR_RF[[#This Row],[Descripción del Producto]])</f>
        <v/>
      </c>
      <c r="BH85" s="19" t="str">
        <f>IF(ISBLANK(BD_MR_RF[[#This Row],[N° Lote]]),"",BD_MR_RF[[#This Row],[N° Lote]])</f>
        <v/>
      </c>
      <c r="BI85" s="19" t="str">
        <f>IF(ISBLANK(BD_MR_RF[[#This Row],[N° Pallet]]),"",BD_MR_RF[[#This Row],[N° Pallet]])</f>
        <v/>
      </c>
    </row>
    <row r="86" spans="2:61">
      <c r="B86" s="19">
        <f>_xlfn.ISOWEEKNUM(BD_MR_RF[[#This Row],[Fecha]])</f>
        <v>52</v>
      </c>
      <c r="E86" s="20"/>
      <c r="F86" s="18" t="str">
        <f>IFERROR("" &amp; _xlfn.XLOOKUP(BD_MR_RF[[#This Row],[Código]],BD_Cod!A:A,BD_Cod!B:B), "")</f>
        <v/>
      </c>
      <c r="G86" s="21" t="str">
        <f>IFERROR(" " &amp;_xlfn.XLOOKUP(BD_MR_RF[[#This Row],[Código]],BD_Cod!A:A,BD_Cod!H:H," ")," ")</f>
        <v xml:space="preserve"> </v>
      </c>
      <c r="J86" s="22">
        <v>1000</v>
      </c>
      <c r="L86" s="19" t="s">
        <v>244</v>
      </c>
      <c r="O86" s="19" t="s">
        <v>890</v>
      </c>
      <c r="P86" s="19" t="s">
        <v>890</v>
      </c>
      <c r="Q86" s="24">
        <f>1-BD_MR_RF[[#This Row],[% Defectos]]</f>
        <v>1</v>
      </c>
      <c r="R86" s="25">
        <v>0</v>
      </c>
      <c r="S86" s="26">
        <f>+IFERROR((BD_MR_RF[[#This Row],[Desviación de Color]]/BD_MR_RF[[#This Row],[Muestra]]),"0")</f>
        <v>0</v>
      </c>
      <c r="T86" s="25">
        <v>0</v>
      </c>
      <c r="U86" s="26">
        <f>+IFERROR((BD_MR_RF[[#This Row],[Sobremaduro]]/BD_MR_RF[[#This Row],[Muestra]]),"0")</f>
        <v>0</v>
      </c>
      <c r="V86" s="25">
        <v>0</v>
      </c>
      <c r="W86" s="26">
        <f>+IFERROR((BD_MR_RF[[#This Row],[Daño Mécanico]]/BD_MR_RF[[#This Row],[Muestra]]),"0")</f>
        <v>0</v>
      </c>
      <c r="X86" s="25">
        <v>0</v>
      </c>
      <c r="Y86" s="26">
        <f>+IFERROR((BD_MR_RF[[#This Row],[Daño Insecto]]/BD_MR_RF[[#This Row],[Muestra]]),"0")</f>
        <v>0</v>
      </c>
      <c r="Z86" s="25">
        <v>0</v>
      </c>
      <c r="AA86" s="26">
        <f>+IFERROR((BD_MR_RF[[#This Row],[Block]]/BD_MR_RF[[#This Row],[Muestra]]),"0")</f>
        <v>0</v>
      </c>
      <c r="AB86" s="25">
        <v>0</v>
      </c>
      <c r="AC86" s="26">
        <f>+IFERROR((BD_MR_RF[[#This Row],[Mohos]]/BD_MR_RF[[#This Row],[Muestra]]),"0")</f>
        <v>0</v>
      </c>
      <c r="AD86" s="25">
        <v>0</v>
      </c>
      <c r="AE86" s="27">
        <v>0</v>
      </c>
      <c r="AG86" s="25">
        <v>0</v>
      </c>
      <c r="AH86" s="26">
        <f>+IFERROR((BD_MR_RF[[#This Row],[Valor Extra 1]]/BD_MR_RF[[#This Row],[Muestra]]),"0")</f>
        <v>0</v>
      </c>
      <c r="AJ86" s="25">
        <v>0</v>
      </c>
      <c r="AK86" s="26">
        <f>+IFERROR((BD_MR_RF[[#This Row],[Valor Extra 2]]/BD_MR_RF[[#This Row],[Muestra]]),"0")</f>
        <v>0</v>
      </c>
      <c r="AL86" s="19">
        <v>0</v>
      </c>
      <c r="AM86" s="26">
        <f>+IFERROR((BD_MR_RF[[#This Row],[Calibre &gt;16]]/BD_MR_RF[[#This Row],[Muestra]]),"0")</f>
        <v>0</v>
      </c>
      <c r="AN86" s="19">
        <v>0</v>
      </c>
      <c r="AO86" s="26">
        <f>+IFERROR((BD_MR_RF[[#This Row],[Calibre &lt;16]]/BD_MR_RF[[#This Row],[Muestra]]),"0")</f>
        <v>0</v>
      </c>
      <c r="AV86" s="28"/>
      <c r="AW86" s="29" t="s">
        <v>900</v>
      </c>
      <c r="AX86" s="19" t="s">
        <v>890</v>
      </c>
      <c r="AY86" s="19" t="s">
        <v>890</v>
      </c>
      <c r="AZ86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6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6" s="24">
        <f>1-BD_MR_RF[[#This Row],[% Defectos]]</f>
        <v>1</v>
      </c>
      <c r="BD86" s="31"/>
      <c r="BE86" s="19">
        <f>SUM(BD_MR_RF[[#This Row],[Palos (Un.) (≤18)]:[Larvas (Un.) (≤24)]])</f>
        <v>0</v>
      </c>
      <c r="BF86" s="19">
        <f>SUM(BD_MR_RF[[#This Row],[Vidrio (Un.) (0)]:[Plástico (Un.) (0)]])</f>
        <v>0</v>
      </c>
      <c r="BG86" s="19" t="str">
        <f>IF(ISBLANK(BD_MR_RF[[#This Row],[Descripción del Producto]]),"",BD_MR_RF[[#This Row],[Descripción del Producto]])</f>
        <v/>
      </c>
      <c r="BH86" s="19" t="str">
        <f>IF(ISBLANK(BD_MR_RF[[#This Row],[N° Lote]]),"",BD_MR_RF[[#This Row],[N° Lote]])</f>
        <v/>
      </c>
      <c r="BI86" s="19" t="str">
        <f>IF(ISBLANK(BD_MR_RF[[#This Row],[N° Pallet]]),"",BD_MR_RF[[#This Row],[N° Pallet]])</f>
        <v/>
      </c>
    </row>
    <row r="87" spans="2:61">
      <c r="B87" s="19">
        <f>_xlfn.ISOWEEKNUM(BD_MR_RF[[#This Row],[Fecha]])</f>
        <v>52</v>
      </c>
      <c r="E87" s="20"/>
      <c r="F87" s="18" t="str">
        <f>IFERROR("" &amp; _xlfn.XLOOKUP(BD_MR_RF[[#This Row],[Código]],BD_Cod!A:A,BD_Cod!B:B), "")</f>
        <v/>
      </c>
      <c r="G87" s="21" t="str">
        <f>IFERROR(" " &amp;_xlfn.XLOOKUP(BD_MR_RF[[#This Row],[Código]],BD_Cod!A:A,BD_Cod!H:H," ")," ")</f>
        <v xml:space="preserve"> </v>
      </c>
      <c r="J87" s="22">
        <v>1000</v>
      </c>
      <c r="L87" s="19" t="s">
        <v>244</v>
      </c>
      <c r="O87" s="19" t="s">
        <v>890</v>
      </c>
      <c r="P87" s="19" t="s">
        <v>890</v>
      </c>
      <c r="Q87" s="24">
        <f>1-BD_MR_RF[[#This Row],[% Defectos]]</f>
        <v>1</v>
      </c>
      <c r="R87" s="25">
        <v>0</v>
      </c>
      <c r="S87" s="26">
        <f>+IFERROR((BD_MR_RF[[#This Row],[Desviación de Color]]/BD_MR_RF[[#This Row],[Muestra]]),"0")</f>
        <v>0</v>
      </c>
      <c r="T87" s="25">
        <v>0</v>
      </c>
      <c r="U87" s="26">
        <f>+IFERROR((BD_MR_RF[[#This Row],[Sobremaduro]]/BD_MR_RF[[#This Row],[Muestra]]),"0")</f>
        <v>0</v>
      </c>
      <c r="V87" s="25">
        <v>0</v>
      </c>
      <c r="W87" s="26">
        <f>+IFERROR((BD_MR_RF[[#This Row],[Daño Mécanico]]/BD_MR_RF[[#This Row],[Muestra]]),"0")</f>
        <v>0</v>
      </c>
      <c r="X87" s="25">
        <v>0</v>
      </c>
      <c r="Y87" s="26">
        <f>+IFERROR((BD_MR_RF[[#This Row],[Daño Insecto]]/BD_MR_RF[[#This Row],[Muestra]]),"0")</f>
        <v>0</v>
      </c>
      <c r="Z87" s="25">
        <v>0</v>
      </c>
      <c r="AA87" s="26">
        <f>+IFERROR((BD_MR_RF[[#This Row],[Block]]/BD_MR_RF[[#This Row],[Muestra]]),"0")</f>
        <v>0</v>
      </c>
      <c r="AB87" s="25">
        <v>0</v>
      </c>
      <c r="AC87" s="26">
        <f>+IFERROR((BD_MR_RF[[#This Row],[Mohos]]/BD_MR_RF[[#This Row],[Muestra]]),"0")</f>
        <v>0</v>
      </c>
      <c r="AD87" s="25">
        <v>0</v>
      </c>
      <c r="AE87" s="27">
        <v>0</v>
      </c>
      <c r="AG87" s="25">
        <v>0</v>
      </c>
      <c r="AH87" s="26">
        <f>+IFERROR((BD_MR_RF[[#This Row],[Valor Extra 1]]/BD_MR_RF[[#This Row],[Muestra]]),"0")</f>
        <v>0</v>
      </c>
      <c r="AJ87" s="25">
        <v>0</v>
      </c>
      <c r="AK87" s="26">
        <f>+IFERROR((BD_MR_RF[[#This Row],[Valor Extra 2]]/BD_MR_RF[[#This Row],[Muestra]]),"0")</f>
        <v>0</v>
      </c>
      <c r="AL87" s="19">
        <v>0</v>
      </c>
      <c r="AM87" s="26">
        <f>+IFERROR((BD_MR_RF[[#This Row],[Calibre &gt;16]]/BD_MR_RF[[#This Row],[Muestra]]),"0")</f>
        <v>0</v>
      </c>
      <c r="AN87" s="19">
        <v>0</v>
      </c>
      <c r="AO87" s="26">
        <f>+IFERROR((BD_MR_RF[[#This Row],[Calibre &lt;16]]/BD_MR_RF[[#This Row],[Muestra]]),"0")</f>
        <v>0</v>
      </c>
      <c r="AV87" s="28"/>
      <c r="AW87" s="29" t="s">
        <v>900</v>
      </c>
      <c r="AX87" s="19" t="s">
        <v>890</v>
      </c>
      <c r="AY87" s="19" t="s">
        <v>890</v>
      </c>
      <c r="AZ87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7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7" s="24">
        <f>1-BD_MR_RF[[#This Row],[% Defectos]]</f>
        <v>1</v>
      </c>
      <c r="BD87" s="31"/>
      <c r="BE87" s="19">
        <f>SUM(BD_MR_RF[[#This Row],[Palos (Un.) (≤18)]:[Larvas (Un.) (≤24)]])</f>
        <v>0</v>
      </c>
      <c r="BF87" s="19">
        <f>SUM(BD_MR_RF[[#This Row],[Vidrio (Un.) (0)]:[Plástico (Un.) (0)]])</f>
        <v>0</v>
      </c>
      <c r="BG87" s="19" t="str">
        <f>IF(ISBLANK(BD_MR_RF[[#This Row],[Descripción del Producto]]),"",BD_MR_RF[[#This Row],[Descripción del Producto]])</f>
        <v/>
      </c>
      <c r="BH87" s="19" t="str">
        <f>IF(ISBLANK(BD_MR_RF[[#This Row],[N° Lote]]),"",BD_MR_RF[[#This Row],[N° Lote]])</f>
        <v/>
      </c>
      <c r="BI87" s="19" t="str">
        <f>IF(ISBLANK(BD_MR_RF[[#This Row],[N° Pallet]]),"",BD_MR_RF[[#This Row],[N° Pallet]])</f>
        <v/>
      </c>
    </row>
    <row r="88" spans="2:61">
      <c r="B88" s="19">
        <f>_xlfn.ISOWEEKNUM(BD_MR_RF[[#This Row],[Fecha]])</f>
        <v>52</v>
      </c>
      <c r="E88" s="20"/>
      <c r="F88" s="18" t="str">
        <f>IFERROR("" &amp; _xlfn.XLOOKUP(BD_MR_RF[[#This Row],[Código]],BD_Cod!A:A,BD_Cod!B:B), "")</f>
        <v/>
      </c>
      <c r="G88" s="21" t="str">
        <f>IFERROR(" " &amp;_xlfn.XLOOKUP(BD_MR_RF[[#This Row],[Código]],BD_Cod!A:A,BD_Cod!H:H," ")," ")</f>
        <v xml:space="preserve"> </v>
      </c>
      <c r="J88" s="22">
        <v>1000</v>
      </c>
      <c r="L88" s="19" t="s">
        <v>244</v>
      </c>
      <c r="O88" s="19" t="s">
        <v>890</v>
      </c>
      <c r="P88" s="19" t="s">
        <v>890</v>
      </c>
      <c r="Q88" s="24">
        <f>1-BD_MR_RF[[#This Row],[% Defectos]]</f>
        <v>1</v>
      </c>
      <c r="R88" s="25">
        <v>0</v>
      </c>
      <c r="S88" s="26">
        <f>+IFERROR((BD_MR_RF[[#This Row],[Desviación de Color]]/BD_MR_RF[[#This Row],[Muestra]]),"0")</f>
        <v>0</v>
      </c>
      <c r="T88" s="25">
        <v>0</v>
      </c>
      <c r="U88" s="26">
        <f>+IFERROR((BD_MR_RF[[#This Row],[Sobremaduro]]/BD_MR_RF[[#This Row],[Muestra]]),"0")</f>
        <v>0</v>
      </c>
      <c r="V88" s="25">
        <v>0</v>
      </c>
      <c r="W88" s="26">
        <f>+IFERROR((BD_MR_RF[[#This Row],[Daño Mécanico]]/BD_MR_RF[[#This Row],[Muestra]]),"0")</f>
        <v>0</v>
      </c>
      <c r="X88" s="25">
        <v>0</v>
      </c>
      <c r="Y88" s="26">
        <f>+IFERROR((BD_MR_RF[[#This Row],[Daño Insecto]]/BD_MR_RF[[#This Row],[Muestra]]),"0")</f>
        <v>0</v>
      </c>
      <c r="Z88" s="25">
        <v>0</v>
      </c>
      <c r="AA88" s="26">
        <f>+IFERROR((BD_MR_RF[[#This Row],[Block]]/BD_MR_RF[[#This Row],[Muestra]]),"0")</f>
        <v>0</v>
      </c>
      <c r="AB88" s="25">
        <v>0</v>
      </c>
      <c r="AC88" s="26">
        <f>+IFERROR((BD_MR_RF[[#This Row],[Mohos]]/BD_MR_RF[[#This Row],[Muestra]]),"0")</f>
        <v>0</v>
      </c>
      <c r="AD88" s="25">
        <v>0</v>
      </c>
      <c r="AE88" s="27">
        <v>0</v>
      </c>
      <c r="AG88" s="25">
        <v>0</v>
      </c>
      <c r="AH88" s="26">
        <f>+IFERROR((BD_MR_RF[[#This Row],[Valor Extra 1]]/BD_MR_RF[[#This Row],[Muestra]]),"0")</f>
        <v>0</v>
      </c>
      <c r="AJ88" s="25">
        <v>0</v>
      </c>
      <c r="AK88" s="26">
        <f>+IFERROR((BD_MR_RF[[#This Row],[Valor Extra 2]]/BD_MR_RF[[#This Row],[Muestra]]),"0")</f>
        <v>0</v>
      </c>
      <c r="AL88" s="19">
        <v>0</v>
      </c>
      <c r="AM88" s="26">
        <f>+IFERROR((BD_MR_RF[[#This Row],[Calibre &gt;16]]/BD_MR_RF[[#This Row],[Muestra]]),"0")</f>
        <v>0</v>
      </c>
      <c r="AN88" s="19">
        <v>0</v>
      </c>
      <c r="AO88" s="26">
        <f>+IFERROR((BD_MR_RF[[#This Row],[Calibre &lt;16]]/BD_MR_RF[[#This Row],[Muestra]]),"0")</f>
        <v>0</v>
      </c>
      <c r="AV88" s="28"/>
      <c r="AW88" s="29" t="s">
        <v>900</v>
      </c>
      <c r="AX88" s="19" t="s">
        <v>890</v>
      </c>
      <c r="AY88" s="19" t="s">
        <v>890</v>
      </c>
      <c r="AZ88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8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8" s="24">
        <f>1-BD_MR_RF[[#This Row],[% Defectos]]</f>
        <v>1</v>
      </c>
      <c r="BD88" s="31"/>
      <c r="BE88" s="19">
        <f>SUM(BD_MR_RF[[#This Row],[Palos (Un.) (≤18)]:[Larvas (Un.) (≤24)]])</f>
        <v>0</v>
      </c>
      <c r="BF88" s="19">
        <f>SUM(BD_MR_RF[[#This Row],[Vidrio (Un.) (0)]:[Plástico (Un.) (0)]])</f>
        <v>0</v>
      </c>
      <c r="BG88" s="19" t="str">
        <f>IF(ISBLANK(BD_MR_RF[[#This Row],[Descripción del Producto]]),"",BD_MR_RF[[#This Row],[Descripción del Producto]])</f>
        <v/>
      </c>
      <c r="BH88" s="19" t="str">
        <f>IF(ISBLANK(BD_MR_RF[[#This Row],[N° Lote]]),"",BD_MR_RF[[#This Row],[N° Lote]])</f>
        <v/>
      </c>
      <c r="BI88" s="19" t="str">
        <f>IF(ISBLANK(BD_MR_RF[[#This Row],[N° Pallet]]),"",BD_MR_RF[[#This Row],[N° Pallet]])</f>
        <v/>
      </c>
    </row>
    <row r="89" spans="2:61">
      <c r="B89" s="19">
        <f>_xlfn.ISOWEEKNUM(BD_MR_RF[[#This Row],[Fecha]])</f>
        <v>52</v>
      </c>
      <c r="E89" s="20"/>
      <c r="F89" s="18" t="str">
        <f>IFERROR("" &amp; _xlfn.XLOOKUP(BD_MR_RF[[#This Row],[Código]],BD_Cod!A:A,BD_Cod!B:B), "")</f>
        <v/>
      </c>
      <c r="G89" s="21" t="str">
        <f>IFERROR(" " &amp;_xlfn.XLOOKUP(BD_MR_RF[[#This Row],[Código]],BD_Cod!A:A,BD_Cod!H:H," ")," ")</f>
        <v xml:space="preserve"> </v>
      </c>
      <c r="J89" s="22">
        <v>1000</v>
      </c>
      <c r="L89" s="19" t="s">
        <v>244</v>
      </c>
      <c r="O89" s="19" t="s">
        <v>890</v>
      </c>
      <c r="P89" s="19" t="s">
        <v>890</v>
      </c>
      <c r="Q89" s="24">
        <f>1-BD_MR_RF[[#This Row],[% Defectos]]</f>
        <v>1</v>
      </c>
      <c r="R89" s="25">
        <v>0</v>
      </c>
      <c r="S89" s="26">
        <f>+IFERROR((BD_MR_RF[[#This Row],[Desviación de Color]]/BD_MR_RF[[#This Row],[Muestra]]),"0")</f>
        <v>0</v>
      </c>
      <c r="T89" s="25">
        <v>0</v>
      </c>
      <c r="U89" s="26">
        <f>+IFERROR((BD_MR_RF[[#This Row],[Sobremaduro]]/BD_MR_RF[[#This Row],[Muestra]]),"0")</f>
        <v>0</v>
      </c>
      <c r="V89" s="25">
        <v>0</v>
      </c>
      <c r="W89" s="26">
        <f>+IFERROR((BD_MR_RF[[#This Row],[Daño Mécanico]]/BD_MR_RF[[#This Row],[Muestra]]),"0")</f>
        <v>0</v>
      </c>
      <c r="X89" s="25">
        <v>0</v>
      </c>
      <c r="Y89" s="26">
        <f>+IFERROR((BD_MR_RF[[#This Row],[Daño Insecto]]/BD_MR_RF[[#This Row],[Muestra]]),"0")</f>
        <v>0</v>
      </c>
      <c r="Z89" s="25">
        <v>0</v>
      </c>
      <c r="AA89" s="26">
        <f>+IFERROR((BD_MR_RF[[#This Row],[Block]]/BD_MR_RF[[#This Row],[Muestra]]),"0")</f>
        <v>0</v>
      </c>
      <c r="AB89" s="25">
        <v>0</v>
      </c>
      <c r="AC89" s="26">
        <f>+IFERROR((BD_MR_RF[[#This Row],[Mohos]]/BD_MR_RF[[#This Row],[Muestra]]),"0")</f>
        <v>0</v>
      </c>
      <c r="AD89" s="25">
        <v>0</v>
      </c>
      <c r="AE89" s="27">
        <v>0</v>
      </c>
      <c r="AG89" s="25">
        <v>0</v>
      </c>
      <c r="AH89" s="26">
        <f>+IFERROR((BD_MR_RF[[#This Row],[Valor Extra 1]]/BD_MR_RF[[#This Row],[Muestra]]),"0")</f>
        <v>0</v>
      </c>
      <c r="AJ89" s="25">
        <v>0</v>
      </c>
      <c r="AK89" s="26">
        <f>+IFERROR((BD_MR_RF[[#This Row],[Valor Extra 2]]/BD_MR_RF[[#This Row],[Muestra]]),"0")</f>
        <v>0</v>
      </c>
      <c r="AL89" s="19">
        <v>0</v>
      </c>
      <c r="AM89" s="26">
        <f>+IFERROR((BD_MR_RF[[#This Row],[Calibre &gt;16]]/BD_MR_RF[[#This Row],[Muestra]]),"0")</f>
        <v>0</v>
      </c>
      <c r="AN89" s="19">
        <v>0</v>
      </c>
      <c r="AO89" s="26">
        <f>+IFERROR((BD_MR_RF[[#This Row],[Calibre &lt;16]]/BD_MR_RF[[#This Row],[Muestra]]),"0")</f>
        <v>0</v>
      </c>
      <c r="AV89" s="28"/>
      <c r="AW89" s="29" t="s">
        <v>900</v>
      </c>
      <c r="AX89" s="19" t="s">
        <v>890</v>
      </c>
      <c r="AY89" s="19" t="s">
        <v>890</v>
      </c>
      <c r="AZ89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89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89" s="24">
        <f>1-BD_MR_RF[[#This Row],[% Defectos]]</f>
        <v>1</v>
      </c>
      <c r="BD89" s="31"/>
      <c r="BE89" s="19">
        <f>SUM(BD_MR_RF[[#This Row],[Palos (Un.) (≤18)]:[Larvas (Un.) (≤24)]])</f>
        <v>0</v>
      </c>
      <c r="BF89" s="19">
        <f>SUM(BD_MR_RF[[#This Row],[Vidrio (Un.) (0)]:[Plástico (Un.) (0)]])</f>
        <v>0</v>
      </c>
      <c r="BG89" s="19" t="str">
        <f>IF(ISBLANK(BD_MR_RF[[#This Row],[Descripción del Producto]]),"",BD_MR_RF[[#This Row],[Descripción del Producto]])</f>
        <v/>
      </c>
      <c r="BH89" s="19" t="str">
        <f>IF(ISBLANK(BD_MR_RF[[#This Row],[N° Lote]]),"",BD_MR_RF[[#This Row],[N° Lote]])</f>
        <v/>
      </c>
      <c r="BI89" s="19" t="str">
        <f>IF(ISBLANK(BD_MR_RF[[#This Row],[N° Pallet]]),"",BD_MR_RF[[#This Row],[N° Pallet]])</f>
        <v/>
      </c>
    </row>
    <row r="90" spans="2:61">
      <c r="B90" s="19">
        <f>_xlfn.ISOWEEKNUM(BD_MR_RF[[#This Row],[Fecha]])</f>
        <v>52</v>
      </c>
      <c r="E90" s="20"/>
      <c r="F90" s="18" t="str">
        <f>IFERROR("" &amp; _xlfn.XLOOKUP(BD_MR_RF[[#This Row],[Código]],BD_Cod!A:A,BD_Cod!B:B), "")</f>
        <v/>
      </c>
      <c r="G90" s="21" t="str">
        <f>IFERROR(" " &amp;_xlfn.XLOOKUP(BD_MR_RF[[#This Row],[Código]],BD_Cod!A:A,BD_Cod!H:H," ")," ")</f>
        <v xml:space="preserve"> </v>
      </c>
      <c r="J90" s="22">
        <v>1000</v>
      </c>
      <c r="L90" s="19" t="s">
        <v>244</v>
      </c>
      <c r="O90" s="19" t="s">
        <v>890</v>
      </c>
      <c r="P90" s="19" t="s">
        <v>890</v>
      </c>
      <c r="Q90" s="24">
        <f>1-BD_MR_RF[[#This Row],[% Defectos]]</f>
        <v>1</v>
      </c>
      <c r="R90" s="25">
        <v>0</v>
      </c>
      <c r="S90" s="26">
        <f>+IFERROR((BD_MR_RF[[#This Row],[Desviación de Color]]/BD_MR_RF[[#This Row],[Muestra]]),"0")</f>
        <v>0</v>
      </c>
      <c r="T90" s="25">
        <v>0</v>
      </c>
      <c r="U90" s="26">
        <f>+IFERROR((BD_MR_RF[[#This Row],[Sobremaduro]]/BD_MR_RF[[#This Row],[Muestra]]),"0")</f>
        <v>0</v>
      </c>
      <c r="V90" s="25">
        <v>0</v>
      </c>
      <c r="W90" s="26">
        <f>+IFERROR((BD_MR_RF[[#This Row],[Daño Mécanico]]/BD_MR_RF[[#This Row],[Muestra]]),"0")</f>
        <v>0</v>
      </c>
      <c r="X90" s="25">
        <v>0</v>
      </c>
      <c r="Y90" s="26">
        <f>+IFERROR((BD_MR_RF[[#This Row],[Daño Insecto]]/BD_MR_RF[[#This Row],[Muestra]]),"0")</f>
        <v>0</v>
      </c>
      <c r="Z90" s="25">
        <v>0</v>
      </c>
      <c r="AA90" s="26">
        <f>+IFERROR((BD_MR_RF[[#This Row],[Block]]/BD_MR_RF[[#This Row],[Muestra]]),"0")</f>
        <v>0</v>
      </c>
      <c r="AB90" s="25">
        <v>0</v>
      </c>
      <c r="AC90" s="26">
        <f>+IFERROR((BD_MR_RF[[#This Row],[Mohos]]/BD_MR_RF[[#This Row],[Muestra]]),"0")</f>
        <v>0</v>
      </c>
      <c r="AD90" s="25">
        <v>0</v>
      </c>
      <c r="AE90" s="27">
        <v>0</v>
      </c>
      <c r="AG90" s="25">
        <v>0</v>
      </c>
      <c r="AH90" s="26">
        <f>+IFERROR((BD_MR_RF[[#This Row],[Valor Extra 1]]/BD_MR_RF[[#This Row],[Muestra]]),"0")</f>
        <v>0</v>
      </c>
      <c r="AJ90" s="25">
        <v>0</v>
      </c>
      <c r="AK90" s="26">
        <f>+IFERROR((BD_MR_RF[[#This Row],[Valor Extra 2]]/BD_MR_RF[[#This Row],[Muestra]]),"0")</f>
        <v>0</v>
      </c>
      <c r="AL90" s="19">
        <v>0</v>
      </c>
      <c r="AM90" s="26">
        <f>+IFERROR((BD_MR_RF[[#This Row],[Calibre &gt;16]]/BD_MR_RF[[#This Row],[Muestra]]),"0")</f>
        <v>0</v>
      </c>
      <c r="AN90" s="19">
        <v>0</v>
      </c>
      <c r="AO90" s="26">
        <f>+IFERROR((BD_MR_RF[[#This Row],[Calibre &lt;16]]/BD_MR_RF[[#This Row],[Muestra]]),"0")</f>
        <v>0</v>
      </c>
      <c r="AV90" s="28"/>
      <c r="AW90" s="29" t="s">
        <v>900</v>
      </c>
      <c r="AX90" s="19" t="s">
        <v>890</v>
      </c>
      <c r="AY90" s="19" t="s">
        <v>890</v>
      </c>
      <c r="AZ90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90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90" s="24">
        <f>1-BD_MR_RF[[#This Row],[% Defectos]]</f>
        <v>1</v>
      </c>
      <c r="BD90" s="31"/>
      <c r="BE90" s="19">
        <f>SUM(BD_MR_RF[[#This Row],[Palos (Un.) (≤18)]:[Larvas (Un.) (≤24)]])</f>
        <v>0</v>
      </c>
      <c r="BF90" s="19">
        <f>SUM(BD_MR_RF[[#This Row],[Vidrio (Un.) (0)]:[Plástico (Un.) (0)]])</f>
        <v>0</v>
      </c>
      <c r="BG90" s="19" t="str">
        <f>IF(ISBLANK(BD_MR_RF[[#This Row],[Descripción del Producto]]),"",BD_MR_RF[[#This Row],[Descripción del Producto]])</f>
        <v/>
      </c>
      <c r="BH90" s="19" t="str">
        <f>IF(ISBLANK(BD_MR_RF[[#This Row],[N° Lote]]),"",BD_MR_RF[[#This Row],[N° Lote]])</f>
        <v/>
      </c>
      <c r="BI90" s="19" t="str">
        <f>IF(ISBLANK(BD_MR_RF[[#This Row],[N° Pallet]]),"",BD_MR_RF[[#This Row],[N° Pallet]])</f>
        <v/>
      </c>
    </row>
    <row r="91" spans="2:61">
      <c r="B91" s="19">
        <f>_xlfn.ISOWEEKNUM(BD_MR_RF[[#This Row],[Fecha]])</f>
        <v>52</v>
      </c>
      <c r="E91" s="20"/>
      <c r="F91" s="18" t="str">
        <f>IFERROR("" &amp; _xlfn.XLOOKUP(BD_MR_RF[[#This Row],[Código]],BD_Cod!A:A,BD_Cod!B:B), "")</f>
        <v/>
      </c>
      <c r="G91" s="21" t="str">
        <f>IFERROR(" " &amp;_xlfn.XLOOKUP(BD_MR_RF[[#This Row],[Código]],BD_Cod!A:A,BD_Cod!H:H," ")," ")</f>
        <v xml:space="preserve"> </v>
      </c>
      <c r="J91" s="22">
        <v>1000</v>
      </c>
      <c r="L91" s="19" t="s">
        <v>244</v>
      </c>
      <c r="O91" s="19" t="s">
        <v>890</v>
      </c>
      <c r="P91" s="19" t="s">
        <v>890</v>
      </c>
      <c r="Q91" s="24">
        <f>1-BD_MR_RF[[#This Row],[% Defectos]]</f>
        <v>1</v>
      </c>
      <c r="R91" s="25">
        <v>0</v>
      </c>
      <c r="S91" s="26">
        <f>+IFERROR((BD_MR_RF[[#This Row],[Desviación de Color]]/BD_MR_RF[[#This Row],[Muestra]]),"0")</f>
        <v>0</v>
      </c>
      <c r="T91" s="25">
        <v>0</v>
      </c>
      <c r="U91" s="26">
        <f>+IFERROR((BD_MR_RF[[#This Row],[Sobremaduro]]/BD_MR_RF[[#This Row],[Muestra]]),"0")</f>
        <v>0</v>
      </c>
      <c r="V91" s="25">
        <v>0</v>
      </c>
      <c r="W91" s="26">
        <f>+IFERROR((BD_MR_RF[[#This Row],[Daño Mécanico]]/BD_MR_RF[[#This Row],[Muestra]]),"0")</f>
        <v>0</v>
      </c>
      <c r="X91" s="25">
        <v>0</v>
      </c>
      <c r="Y91" s="26">
        <f>+IFERROR((BD_MR_RF[[#This Row],[Daño Insecto]]/BD_MR_RF[[#This Row],[Muestra]]),"0")</f>
        <v>0</v>
      </c>
      <c r="Z91" s="25">
        <v>0</v>
      </c>
      <c r="AA91" s="26">
        <f>+IFERROR((BD_MR_RF[[#This Row],[Block]]/BD_MR_RF[[#This Row],[Muestra]]),"0")</f>
        <v>0</v>
      </c>
      <c r="AB91" s="25">
        <v>0</v>
      </c>
      <c r="AC91" s="26">
        <f>+IFERROR((BD_MR_RF[[#This Row],[Mohos]]/BD_MR_RF[[#This Row],[Muestra]]),"0")</f>
        <v>0</v>
      </c>
      <c r="AD91" s="25">
        <v>0</v>
      </c>
      <c r="AE91" s="27">
        <v>0</v>
      </c>
      <c r="AG91" s="25">
        <v>0</v>
      </c>
      <c r="AH91" s="26">
        <f>+IFERROR((BD_MR_RF[[#This Row],[Valor Extra 1]]/BD_MR_RF[[#This Row],[Muestra]]),"0")</f>
        <v>0</v>
      </c>
      <c r="AJ91" s="25">
        <v>0</v>
      </c>
      <c r="AK91" s="26">
        <f>+IFERROR((BD_MR_RF[[#This Row],[Valor Extra 2]]/BD_MR_RF[[#This Row],[Muestra]]),"0")</f>
        <v>0</v>
      </c>
      <c r="AL91" s="19">
        <v>0</v>
      </c>
      <c r="AM91" s="26">
        <f>+IFERROR((BD_MR_RF[[#This Row],[Calibre &gt;16]]/BD_MR_RF[[#This Row],[Muestra]]),"0")</f>
        <v>0</v>
      </c>
      <c r="AN91" s="19">
        <v>0</v>
      </c>
      <c r="AO91" s="26">
        <f>+IFERROR((BD_MR_RF[[#This Row],[Calibre &lt;16]]/BD_MR_RF[[#This Row],[Muestra]]),"0")</f>
        <v>0</v>
      </c>
      <c r="AV91" s="28"/>
      <c r="AW91" s="29" t="s">
        <v>900</v>
      </c>
      <c r="AX91" s="19" t="s">
        <v>890</v>
      </c>
      <c r="AY91" s="19" t="s">
        <v>890</v>
      </c>
      <c r="AZ91" s="30">
        <f>SUM(BD_MR_RF[[#This Row],[Desviación de Color]]+BD_MR_RF[[#This Row],[Sobremaduro]]+BD_MR_RF[[#This Row],[Daño Mécanico]]+BD_MR_RF[[#This Row],[Daño Insecto]]+BD_MR_RF[[#This Row],[Block]]+BD_MR_RF[[#This Row],[Mohos]])</f>
        <v>0</v>
      </c>
      <c r="BA91" s="26">
        <f>SUM(BD_MR_RF[[#This Row],[% Desv. Color (≤5%)]]+BD_MR_RF[[#This Row],[% Sobremaduro (≤6%)]]+BD_MR_RF[[#This Row],[% Daño Mécanico (≤6%)]]+BD_MR_RF[[#This Row],[% Daño Insc. (≤5%)]]+BD_MR_RF[[#This Row],[% Block (≤5%)]]+BD_MR_RF[[#This Row],[% Mohos (0%)]])</f>
        <v>0</v>
      </c>
      <c r="BC91" s="24">
        <f>1-BD_MR_RF[[#This Row],[% Defectos]]</f>
        <v>1</v>
      </c>
      <c r="BD91" s="31"/>
      <c r="BE91" s="19">
        <f>SUM(BD_MR_RF[[#This Row],[Palos (Un.) (≤18)]:[Larvas (Un.) (≤24)]])</f>
        <v>0</v>
      </c>
      <c r="BF91" s="19">
        <f>SUM(BD_MR_RF[[#This Row],[Vidrio (Un.) (0)]:[Plástico (Un.) (0)]])</f>
        <v>0</v>
      </c>
      <c r="BG91" s="19" t="str">
        <f>IF(ISBLANK(BD_MR_RF[[#This Row],[Descripción del Producto]]),"",BD_MR_RF[[#This Row],[Descripción del Producto]])</f>
        <v/>
      </c>
      <c r="BH91" s="19" t="str">
        <f>IF(ISBLANK(BD_MR_RF[[#This Row],[N° Lote]]),"",BD_MR_RF[[#This Row],[N° Lote]])</f>
        <v/>
      </c>
      <c r="BI91" s="19" t="str">
        <f>IF(ISBLANK(BD_MR_RF[[#This Row],[N° Pallet]]),"",BD_MR_RF[[#This Row],[N° Pallet]])</f>
        <v/>
      </c>
    </row>
  </sheetData>
  <phoneticPr fontId="3" type="noConversion"/>
  <conditionalFormatting sqref="F1">
    <cfRule type="containsText" dxfId="171" priority="14" operator="containsText" text="FB">
      <formula>NOT(ISERROR(SEARCH("FB",F1)))</formula>
    </cfRule>
    <cfRule type="containsText" dxfId="170" priority="15" operator="containsText" text="AR">
      <formula>NOT(ISERROR(SEARCH("AR",F1)))</formula>
    </cfRule>
  </conditionalFormatting>
  <conditionalFormatting sqref="G1">
    <cfRule type="containsText" dxfId="169" priority="13" operator="containsText" text="Retail">
      <formula>NOT(ISERROR(SEARCH("Retail",G1)))</formula>
    </cfRule>
  </conditionalFormatting>
  <conditionalFormatting sqref="S2:S1048576 W2:W1048576">
    <cfRule type="cellIs" dxfId="168" priority="11" operator="greaterThanOrEqual">
      <formula>0.06</formula>
    </cfRule>
  </conditionalFormatting>
  <conditionalFormatting sqref="U2:U1048576">
    <cfRule type="cellIs" dxfId="167" priority="10" operator="greaterThan">
      <formula>0.06</formula>
    </cfRule>
  </conditionalFormatting>
  <conditionalFormatting sqref="Y2:Y1048576">
    <cfRule type="cellIs" dxfId="166" priority="8" operator="greaterThanOrEqual">
      <formula>0.05</formula>
    </cfRule>
  </conditionalFormatting>
  <conditionalFormatting sqref="AA2:AA1048576">
    <cfRule type="cellIs" dxfId="165" priority="7" operator="greaterThan">
      <formula>0.05</formula>
    </cfRule>
  </conditionalFormatting>
  <conditionalFormatting sqref="AC2:AC1048576">
    <cfRule type="cellIs" dxfId="164" priority="6" operator="greaterThanOrEqual">
      <formula>0.01</formula>
    </cfRule>
  </conditionalFormatting>
  <conditionalFormatting sqref="AD2:AD1048576">
    <cfRule type="cellIs" dxfId="163" priority="5" operator="greaterThanOrEqual">
      <formula>2</formula>
    </cfRule>
  </conditionalFormatting>
  <conditionalFormatting sqref="AP2:AR1048576">
    <cfRule type="cellIs" dxfId="162" priority="4" operator="greaterThanOrEqual">
      <formula>18</formula>
    </cfRule>
  </conditionalFormatting>
  <conditionalFormatting sqref="AP1:AV1048576">
    <cfRule type="containsText" dxfId="161" priority="1" operator="containsText" text="S/A">
      <formula>NOT(ISERROR(SEARCH("S/A",AP1)))</formula>
    </cfRule>
  </conditionalFormatting>
  <conditionalFormatting sqref="AS2:AS1048576">
    <cfRule type="cellIs" dxfId="160" priority="3" operator="greaterThanOrEqual">
      <formula>24</formula>
    </cfRule>
  </conditionalFormatting>
  <conditionalFormatting sqref="AT2:AV1048576">
    <cfRule type="cellIs" dxfId="159" priority="2" operator="greaterThanOrEqual">
      <formula>1</formula>
    </cfRule>
  </conditionalFormatting>
  <conditionalFormatting sqref="AW2:AW1048576">
    <cfRule type="cellIs" dxfId="158" priority="12" operator="lessThan">
      <formula>8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934D-D41E-455A-A9AB-0AD22453B7D9}">
  <dimension ref="A1:BI60"/>
  <sheetViews>
    <sheetView tabSelected="1" zoomScale="75" zoomScaleNormal="75" workbookViewId="0">
      <pane ySplit="1" topLeftCell="A2" activePane="bottomLeft" state="frozen"/>
      <selection pane="bottomLeft" activeCell="A13" sqref="A13"/>
    </sheetView>
  </sheetViews>
  <sheetFormatPr defaultColWidth="11.5703125" defaultRowHeight="15.6"/>
  <cols>
    <col min="1" max="1" width="12.85546875" style="19" bestFit="1" customWidth="1"/>
    <col min="2" max="2" width="12.140625" style="19" bestFit="1" customWidth="1"/>
    <col min="3" max="3" width="10.42578125" style="19" bestFit="1" customWidth="1"/>
    <col min="4" max="4" width="8.42578125" style="19" bestFit="1" customWidth="1"/>
    <col min="5" max="5" width="13" style="19" bestFit="1" customWidth="1"/>
    <col min="6" max="6" width="38" style="18" bestFit="1" customWidth="1"/>
    <col min="7" max="7" width="19.85546875" style="19" bestFit="1" customWidth="1"/>
    <col min="8" max="8" width="13" style="19" bestFit="1" customWidth="1"/>
    <col min="9" max="9" width="11.85546875" style="19" bestFit="1" customWidth="1"/>
    <col min="10" max="10" width="12.5703125" style="19" bestFit="1" customWidth="1"/>
    <col min="11" max="11" width="20.5703125" style="19" bestFit="1" customWidth="1"/>
    <col min="12" max="12" width="15.85546875" style="19" bestFit="1" customWidth="1"/>
    <col min="13" max="13" width="19.140625" style="22" bestFit="1" customWidth="1"/>
    <col min="14" max="14" width="13.140625" style="23" bestFit="1" customWidth="1"/>
    <col min="15" max="15" width="18.42578125" style="19" bestFit="1" customWidth="1"/>
    <col min="16" max="16" width="17" style="19" bestFit="1" customWidth="1"/>
    <col min="17" max="17" width="13.42578125" style="19" bestFit="1" customWidth="1"/>
    <col min="18" max="18" width="25.5703125" style="25" bestFit="1" customWidth="1"/>
    <col min="19" max="19" width="25.5703125" style="19" bestFit="1" customWidth="1"/>
    <col min="20" max="20" width="18.140625" style="25" bestFit="1" customWidth="1"/>
    <col min="21" max="21" width="27.42578125" style="19" bestFit="1" customWidth="1"/>
    <col min="22" max="22" width="20.140625" style="25" bestFit="1" customWidth="1"/>
    <col min="23" max="23" width="29.42578125" style="19" bestFit="1" customWidth="1"/>
    <col min="24" max="24" width="17.85546875" style="25" bestFit="1" customWidth="1"/>
    <col min="25" max="25" width="24" style="19" bestFit="1" customWidth="1"/>
    <col min="26" max="26" width="9.85546875" style="25" bestFit="1" customWidth="1"/>
    <col min="27" max="27" width="18.85546875" style="19" bestFit="1" customWidth="1"/>
    <col min="28" max="28" width="11.140625" style="25" bestFit="1" customWidth="1"/>
    <col min="29" max="29" width="18.85546875" style="19" bestFit="1" customWidth="1"/>
    <col min="30" max="30" width="20.5703125" style="25" bestFit="1" customWidth="1"/>
    <col min="31" max="31" width="18" style="25" bestFit="1" customWidth="1"/>
    <col min="32" max="32" width="24.42578125" style="25" bestFit="1" customWidth="1"/>
    <col min="33" max="33" width="17.140625" style="25" bestFit="1" customWidth="1"/>
    <col min="34" max="34" width="13.85546875" style="32" bestFit="1" customWidth="1"/>
    <col min="35" max="35" width="24.5703125" style="25" bestFit="1" customWidth="1"/>
    <col min="36" max="36" width="17.140625" style="25" bestFit="1" customWidth="1"/>
    <col min="37" max="37" width="13.85546875" style="25" bestFit="1" customWidth="1"/>
    <col min="38" max="38" width="15.85546875" style="19" bestFit="1" customWidth="1"/>
    <col min="39" max="39" width="10.140625" style="19" bestFit="1" customWidth="1"/>
    <col min="40" max="40" width="15.85546875" style="19" bestFit="1" customWidth="1"/>
    <col min="41" max="41" width="10.140625" style="19" bestFit="1" customWidth="1"/>
    <col min="42" max="42" width="21.140625" style="25" bestFit="1" customWidth="1"/>
    <col min="43" max="43" width="20.5703125" style="25" bestFit="1" customWidth="1"/>
    <col min="44" max="44" width="21.42578125" style="25" bestFit="1" customWidth="1"/>
    <col min="45" max="45" width="22.42578125" style="25" bestFit="1" customWidth="1"/>
    <col min="46" max="46" width="18.85546875" style="25" bestFit="1" customWidth="1"/>
    <col min="47" max="47" width="20.85546875" style="25" bestFit="1" customWidth="1"/>
    <col min="48" max="48" width="21.42578125" style="25" bestFit="1" customWidth="1"/>
    <col min="49" max="49" width="14.42578125" style="25" bestFit="1" customWidth="1"/>
    <col min="50" max="50" width="10.140625" style="19" bestFit="1" customWidth="1"/>
    <col min="51" max="51" width="8.5703125" style="19" bestFit="1" customWidth="1"/>
    <col min="52" max="52" width="20" style="33" bestFit="1" customWidth="1"/>
    <col min="53" max="53" width="16" style="19" bestFit="1" customWidth="1"/>
    <col min="54" max="54" width="53.5703125" style="18" bestFit="1" customWidth="1"/>
    <col min="55" max="55" width="10.140625" style="34" bestFit="1" customWidth="1"/>
    <col min="56" max="56" width="27.5703125" style="35" bestFit="1" customWidth="1"/>
    <col min="57" max="57" width="20.5703125" style="19" bestFit="1" customWidth="1"/>
    <col min="58" max="58" width="19.140625" style="19" bestFit="1" customWidth="1"/>
    <col min="59" max="59" width="38" style="19" bestFit="1" customWidth="1"/>
    <col min="60" max="60" width="14.85546875" style="19" bestFit="1" customWidth="1"/>
    <col min="61" max="61" width="16" style="19" bestFit="1" customWidth="1"/>
    <col min="62" max="16384" width="11.5703125" style="19"/>
  </cols>
  <sheetData>
    <row r="1" spans="1:61" s="18" customFormat="1">
      <c r="A1" s="1" t="s">
        <v>830</v>
      </c>
      <c r="B1" s="1" t="s">
        <v>831</v>
      </c>
      <c r="C1" s="1" t="s">
        <v>832</v>
      </c>
      <c r="D1" s="1" t="s">
        <v>833</v>
      </c>
      <c r="E1" s="1" t="s">
        <v>834</v>
      </c>
      <c r="F1" s="1" t="s">
        <v>835</v>
      </c>
      <c r="G1" s="1" t="s">
        <v>7</v>
      </c>
      <c r="H1" s="1" t="s">
        <v>836</v>
      </c>
      <c r="I1" s="1" t="s">
        <v>837</v>
      </c>
      <c r="J1" s="1" t="s">
        <v>838</v>
      </c>
      <c r="K1" s="1" t="s">
        <v>839</v>
      </c>
      <c r="L1" s="1" t="s">
        <v>840</v>
      </c>
      <c r="M1" s="2" t="s">
        <v>841</v>
      </c>
      <c r="N1" s="3" t="s">
        <v>842</v>
      </c>
      <c r="O1" s="1" t="s">
        <v>843</v>
      </c>
      <c r="P1" s="1" t="s">
        <v>844</v>
      </c>
      <c r="Q1" s="4" t="s">
        <v>845</v>
      </c>
      <c r="R1" s="5" t="s">
        <v>846</v>
      </c>
      <c r="S1" s="1" t="s">
        <v>847</v>
      </c>
      <c r="T1" s="5" t="s">
        <v>848</v>
      </c>
      <c r="U1" s="1" t="s">
        <v>849</v>
      </c>
      <c r="V1" s="5" t="s">
        <v>850</v>
      </c>
      <c r="W1" s="1" t="s">
        <v>851</v>
      </c>
      <c r="X1" s="5" t="s">
        <v>852</v>
      </c>
      <c r="Y1" s="1" t="s">
        <v>853</v>
      </c>
      <c r="Z1" s="5" t="s">
        <v>122</v>
      </c>
      <c r="AA1" s="1" t="s">
        <v>854</v>
      </c>
      <c r="AB1" s="5" t="s">
        <v>855</v>
      </c>
      <c r="AC1" s="1" t="s">
        <v>856</v>
      </c>
      <c r="AD1" s="6" t="s">
        <v>857</v>
      </c>
      <c r="AE1" s="6" t="s">
        <v>858</v>
      </c>
      <c r="AF1" s="5" t="s">
        <v>859</v>
      </c>
      <c r="AG1" s="5" t="s">
        <v>860</v>
      </c>
      <c r="AH1" s="4" t="s">
        <v>861</v>
      </c>
      <c r="AI1" s="5" t="s">
        <v>862</v>
      </c>
      <c r="AJ1" s="5" t="s">
        <v>863</v>
      </c>
      <c r="AK1" s="5" t="s">
        <v>864</v>
      </c>
      <c r="AL1" s="1" t="s">
        <v>865</v>
      </c>
      <c r="AM1" s="7" t="s">
        <v>866</v>
      </c>
      <c r="AN1" s="1" t="s">
        <v>867</v>
      </c>
      <c r="AO1" s="4" t="s">
        <v>868</v>
      </c>
      <c r="AP1" s="6" t="s">
        <v>869</v>
      </c>
      <c r="AQ1" s="6" t="s">
        <v>870</v>
      </c>
      <c r="AR1" s="6" t="s">
        <v>871</v>
      </c>
      <c r="AS1" s="6" t="s">
        <v>872</v>
      </c>
      <c r="AT1" s="6" t="s">
        <v>873</v>
      </c>
      <c r="AU1" s="6" t="s">
        <v>874</v>
      </c>
      <c r="AV1" s="6" t="s">
        <v>875</v>
      </c>
      <c r="AW1" s="5" t="s">
        <v>876</v>
      </c>
      <c r="AX1" s="1" t="s">
        <v>877</v>
      </c>
      <c r="AY1" s="1" t="s">
        <v>878</v>
      </c>
      <c r="AZ1" s="9" t="s">
        <v>879</v>
      </c>
      <c r="BA1" s="1" t="s">
        <v>880</v>
      </c>
      <c r="BB1" s="1" t="s">
        <v>881</v>
      </c>
      <c r="BC1" s="1" t="s">
        <v>882</v>
      </c>
      <c r="BD1" s="1" t="s">
        <v>883</v>
      </c>
      <c r="BE1" s="1" t="s">
        <v>884</v>
      </c>
      <c r="BF1" s="1" t="s">
        <v>885</v>
      </c>
      <c r="BG1" s="1" t="s">
        <v>886</v>
      </c>
      <c r="BH1" s="1" t="s">
        <v>887</v>
      </c>
      <c r="BI1" s="1" t="s">
        <v>888</v>
      </c>
    </row>
    <row r="2" spans="1:61">
      <c r="A2" s="36">
        <v>46072</v>
      </c>
      <c r="B2" s="19">
        <f>_xlfn.ISOWEEKNUM(BD_MR_FF[[#This Row],[Fecha]])</f>
        <v>8</v>
      </c>
      <c r="C2" s="19">
        <v>2</v>
      </c>
      <c r="D2" s="19">
        <v>1</v>
      </c>
      <c r="E2" s="20">
        <v>404221000</v>
      </c>
      <c r="F2" s="18" t="str">
        <f>IFERROR("" &amp; _xlfn.XLOOKUP(BD_MR_FF[[#This Row],[Código]],BD_Cod!A:A,BD_Cod!B:B), "")</f>
        <v>MO S/V Org. IQF A 13,61 kg en caja</v>
      </c>
      <c r="G2" s="21" t="str">
        <f>IFERROR(" " &amp;_xlfn.XLOOKUP(BD_MR_FF[[#This Row],[Código]],BD_Cod!A:A,BD_Cod!H:H," ")," ")</f>
        <v xml:space="preserve"> PTT</v>
      </c>
      <c r="H2" s="19">
        <v>37472</v>
      </c>
      <c r="I2" s="19">
        <v>11681</v>
      </c>
      <c r="J2" s="22">
        <v>1000</v>
      </c>
      <c r="K2" s="37">
        <v>0.70833333333333337</v>
      </c>
      <c r="L2" s="19" t="s">
        <v>244</v>
      </c>
      <c r="M2" s="22">
        <v>14163</v>
      </c>
      <c r="N2" s="23">
        <v>-14.2</v>
      </c>
      <c r="O2" s="19" t="s">
        <v>890</v>
      </c>
      <c r="P2" s="19" t="s">
        <v>890</v>
      </c>
      <c r="Q2" s="24">
        <f>1-BD_MR_FF[[#This Row],[% Defectos]]</f>
        <v>0.91300000000000003</v>
      </c>
      <c r="R2" s="25">
        <v>86</v>
      </c>
      <c r="S2" s="26">
        <f>+IFERROR((BD_MR_FF[[#This Row],[Desviación de Color]]/BD_MR_FF[[#This Row],[Muestra]]),"0")</f>
        <v>8.5999999999999993E-2</v>
      </c>
      <c r="T2" s="25">
        <v>1</v>
      </c>
      <c r="U2" s="26">
        <f>+IFERROR((BD_MR_FF[[#This Row],[Sobremaduro]]/BD_MR_FF[[#This Row],[Muestra]]),"0")</f>
        <v>1E-3</v>
      </c>
      <c r="V2" s="25">
        <v>0</v>
      </c>
      <c r="W2" s="26">
        <f>+IFERROR((BD_MR_FF[[#This Row],[Daño Mécanico]]/BD_MR_FF[[#This Row],[Muestra]]),"0")</f>
        <v>0</v>
      </c>
      <c r="X2" s="25">
        <v>0</v>
      </c>
      <c r="Y2" s="26">
        <f>+IFERROR((BD_MR_FF[[#This Row],[Daño Insecto]]/BD_MR_FF[[#This Row],[Muestra]]),"0")</f>
        <v>0</v>
      </c>
      <c r="Z2" s="25">
        <v>0</v>
      </c>
      <c r="AA2" s="26">
        <f>+IFERROR((BD_MR_FF[[#This Row],[Block]]/BD_MR_FF[[#This Row],[Muestra]]),"0")</f>
        <v>0</v>
      </c>
      <c r="AB2" s="25">
        <v>0</v>
      </c>
      <c r="AC2" s="26">
        <f>+IFERROR((BD_MR_FF[[#This Row],[Mohos]]/BD_MR_FF[[#This Row],[Muestra]]),"0")</f>
        <v>0</v>
      </c>
      <c r="AD2" s="25">
        <v>0</v>
      </c>
      <c r="AE2" s="27">
        <v>0</v>
      </c>
      <c r="AG2" s="25">
        <v>0</v>
      </c>
      <c r="AH2" s="26">
        <f>+IFERROR((BD_MR_FF[[#This Row],[Valor Extra 1]]/BD_MR_FF[[#This Row],[Muestra]]),"0")</f>
        <v>0</v>
      </c>
      <c r="AJ2" s="25">
        <v>0</v>
      </c>
      <c r="AK2" s="26">
        <f>+IFERROR((BD_MR_FF[[#This Row],[Valor Extra 2]]/BD_MR_FF[[#This Row],[Muestra]]),"0")</f>
        <v>0</v>
      </c>
      <c r="AL2" s="19">
        <v>0</v>
      </c>
      <c r="AM2" s="26">
        <f>+IFERROR((BD_MR_FF[[#This Row],[Calibre &gt;16]]/BD_MR_FF[[#This Row],[Muestra]]),"0")</f>
        <v>0</v>
      </c>
      <c r="AN2" s="19">
        <v>0</v>
      </c>
      <c r="AO2" s="26">
        <f>+IFERROR((BD_MR_FF[[#This Row],[Calibre &lt;16]]/BD_MR_FF[[#This Row],[Muestra]]),"0")</f>
        <v>0</v>
      </c>
      <c r="AP2" s="25" t="s">
        <v>892</v>
      </c>
      <c r="AQ2" s="25" t="s">
        <v>892</v>
      </c>
      <c r="AR2" s="25" t="s">
        <v>892</v>
      </c>
      <c r="AS2" s="25" t="s">
        <v>892</v>
      </c>
      <c r="AT2" s="25" t="s">
        <v>892</v>
      </c>
      <c r="AU2" s="25" t="s">
        <v>892</v>
      </c>
      <c r="AV2" s="27" t="s">
        <v>892</v>
      </c>
      <c r="AW2" s="29">
        <v>9.4</v>
      </c>
      <c r="AX2" s="19" t="s">
        <v>890</v>
      </c>
      <c r="AY2" s="19" t="s">
        <v>890</v>
      </c>
      <c r="AZ2" s="30">
        <f>SUM(BD_MR_FF[[#This Row],[Desviación de Color]]+BD_MR_FF[[#This Row],[Sobremaduro]]+BD_MR_FF[[#This Row],[Daño Mécanico]]+BD_MR_FF[[#This Row],[Daño Insecto]]+BD_MR_FF[[#This Row],[Block]]+BD_MR_FF[[#This Row],[Mohos]])</f>
        <v>87</v>
      </c>
      <c r="BA2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8.6999999999999994E-2</v>
      </c>
      <c r="BB2" s="18" t="s">
        <v>903</v>
      </c>
      <c r="BC2" s="24">
        <f>1-BD_MR_FF[[#This Row],[% Defectos]]</f>
        <v>0.91300000000000003</v>
      </c>
      <c r="BD2" s="31" t="s">
        <v>904</v>
      </c>
      <c r="BE2" s="19">
        <f>SUM(BD_MR_FF[[#This Row],[Palos (Un.) (≤18)]:[Larvas (Un.) (≤24)]])</f>
        <v>0</v>
      </c>
      <c r="BF2" s="19">
        <f>SUM(BD_MR_FF[[#This Row],[Vidrio (Un.) (0)]:[Plástico (Un.) (0)]])</f>
        <v>0</v>
      </c>
      <c r="BG2" s="19" t="str">
        <f>IF(ISBLANK(BD_MR_FF[[#This Row],[Descripción del Producto]]),"",BD_MR_FF[[#This Row],[Descripción del Producto]])</f>
        <v>MO S/V Org. IQF A 13,61 kg en caja</v>
      </c>
      <c r="BH2" s="19">
        <f>IF(ISBLANK(BD_MR_FF[[#This Row],[N° Lote]]),"",BD_MR_FF[[#This Row],[N° Lote]])</f>
        <v>11681</v>
      </c>
      <c r="BI2" s="19">
        <f>IF(ISBLANK(BD_MR_FF[[#This Row],[N° Pallet]]),"",BD_MR_FF[[#This Row],[N° Pallet]])</f>
        <v>37472</v>
      </c>
    </row>
    <row r="3" spans="1:61">
      <c r="A3" s="36">
        <v>46072</v>
      </c>
      <c r="B3" s="19">
        <f>_xlfn.ISOWEEKNUM(BD_MR_FF[[#This Row],[Fecha]])</f>
        <v>8</v>
      </c>
      <c r="C3" s="19">
        <v>2</v>
      </c>
      <c r="D3" s="19">
        <v>1</v>
      </c>
      <c r="E3" s="20">
        <v>404221000</v>
      </c>
      <c r="F3" s="18" t="str">
        <f>IFERROR("" &amp; _xlfn.XLOOKUP(BD_MR_FF[[#This Row],[Código]],BD_Cod!A:A,BD_Cod!B:B), "")</f>
        <v>MO S/V Org. IQF A 13,61 kg en caja</v>
      </c>
      <c r="G3" s="21" t="str">
        <f>IFERROR(" " &amp;_xlfn.XLOOKUP(BD_MR_FF[[#This Row],[Código]],BD_Cod!A:A,BD_Cod!H:H," ")," ")</f>
        <v xml:space="preserve"> PTT</v>
      </c>
      <c r="H3" s="19">
        <v>37473</v>
      </c>
      <c r="I3" s="19">
        <v>11681</v>
      </c>
      <c r="J3" s="22">
        <v>1000</v>
      </c>
      <c r="K3" s="37">
        <v>0.76041666666666663</v>
      </c>
      <c r="L3" s="19" t="s">
        <v>244</v>
      </c>
      <c r="M3" s="22">
        <v>14162</v>
      </c>
      <c r="N3" s="23">
        <v>-13.1</v>
      </c>
      <c r="O3" s="19" t="s">
        <v>890</v>
      </c>
      <c r="P3" s="19" t="s">
        <v>890</v>
      </c>
      <c r="Q3" s="24">
        <f>1-BD_MR_FF[[#This Row],[% Defectos]]</f>
        <v>0.88400000000000001</v>
      </c>
      <c r="R3" s="25">
        <v>91</v>
      </c>
      <c r="S3" s="26">
        <f>+IFERROR((BD_MR_FF[[#This Row],[Desviación de Color]]/BD_MR_FF[[#This Row],[Muestra]]),"0")</f>
        <v>9.0999999999999998E-2</v>
      </c>
      <c r="T3" s="25">
        <v>0</v>
      </c>
      <c r="U3" s="26">
        <f>+IFERROR((BD_MR_FF[[#This Row],[Sobremaduro]]/BD_MR_FF[[#This Row],[Muestra]]),"0")</f>
        <v>0</v>
      </c>
      <c r="V3" s="25">
        <v>24</v>
      </c>
      <c r="W3" s="26">
        <f>+IFERROR((BD_MR_FF[[#This Row],[Daño Mécanico]]/BD_MR_FF[[#This Row],[Muestra]]),"0")</f>
        <v>2.4E-2</v>
      </c>
      <c r="X3" s="25">
        <v>1</v>
      </c>
      <c r="Y3" s="26">
        <f>+IFERROR((BD_MR_FF[[#This Row],[Daño Insecto]]/BD_MR_FF[[#This Row],[Muestra]]),"0")</f>
        <v>1E-3</v>
      </c>
      <c r="Z3" s="25">
        <v>0</v>
      </c>
      <c r="AA3" s="26">
        <f>+IFERROR((BD_MR_FF[[#This Row],[Block]]/BD_MR_FF[[#This Row],[Muestra]]),"0")</f>
        <v>0</v>
      </c>
      <c r="AB3" s="25">
        <v>0</v>
      </c>
      <c r="AC3" s="26">
        <f>+IFERROR((BD_MR_FF[[#This Row],[Mohos]]/BD_MR_FF[[#This Row],[Muestra]]),"0")</f>
        <v>0</v>
      </c>
      <c r="AD3" s="25">
        <v>0</v>
      </c>
      <c r="AE3" s="27">
        <v>0</v>
      </c>
      <c r="AG3" s="25">
        <v>0</v>
      </c>
      <c r="AH3" s="26">
        <f>+IFERROR((BD_MR_FF[[#This Row],[Valor Extra 1]]/BD_MR_FF[[#This Row],[Muestra]]),"0")</f>
        <v>0</v>
      </c>
      <c r="AJ3" s="25">
        <v>0</v>
      </c>
      <c r="AK3" s="26">
        <f>+IFERROR((BD_MR_FF[[#This Row],[Valor Extra 2]]/BD_MR_FF[[#This Row],[Muestra]]),"0")</f>
        <v>0</v>
      </c>
      <c r="AL3" s="19">
        <v>0</v>
      </c>
      <c r="AM3" s="26">
        <f>+IFERROR((BD_MR_FF[[#This Row],[Calibre &gt;16]]/BD_MR_FF[[#This Row],[Muestra]]),"0")</f>
        <v>0</v>
      </c>
      <c r="AN3" s="19">
        <v>0</v>
      </c>
      <c r="AO3" s="26">
        <f>+IFERROR((BD_MR_FF[[#This Row],[Calibre &lt;16]]/BD_MR_FF[[#This Row],[Muestra]]),"0")</f>
        <v>0</v>
      </c>
      <c r="AP3" s="25" t="s">
        <v>892</v>
      </c>
      <c r="AQ3" s="25" t="s">
        <v>892</v>
      </c>
      <c r="AR3" s="25" t="s">
        <v>892</v>
      </c>
      <c r="AS3" s="25" t="s">
        <v>892</v>
      </c>
      <c r="AT3" s="25" t="s">
        <v>892</v>
      </c>
      <c r="AU3" s="25" t="s">
        <v>892</v>
      </c>
      <c r="AV3" s="27" t="s">
        <v>892</v>
      </c>
      <c r="AW3" s="29">
        <v>9.6</v>
      </c>
      <c r="AX3" s="19" t="s">
        <v>890</v>
      </c>
      <c r="AY3" s="19" t="s">
        <v>890</v>
      </c>
      <c r="AZ3" s="30">
        <f>SUM(BD_MR_FF[[#This Row],[Desviación de Color]]+BD_MR_FF[[#This Row],[Sobremaduro]]+BD_MR_FF[[#This Row],[Daño Mécanico]]+BD_MR_FF[[#This Row],[Daño Insecto]]+BD_MR_FF[[#This Row],[Block]]+BD_MR_FF[[#This Row],[Mohos]])</f>
        <v>116</v>
      </c>
      <c r="BA3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0.11599999999999999</v>
      </c>
      <c r="BB3" s="18" t="s">
        <v>905</v>
      </c>
      <c r="BC3" s="24">
        <f>1-BD_MR_FF[[#This Row],[% Defectos]]</f>
        <v>0.88400000000000001</v>
      </c>
      <c r="BD3" s="31" t="s">
        <v>904</v>
      </c>
      <c r="BE3" s="19">
        <f>SUM(BD_MR_FF[[#This Row],[Palos (Un.) (≤18)]:[Larvas (Un.) (≤24)]])</f>
        <v>0</v>
      </c>
      <c r="BF3" s="19">
        <f>SUM(BD_MR_FF[[#This Row],[Vidrio (Un.) (0)]:[Plástico (Un.) (0)]])</f>
        <v>0</v>
      </c>
      <c r="BG3" s="19" t="str">
        <f>IF(ISBLANK(BD_MR_FF[[#This Row],[Descripción del Producto]]),"",BD_MR_FF[[#This Row],[Descripción del Producto]])</f>
        <v>MO S/V Org. IQF A 13,61 kg en caja</v>
      </c>
      <c r="BH3" s="19">
        <f>IF(ISBLANK(BD_MR_FF[[#This Row],[N° Lote]]),"",BD_MR_FF[[#This Row],[N° Lote]])</f>
        <v>11681</v>
      </c>
      <c r="BI3" s="19">
        <f>IF(ISBLANK(BD_MR_FF[[#This Row],[N° Pallet]]),"",BD_MR_FF[[#This Row],[N° Pallet]])</f>
        <v>37473</v>
      </c>
    </row>
    <row r="4" spans="1:61">
      <c r="A4" s="36">
        <v>46072</v>
      </c>
      <c r="B4" s="19">
        <f>_xlfn.ISOWEEKNUM(BD_MR_FF[[#This Row],[Fecha]])</f>
        <v>8</v>
      </c>
      <c r="C4" s="19">
        <v>2</v>
      </c>
      <c r="D4" s="19">
        <v>1</v>
      </c>
      <c r="E4" s="20">
        <v>404221000</v>
      </c>
      <c r="F4" s="18" t="str">
        <f>IFERROR("" &amp; _xlfn.XLOOKUP(BD_MR_FF[[#This Row],[Código]],BD_Cod!A:A,BD_Cod!B:B), "")</f>
        <v>MO S/V Org. IQF A 13,61 kg en caja</v>
      </c>
      <c r="G4" s="21" t="str">
        <f>IFERROR(" " &amp;_xlfn.XLOOKUP(BD_MR_FF[[#This Row],[Código]],BD_Cod!A:A,BD_Cod!H:H," ")," ")</f>
        <v xml:space="preserve"> PTT</v>
      </c>
      <c r="H4" s="19">
        <v>37473</v>
      </c>
      <c r="I4" s="19">
        <v>11681</v>
      </c>
      <c r="J4" s="22">
        <v>1000</v>
      </c>
      <c r="K4" s="37">
        <v>0.79166666666666663</v>
      </c>
      <c r="L4" s="19" t="s">
        <v>244</v>
      </c>
      <c r="M4" s="22">
        <v>14160</v>
      </c>
      <c r="N4" s="23">
        <v>-12.1</v>
      </c>
      <c r="O4" s="19" t="s">
        <v>890</v>
      </c>
      <c r="P4" s="19" t="s">
        <v>890</v>
      </c>
      <c r="Q4" s="24">
        <f>1-BD_MR_FF[[#This Row],[% Defectos]]</f>
        <v>0.91900000000000004</v>
      </c>
      <c r="R4" s="25">
        <v>72</v>
      </c>
      <c r="S4" s="26">
        <f>+IFERROR((BD_MR_FF[[#This Row],[Desviación de Color]]/BD_MR_FF[[#This Row],[Muestra]]),"0")</f>
        <v>7.1999999999999995E-2</v>
      </c>
      <c r="T4" s="25">
        <v>5</v>
      </c>
      <c r="U4" s="26">
        <f>+IFERROR((BD_MR_FF[[#This Row],[Sobremaduro]]/BD_MR_FF[[#This Row],[Muestra]]),"0")</f>
        <v>5.0000000000000001E-3</v>
      </c>
      <c r="V4" s="25">
        <v>4</v>
      </c>
      <c r="W4" s="26">
        <f>+IFERROR((BD_MR_FF[[#This Row],[Daño Mécanico]]/BD_MR_FF[[#This Row],[Muestra]]),"0")</f>
        <v>4.0000000000000001E-3</v>
      </c>
      <c r="X4" s="25">
        <v>0</v>
      </c>
      <c r="Y4" s="26">
        <f>+IFERROR((BD_MR_FF[[#This Row],[Daño Insecto]]/BD_MR_FF[[#This Row],[Muestra]]),"0")</f>
        <v>0</v>
      </c>
      <c r="Z4" s="25">
        <v>0</v>
      </c>
      <c r="AA4" s="26">
        <f>+IFERROR((BD_MR_FF[[#This Row],[Block]]/BD_MR_FF[[#This Row],[Muestra]]),"0")</f>
        <v>0</v>
      </c>
      <c r="AB4" s="25">
        <v>0</v>
      </c>
      <c r="AC4" s="26">
        <f>+IFERROR((BD_MR_FF[[#This Row],[Mohos]]/BD_MR_FF[[#This Row],[Muestra]]),"0")</f>
        <v>0</v>
      </c>
      <c r="AD4" s="25">
        <v>0</v>
      </c>
      <c r="AE4" s="27">
        <v>0</v>
      </c>
      <c r="AG4" s="25">
        <v>0</v>
      </c>
      <c r="AH4" s="26">
        <f>+IFERROR((BD_MR_FF[[#This Row],[Valor Extra 1]]/BD_MR_FF[[#This Row],[Muestra]]),"0")</f>
        <v>0</v>
      </c>
      <c r="AJ4" s="25">
        <v>0</v>
      </c>
      <c r="AK4" s="26">
        <f>+IFERROR((BD_MR_FF[[#This Row],[Valor Extra 2]]/BD_MR_FF[[#This Row],[Muestra]]),"0")</f>
        <v>0</v>
      </c>
      <c r="AL4" s="19">
        <v>0</v>
      </c>
      <c r="AM4" s="26">
        <f>+IFERROR((BD_MR_FF[[#This Row],[Calibre &gt;16]]/BD_MR_FF[[#This Row],[Muestra]]),"0")</f>
        <v>0</v>
      </c>
      <c r="AN4" s="19">
        <v>0</v>
      </c>
      <c r="AO4" s="26">
        <f>+IFERROR((BD_MR_FF[[#This Row],[Calibre &lt;16]]/BD_MR_FF[[#This Row],[Muestra]]),"0")</f>
        <v>0</v>
      </c>
      <c r="AP4" s="25" t="s">
        <v>892</v>
      </c>
      <c r="AQ4" s="25" t="s">
        <v>892</v>
      </c>
      <c r="AR4" s="25" t="s">
        <v>892</v>
      </c>
      <c r="AS4" s="25" t="s">
        <v>892</v>
      </c>
      <c r="AT4" s="25" t="s">
        <v>892</v>
      </c>
      <c r="AU4" s="25" t="s">
        <v>892</v>
      </c>
      <c r="AV4" s="27" t="s">
        <v>892</v>
      </c>
      <c r="AW4" s="29">
        <v>9.6999999999999993</v>
      </c>
      <c r="AX4" s="19" t="s">
        <v>890</v>
      </c>
      <c r="AY4" s="19" t="s">
        <v>890</v>
      </c>
      <c r="AZ4" s="30">
        <f>SUM(BD_MR_FF[[#This Row],[Desviación de Color]]+BD_MR_FF[[#This Row],[Sobremaduro]]+BD_MR_FF[[#This Row],[Daño Mécanico]]+BD_MR_FF[[#This Row],[Daño Insecto]]+BD_MR_FF[[#This Row],[Block]]+BD_MR_FF[[#This Row],[Mohos]])</f>
        <v>81</v>
      </c>
      <c r="BA4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8.1000000000000003E-2</v>
      </c>
      <c r="BB4" s="18" t="s">
        <v>893</v>
      </c>
      <c r="BC4" s="24">
        <f>1-BD_MR_FF[[#This Row],[% Defectos]]</f>
        <v>0.91900000000000004</v>
      </c>
      <c r="BD4" s="31" t="s">
        <v>904</v>
      </c>
      <c r="BE4" s="19">
        <f>SUM(BD_MR_FF[[#This Row],[Palos (Un.) (≤18)]:[Larvas (Un.) (≤24)]])</f>
        <v>0</v>
      </c>
      <c r="BF4" s="19">
        <f>SUM(BD_MR_FF[[#This Row],[Vidrio (Un.) (0)]:[Plástico (Un.) (0)]])</f>
        <v>0</v>
      </c>
      <c r="BG4" s="19" t="str">
        <f>IF(ISBLANK(BD_MR_FF[[#This Row],[Descripción del Producto]]),"",BD_MR_FF[[#This Row],[Descripción del Producto]])</f>
        <v>MO S/V Org. IQF A 13,61 kg en caja</v>
      </c>
      <c r="BH4" s="19">
        <f>IF(ISBLANK(BD_MR_FF[[#This Row],[N° Lote]]),"",BD_MR_FF[[#This Row],[N° Lote]])</f>
        <v>11681</v>
      </c>
      <c r="BI4" s="19">
        <f>IF(ISBLANK(BD_MR_FF[[#This Row],[N° Pallet]]),"",BD_MR_FF[[#This Row],[N° Pallet]])</f>
        <v>37473</v>
      </c>
    </row>
    <row r="5" spans="1:61">
      <c r="A5" s="36">
        <v>46072</v>
      </c>
      <c r="B5" s="19">
        <f>_xlfn.ISOWEEKNUM(BD_MR_FF[[#This Row],[Fecha]])</f>
        <v>8</v>
      </c>
      <c r="C5" s="19">
        <v>2</v>
      </c>
      <c r="D5" s="19">
        <v>1</v>
      </c>
      <c r="E5" s="20">
        <v>404221000</v>
      </c>
      <c r="F5" s="18" t="str">
        <f>IFERROR("" &amp; _xlfn.XLOOKUP(BD_MR_FF[[#This Row],[Código]],BD_Cod!A:A,BD_Cod!B:B), "")</f>
        <v>MO S/V Org. IQF A 13,61 kg en caja</v>
      </c>
      <c r="G5" s="21" t="str">
        <f>IFERROR(" " &amp;_xlfn.XLOOKUP(BD_MR_FF[[#This Row],[Código]],BD_Cod!A:A,BD_Cod!H:H," ")," ")</f>
        <v xml:space="preserve"> PTT</v>
      </c>
      <c r="H5" s="19">
        <v>37859</v>
      </c>
      <c r="I5" s="19">
        <v>11681</v>
      </c>
      <c r="J5" s="22">
        <v>1000</v>
      </c>
      <c r="K5" s="37">
        <v>0.81458333333333333</v>
      </c>
      <c r="L5" s="19" t="s">
        <v>244</v>
      </c>
      <c r="M5" s="22">
        <v>14163</v>
      </c>
      <c r="N5" s="23">
        <v>-10.5</v>
      </c>
      <c r="O5" s="19" t="s">
        <v>890</v>
      </c>
      <c r="P5" s="19" t="s">
        <v>890</v>
      </c>
      <c r="Q5" s="24">
        <f>1-BD_MR_FF[[#This Row],[% Defectos]]</f>
        <v>0.88600000000000001</v>
      </c>
      <c r="R5" s="25">
        <v>81</v>
      </c>
      <c r="S5" s="26">
        <f>+IFERROR((BD_MR_FF[[#This Row],[Desviación de Color]]/BD_MR_FF[[#This Row],[Muestra]]),"0")</f>
        <v>8.1000000000000003E-2</v>
      </c>
      <c r="T5" s="25">
        <v>4</v>
      </c>
      <c r="U5" s="26">
        <f>+IFERROR((BD_MR_FF[[#This Row],[Sobremaduro]]/BD_MR_FF[[#This Row],[Muestra]]),"0")</f>
        <v>4.0000000000000001E-3</v>
      </c>
      <c r="V5" s="25">
        <v>11</v>
      </c>
      <c r="W5" s="26">
        <f>+IFERROR((BD_MR_FF[[#This Row],[Daño Mécanico]]/BD_MR_FF[[#This Row],[Muestra]]),"0")</f>
        <v>1.0999999999999999E-2</v>
      </c>
      <c r="X5" s="25">
        <v>18</v>
      </c>
      <c r="Y5" s="26">
        <f>+IFERROR((BD_MR_FF[[#This Row],[Daño Insecto]]/BD_MR_FF[[#This Row],[Muestra]]),"0")</f>
        <v>1.7999999999999999E-2</v>
      </c>
      <c r="Z5" s="25">
        <v>0</v>
      </c>
      <c r="AA5" s="26">
        <f>+IFERROR((BD_MR_FF[[#This Row],[Block]]/BD_MR_FF[[#This Row],[Muestra]]),"0")</f>
        <v>0</v>
      </c>
      <c r="AB5" s="25">
        <v>0</v>
      </c>
      <c r="AC5" s="26">
        <f>+IFERROR((BD_MR_FF[[#This Row],[Mohos]]/BD_MR_FF[[#This Row],[Muestra]]),"0")</f>
        <v>0</v>
      </c>
      <c r="AD5" s="25">
        <v>0</v>
      </c>
      <c r="AE5" s="27">
        <v>5</v>
      </c>
      <c r="AG5" s="25">
        <v>0</v>
      </c>
      <c r="AH5" s="26">
        <f>+IFERROR((BD_MR_FF[[#This Row],[Valor Extra 1]]/BD_MR_FF[[#This Row],[Muestra]]),"0")</f>
        <v>0</v>
      </c>
      <c r="AJ5" s="25">
        <v>0</v>
      </c>
      <c r="AK5" s="26">
        <f>+IFERROR((BD_MR_FF[[#This Row],[Valor Extra 2]]/BD_MR_FF[[#This Row],[Muestra]]),"0")</f>
        <v>0</v>
      </c>
      <c r="AL5" s="19">
        <v>0</v>
      </c>
      <c r="AM5" s="26">
        <f>+IFERROR((BD_MR_FF[[#This Row],[Calibre &gt;16]]/BD_MR_FF[[#This Row],[Muestra]]),"0")</f>
        <v>0</v>
      </c>
      <c r="AN5" s="19">
        <v>0</v>
      </c>
      <c r="AO5" s="26">
        <f>+IFERROR((BD_MR_FF[[#This Row],[Calibre &lt;16]]/BD_MR_FF[[#This Row],[Muestra]]),"0")</f>
        <v>0</v>
      </c>
      <c r="AP5" s="25" t="s">
        <v>892</v>
      </c>
      <c r="AQ5" s="25" t="s">
        <v>892</v>
      </c>
      <c r="AR5" s="25" t="s">
        <v>892</v>
      </c>
      <c r="AS5" s="25" t="s">
        <v>892</v>
      </c>
      <c r="AT5" s="25" t="s">
        <v>892</v>
      </c>
      <c r="AU5" s="25" t="s">
        <v>892</v>
      </c>
      <c r="AV5" s="27" t="s">
        <v>892</v>
      </c>
      <c r="AW5" s="29">
        <v>9.3000000000000007</v>
      </c>
      <c r="AX5" s="19" t="s">
        <v>890</v>
      </c>
      <c r="AY5" s="19" t="s">
        <v>890</v>
      </c>
      <c r="AZ5" s="30">
        <f>SUM(BD_MR_FF[[#This Row],[Desviación de Color]]+BD_MR_FF[[#This Row],[Sobremaduro]]+BD_MR_FF[[#This Row],[Daño Mécanico]]+BD_MR_FF[[#This Row],[Daño Insecto]]+BD_MR_FF[[#This Row],[Block]]+BD_MR_FF[[#This Row],[Mohos]])</f>
        <v>114</v>
      </c>
      <c r="BA5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0.114</v>
      </c>
      <c r="BB5" s="18" t="s">
        <v>893</v>
      </c>
      <c r="BC5" s="24">
        <f>1-BD_MR_FF[[#This Row],[% Defectos]]</f>
        <v>0.88600000000000001</v>
      </c>
      <c r="BD5" s="31" t="s">
        <v>904</v>
      </c>
      <c r="BE5" s="19">
        <f>SUM(BD_MR_FF[[#This Row],[Palos (Un.) (≤18)]:[Larvas (Un.) (≤24)]])</f>
        <v>0</v>
      </c>
      <c r="BF5" s="19">
        <f>SUM(BD_MR_FF[[#This Row],[Vidrio (Un.) (0)]:[Plástico (Un.) (0)]])</f>
        <v>0</v>
      </c>
      <c r="BG5" s="19" t="str">
        <f>IF(ISBLANK(BD_MR_FF[[#This Row],[Descripción del Producto]]),"",BD_MR_FF[[#This Row],[Descripción del Producto]])</f>
        <v>MO S/V Org. IQF A 13,61 kg en caja</v>
      </c>
      <c r="BH5" s="19">
        <f>IF(ISBLANK(BD_MR_FF[[#This Row],[N° Lote]]),"",BD_MR_FF[[#This Row],[N° Lote]])</f>
        <v>11681</v>
      </c>
      <c r="BI5" s="19">
        <f>IF(ISBLANK(BD_MR_FF[[#This Row],[N° Pallet]]),"",BD_MR_FF[[#This Row],[N° Pallet]])</f>
        <v>37859</v>
      </c>
    </row>
    <row r="6" spans="1:61">
      <c r="A6" s="36">
        <v>46072</v>
      </c>
      <c r="B6" s="19">
        <f>_xlfn.ISOWEEKNUM(BD_MR_FF[[#This Row],[Fecha]])</f>
        <v>8</v>
      </c>
      <c r="C6" s="19">
        <v>2</v>
      </c>
      <c r="D6" s="19">
        <v>1</v>
      </c>
      <c r="E6" s="20">
        <v>404221000</v>
      </c>
      <c r="F6" s="18" t="str">
        <f>IFERROR("" &amp; _xlfn.XLOOKUP(BD_MR_FF[[#This Row],[Código]],BD_Cod!A:A,BD_Cod!B:B), "")</f>
        <v>MO S/V Org. IQF A 13,61 kg en caja</v>
      </c>
      <c r="G6" s="21" t="str">
        <f>IFERROR(" " &amp;_xlfn.XLOOKUP(BD_MR_FF[[#This Row],[Código]],BD_Cod!A:A,BD_Cod!H:H," ")," ")</f>
        <v xml:space="preserve"> PTT</v>
      </c>
      <c r="H6" s="19">
        <v>37859</v>
      </c>
      <c r="I6" s="19">
        <v>11681</v>
      </c>
      <c r="J6" s="22">
        <v>1000</v>
      </c>
      <c r="K6" s="37">
        <v>0.83333333333333337</v>
      </c>
      <c r="L6" s="19" t="s">
        <v>244</v>
      </c>
      <c r="M6" s="22">
        <v>14161</v>
      </c>
      <c r="N6" s="23">
        <v>-14.3</v>
      </c>
      <c r="O6" s="19" t="s">
        <v>890</v>
      </c>
      <c r="P6" s="19" t="s">
        <v>890</v>
      </c>
      <c r="Q6" s="24">
        <f>1-BD_MR_FF[[#This Row],[% Defectos]]</f>
        <v>0.85399999999999998</v>
      </c>
      <c r="R6" s="25">
        <v>48</v>
      </c>
      <c r="S6" s="26">
        <f>+IFERROR((BD_MR_FF[[#This Row],[Desviación de Color]]/BD_MR_FF[[#This Row],[Muestra]]),"0")</f>
        <v>4.8000000000000001E-2</v>
      </c>
      <c r="T6" s="25">
        <v>0</v>
      </c>
      <c r="U6" s="26">
        <f>+IFERROR((BD_MR_FF[[#This Row],[Sobremaduro]]/BD_MR_FF[[#This Row],[Muestra]]),"0")</f>
        <v>0</v>
      </c>
      <c r="V6" s="25">
        <v>0</v>
      </c>
      <c r="W6" s="26">
        <f>+IFERROR((BD_MR_FF[[#This Row],[Daño Mécanico]]/BD_MR_FF[[#This Row],[Muestra]]),"0")</f>
        <v>0</v>
      </c>
      <c r="X6" s="25">
        <v>98</v>
      </c>
      <c r="Y6" s="26">
        <f>+IFERROR((BD_MR_FF[[#This Row],[Daño Insecto]]/BD_MR_FF[[#This Row],[Muestra]]),"0")</f>
        <v>9.8000000000000004E-2</v>
      </c>
      <c r="Z6" s="25">
        <v>0</v>
      </c>
      <c r="AA6" s="26">
        <f>+IFERROR((BD_MR_FF[[#This Row],[Block]]/BD_MR_FF[[#This Row],[Muestra]]),"0")</f>
        <v>0</v>
      </c>
      <c r="AB6" s="25">
        <v>0</v>
      </c>
      <c r="AC6" s="26">
        <f>+IFERROR((BD_MR_FF[[#This Row],[Mohos]]/BD_MR_FF[[#This Row],[Muestra]]),"0")</f>
        <v>0</v>
      </c>
      <c r="AD6" s="25">
        <v>0</v>
      </c>
      <c r="AE6" s="27">
        <v>0</v>
      </c>
      <c r="AG6" s="25">
        <v>0</v>
      </c>
      <c r="AH6" s="26">
        <f>+IFERROR((BD_MR_FF[[#This Row],[Valor Extra 1]]/BD_MR_FF[[#This Row],[Muestra]]),"0")</f>
        <v>0</v>
      </c>
      <c r="AJ6" s="25">
        <v>0</v>
      </c>
      <c r="AK6" s="26">
        <f>+IFERROR((BD_MR_FF[[#This Row],[Valor Extra 2]]/BD_MR_FF[[#This Row],[Muestra]]),"0")</f>
        <v>0</v>
      </c>
      <c r="AL6" s="19">
        <v>0</v>
      </c>
      <c r="AM6" s="26">
        <f>+IFERROR((BD_MR_FF[[#This Row],[Calibre &gt;16]]/BD_MR_FF[[#This Row],[Muestra]]),"0")</f>
        <v>0</v>
      </c>
      <c r="AN6" s="19">
        <v>0</v>
      </c>
      <c r="AO6" s="26">
        <f>+IFERROR((BD_MR_FF[[#This Row],[Calibre &lt;16]]/BD_MR_FF[[#This Row],[Muestra]]),"0")</f>
        <v>0</v>
      </c>
      <c r="AP6" s="25" t="s">
        <v>892</v>
      </c>
      <c r="AQ6" s="25" t="s">
        <v>892</v>
      </c>
      <c r="AR6" s="25" t="s">
        <v>892</v>
      </c>
      <c r="AS6" s="25" t="s">
        <v>892</v>
      </c>
      <c r="AT6" s="25" t="s">
        <v>892</v>
      </c>
      <c r="AU6" s="25" t="s">
        <v>892</v>
      </c>
      <c r="AV6" s="27" t="s">
        <v>892</v>
      </c>
      <c r="AW6" s="29">
        <v>10</v>
      </c>
      <c r="AX6" s="19" t="s">
        <v>890</v>
      </c>
      <c r="AY6" s="19" t="s">
        <v>890</v>
      </c>
      <c r="AZ6" s="30">
        <f>SUM(BD_MR_FF[[#This Row],[Desviación de Color]]+BD_MR_FF[[#This Row],[Sobremaduro]]+BD_MR_FF[[#This Row],[Daño Mécanico]]+BD_MR_FF[[#This Row],[Daño Insecto]]+BD_MR_FF[[#This Row],[Block]]+BD_MR_FF[[#This Row],[Mohos]])</f>
        <v>146</v>
      </c>
      <c r="BA6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0.14600000000000002</v>
      </c>
      <c r="BB6" s="18" t="s">
        <v>893</v>
      </c>
      <c r="BC6" s="24">
        <f>1-BD_MR_FF[[#This Row],[% Defectos]]</f>
        <v>0.85399999999999998</v>
      </c>
      <c r="BD6" s="31" t="s">
        <v>904</v>
      </c>
      <c r="BE6" s="19">
        <f>SUM(BD_MR_FF[[#This Row],[Palos (Un.) (≤18)]:[Larvas (Un.) (≤24)]])</f>
        <v>0</v>
      </c>
      <c r="BF6" s="19">
        <f>SUM(BD_MR_FF[[#This Row],[Vidrio (Un.) (0)]:[Plástico (Un.) (0)]])</f>
        <v>0</v>
      </c>
      <c r="BG6" s="19" t="str">
        <f>IF(ISBLANK(BD_MR_FF[[#This Row],[Descripción del Producto]]),"",BD_MR_FF[[#This Row],[Descripción del Producto]])</f>
        <v>MO S/V Org. IQF A 13,61 kg en caja</v>
      </c>
      <c r="BH6" s="19">
        <f>IF(ISBLANK(BD_MR_FF[[#This Row],[N° Lote]]),"",BD_MR_FF[[#This Row],[N° Lote]])</f>
        <v>11681</v>
      </c>
      <c r="BI6" s="19">
        <f>IF(ISBLANK(BD_MR_FF[[#This Row],[N° Pallet]]),"",BD_MR_FF[[#This Row],[N° Pallet]])</f>
        <v>37859</v>
      </c>
    </row>
    <row r="7" spans="1:61">
      <c r="A7" s="36">
        <v>46072</v>
      </c>
      <c r="B7" s="19">
        <f>_xlfn.ISOWEEKNUM(BD_MR_FF[[#This Row],[Fecha]])</f>
        <v>8</v>
      </c>
      <c r="C7" s="19">
        <v>2</v>
      </c>
      <c r="D7" s="19">
        <v>1</v>
      </c>
      <c r="E7" s="20">
        <v>404221000</v>
      </c>
      <c r="F7" s="18" t="str">
        <f>IFERROR("" &amp; _xlfn.XLOOKUP(BD_MR_FF[[#This Row],[Código]],BD_Cod!A:A,BD_Cod!B:B), "")</f>
        <v>MO S/V Org. IQF A 13,61 kg en caja</v>
      </c>
      <c r="G7" s="21" t="str">
        <f>IFERROR(" " &amp;_xlfn.XLOOKUP(BD_MR_FF[[#This Row],[Código]],BD_Cod!A:A,BD_Cod!H:H," ")," ")</f>
        <v xml:space="preserve"> PTT</v>
      </c>
      <c r="H7" s="19">
        <v>37860</v>
      </c>
      <c r="I7" s="19">
        <v>11681</v>
      </c>
      <c r="J7" s="22">
        <v>1000</v>
      </c>
      <c r="K7" s="37">
        <v>0.9243055555555556</v>
      </c>
      <c r="L7" s="19" t="s">
        <v>244</v>
      </c>
      <c r="M7" s="22">
        <v>14160</v>
      </c>
      <c r="N7" s="23">
        <v>-13</v>
      </c>
      <c r="O7" s="19" t="s">
        <v>890</v>
      </c>
      <c r="P7" s="19" t="s">
        <v>890</v>
      </c>
      <c r="Q7" s="24">
        <f>1-BD_MR_FF[[#This Row],[% Defectos]]</f>
        <v>0.95499999999999996</v>
      </c>
      <c r="R7" s="25">
        <v>42</v>
      </c>
      <c r="S7" s="26">
        <f>+IFERROR((BD_MR_FF[[#This Row],[Desviación de Color]]/BD_MR_FF[[#This Row],[Muestra]]),"0")</f>
        <v>4.2000000000000003E-2</v>
      </c>
      <c r="T7" s="25">
        <v>0</v>
      </c>
      <c r="U7" s="26">
        <f>+IFERROR((BD_MR_FF[[#This Row],[Sobremaduro]]/BD_MR_FF[[#This Row],[Muestra]]),"0")</f>
        <v>0</v>
      </c>
      <c r="V7" s="25">
        <v>1</v>
      </c>
      <c r="W7" s="26">
        <f>+IFERROR((BD_MR_FF[[#This Row],[Daño Mécanico]]/BD_MR_FF[[#This Row],[Muestra]]),"0")</f>
        <v>1E-3</v>
      </c>
      <c r="X7" s="25">
        <v>2</v>
      </c>
      <c r="Y7" s="26">
        <f>+IFERROR((BD_MR_FF[[#This Row],[Daño Insecto]]/BD_MR_FF[[#This Row],[Muestra]]),"0")</f>
        <v>2E-3</v>
      </c>
      <c r="Z7" s="25">
        <v>0</v>
      </c>
      <c r="AA7" s="26">
        <f>+IFERROR((BD_MR_FF[[#This Row],[Block]]/BD_MR_FF[[#This Row],[Muestra]]),"0")</f>
        <v>0</v>
      </c>
      <c r="AB7" s="25">
        <v>0</v>
      </c>
      <c r="AC7" s="26">
        <f>+IFERROR((BD_MR_FF[[#This Row],[Mohos]]/BD_MR_FF[[#This Row],[Muestra]]),"0")</f>
        <v>0</v>
      </c>
      <c r="AD7" s="25">
        <v>0</v>
      </c>
      <c r="AE7" s="27">
        <v>0</v>
      </c>
      <c r="AG7" s="25">
        <v>0</v>
      </c>
      <c r="AH7" s="26">
        <f>+IFERROR((BD_MR_FF[[#This Row],[Valor Extra 1]]/BD_MR_FF[[#This Row],[Muestra]]),"0")</f>
        <v>0</v>
      </c>
      <c r="AJ7" s="25">
        <v>0</v>
      </c>
      <c r="AK7" s="26">
        <f>+IFERROR((BD_MR_FF[[#This Row],[Valor Extra 2]]/BD_MR_FF[[#This Row],[Muestra]]),"0")</f>
        <v>0</v>
      </c>
      <c r="AL7" s="19">
        <v>0</v>
      </c>
      <c r="AM7" s="26">
        <f>+IFERROR((BD_MR_FF[[#This Row],[Calibre &gt;16]]/BD_MR_FF[[#This Row],[Muestra]]),"0")</f>
        <v>0</v>
      </c>
      <c r="AN7" s="19">
        <v>0</v>
      </c>
      <c r="AO7" s="26">
        <f>+IFERROR((BD_MR_FF[[#This Row],[Calibre &lt;16]]/BD_MR_FF[[#This Row],[Muestra]]),"0")</f>
        <v>0</v>
      </c>
      <c r="AP7" s="25" t="s">
        <v>892</v>
      </c>
      <c r="AQ7" s="25" t="s">
        <v>892</v>
      </c>
      <c r="AR7" s="25" t="s">
        <v>892</v>
      </c>
      <c r="AS7" s="25" t="s">
        <v>892</v>
      </c>
      <c r="AT7" s="25" t="s">
        <v>892</v>
      </c>
      <c r="AU7" s="25" t="s">
        <v>892</v>
      </c>
      <c r="AV7" s="27" t="s">
        <v>892</v>
      </c>
      <c r="AW7" s="29">
        <v>9.4</v>
      </c>
      <c r="AX7" s="19" t="s">
        <v>890</v>
      </c>
      <c r="AY7" s="19" t="s">
        <v>890</v>
      </c>
      <c r="AZ7" s="30">
        <f>SUM(BD_MR_FF[[#This Row],[Desviación de Color]]+BD_MR_FF[[#This Row],[Sobremaduro]]+BD_MR_FF[[#This Row],[Daño Mécanico]]+BD_MR_FF[[#This Row],[Daño Insecto]]+BD_MR_FF[[#This Row],[Block]]+BD_MR_FF[[#This Row],[Mohos]])</f>
        <v>45</v>
      </c>
      <c r="BA7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4.5000000000000005E-2</v>
      </c>
      <c r="BB7" s="18" t="s">
        <v>893</v>
      </c>
      <c r="BC7" s="24">
        <f>1-BD_MR_FF[[#This Row],[% Defectos]]</f>
        <v>0.95499999999999996</v>
      </c>
      <c r="BD7" s="31" t="s">
        <v>904</v>
      </c>
      <c r="BE7" s="19">
        <f>SUM(BD_MR_FF[[#This Row],[Palos (Un.) (≤18)]:[Larvas (Un.) (≤24)]])</f>
        <v>0</v>
      </c>
      <c r="BF7" s="19">
        <f>SUM(BD_MR_FF[[#This Row],[Vidrio (Un.) (0)]:[Plástico (Un.) (0)]])</f>
        <v>0</v>
      </c>
      <c r="BG7" s="19" t="str">
        <f>IF(ISBLANK(BD_MR_FF[[#This Row],[Descripción del Producto]]),"",BD_MR_FF[[#This Row],[Descripción del Producto]])</f>
        <v>MO S/V Org. IQF A 13,61 kg en caja</v>
      </c>
      <c r="BH7" s="19">
        <f>IF(ISBLANK(BD_MR_FF[[#This Row],[N° Lote]]),"",BD_MR_FF[[#This Row],[N° Lote]])</f>
        <v>11681</v>
      </c>
      <c r="BI7" s="19">
        <f>IF(ISBLANK(BD_MR_FF[[#This Row],[N° Pallet]]),"",BD_MR_FF[[#This Row],[N° Pallet]])</f>
        <v>37860</v>
      </c>
    </row>
    <row r="8" spans="1:61">
      <c r="A8" s="36">
        <v>46072</v>
      </c>
      <c r="B8" s="19">
        <f>_xlfn.ISOWEEKNUM(BD_MR_FF[[#This Row],[Fecha]])</f>
        <v>8</v>
      </c>
      <c r="C8" s="19">
        <v>1</v>
      </c>
      <c r="D8" s="19">
        <v>1</v>
      </c>
      <c r="E8" s="20">
        <v>404221000</v>
      </c>
      <c r="F8" s="18" t="str">
        <f>IFERROR("" &amp; _xlfn.XLOOKUP(BD_MR_FF[[#This Row],[Código]],BD_Cod!A:A,BD_Cod!B:B), "")</f>
        <v>MO S/V Org. IQF A 13,61 kg en caja</v>
      </c>
      <c r="G8" s="21" t="str">
        <f>IFERROR(" " &amp;_xlfn.XLOOKUP(BD_MR_FF[[#This Row],[Código]],BD_Cod!A:A,BD_Cod!H:H," ")," ")</f>
        <v xml:space="preserve"> PTT</v>
      </c>
      <c r="H8" s="19">
        <v>37469</v>
      </c>
      <c r="I8" s="19">
        <v>11681</v>
      </c>
      <c r="J8" s="22">
        <v>1000</v>
      </c>
      <c r="K8" s="37">
        <v>0.5</v>
      </c>
      <c r="L8" s="19" t="s">
        <v>244</v>
      </c>
      <c r="M8" s="22">
        <v>14159</v>
      </c>
      <c r="N8" s="23">
        <v>-13</v>
      </c>
      <c r="O8" s="19" t="s">
        <v>890</v>
      </c>
      <c r="P8" s="19" t="s">
        <v>890</v>
      </c>
      <c r="Q8" s="24">
        <f>1-BD_MR_FF[[#This Row],[% Defectos]]</f>
        <v>0.89900000000000002</v>
      </c>
      <c r="R8" s="25">
        <v>80</v>
      </c>
      <c r="S8" s="26">
        <f>+IFERROR((BD_MR_FF[[#This Row],[Desviación de Color]]/BD_MR_FF[[#This Row],[Muestra]]),"0")</f>
        <v>0.08</v>
      </c>
      <c r="T8" s="25">
        <v>0</v>
      </c>
      <c r="U8" s="26">
        <f>+IFERROR((BD_MR_FF[[#This Row],[Sobremaduro]]/BD_MR_FF[[#This Row],[Muestra]]),"0")</f>
        <v>0</v>
      </c>
      <c r="V8" s="25">
        <v>2</v>
      </c>
      <c r="W8" s="26">
        <f>+IFERROR((BD_MR_FF[[#This Row],[Daño Mécanico]]/BD_MR_FF[[#This Row],[Muestra]]),"0")</f>
        <v>2E-3</v>
      </c>
      <c r="X8" s="25">
        <v>19</v>
      </c>
      <c r="Y8" s="26">
        <f>+IFERROR((BD_MR_FF[[#This Row],[Daño Insecto]]/BD_MR_FF[[#This Row],[Muestra]]),"0")</f>
        <v>1.9E-2</v>
      </c>
      <c r="Z8" s="25">
        <v>0</v>
      </c>
      <c r="AA8" s="26">
        <f>+IFERROR((BD_MR_FF[[#This Row],[Block]]/BD_MR_FF[[#This Row],[Muestra]]),"0")</f>
        <v>0</v>
      </c>
      <c r="AB8" s="25">
        <v>0</v>
      </c>
      <c r="AC8" s="26">
        <f>+IFERROR((BD_MR_FF[[#This Row],[Mohos]]/BD_MR_FF[[#This Row],[Muestra]]),"0")</f>
        <v>0</v>
      </c>
      <c r="AD8" s="25">
        <v>0</v>
      </c>
      <c r="AE8" s="27">
        <v>1</v>
      </c>
      <c r="AG8" s="25">
        <v>0</v>
      </c>
      <c r="AH8" s="26">
        <f>+IFERROR((BD_MR_FF[[#This Row],[Valor Extra 1]]/BD_MR_FF[[#This Row],[Muestra]]),"0")</f>
        <v>0</v>
      </c>
      <c r="AJ8" s="25">
        <v>0</v>
      </c>
      <c r="AK8" s="26">
        <f>+IFERROR((BD_MR_FF[[#This Row],[Valor Extra 2]]/BD_MR_FF[[#This Row],[Muestra]]),"0")</f>
        <v>0</v>
      </c>
      <c r="AL8" s="19">
        <v>0</v>
      </c>
      <c r="AM8" s="26">
        <f>+IFERROR((BD_MR_FF[[#This Row],[Calibre &gt;16]]/BD_MR_FF[[#This Row],[Muestra]]),"0")</f>
        <v>0</v>
      </c>
      <c r="AN8" s="19">
        <v>0</v>
      </c>
      <c r="AO8" s="26">
        <f>+IFERROR((BD_MR_FF[[#This Row],[Calibre &lt;16]]/BD_MR_FF[[#This Row],[Muestra]]),"0")</f>
        <v>0</v>
      </c>
      <c r="AP8" s="25" t="s">
        <v>892</v>
      </c>
      <c r="AQ8" s="25" t="s">
        <v>892</v>
      </c>
      <c r="AR8" s="25" t="s">
        <v>892</v>
      </c>
      <c r="AS8" s="25" t="s">
        <v>892</v>
      </c>
      <c r="AT8" s="25" t="s">
        <v>892</v>
      </c>
      <c r="AU8" s="25" t="s">
        <v>892</v>
      </c>
      <c r="AV8" s="27" t="s">
        <v>892</v>
      </c>
      <c r="AW8" s="29">
        <v>10.199999999999999</v>
      </c>
      <c r="AX8" s="19" t="s">
        <v>890</v>
      </c>
      <c r="AY8" s="19" t="s">
        <v>890</v>
      </c>
      <c r="AZ8" s="30">
        <f>SUM(BD_MR_FF[[#This Row],[Desviación de Color]]+BD_MR_FF[[#This Row],[Sobremaduro]]+BD_MR_FF[[#This Row],[Daño Mécanico]]+BD_MR_FF[[#This Row],[Daño Insecto]]+BD_MR_FF[[#This Row],[Block]]+BD_MR_FF[[#This Row],[Mohos]])</f>
        <v>101</v>
      </c>
      <c r="BA8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0.10100000000000001</v>
      </c>
      <c r="BB8" s="18" t="s">
        <v>893</v>
      </c>
      <c r="BC8" s="24">
        <f>1-BD_MR_FF[[#This Row],[% Defectos]]</f>
        <v>0.89900000000000002</v>
      </c>
      <c r="BD8" s="31" t="s">
        <v>906</v>
      </c>
      <c r="BE8" s="19">
        <f>SUM(BD_MR_FF[[#This Row],[Palos (Un.) (≤18)]:[Larvas (Un.) (≤24)]])</f>
        <v>0</v>
      </c>
      <c r="BF8" s="19">
        <f>SUM(BD_MR_FF[[#This Row],[Vidrio (Un.) (0)]:[Plástico (Un.) (0)]])</f>
        <v>0</v>
      </c>
      <c r="BG8" s="19" t="str">
        <f>IF(ISBLANK(BD_MR_FF[[#This Row],[Descripción del Producto]]),"",BD_MR_FF[[#This Row],[Descripción del Producto]])</f>
        <v>MO S/V Org. IQF A 13,61 kg en caja</v>
      </c>
      <c r="BH8" s="19">
        <f>IF(ISBLANK(BD_MR_FF[[#This Row],[N° Lote]]),"",BD_MR_FF[[#This Row],[N° Lote]])</f>
        <v>11681</v>
      </c>
      <c r="BI8" s="19">
        <f>IF(ISBLANK(BD_MR_FF[[#This Row],[N° Pallet]]),"",BD_MR_FF[[#This Row],[N° Pallet]])</f>
        <v>37469</v>
      </c>
    </row>
    <row r="9" spans="1:61">
      <c r="A9" s="36">
        <v>46072</v>
      </c>
      <c r="B9" s="19">
        <f>_xlfn.ISOWEEKNUM(BD_MR_FF[[#This Row],[Fecha]])</f>
        <v>8</v>
      </c>
      <c r="C9" s="19">
        <v>1</v>
      </c>
      <c r="D9" s="19">
        <v>1</v>
      </c>
      <c r="E9" s="20">
        <v>404221000</v>
      </c>
      <c r="F9" s="18" t="str">
        <f>IFERROR("" &amp; _xlfn.XLOOKUP(BD_MR_FF[[#This Row],[Código]],BD_Cod!A:A,BD_Cod!B:B), "")</f>
        <v>MO S/V Org. IQF A 13,61 kg en caja</v>
      </c>
      <c r="G9" s="21" t="str">
        <f>IFERROR(" " &amp;_xlfn.XLOOKUP(BD_MR_FF[[#This Row],[Código]],BD_Cod!A:A,BD_Cod!H:H," ")," ")</f>
        <v xml:space="preserve"> PTT</v>
      </c>
      <c r="H9" s="19">
        <v>37470</v>
      </c>
      <c r="I9" s="19">
        <v>11681</v>
      </c>
      <c r="J9" s="22">
        <v>1000</v>
      </c>
      <c r="K9" s="37">
        <v>0.59236111111111112</v>
      </c>
      <c r="L9" s="19" t="s">
        <v>244</v>
      </c>
      <c r="M9" s="22">
        <v>14147</v>
      </c>
      <c r="N9" s="23">
        <v>-14.5</v>
      </c>
      <c r="O9" s="19" t="s">
        <v>890</v>
      </c>
      <c r="P9" s="19" t="s">
        <v>890</v>
      </c>
      <c r="Q9" s="24">
        <f>1-BD_MR_FF[[#This Row],[% Defectos]]</f>
        <v>0.93199999999999994</v>
      </c>
      <c r="R9" s="25">
        <v>48</v>
      </c>
      <c r="S9" s="26">
        <f>+IFERROR((BD_MR_FF[[#This Row],[Desviación de Color]]/BD_MR_FF[[#This Row],[Muestra]]),"0")</f>
        <v>4.8000000000000001E-2</v>
      </c>
      <c r="T9" s="25">
        <v>0</v>
      </c>
      <c r="U9" s="26">
        <f>+IFERROR((BD_MR_FF[[#This Row],[Sobremaduro]]/BD_MR_FF[[#This Row],[Muestra]]),"0")</f>
        <v>0</v>
      </c>
      <c r="V9" s="25">
        <v>5</v>
      </c>
      <c r="W9" s="26">
        <f>+IFERROR((BD_MR_FF[[#This Row],[Daño Mécanico]]/BD_MR_FF[[#This Row],[Muestra]]),"0")</f>
        <v>5.0000000000000001E-3</v>
      </c>
      <c r="X9" s="25">
        <v>15</v>
      </c>
      <c r="Y9" s="26">
        <f>+IFERROR((BD_MR_FF[[#This Row],[Daño Insecto]]/BD_MR_FF[[#This Row],[Muestra]]),"0")</f>
        <v>1.4999999999999999E-2</v>
      </c>
      <c r="Z9" s="25">
        <v>0</v>
      </c>
      <c r="AA9" s="26">
        <f>+IFERROR((BD_MR_FF[[#This Row],[Block]]/BD_MR_FF[[#This Row],[Muestra]]),"0")</f>
        <v>0</v>
      </c>
      <c r="AB9" s="25">
        <v>0</v>
      </c>
      <c r="AC9" s="26">
        <f>+IFERROR((BD_MR_FF[[#This Row],[Mohos]]/BD_MR_FF[[#This Row],[Muestra]]),"0")</f>
        <v>0</v>
      </c>
      <c r="AD9" s="25">
        <v>0</v>
      </c>
      <c r="AE9" s="27">
        <v>1</v>
      </c>
      <c r="AG9" s="25">
        <v>0</v>
      </c>
      <c r="AH9" s="26">
        <f>+IFERROR((BD_MR_FF[[#This Row],[Valor Extra 1]]/BD_MR_FF[[#This Row],[Muestra]]),"0")</f>
        <v>0</v>
      </c>
      <c r="AJ9" s="25">
        <v>0</v>
      </c>
      <c r="AK9" s="26">
        <f>+IFERROR((BD_MR_FF[[#This Row],[Valor Extra 2]]/BD_MR_FF[[#This Row],[Muestra]]),"0")</f>
        <v>0</v>
      </c>
      <c r="AL9" s="19">
        <v>0</v>
      </c>
      <c r="AM9" s="26">
        <f>+IFERROR((BD_MR_FF[[#This Row],[Calibre &gt;16]]/BD_MR_FF[[#This Row],[Muestra]]),"0")</f>
        <v>0</v>
      </c>
      <c r="AN9" s="19">
        <v>0</v>
      </c>
      <c r="AO9" s="26">
        <f>+IFERROR((BD_MR_FF[[#This Row],[Calibre &lt;16]]/BD_MR_FF[[#This Row],[Muestra]]),"0")</f>
        <v>0</v>
      </c>
      <c r="AP9" s="25" t="s">
        <v>892</v>
      </c>
      <c r="AQ9" s="25" t="s">
        <v>892</v>
      </c>
      <c r="AR9" s="25" t="s">
        <v>892</v>
      </c>
      <c r="AS9" s="25" t="s">
        <v>892</v>
      </c>
      <c r="AT9" s="25" t="s">
        <v>892</v>
      </c>
      <c r="AU9" s="25" t="s">
        <v>892</v>
      </c>
      <c r="AV9" s="27" t="s">
        <v>892</v>
      </c>
      <c r="AW9" s="29">
        <v>10</v>
      </c>
      <c r="AX9" s="19" t="s">
        <v>890</v>
      </c>
      <c r="AY9" s="19" t="s">
        <v>890</v>
      </c>
      <c r="AZ9" s="30">
        <f>SUM(BD_MR_FF[[#This Row],[Desviación de Color]]+BD_MR_FF[[#This Row],[Sobremaduro]]+BD_MR_FF[[#This Row],[Daño Mécanico]]+BD_MR_FF[[#This Row],[Daño Insecto]]+BD_MR_FF[[#This Row],[Block]]+BD_MR_FF[[#This Row],[Mohos]])</f>
        <v>68</v>
      </c>
      <c r="BA9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6.8000000000000005E-2</v>
      </c>
      <c r="BB9" s="18" t="s">
        <v>893</v>
      </c>
      <c r="BC9" s="24">
        <f>1-BD_MR_FF[[#This Row],[% Defectos]]</f>
        <v>0.93199999999999994</v>
      </c>
      <c r="BD9" s="31" t="s">
        <v>906</v>
      </c>
      <c r="BE9" s="19">
        <f>SUM(BD_MR_FF[[#This Row],[Palos (Un.) (≤18)]:[Larvas (Un.) (≤24)]])</f>
        <v>0</v>
      </c>
      <c r="BF9" s="19">
        <f>SUM(BD_MR_FF[[#This Row],[Vidrio (Un.) (0)]:[Plástico (Un.) (0)]])</f>
        <v>0</v>
      </c>
      <c r="BG9" s="19" t="str">
        <f>IF(ISBLANK(BD_MR_FF[[#This Row],[Descripción del Producto]]),"",BD_MR_FF[[#This Row],[Descripción del Producto]])</f>
        <v>MO S/V Org. IQF A 13,61 kg en caja</v>
      </c>
      <c r="BH9" s="19">
        <f>IF(ISBLANK(BD_MR_FF[[#This Row],[N° Lote]]),"",BD_MR_FF[[#This Row],[N° Lote]])</f>
        <v>11681</v>
      </c>
      <c r="BI9" s="19">
        <f>IF(ISBLANK(BD_MR_FF[[#This Row],[N° Pallet]]),"",BD_MR_FF[[#This Row],[N° Pallet]])</f>
        <v>37470</v>
      </c>
    </row>
    <row r="10" spans="1:61">
      <c r="A10" s="36">
        <v>46072</v>
      </c>
      <c r="B10" s="19">
        <f>_xlfn.ISOWEEKNUM(BD_MR_FF[[#This Row],[Fecha]])</f>
        <v>8</v>
      </c>
      <c r="C10" s="19">
        <v>1</v>
      </c>
      <c r="D10" s="19">
        <v>1</v>
      </c>
      <c r="E10" s="20">
        <v>404221000</v>
      </c>
      <c r="F10" s="18" t="str">
        <f>IFERROR("" &amp; _xlfn.XLOOKUP(BD_MR_FF[[#This Row],[Código]],BD_Cod!A:A,BD_Cod!B:B), "")</f>
        <v>MO S/V Org. IQF A 13,61 kg en caja</v>
      </c>
      <c r="G10" s="21" t="str">
        <f>IFERROR(" " &amp;_xlfn.XLOOKUP(BD_MR_FF[[#This Row],[Código]],BD_Cod!A:A,BD_Cod!H:H," ")," ")</f>
        <v xml:space="preserve"> PTT</v>
      </c>
      <c r="H10" s="19">
        <v>37470</v>
      </c>
      <c r="I10" s="19">
        <v>11681</v>
      </c>
      <c r="J10" s="22">
        <v>1000</v>
      </c>
      <c r="K10" s="37">
        <v>0.61111111111111116</v>
      </c>
      <c r="L10" s="19" t="s">
        <v>244</v>
      </c>
      <c r="M10" s="22">
        <v>14146</v>
      </c>
      <c r="N10" s="23">
        <v>-12.7</v>
      </c>
      <c r="O10" s="19" t="s">
        <v>890</v>
      </c>
      <c r="P10" s="19" t="s">
        <v>890</v>
      </c>
      <c r="Q10" s="24">
        <f>1-BD_MR_FF[[#This Row],[% Defectos]]</f>
        <v>0.90800000000000003</v>
      </c>
      <c r="R10" s="25">
        <v>81</v>
      </c>
      <c r="S10" s="26">
        <f>+IFERROR((BD_MR_FF[[#This Row],[Desviación de Color]]/BD_MR_FF[[#This Row],[Muestra]]),"0")</f>
        <v>8.1000000000000003E-2</v>
      </c>
      <c r="T10" s="25">
        <v>0</v>
      </c>
      <c r="U10" s="26">
        <f>+IFERROR((BD_MR_FF[[#This Row],[Sobremaduro]]/BD_MR_FF[[#This Row],[Muestra]]),"0")</f>
        <v>0</v>
      </c>
      <c r="V10" s="25">
        <v>0</v>
      </c>
      <c r="W10" s="26">
        <f>+IFERROR((BD_MR_FF[[#This Row],[Daño Mécanico]]/BD_MR_FF[[#This Row],[Muestra]]),"0")</f>
        <v>0</v>
      </c>
      <c r="X10" s="25">
        <v>11</v>
      </c>
      <c r="Y10" s="26">
        <f>+IFERROR((BD_MR_FF[[#This Row],[Daño Insecto]]/BD_MR_FF[[#This Row],[Muestra]]),"0")</f>
        <v>1.0999999999999999E-2</v>
      </c>
      <c r="Z10" s="25">
        <v>0</v>
      </c>
      <c r="AA10" s="26">
        <f>+IFERROR((BD_MR_FF[[#This Row],[Block]]/BD_MR_FF[[#This Row],[Muestra]]),"0")</f>
        <v>0</v>
      </c>
      <c r="AB10" s="25">
        <v>0</v>
      </c>
      <c r="AC10" s="26">
        <f>+IFERROR((BD_MR_FF[[#This Row],[Mohos]]/BD_MR_FF[[#This Row],[Muestra]]),"0")</f>
        <v>0</v>
      </c>
      <c r="AD10" s="25">
        <v>2</v>
      </c>
      <c r="AE10" s="27">
        <v>2</v>
      </c>
      <c r="AG10" s="25">
        <v>0</v>
      </c>
      <c r="AH10" s="26">
        <f>+IFERROR((BD_MR_FF[[#This Row],[Valor Extra 1]]/BD_MR_FF[[#This Row],[Muestra]]),"0")</f>
        <v>0</v>
      </c>
      <c r="AJ10" s="25">
        <v>0</v>
      </c>
      <c r="AK10" s="26">
        <f>+IFERROR((BD_MR_FF[[#This Row],[Valor Extra 2]]/BD_MR_FF[[#This Row],[Muestra]]),"0")</f>
        <v>0</v>
      </c>
      <c r="AL10" s="19">
        <v>0</v>
      </c>
      <c r="AM10" s="26">
        <f>+IFERROR((BD_MR_FF[[#This Row],[Calibre &gt;16]]/BD_MR_FF[[#This Row],[Muestra]]),"0")</f>
        <v>0</v>
      </c>
      <c r="AN10" s="19">
        <v>0</v>
      </c>
      <c r="AO10" s="26">
        <f>+IFERROR((BD_MR_FF[[#This Row],[Calibre &lt;16]]/BD_MR_FF[[#This Row],[Muestra]]),"0")</f>
        <v>0</v>
      </c>
      <c r="AP10" s="25" t="s">
        <v>892</v>
      </c>
      <c r="AQ10" s="25" t="s">
        <v>892</v>
      </c>
      <c r="AR10" s="25" t="s">
        <v>892</v>
      </c>
      <c r="AS10" s="25" t="s">
        <v>892</v>
      </c>
      <c r="AT10" s="25" t="s">
        <v>892</v>
      </c>
      <c r="AU10" s="25" t="s">
        <v>892</v>
      </c>
      <c r="AV10" s="27" t="s">
        <v>892</v>
      </c>
      <c r="AW10" s="29">
        <v>11.9</v>
      </c>
      <c r="AX10" s="19" t="s">
        <v>890</v>
      </c>
      <c r="AY10" s="19" t="s">
        <v>890</v>
      </c>
      <c r="AZ10" s="30">
        <f>SUM(BD_MR_FF[[#This Row],[Desviación de Color]]+BD_MR_FF[[#This Row],[Sobremaduro]]+BD_MR_FF[[#This Row],[Daño Mécanico]]+BD_MR_FF[[#This Row],[Daño Insecto]]+BD_MR_FF[[#This Row],[Block]]+BD_MR_FF[[#This Row],[Mohos]])</f>
        <v>92</v>
      </c>
      <c r="BA10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9.1999999999999998E-2</v>
      </c>
      <c r="BB10" s="18" t="s">
        <v>893</v>
      </c>
      <c r="BC10" s="24">
        <f>1-BD_MR_FF[[#This Row],[% Defectos]]</f>
        <v>0.90800000000000003</v>
      </c>
      <c r="BD10" s="31" t="s">
        <v>906</v>
      </c>
      <c r="BE10" s="19">
        <f>SUM(BD_MR_FF[[#This Row],[Palos (Un.) (≤18)]:[Larvas (Un.) (≤24)]])</f>
        <v>0</v>
      </c>
      <c r="BF10" s="19">
        <f>SUM(BD_MR_FF[[#This Row],[Vidrio (Un.) (0)]:[Plástico (Un.) (0)]])</f>
        <v>0</v>
      </c>
      <c r="BG10" s="19" t="str">
        <f>IF(ISBLANK(BD_MR_FF[[#This Row],[Descripción del Producto]]),"",BD_MR_FF[[#This Row],[Descripción del Producto]])</f>
        <v>MO S/V Org. IQF A 13,61 kg en caja</v>
      </c>
      <c r="BH10" s="19">
        <f>IF(ISBLANK(BD_MR_FF[[#This Row],[N° Lote]]),"",BD_MR_FF[[#This Row],[N° Lote]])</f>
        <v>11681</v>
      </c>
      <c r="BI10" s="19">
        <f>IF(ISBLANK(BD_MR_FF[[#This Row],[N° Pallet]]),"",BD_MR_FF[[#This Row],[N° Pallet]])</f>
        <v>37470</v>
      </c>
    </row>
    <row r="11" spans="1:61">
      <c r="A11" s="36">
        <v>46072</v>
      </c>
      <c r="B11" s="19">
        <f>_xlfn.ISOWEEKNUM(BD_MR_FF[[#This Row],[Fecha]])</f>
        <v>8</v>
      </c>
      <c r="C11" s="19">
        <v>1</v>
      </c>
      <c r="D11" s="19">
        <v>1</v>
      </c>
      <c r="E11" s="20">
        <v>404221000</v>
      </c>
      <c r="F11" s="18" t="str">
        <f>IFERROR("" &amp; _xlfn.XLOOKUP(BD_MR_FF[[#This Row],[Código]],BD_Cod!A:A,BD_Cod!B:B), "")</f>
        <v>MO S/V Org. IQF A 13,61 kg en caja</v>
      </c>
      <c r="G11" s="21" t="str">
        <f>IFERROR(" " &amp;_xlfn.XLOOKUP(BD_MR_FF[[#This Row],[Código]],BD_Cod!A:A,BD_Cod!H:H," ")," ")</f>
        <v xml:space="preserve"> PTT</v>
      </c>
      <c r="H11" s="19">
        <v>37471</v>
      </c>
      <c r="I11" s="19">
        <v>11681</v>
      </c>
      <c r="J11" s="22">
        <v>1000</v>
      </c>
      <c r="K11" s="37">
        <v>0.63194444444444442</v>
      </c>
      <c r="L11" s="19" t="s">
        <v>244</v>
      </c>
      <c r="M11" s="22">
        <v>14152</v>
      </c>
      <c r="N11" s="23">
        <v>-15.3</v>
      </c>
      <c r="O11" s="19" t="s">
        <v>890</v>
      </c>
      <c r="P11" s="19" t="s">
        <v>890</v>
      </c>
      <c r="Q11" s="24">
        <f>1-BD_MR_FF[[#This Row],[% Defectos]]</f>
        <v>0.90400000000000003</v>
      </c>
      <c r="R11" s="25">
        <v>64</v>
      </c>
      <c r="S11" s="26">
        <f>+IFERROR((BD_MR_FF[[#This Row],[Desviación de Color]]/BD_MR_FF[[#This Row],[Muestra]]),"0")</f>
        <v>6.4000000000000001E-2</v>
      </c>
      <c r="T11" s="25">
        <v>0</v>
      </c>
      <c r="U11" s="26">
        <f>+IFERROR((BD_MR_FF[[#This Row],[Sobremaduro]]/BD_MR_FF[[#This Row],[Muestra]]),"0")</f>
        <v>0</v>
      </c>
      <c r="V11" s="25">
        <v>0</v>
      </c>
      <c r="W11" s="26">
        <f>+IFERROR((BD_MR_FF[[#This Row],[Daño Mécanico]]/BD_MR_FF[[#This Row],[Muestra]]),"0")</f>
        <v>0</v>
      </c>
      <c r="X11" s="25">
        <v>32</v>
      </c>
      <c r="Y11" s="26">
        <f>+IFERROR((BD_MR_FF[[#This Row],[Daño Insecto]]/BD_MR_FF[[#This Row],[Muestra]]),"0")</f>
        <v>3.2000000000000001E-2</v>
      </c>
      <c r="Z11" s="25">
        <v>0</v>
      </c>
      <c r="AA11" s="26">
        <f>+IFERROR((BD_MR_FF[[#This Row],[Block]]/BD_MR_FF[[#This Row],[Muestra]]),"0")</f>
        <v>0</v>
      </c>
      <c r="AB11" s="25">
        <v>0</v>
      </c>
      <c r="AC11" s="26">
        <f>+IFERROR((BD_MR_FF[[#This Row],[Mohos]]/BD_MR_FF[[#This Row],[Muestra]]),"0")</f>
        <v>0</v>
      </c>
      <c r="AD11" s="25">
        <v>0</v>
      </c>
      <c r="AE11" s="27">
        <v>0</v>
      </c>
      <c r="AG11" s="25">
        <v>0</v>
      </c>
      <c r="AH11" s="26">
        <f>+IFERROR((BD_MR_FF[[#This Row],[Valor Extra 1]]/BD_MR_FF[[#This Row],[Muestra]]),"0")</f>
        <v>0</v>
      </c>
      <c r="AJ11" s="25">
        <v>0</v>
      </c>
      <c r="AK11" s="26">
        <f>+IFERROR((BD_MR_FF[[#This Row],[Valor Extra 2]]/BD_MR_FF[[#This Row],[Muestra]]),"0")</f>
        <v>0</v>
      </c>
      <c r="AL11" s="19">
        <v>0</v>
      </c>
      <c r="AM11" s="26">
        <f>+IFERROR((BD_MR_FF[[#This Row],[Calibre &gt;16]]/BD_MR_FF[[#This Row],[Muestra]]),"0")</f>
        <v>0</v>
      </c>
      <c r="AN11" s="19">
        <v>0</v>
      </c>
      <c r="AO11" s="26">
        <f>+IFERROR((BD_MR_FF[[#This Row],[Calibre &lt;16]]/BD_MR_FF[[#This Row],[Muestra]]),"0")</f>
        <v>0</v>
      </c>
      <c r="AP11" s="25" t="s">
        <v>892</v>
      </c>
      <c r="AQ11" s="25" t="s">
        <v>892</v>
      </c>
      <c r="AR11" s="25" t="s">
        <v>892</v>
      </c>
      <c r="AS11" s="25" t="s">
        <v>892</v>
      </c>
      <c r="AT11" s="25" t="s">
        <v>892</v>
      </c>
      <c r="AU11" s="25" t="s">
        <v>892</v>
      </c>
      <c r="AV11" s="27" t="s">
        <v>892</v>
      </c>
      <c r="AW11" s="29">
        <v>12.3</v>
      </c>
      <c r="AX11" s="19" t="s">
        <v>890</v>
      </c>
      <c r="AY11" s="19" t="s">
        <v>890</v>
      </c>
      <c r="AZ11" s="30">
        <f>SUM(BD_MR_FF[[#This Row],[Desviación de Color]]+BD_MR_FF[[#This Row],[Sobremaduro]]+BD_MR_FF[[#This Row],[Daño Mécanico]]+BD_MR_FF[[#This Row],[Daño Insecto]]+BD_MR_FF[[#This Row],[Block]]+BD_MR_FF[[#This Row],[Mohos]])</f>
        <v>96</v>
      </c>
      <c r="BA11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9.6000000000000002E-2</v>
      </c>
      <c r="BB11" s="18" t="s">
        <v>893</v>
      </c>
      <c r="BC11" s="24">
        <f>1-BD_MR_FF[[#This Row],[% Defectos]]</f>
        <v>0.90400000000000003</v>
      </c>
      <c r="BD11" s="31" t="s">
        <v>906</v>
      </c>
      <c r="BE11" s="19">
        <f>SUM(BD_MR_FF[[#This Row],[Palos (Un.) (≤18)]:[Larvas (Un.) (≤24)]])</f>
        <v>0</v>
      </c>
      <c r="BF11" s="19">
        <f>SUM(BD_MR_FF[[#This Row],[Vidrio (Un.) (0)]:[Plástico (Un.) (0)]])</f>
        <v>0</v>
      </c>
      <c r="BG11" s="19" t="str">
        <f>IF(ISBLANK(BD_MR_FF[[#This Row],[Descripción del Producto]]),"",BD_MR_FF[[#This Row],[Descripción del Producto]])</f>
        <v>MO S/V Org. IQF A 13,61 kg en caja</v>
      </c>
      <c r="BH11" s="19">
        <f>IF(ISBLANK(BD_MR_FF[[#This Row],[N° Lote]]),"",BD_MR_FF[[#This Row],[N° Lote]])</f>
        <v>11681</v>
      </c>
      <c r="BI11" s="19">
        <f>IF(ISBLANK(BD_MR_FF[[#This Row],[N° Pallet]]),"",BD_MR_FF[[#This Row],[N° Pallet]])</f>
        <v>37471</v>
      </c>
    </row>
    <row r="12" spans="1:61">
      <c r="A12" s="36">
        <v>46072</v>
      </c>
      <c r="B12" s="19">
        <f>_xlfn.ISOWEEKNUM(BD_MR_FF[[#This Row],[Fecha]])</f>
        <v>8</v>
      </c>
      <c r="C12" s="19">
        <v>1</v>
      </c>
      <c r="D12" s="19">
        <v>1</v>
      </c>
      <c r="E12" s="20">
        <v>404221000</v>
      </c>
      <c r="F12" s="18" t="str">
        <f>IFERROR("" &amp; _xlfn.XLOOKUP(BD_MR_FF[[#This Row],[Código]],BD_Cod!A:A,BD_Cod!B:B), "")</f>
        <v>MO S/V Org. IQF A 13,61 kg en caja</v>
      </c>
      <c r="G12" s="21" t="str">
        <f>IFERROR(" " &amp;_xlfn.XLOOKUP(BD_MR_FF[[#This Row],[Código]],BD_Cod!A:A,BD_Cod!H:H," ")," ")</f>
        <v xml:space="preserve"> PTT</v>
      </c>
      <c r="H12" s="19">
        <v>37471</v>
      </c>
      <c r="I12" s="19">
        <v>11681</v>
      </c>
      <c r="J12" s="22">
        <v>1000</v>
      </c>
      <c r="K12" s="37">
        <v>0.64097222222222228</v>
      </c>
      <c r="L12" s="19" t="s">
        <v>244</v>
      </c>
      <c r="M12" s="22">
        <v>14135</v>
      </c>
      <c r="N12" s="23">
        <v>-14.2</v>
      </c>
      <c r="O12" s="19" t="s">
        <v>890</v>
      </c>
      <c r="P12" s="19" t="s">
        <v>890</v>
      </c>
      <c r="Q12" s="24">
        <f>1-BD_MR_FF[[#This Row],[% Defectos]]</f>
        <v>0.92300000000000004</v>
      </c>
      <c r="R12" s="25">
        <v>68</v>
      </c>
      <c r="S12" s="26">
        <f>+IFERROR((BD_MR_FF[[#This Row],[Desviación de Color]]/BD_MR_FF[[#This Row],[Muestra]]),"0")</f>
        <v>6.8000000000000005E-2</v>
      </c>
      <c r="T12" s="25">
        <v>0</v>
      </c>
      <c r="U12" s="26">
        <f>+IFERROR((BD_MR_FF[[#This Row],[Sobremaduro]]/BD_MR_FF[[#This Row],[Muestra]]),"0")</f>
        <v>0</v>
      </c>
      <c r="V12" s="25">
        <v>3</v>
      </c>
      <c r="W12" s="26">
        <f>+IFERROR((BD_MR_FF[[#This Row],[Daño Mécanico]]/BD_MR_FF[[#This Row],[Muestra]]),"0")</f>
        <v>3.0000000000000001E-3</v>
      </c>
      <c r="X12" s="25">
        <v>6</v>
      </c>
      <c r="Y12" s="26">
        <f>+IFERROR((BD_MR_FF[[#This Row],[Daño Insecto]]/BD_MR_FF[[#This Row],[Muestra]]),"0")</f>
        <v>6.0000000000000001E-3</v>
      </c>
      <c r="Z12" s="25">
        <v>0</v>
      </c>
      <c r="AA12" s="26">
        <f>+IFERROR((BD_MR_FF[[#This Row],[Block]]/BD_MR_FF[[#This Row],[Muestra]]),"0")</f>
        <v>0</v>
      </c>
      <c r="AB12" s="25">
        <v>0</v>
      </c>
      <c r="AC12" s="26">
        <f>+IFERROR((BD_MR_FF[[#This Row],[Mohos]]/BD_MR_FF[[#This Row],[Muestra]]),"0")</f>
        <v>0</v>
      </c>
      <c r="AD12" s="25">
        <v>0</v>
      </c>
      <c r="AE12" s="27">
        <v>1</v>
      </c>
      <c r="AG12" s="25">
        <v>0</v>
      </c>
      <c r="AH12" s="26">
        <f>+IFERROR((BD_MR_FF[[#This Row],[Valor Extra 1]]/BD_MR_FF[[#This Row],[Muestra]]),"0")</f>
        <v>0</v>
      </c>
      <c r="AJ12" s="25">
        <v>0</v>
      </c>
      <c r="AK12" s="26">
        <f>+IFERROR((BD_MR_FF[[#This Row],[Valor Extra 2]]/BD_MR_FF[[#This Row],[Muestra]]),"0")</f>
        <v>0</v>
      </c>
      <c r="AL12" s="19">
        <v>0</v>
      </c>
      <c r="AM12" s="26">
        <f>+IFERROR((BD_MR_FF[[#This Row],[Calibre &gt;16]]/BD_MR_FF[[#This Row],[Muestra]]),"0")</f>
        <v>0</v>
      </c>
      <c r="AN12" s="19">
        <v>0</v>
      </c>
      <c r="AO12" s="26">
        <f>+IFERROR((BD_MR_FF[[#This Row],[Calibre &lt;16]]/BD_MR_FF[[#This Row],[Muestra]]),"0")</f>
        <v>0</v>
      </c>
      <c r="AP12" s="25" t="s">
        <v>892</v>
      </c>
      <c r="AQ12" s="25" t="s">
        <v>892</v>
      </c>
      <c r="AR12" s="25" t="s">
        <v>892</v>
      </c>
      <c r="AS12" s="25" t="s">
        <v>892</v>
      </c>
      <c r="AT12" s="25" t="s">
        <v>892</v>
      </c>
      <c r="AU12" s="25" t="s">
        <v>892</v>
      </c>
      <c r="AV12" s="27" t="s">
        <v>892</v>
      </c>
      <c r="AW12" s="29">
        <v>12.4</v>
      </c>
      <c r="AX12" s="19" t="s">
        <v>890</v>
      </c>
      <c r="AY12" s="19" t="s">
        <v>890</v>
      </c>
      <c r="AZ12" s="30">
        <f>SUM(BD_MR_FF[[#This Row],[Desviación de Color]]+BD_MR_FF[[#This Row],[Sobremaduro]]+BD_MR_FF[[#This Row],[Daño Mécanico]]+BD_MR_FF[[#This Row],[Daño Insecto]]+BD_MR_FF[[#This Row],[Block]]+BD_MR_FF[[#This Row],[Mohos]])</f>
        <v>77</v>
      </c>
      <c r="BA12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7.7000000000000013E-2</v>
      </c>
      <c r="BB12" s="18" t="s">
        <v>893</v>
      </c>
      <c r="BC12" s="24">
        <f>1-BD_MR_FF[[#This Row],[% Defectos]]</f>
        <v>0.92300000000000004</v>
      </c>
      <c r="BD12" s="31" t="s">
        <v>906</v>
      </c>
      <c r="BE12" s="19">
        <f>SUM(BD_MR_FF[[#This Row],[Palos (Un.) (≤18)]:[Larvas (Un.) (≤24)]])</f>
        <v>0</v>
      </c>
      <c r="BF12" s="19">
        <f>SUM(BD_MR_FF[[#This Row],[Vidrio (Un.) (0)]:[Plástico (Un.) (0)]])</f>
        <v>0</v>
      </c>
      <c r="BG12" s="19" t="str">
        <f>IF(ISBLANK(BD_MR_FF[[#This Row],[Descripción del Producto]]),"",BD_MR_FF[[#This Row],[Descripción del Producto]])</f>
        <v>MO S/V Org. IQF A 13,61 kg en caja</v>
      </c>
      <c r="BH12" s="19">
        <f>IF(ISBLANK(BD_MR_FF[[#This Row],[N° Lote]]),"",BD_MR_FF[[#This Row],[N° Lote]])</f>
        <v>11681</v>
      </c>
      <c r="BI12" s="19">
        <f>IF(ISBLANK(BD_MR_FF[[#This Row],[N° Pallet]]),"",BD_MR_FF[[#This Row],[N° Pallet]])</f>
        <v>37471</v>
      </c>
    </row>
    <row r="13" spans="1:61">
      <c r="A13" s="36">
        <v>46072</v>
      </c>
      <c r="B13" s="19">
        <f>_xlfn.ISOWEEKNUM(BD_MR_FF[[#This Row],[Fecha]])</f>
        <v>8</v>
      </c>
      <c r="C13" s="19">
        <v>1</v>
      </c>
      <c r="D13" s="19">
        <v>1</v>
      </c>
      <c r="E13" s="20">
        <v>404221000</v>
      </c>
      <c r="F13" s="18" t="str">
        <f>IFERROR("" &amp; _xlfn.XLOOKUP(BD_MR_FF[[#This Row],[Código]],BD_Cod!A:A,BD_Cod!B:B), "")</f>
        <v>MO S/V Org. IQF A 13,61 kg en caja</v>
      </c>
      <c r="G13" s="21" t="str">
        <f>IFERROR(" " &amp;_xlfn.XLOOKUP(BD_MR_FF[[#This Row],[Código]],BD_Cod!A:A,BD_Cod!H:H," ")," ")</f>
        <v xml:space="preserve"> PTT</v>
      </c>
      <c r="H13" s="19">
        <v>37467</v>
      </c>
      <c r="I13" s="19">
        <v>11681</v>
      </c>
      <c r="J13" s="22">
        <v>1000</v>
      </c>
      <c r="K13" s="37">
        <v>0.3923611111111111</v>
      </c>
      <c r="L13" s="19" t="s">
        <v>244</v>
      </c>
      <c r="M13" s="22">
        <v>14135</v>
      </c>
      <c r="N13" s="23">
        <v>-13.3</v>
      </c>
      <c r="O13" s="19" t="s">
        <v>890</v>
      </c>
      <c r="P13" s="19" t="s">
        <v>890</v>
      </c>
      <c r="Q13" s="24">
        <f>1-BD_MR_FF[[#This Row],[% Defectos]]</f>
        <v>0.95799999999999996</v>
      </c>
      <c r="R13" s="25">
        <v>42</v>
      </c>
      <c r="S13" s="26">
        <f>+IFERROR((BD_MR_FF[[#This Row],[Desviación de Color]]/BD_MR_FF[[#This Row],[Muestra]]),"0")</f>
        <v>4.2000000000000003E-2</v>
      </c>
      <c r="T13" s="25">
        <v>0</v>
      </c>
      <c r="U13" s="26">
        <f>+IFERROR((BD_MR_FF[[#This Row],[Sobremaduro]]/BD_MR_FF[[#This Row],[Muestra]]),"0")</f>
        <v>0</v>
      </c>
      <c r="V13" s="25">
        <v>0</v>
      </c>
      <c r="W13" s="26">
        <f>+IFERROR((BD_MR_FF[[#This Row],[Daño Mécanico]]/BD_MR_FF[[#This Row],[Muestra]]),"0")</f>
        <v>0</v>
      </c>
      <c r="X13" s="25">
        <v>0</v>
      </c>
      <c r="Y13" s="26">
        <f>+IFERROR((BD_MR_FF[[#This Row],[Daño Insecto]]/BD_MR_FF[[#This Row],[Muestra]]),"0")</f>
        <v>0</v>
      </c>
      <c r="Z13" s="25">
        <v>0</v>
      </c>
      <c r="AA13" s="26">
        <f>+IFERROR((BD_MR_FF[[#This Row],[Block]]/BD_MR_FF[[#This Row],[Muestra]]),"0")</f>
        <v>0</v>
      </c>
      <c r="AB13" s="25">
        <v>0</v>
      </c>
      <c r="AC13" s="26">
        <f>+IFERROR((BD_MR_FF[[#This Row],[Mohos]]/BD_MR_FF[[#This Row],[Muestra]]),"0")</f>
        <v>0</v>
      </c>
      <c r="AD13" s="25">
        <v>0</v>
      </c>
      <c r="AE13" s="27">
        <v>0</v>
      </c>
      <c r="AG13" s="25">
        <v>0</v>
      </c>
      <c r="AH13" s="26">
        <f>+IFERROR((BD_MR_FF[[#This Row],[Valor Extra 1]]/BD_MR_FF[[#This Row],[Muestra]]),"0")</f>
        <v>0</v>
      </c>
      <c r="AJ13" s="25">
        <v>0</v>
      </c>
      <c r="AK13" s="26">
        <f>+IFERROR((BD_MR_FF[[#This Row],[Valor Extra 2]]/BD_MR_FF[[#This Row],[Muestra]]),"0")</f>
        <v>0</v>
      </c>
      <c r="AL13" s="19">
        <v>0</v>
      </c>
      <c r="AM13" s="26">
        <f>+IFERROR((BD_MR_FF[[#This Row],[Calibre &gt;16]]/BD_MR_FF[[#This Row],[Muestra]]),"0")</f>
        <v>0</v>
      </c>
      <c r="AN13" s="19">
        <v>0</v>
      </c>
      <c r="AO13" s="26">
        <f>+IFERROR((BD_MR_FF[[#This Row],[Calibre &lt;16]]/BD_MR_FF[[#This Row],[Muestra]]),"0")</f>
        <v>0</v>
      </c>
      <c r="AV13" s="27"/>
      <c r="AW13" s="29" t="s">
        <v>900</v>
      </c>
      <c r="AX13" s="19" t="s">
        <v>890</v>
      </c>
      <c r="AY13" s="19" t="s">
        <v>890</v>
      </c>
      <c r="AZ13" s="30">
        <f>SUM(BD_MR_FF[[#This Row],[Desviación de Color]]+BD_MR_FF[[#This Row],[Sobremaduro]]+BD_MR_FF[[#This Row],[Daño Mécanico]]+BD_MR_FF[[#This Row],[Daño Insecto]]+BD_MR_FF[[#This Row],[Block]]+BD_MR_FF[[#This Row],[Mohos]])</f>
        <v>42</v>
      </c>
      <c r="BA13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4.2000000000000003E-2</v>
      </c>
      <c r="BC13" s="24">
        <f>1-BD_MR_FF[[#This Row],[% Defectos]]</f>
        <v>0.95799999999999996</v>
      </c>
      <c r="BD13" s="31"/>
      <c r="BE13" s="19">
        <f>SUM(BD_MR_FF[[#This Row],[Palos (Un.) (≤18)]:[Larvas (Un.) (≤24)]])</f>
        <v>0</v>
      </c>
      <c r="BF13" s="19">
        <f>SUM(BD_MR_FF[[#This Row],[Vidrio (Un.) (0)]:[Plástico (Un.) (0)]])</f>
        <v>0</v>
      </c>
      <c r="BG13" s="19" t="str">
        <f>IF(ISBLANK(BD_MR_FF[[#This Row],[Descripción del Producto]]),"",BD_MR_FF[[#This Row],[Descripción del Producto]])</f>
        <v>MO S/V Org. IQF A 13,61 kg en caja</v>
      </c>
      <c r="BH13" s="19">
        <f>IF(ISBLANK(BD_MR_FF[[#This Row],[N° Lote]]),"",BD_MR_FF[[#This Row],[N° Lote]])</f>
        <v>11681</v>
      </c>
      <c r="BI13" s="19">
        <f>IF(ISBLANK(BD_MR_FF[[#This Row],[N° Pallet]]),"",BD_MR_FF[[#This Row],[N° Pallet]])</f>
        <v>37467</v>
      </c>
    </row>
    <row r="14" spans="1:61">
      <c r="B14" s="19">
        <f>_xlfn.ISOWEEKNUM(BD_MR_FF[[#This Row],[Fecha]])</f>
        <v>52</v>
      </c>
      <c r="E14" s="20"/>
      <c r="F14" s="18" t="str">
        <f>IFERROR("" &amp; _xlfn.XLOOKUP(BD_MR_FF[[#This Row],[Código]],BD_Cod!A:A,BD_Cod!B:B), "")</f>
        <v/>
      </c>
      <c r="G14" s="21" t="str">
        <f>IFERROR(" " &amp;_xlfn.XLOOKUP(BD_MR_FF[[#This Row],[Código]],BD_Cod!A:A,BD_Cod!H:H," ")," ")</f>
        <v xml:space="preserve"> </v>
      </c>
      <c r="J14" s="22">
        <v>1000</v>
      </c>
      <c r="L14" s="19" t="s">
        <v>244</v>
      </c>
      <c r="O14" s="19" t="s">
        <v>890</v>
      </c>
      <c r="P14" s="19" t="s">
        <v>890</v>
      </c>
      <c r="Q14" s="24">
        <f>1-BD_MR_FF[[#This Row],[% Defectos]]</f>
        <v>1</v>
      </c>
      <c r="R14" s="25">
        <v>0</v>
      </c>
      <c r="S14" s="26">
        <f>+IFERROR((BD_MR_FF[[#This Row],[Desviación de Color]]/BD_MR_FF[[#This Row],[Muestra]]),"0")</f>
        <v>0</v>
      </c>
      <c r="T14" s="25">
        <v>0</v>
      </c>
      <c r="U14" s="26">
        <f>+IFERROR((BD_MR_FF[[#This Row],[Sobremaduro]]/BD_MR_FF[[#This Row],[Muestra]]),"0")</f>
        <v>0</v>
      </c>
      <c r="V14" s="25">
        <v>0</v>
      </c>
      <c r="W14" s="26">
        <f>+IFERROR((BD_MR_FF[[#This Row],[Daño Mécanico]]/BD_MR_FF[[#This Row],[Muestra]]),"0")</f>
        <v>0</v>
      </c>
      <c r="X14" s="25">
        <v>0</v>
      </c>
      <c r="Y14" s="26">
        <f>+IFERROR((BD_MR_FF[[#This Row],[Daño Insecto]]/BD_MR_FF[[#This Row],[Muestra]]),"0")</f>
        <v>0</v>
      </c>
      <c r="Z14" s="25">
        <v>0</v>
      </c>
      <c r="AA14" s="26">
        <f>+IFERROR((BD_MR_FF[[#This Row],[Block]]/BD_MR_FF[[#This Row],[Muestra]]),"0")</f>
        <v>0</v>
      </c>
      <c r="AB14" s="25">
        <v>0</v>
      </c>
      <c r="AC14" s="26">
        <f>+IFERROR((BD_MR_FF[[#This Row],[Mohos]]/BD_MR_FF[[#This Row],[Muestra]]),"0")</f>
        <v>0</v>
      </c>
      <c r="AD14" s="25">
        <v>0</v>
      </c>
      <c r="AE14" s="27">
        <v>0</v>
      </c>
      <c r="AG14" s="25">
        <v>0</v>
      </c>
      <c r="AH14" s="26">
        <f>+IFERROR((BD_MR_FF[[#This Row],[Valor Extra 1]]/BD_MR_FF[[#This Row],[Muestra]]),"0")</f>
        <v>0</v>
      </c>
      <c r="AJ14" s="25">
        <v>0</v>
      </c>
      <c r="AK14" s="26">
        <f>+IFERROR((BD_MR_FF[[#This Row],[Valor Extra 2]]/BD_MR_FF[[#This Row],[Muestra]]),"0")</f>
        <v>0</v>
      </c>
      <c r="AL14" s="19">
        <v>0</v>
      </c>
      <c r="AM14" s="26">
        <f>+IFERROR((BD_MR_FF[[#This Row],[Calibre &gt;16]]/BD_MR_FF[[#This Row],[Muestra]]),"0")</f>
        <v>0</v>
      </c>
      <c r="AN14" s="19">
        <v>0</v>
      </c>
      <c r="AO14" s="26">
        <f>+IFERROR((BD_MR_FF[[#This Row],[Calibre &lt;16]]/BD_MR_FF[[#This Row],[Muestra]]),"0")</f>
        <v>0</v>
      </c>
      <c r="AV14" s="27"/>
      <c r="AW14" s="29" t="s">
        <v>900</v>
      </c>
      <c r="AX14" s="19" t="s">
        <v>890</v>
      </c>
      <c r="AY14" s="19" t="s">
        <v>890</v>
      </c>
      <c r="AZ14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14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14" s="24">
        <f>1-BD_MR_FF[[#This Row],[% Defectos]]</f>
        <v>1</v>
      </c>
      <c r="BD14" s="31"/>
      <c r="BE14" s="19">
        <f>SUM(BD_MR_FF[[#This Row],[Palos (Un.) (≤18)]:[Larvas (Un.) (≤24)]])</f>
        <v>0</v>
      </c>
      <c r="BF14" s="19">
        <f>SUM(BD_MR_FF[[#This Row],[Vidrio (Un.) (0)]:[Plástico (Un.) (0)]])</f>
        <v>0</v>
      </c>
      <c r="BG14" s="19" t="str">
        <f>IF(ISBLANK(BD_MR_FF[[#This Row],[Descripción del Producto]]),"",BD_MR_FF[[#This Row],[Descripción del Producto]])</f>
        <v/>
      </c>
      <c r="BH14" s="19" t="str">
        <f>IF(ISBLANK(BD_MR_FF[[#This Row],[N° Lote]]),"",BD_MR_FF[[#This Row],[N° Lote]])</f>
        <v/>
      </c>
      <c r="BI14" s="19" t="str">
        <f>IF(ISBLANK(BD_MR_FF[[#This Row],[N° Pallet]]),"",BD_MR_FF[[#This Row],[N° Pallet]])</f>
        <v/>
      </c>
    </row>
    <row r="15" spans="1:61">
      <c r="B15" s="19">
        <f>_xlfn.ISOWEEKNUM(BD_MR_FF[[#This Row],[Fecha]])</f>
        <v>52</v>
      </c>
      <c r="E15" s="20"/>
      <c r="F15" s="18" t="str">
        <f>IFERROR("" &amp; _xlfn.XLOOKUP(BD_MR_FF[[#This Row],[Código]],BD_Cod!A:A,BD_Cod!B:B), "")</f>
        <v/>
      </c>
      <c r="G15" s="21" t="str">
        <f>IFERROR(" " &amp;_xlfn.XLOOKUP(BD_MR_FF[[#This Row],[Código]],BD_Cod!A:A,BD_Cod!H:H," ")," ")</f>
        <v xml:space="preserve"> </v>
      </c>
      <c r="J15" s="22">
        <v>1000</v>
      </c>
      <c r="L15" s="19" t="s">
        <v>244</v>
      </c>
      <c r="O15" s="19" t="s">
        <v>890</v>
      </c>
      <c r="P15" s="19" t="s">
        <v>890</v>
      </c>
      <c r="Q15" s="24">
        <f>1-BD_MR_FF[[#This Row],[% Defectos]]</f>
        <v>1</v>
      </c>
      <c r="R15" s="25">
        <v>0</v>
      </c>
      <c r="S15" s="26">
        <f>+IFERROR((BD_MR_FF[[#This Row],[Desviación de Color]]/BD_MR_FF[[#This Row],[Muestra]]),"0")</f>
        <v>0</v>
      </c>
      <c r="T15" s="25">
        <v>0</v>
      </c>
      <c r="U15" s="26">
        <f>+IFERROR((BD_MR_FF[[#This Row],[Sobremaduro]]/BD_MR_FF[[#This Row],[Muestra]]),"0")</f>
        <v>0</v>
      </c>
      <c r="V15" s="25">
        <v>0</v>
      </c>
      <c r="W15" s="26">
        <f>+IFERROR((BD_MR_FF[[#This Row],[Daño Mécanico]]/BD_MR_FF[[#This Row],[Muestra]]),"0")</f>
        <v>0</v>
      </c>
      <c r="X15" s="25">
        <v>0</v>
      </c>
      <c r="Y15" s="26">
        <f>+IFERROR((BD_MR_FF[[#This Row],[Daño Insecto]]/BD_MR_FF[[#This Row],[Muestra]]),"0")</f>
        <v>0</v>
      </c>
      <c r="Z15" s="25">
        <v>0</v>
      </c>
      <c r="AA15" s="26">
        <f>+IFERROR((BD_MR_FF[[#This Row],[Block]]/BD_MR_FF[[#This Row],[Muestra]]),"0")</f>
        <v>0</v>
      </c>
      <c r="AB15" s="25">
        <v>0</v>
      </c>
      <c r="AC15" s="26">
        <f>+IFERROR((BD_MR_FF[[#This Row],[Mohos]]/BD_MR_FF[[#This Row],[Muestra]]),"0")</f>
        <v>0</v>
      </c>
      <c r="AD15" s="25">
        <v>0</v>
      </c>
      <c r="AE15" s="27">
        <v>0</v>
      </c>
      <c r="AG15" s="25">
        <v>0</v>
      </c>
      <c r="AH15" s="26">
        <f>+IFERROR((BD_MR_FF[[#This Row],[Valor Extra 1]]/BD_MR_FF[[#This Row],[Muestra]]),"0")</f>
        <v>0</v>
      </c>
      <c r="AJ15" s="25">
        <v>0</v>
      </c>
      <c r="AK15" s="26">
        <f>+IFERROR((BD_MR_FF[[#This Row],[Valor Extra 2]]/BD_MR_FF[[#This Row],[Muestra]]),"0")</f>
        <v>0</v>
      </c>
      <c r="AL15" s="19">
        <v>0</v>
      </c>
      <c r="AM15" s="26">
        <f>+IFERROR((BD_MR_FF[[#This Row],[Calibre &gt;16]]/BD_MR_FF[[#This Row],[Muestra]]),"0")</f>
        <v>0</v>
      </c>
      <c r="AN15" s="19">
        <v>0</v>
      </c>
      <c r="AO15" s="26">
        <f>+IFERROR((BD_MR_FF[[#This Row],[Calibre &lt;16]]/BD_MR_FF[[#This Row],[Muestra]]),"0")</f>
        <v>0</v>
      </c>
      <c r="AV15" s="27"/>
      <c r="AW15" s="29" t="s">
        <v>900</v>
      </c>
      <c r="AX15" s="19" t="s">
        <v>890</v>
      </c>
      <c r="AY15" s="19" t="s">
        <v>890</v>
      </c>
      <c r="AZ15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15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15" s="24">
        <f>1-BD_MR_FF[[#This Row],[% Defectos]]</f>
        <v>1</v>
      </c>
      <c r="BD15" s="31"/>
      <c r="BE15" s="19">
        <f>SUM(BD_MR_FF[[#This Row],[Palos (Un.) (≤18)]:[Larvas (Un.) (≤24)]])</f>
        <v>0</v>
      </c>
      <c r="BF15" s="19">
        <f>SUM(BD_MR_FF[[#This Row],[Vidrio (Un.) (0)]:[Plástico (Un.) (0)]])</f>
        <v>0</v>
      </c>
      <c r="BG15" s="19" t="str">
        <f>IF(ISBLANK(BD_MR_FF[[#This Row],[Descripción del Producto]]),"",BD_MR_FF[[#This Row],[Descripción del Producto]])</f>
        <v/>
      </c>
      <c r="BH15" s="19" t="str">
        <f>IF(ISBLANK(BD_MR_FF[[#This Row],[N° Lote]]),"",BD_MR_FF[[#This Row],[N° Lote]])</f>
        <v/>
      </c>
      <c r="BI15" s="19" t="str">
        <f>IF(ISBLANK(BD_MR_FF[[#This Row],[N° Pallet]]),"",BD_MR_FF[[#This Row],[N° Pallet]])</f>
        <v/>
      </c>
    </row>
    <row r="16" spans="1:61">
      <c r="B16" s="19">
        <f>_xlfn.ISOWEEKNUM(BD_MR_FF[[#This Row],[Fecha]])</f>
        <v>52</v>
      </c>
      <c r="E16" s="20"/>
      <c r="F16" s="18" t="str">
        <f>IFERROR("" &amp; _xlfn.XLOOKUP(BD_MR_FF[[#This Row],[Código]],BD_Cod!A:A,BD_Cod!B:B), "")</f>
        <v/>
      </c>
      <c r="G16" s="21" t="str">
        <f>IFERROR(" " &amp;_xlfn.XLOOKUP(BD_MR_FF[[#This Row],[Código]],BD_Cod!A:A,BD_Cod!H:H," ")," ")</f>
        <v xml:space="preserve"> </v>
      </c>
      <c r="J16" s="22">
        <v>1000</v>
      </c>
      <c r="L16" s="19" t="s">
        <v>244</v>
      </c>
      <c r="O16" s="19" t="s">
        <v>890</v>
      </c>
      <c r="P16" s="19" t="s">
        <v>890</v>
      </c>
      <c r="Q16" s="24">
        <f>1-BD_MR_FF[[#This Row],[% Defectos]]</f>
        <v>1</v>
      </c>
      <c r="R16" s="25">
        <v>0</v>
      </c>
      <c r="S16" s="26">
        <f>+IFERROR((BD_MR_FF[[#This Row],[Desviación de Color]]/BD_MR_FF[[#This Row],[Muestra]]),"0")</f>
        <v>0</v>
      </c>
      <c r="T16" s="25">
        <v>0</v>
      </c>
      <c r="U16" s="26">
        <f>+IFERROR((BD_MR_FF[[#This Row],[Sobremaduro]]/BD_MR_FF[[#This Row],[Muestra]]),"0")</f>
        <v>0</v>
      </c>
      <c r="V16" s="25">
        <v>0</v>
      </c>
      <c r="W16" s="26">
        <f>+IFERROR((BD_MR_FF[[#This Row],[Daño Mécanico]]/BD_MR_FF[[#This Row],[Muestra]]),"0")</f>
        <v>0</v>
      </c>
      <c r="X16" s="25">
        <v>0</v>
      </c>
      <c r="Y16" s="26">
        <f>+IFERROR((BD_MR_FF[[#This Row],[Daño Insecto]]/BD_MR_FF[[#This Row],[Muestra]]),"0")</f>
        <v>0</v>
      </c>
      <c r="Z16" s="25">
        <v>0</v>
      </c>
      <c r="AA16" s="26">
        <f>+IFERROR((BD_MR_FF[[#This Row],[Block]]/BD_MR_FF[[#This Row],[Muestra]]),"0")</f>
        <v>0</v>
      </c>
      <c r="AB16" s="25">
        <v>0</v>
      </c>
      <c r="AC16" s="26">
        <f>+IFERROR((BD_MR_FF[[#This Row],[Mohos]]/BD_MR_FF[[#This Row],[Muestra]]),"0")</f>
        <v>0</v>
      </c>
      <c r="AD16" s="25">
        <v>0</v>
      </c>
      <c r="AE16" s="27">
        <v>0</v>
      </c>
      <c r="AG16" s="25">
        <v>0</v>
      </c>
      <c r="AH16" s="26">
        <f>+IFERROR((BD_MR_FF[[#This Row],[Valor Extra 1]]/BD_MR_FF[[#This Row],[Muestra]]),"0")</f>
        <v>0</v>
      </c>
      <c r="AJ16" s="25">
        <v>0</v>
      </c>
      <c r="AK16" s="26">
        <f>+IFERROR((BD_MR_FF[[#This Row],[Valor Extra 2]]/BD_MR_FF[[#This Row],[Muestra]]),"0")</f>
        <v>0</v>
      </c>
      <c r="AL16" s="19">
        <v>0</v>
      </c>
      <c r="AM16" s="26">
        <f>+IFERROR((BD_MR_FF[[#This Row],[Calibre &gt;16]]/BD_MR_FF[[#This Row],[Muestra]]),"0")</f>
        <v>0</v>
      </c>
      <c r="AN16" s="19">
        <v>0</v>
      </c>
      <c r="AO16" s="26">
        <f>+IFERROR((BD_MR_FF[[#This Row],[Calibre &lt;16]]/BD_MR_FF[[#This Row],[Muestra]]),"0")</f>
        <v>0</v>
      </c>
      <c r="AV16" s="27"/>
      <c r="AW16" s="29" t="s">
        <v>900</v>
      </c>
      <c r="AX16" s="19" t="s">
        <v>890</v>
      </c>
      <c r="AY16" s="19" t="s">
        <v>890</v>
      </c>
      <c r="AZ16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16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16" s="24">
        <f>1-BD_MR_FF[[#This Row],[% Defectos]]</f>
        <v>1</v>
      </c>
      <c r="BD16" s="31"/>
      <c r="BE16" s="19">
        <f>SUM(BD_MR_FF[[#This Row],[Palos (Un.) (≤18)]:[Larvas (Un.) (≤24)]])</f>
        <v>0</v>
      </c>
      <c r="BF16" s="19">
        <f>SUM(BD_MR_FF[[#This Row],[Vidrio (Un.) (0)]:[Plástico (Un.) (0)]])</f>
        <v>0</v>
      </c>
      <c r="BG16" s="19" t="str">
        <f>IF(ISBLANK(BD_MR_FF[[#This Row],[Descripción del Producto]]),"",BD_MR_FF[[#This Row],[Descripción del Producto]])</f>
        <v/>
      </c>
      <c r="BH16" s="19" t="str">
        <f>IF(ISBLANK(BD_MR_FF[[#This Row],[N° Lote]]),"",BD_MR_FF[[#This Row],[N° Lote]])</f>
        <v/>
      </c>
      <c r="BI16" s="19" t="str">
        <f>IF(ISBLANK(BD_MR_FF[[#This Row],[N° Pallet]]),"",BD_MR_FF[[#This Row],[N° Pallet]])</f>
        <v/>
      </c>
    </row>
    <row r="17" spans="2:61">
      <c r="B17" s="19">
        <f>_xlfn.ISOWEEKNUM(BD_MR_FF[[#This Row],[Fecha]])</f>
        <v>52</v>
      </c>
      <c r="E17" s="20"/>
      <c r="F17" s="18" t="str">
        <f>IFERROR("" &amp; _xlfn.XLOOKUP(BD_MR_FF[[#This Row],[Código]],BD_Cod!A:A,BD_Cod!B:B), "")</f>
        <v/>
      </c>
      <c r="G17" s="21" t="str">
        <f>IFERROR(" " &amp;_xlfn.XLOOKUP(BD_MR_FF[[#This Row],[Código]],BD_Cod!A:A,BD_Cod!H:H," ")," ")</f>
        <v xml:space="preserve"> </v>
      </c>
      <c r="J17" s="22">
        <v>1000</v>
      </c>
      <c r="L17" s="19" t="s">
        <v>244</v>
      </c>
      <c r="O17" s="19" t="s">
        <v>890</v>
      </c>
      <c r="P17" s="19" t="s">
        <v>890</v>
      </c>
      <c r="Q17" s="24">
        <f>1-BD_MR_FF[[#This Row],[% Defectos]]</f>
        <v>1</v>
      </c>
      <c r="R17" s="25">
        <v>0</v>
      </c>
      <c r="S17" s="26">
        <f>+IFERROR((BD_MR_FF[[#This Row],[Desviación de Color]]/BD_MR_FF[[#This Row],[Muestra]]),"0")</f>
        <v>0</v>
      </c>
      <c r="T17" s="25">
        <v>0</v>
      </c>
      <c r="U17" s="26">
        <f>+IFERROR((BD_MR_FF[[#This Row],[Sobremaduro]]/BD_MR_FF[[#This Row],[Muestra]]),"0")</f>
        <v>0</v>
      </c>
      <c r="V17" s="25">
        <v>0</v>
      </c>
      <c r="W17" s="26">
        <f>+IFERROR((BD_MR_FF[[#This Row],[Daño Mécanico]]/BD_MR_FF[[#This Row],[Muestra]]),"0")</f>
        <v>0</v>
      </c>
      <c r="X17" s="25">
        <v>0</v>
      </c>
      <c r="Y17" s="26">
        <f>+IFERROR((BD_MR_FF[[#This Row],[Daño Insecto]]/BD_MR_FF[[#This Row],[Muestra]]),"0")</f>
        <v>0</v>
      </c>
      <c r="Z17" s="25">
        <v>0</v>
      </c>
      <c r="AA17" s="26">
        <f>+IFERROR((BD_MR_FF[[#This Row],[Block]]/BD_MR_FF[[#This Row],[Muestra]]),"0")</f>
        <v>0</v>
      </c>
      <c r="AB17" s="25">
        <v>0</v>
      </c>
      <c r="AC17" s="26">
        <f>+IFERROR((BD_MR_FF[[#This Row],[Mohos]]/BD_MR_FF[[#This Row],[Muestra]]),"0")</f>
        <v>0</v>
      </c>
      <c r="AD17" s="25">
        <v>0</v>
      </c>
      <c r="AE17" s="27">
        <v>0</v>
      </c>
      <c r="AG17" s="25">
        <v>0</v>
      </c>
      <c r="AH17" s="26">
        <f>+IFERROR((BD_MR_FF[[#This Row],[Valor Extra 1]]/BD_MR_FF[[#This Row],[Muestra]]),"0")</f>
        <v>0</v>
      </c>
      <c r="AJ17" s="25">
        <v>0</v>
      </c>
      <c r="AK17" s="26">
        <f>+IFERROR((BD_MR_FF[[#This Row],[Valor Extra 2]]/BD_MR_FF[[#This Row],[Muestra]]),"0")</f>
        <v>0</v>
      </c>
      <c r="AL17" s="19">
        <v>0</v>
      </c>
      <c r="AM17" s="26">
        <f>+IFERROR((BD_MR_FF[[#This Row],[Calibre &gt;16]]/BD_MR_FF[[#This Row],[Muestra]]),"0")</f>
        <v>0</v>
      </c>
      <c r="AN17" s="19">
        <v>0</v>
      </c>
      <c r="AO17" s="26">
        <f>+IFERROR((BD_MR_FF[[#This Row],[Calibre &lt;16]]/BD_MR_FF[[#This Row],[Muestra]]),"0")</f>
        <v>0</v>
      </c>
      <c r="AV17" s="27"/>
      <c r="AW17" s="29" t="s">
        <v>900</v>
      </c>
      <c r="AX17" s="19" t="s">
        <v>890</v>
      </c>
      <c r="AY17" s="19" t="s">
        <v>890</v>
      </c>
      <c r="AZ17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17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17" s="24">
        <f>1-BD_MR_FF[[#This Row],[% Defectos]]</f>
        <v>1</v>
      </c>
      <c r="BD17" s="31"/>
      <c r="BE17" s="19">
        <f>SUM(BD_MR_FF[[#This Row],[Palos (Un.) (≤18)]:[Larvas (Un.) (≤24)]])</f>
        <v>0</v>
      </c>
      <c r="BF17" s="19">
        <f>SUM(BD_MR_FF[[#This Row],[Vidrio (Un.) (0)]:[Plástico (Un.) (0)]])</f>
        <v>0</v>
      </c>
      <c r="BG17" s="19" t="str">
        <f>IF(ISBLANK(BD_MR_FF[[#This Row],[Descripción del Producto]]),"",BD_MR_FF[[#This Row],[Descripción del Producto]])</f>
        <v/>
      </c>
      <c r="BH17" s="19" t="str">
        <f>IF(ISBLANK(BD_MR_FF[[#This Row],[N° Lote]]),"",BD_MR_FF[[#This Row],[N° Lote]])</f>
        <v/>
      </c>
      <c r="BI17" s="19" t="str">
        <f>IF(ISBLANK(BD_MR_FF[[#This Row],[N° Pallet]]),"",BD_MR_FF[[#This Row],[N° Pallet]])</f>
        <v/>
      </c>
    </row>
    <row r="18" spans="2:61">
      <c r="B18" s="19">
        <f>_xlfn.ISOWEEKNUM(BD_MR_FF[[#This Row],[Fecha]])</f>
        <v>52</v>
      </c>
      <c r="E18" s="20"/>
      <c r="F18" s="18" t="str">
        <f>IFERROR("" &amp; _xlfn.XLOOKUP(BD_MR_FF[[#This Row],[Código]],BD_Cod!A:A,BD_Cod!B:B), "")</f>
        <v/>
      </c>
      <c r="G18" s="21" t="str">
        <f>IFERROR(" " &amp;_xlfn.XLOOKUP(BD_MR_FF[[#This Row],[Código]],BD_Cod!A:A,BD_Cod!H:H," ")," ")</f>
        <v xml:space="preserve"> </v>
      </c>
      <c r="J18" s="22">
        <v>1000</v>
      </c>
      <c r="L18" s="19" t="s">
        <v>244</v>
      </c>
      <c r="O18" s="19" t="s">
        <v>890</v>
      </c>
      <c r="P18" s="19" t="s">
        <v>890</v>
      </c>
      <c r="Q18" s="24">
        <f>1-BD_MR_FF[[#This Row],[% Defectos]]</f>
        <v>1</v>
      </c>
      <c r="R18" s="25">
        <v>0</v>
      </c>
      <c r="S18" s="26">
        <f>+IFERROR((BD_MR_FF[[#This Row],[Desviación de Color]]/BD_MR_FF[[#This Row],[Muestra]]),"0")</f>
        <v>0</v>
      </c>
      <c r="T18" s="25">
        <v>0</v>
      </c>
      <c r="U18" s="26">
        <f>+IFERROR((BD_MR_FF[[#This Row],[Sobremaduro]]/BD_MR_FF[[#This Row],[Muestra]]),"0")</f>
        <v>0</v>
      </c>
      <c r="V18" s="25">
        <v>0</v>
      </c>
      <c r="W18" s="26">
        <f>+IFERROR((BD_MR_FF[[#This Row],[Daño Mécanico]]/BD_MR_FF[[#This Row],[Muestra]]),"0")</f>
        <v>0</v>
      </c>
      <c r="X18" s="25">
        <v>0</v>
      </c>
      <c r="Y18" s="26">
        <f>+IFERROR((BD_MR_FF[[#This Row],[Daño Insecto]]/BD_MR_FF[[#This Row],[Muestra]]),"0")</f>
        <v>0</v>
      </c>
      <c r="Z18" s="25">
        <v>0</v>
      </c>
      <c r="AA18" s="26">
        <f>+IFERROR((BD_MR_FF[[#This Row],[Block]]/BD_MR_FF[[#This Row],[Muestra]]),"0")</f>
        <v>0</v>
      </c>
      <c r="AB18" s="25">
        <v>0</v>
      </c>
      <c r="AC18" s="26">
        <f>+IFERROR((BD_MR_FF[[#This Row],[Mohos]]/BD_MR_FF[[#This Row],[Muestra]]),"0")</f>
        <v>0</v>
      </c>
      <c r="AD18" s="25">
        <v>0</v>
      </c>
      <c r="AE18" s="27">
        <v>0</v>
      </c>
      <c r="AG18" s="25">
        <v>0</v>
      </c>
      <c r="AH18" s="26">
        <f>+IFERROR((BD_MR_FF[[#This Row],[Valor Extra 1]]/BD_MR_FF[[#This Row],[Muestra]]),"0")</f>
        <v>0</v>
      </c>
      <c r="AJ18" s="25">
        <v>0</v>
      </c>
      <c r="AK18" s="26">
        <f>+IFERROR((BD_MR_FF[[#This Row],[Valor Extra 2]]/BD_MR_FF[[#This Row],[Muestra]]),"0")</f>
        <v>0</v>
      </c>
      <c r="AL18" s="19">
        <v>0</v>
      </c>
      <c r="AM18" s="26">
        <f>+IFERROR((BD_MR_FF[[#This Row],[Calibre &gt;16]]/BD_MR_FF[[#This Row],[Muestra]]),"0")</f>
        <v>0</v>
      </c>
      <c r="AN18" s="19">
        <v>0</v>
      </c>
      <c r="AO18" s="26">
        <f>+IFERROR((BD_MR_FF[[#This Row],[Calibre &lt;16]]/BD_MR_FF[[#This Row],[Muestra]]),"0")</f>
        <v>0</v>
      </c>
      <c r="AV18" s="27"/>
      <c r="AW18" s="29" t="s">
        <v>900</v>
      </c>
      <c r="AX18" s="19" t="s">
        <v>890</v>
      </c>
      <c r="AY18" s="19" t="s">
        <v>890</v>
      </c>
      <c r="AZ18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18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18" s="24">
        <f>1-BD_MR_FF[[#This Row],[% Defectos]]</f>
        <v>1</v>
      </c>
      <c r="BD18" s="31"/>
      <c r="BE18" s="19">
        <f>SUM(BD_MR_FF[[#This Row],[Palos (Un.) (≤18)]:[Larvas (Un.) (≤24)]])</f>
        <v>0</v>
      </c>
      <c r="BF18" s="19">
        <f>SUM(BD_MR_FF[[#This Row],[Vidrio (Un.) (0)]:[Plástico (Un.) (0)]])</f>
        <v>0</v>
      </c>
      <c r="BG18" s="19" t="str">
        <f>IF(ISBLANK(BD_MR_FF[[#This Row],[Descripción del Producto]]),"",BD_MR_FF[[#This Row],[Descripción del Producto]])</f>
        <v/>
      </c>
      <c r="BH18" s="19" t="str">
        <f>IF(ISBLANK(BD_MR_FF[[#This Row],[N° Lote]]),"",BD_MR_FF[[#This Row],[N° Lote]])</f>
        <v/>
      </c>
      <c r="BI18" s="19" t="str">
        <f>IF(ISBLANK(BD_MR_FF[[#This Row],[N° Pallet]]),"",BD_MR_FF[[#This Row],[N° Pallet]])</f>
        <v/>
      </c>
    </row>
    <row r="19" spans="2:61">
      <c r="B19" s="19">
        <f>_xlfn.ISOWEEKNUM(BD_MR_FF[[#This Row],[Fecha]])</f>
        <v>52</v>
      </c>
      <c r="E19" s="20"/>
      <c r="F19" s="18" t="str">
        <f>IFERROR("" &amp; _xlfn.XLOOKUP(BD_MR_FF[[#This Row],[Código]],BD_Cod!A:A,BD_Cod!B:B), "")</f>
        <v/>
      </c>
      <c r="G19" s="21" t="str">
        <f>IFERROR(" " &amp;_xlfn.XLOOKUP(BD_MR_FF[[#This Row],[Código]],BD_Cod!A:A,BD_Cod!H:H," ")," ")</f>
        <v xml:space="preserve"> </v>
      </c>
      <c r="J19" s="22">
        <v>1000</v>
      </c>
      <c r="L19" s="19" t="s">
        <v>244</v>
      </c>
      <c r="O19" s="19" t="s">
        <v>890</v>
      </c>
      <c r="P19" s="19" t="s">
        <v>890</v>
      </c>
      <c r="Q19" s="24">
        <f>1-BD_MR_FF[[#This Row],[% Defectos]]</f>
        <v>1</v>
      </c>
      <c r="R19" s="25">
        <v>0</v>
      </c>
      <c r="S19" s="26">
        <f>+IFERROR((BD_MR_FF[[#This Row],[Desviación de Color]]/BD_MR_FF[[#This Row],[Muestra]]),"0")</f>
        <v>0</v>
      </c>
      <c r="T19" s="25">
        <v>0</v>
      </c>
      <c r="U19" s="26">
        <f>+IFERROR((BD_MR_FF[[#This Row],[Sobremaduro]]/BD_MR_FF[[#This Row],[Muestra]]),"0")</f>
        <v>0</v>
      </c>
      <c r="V19" s="25">
        <v>0</v>
      </c>
      <c r="W19" s="26">
        <f>+IFERROR((BD_MR_FF[[#This Row],[Daño Mécanico]]/BD_MR_FF[[#This Row],[Muestra]]),"0")</f>
        <v>0</v>
      </c>
      <c r="X19" s="25">
        <v>0</v>
      </c>
      <c r="Y19" s="26">
        <f>+IFERROR((BD_MR_FF[[#This Row],[Daño Insecto]]/BD_MR_FF[[#This Row],[Muestra]]),"0")</f>
        <v>0</v>
      </c>
      <c r="Z19" s="25">
        <v>0</v>
      </c>
      <c r="AA19" s="26">
        <f>+IFERROR((BD_MR_FF[[#This Row],[Block]]/BD_MR_FF[[#This Row],[Muestra]]),"0")</f>
        <v>0</v>
      </c>
      <c r="AB19" s="25">
        <v>0</v>
      </c>
      <c r="AC19" s="26">
        <f>+IFERROR((BD_MR_FF[[#This Row],[Mohos]]/BD_MR_FF[[#This Row],[Muestra]]),"0")</f>
        <v>0</v>
      </c>
      <c r="AD19" s="25">
        <v>0</v>
      </c>
      <c r="AE19" s="27">
        <v>0</v>
      </c>
      <c r="AG19" s="25">
        <v>0</v>
      </c>
      <c r="AH19" s="26">
        <f>+IFERROR((BD_MR_FF[[#This Row],[Valor Extra 1]]/BD_MR_FF[[#This Row],[Muestra]]),"0")</f>
        <v>0</v>
      </c>
      <c r="AJ19" s="25">
        <v>0</v>
      </c>
      <c r="AK19" s="26">
        <f>+IFERROR((BD_MR_FF[[#This Row],[Valor Extra 2]]/BD_MR_FF[[#This Row],[Muestra]]),"0")</f>
        <v>0</v>
      </c>
      <c r="AL19" s="19">
        <v>0</v>
      </c>
      <c r="AM19" s="26">
        <f>+IFERROR((BD_MR_FF[[#This Row],[Calibre &gt;16]]/BD_MR_FF[[#This Row],[Muestra]]),"0")</f>
        <v>0</v>
      </c>
      <c r="AN19" s="19">
        <v>0</v>
      </c>
      <c r="AO19" s="26">
        <f>+IFERROR((BD_MR_FF[[#This Row],[Calibre &lt;16]]/BD_MR_FF[[#This Row],[Muestra]]),"0")</f>
        <v>0</v>
      </c>
      <c r="AV19" s="27"/>
      <c r="AW19" s="29" t="s">
        <v>900</v>
      </c>
      <c r="AX19" s="19" t="s">
        <v>890</v>
      </c>
      <c r="AY19" s="19" t="s">
        <v>890</v>
      </c>
      <c r="AZ19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19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19" s="24">
        <f>1-BD_MR_FF[[#This Row],[% Defectos]]</f>
        <v>1</v>
      </c>
      <c r="BD19" s="31"/>
      <c r="BE19" s="19">
        <f>SUM(BD_MR_FF[[#This Row],[Palos (Un.) (≤18)]:[Larvas (Un.) (≤24)]])</f>
        <v>0</v>
      </c>
      <c r="BF19" s="19">
        <f>SUM(BD_MR_FF[[#This Row],[Vidrio (Un.) (0)]:[Plástico (Un.) (0)]])</f>
        <v>0</v>
      </c>
      <c r="BG19" s="19" t="str">
        <f>IF(ISBLANK(BD_MR_FF[[#This Row],[Descripción del Producto]]),"",BD_MR_FF[[#This Row],[Descripción del Producto]])</f>
        <v/>
      </c>
      <c r="BH19" s="19" t="str">
        <f>IF(ISBLANK(BD_MR_FF[[#This Row],[N° Lote]]),"",BD_MR_FF[[#This Row],[N° Lote]])</f>
        <v/>
      </c>
      <c r="BI19" s="19" t="str">
        <f>IF(ISBLANK(BD_MR_FF[[#This Row],[N° Pallet]]),"",BD_MR_FF[[#This Row],[N° Pallet]])</f>
        <v/>
      </c>
    </row>
    <row r="20" spans="2:61">
      <c r="B20" s="19">
        <f>_xlfn.ISOWEEKNUM(BD_MR_FF[[#This Row],[Fecha]])</f>
        <v>52</v>
      </c>
      <c r="E20" s="20"/>
      <c r="F20" s="18" t="str">
        <f>IFERROR("" &amp; _xlfn.XLOOKUP(BD_MR_FF[[#This Row],[Código]],BD_Cod!A:A,BD_Cod!B:B), "")</f>
        <v/>
      </c>
      <c r="G20" s="21" t="str">
        <f>IFERROR(" " &amp;_xlfn.XLOOKUP(BD_MR_FF[[#This Row],[Código]],BD_Cod!A:A,BD_Cod!H:H," ")," ")</f>
        <v xml:space="preserve"> </v>
      </c>
      <c r="J20" s="22">
        <v>1000</v>
      </c>
      <c r="L20" s="19" t="s">
        <v>244</v>
      </c>
      <c r="O20" s="19" t="s">
        <v>890</v>
      </c>
      <c r="P20" s="19" t="s">
        <v>890</v>
      </c>
      <c r="Q20" s="24">
        <f>1-BD_MR_FF[[#This Row],[% Defectos]]</f>
        <v>1</v>
      </c>
      <c r="R20" s="25">
        <v>0</v>
      </c>
      <c r="S20" s="26">
        <f>+IFERROR((BD_MR_FF[[#This Row],[Desviación de Color]]/BD_MR_FF[[#This Row],[Muestra]]),"0")</f>
        <v>0</v>
      </c>
      <c r="T20" s="25">
        <v>0</v>
      </c>
      <c r="U20" s="26">
        <f>+IFERROR((BD_MR_FF[[#This Row],[Sobremaduro]]/BD_MR_FF[[#This Row],[Muestra]]),"0")</f>
        <v>0</v>
      </c>
      <c r="V20" s="25">
        <v>0</v>
      </c>
      <c r="W20" s="26">
        <f>+IFERROR((BD_MR_FF[[#This Row],[Daño Mécanico]]/BD_MR_FF[[#This Row],[Muestra]]),"0")</f>
        <v>0</v>
      </c>
      <c r="X20" s="25">
        <v>0</v>
      </c>
      <c r="Y20" s="26">
        <f>+IFERROR((BD_MR_FF[[#This Row],[Daño Insecto]]/BD_MR_FF[[#This Row],[Muestra]]),"0")</f>
        <v>0</v>
      </c>
      <c r="Z20" s="25">
        <v>0</v>
      </c>
      <c r="AA20" s="26">
        <f>+IFERROR((BD_MR_FF[[#This Row],[Block]]/BD_MR_FF[[#This Row],[Muestra]]),"0")</f>
        <v>0</v>
      </c>
      <c r="AB20" s="25">
        <v>0</v>
      </c>
      <c r="AC20" s="26">
        <f>+IFERROR((BD_MR_FF[[#This Row],[Mohos]]/BD_MR_FF[[#This Row],[Muestra]]),"0")</f>
        <v>0</v>
      </c>
      <c r="AD20" s="25">
        <v>0</v>
      </c>
      <c r="AE20" s="27">
        <v>0</v>
      </c>
      <c r="AG20" s="25">
        <v>0</v>
      </c>
      <c r="AH20" s="26">
        <f>+IFERROR((BD_MR_FF[[#This Row],[Valor Extra 1]]/BD_MR_FF[[#This Row],[Muestra]]),"0")</f>
        <v>0</v>
      </c>
      <c r="AJ20" s="25">
        <v>0</v>
      </c>
      <c r="AK20" s="26">
        <f>+IFERROR((BD_MR_FF[[#This Row],[Valor Extra 2]]/BD_MR_FF[[#This Row],[Muestra]]),"0")</f>
        <v>0</v>
      </c>
      <c r="AL20" s="19">
        <v>0</v>
      </c>
      <c r="AM20" s="26">
        <f>+IFERROR((BD_MR_FF[[#This Row],[Calibre &gt;16]]/BD_MR_FF[[#This Row],[Muestra]]),"0")</f>
        <v>0</v>
      </c>
      <c r="AN20" s="19">
        <v>0</v>
      </c>
      <c r="AO20" s="26">
        <f>+IFERROR((BD_MR_FF[[#This Row],[Calibre &lt;16]]/BD_MR_FF[[#This Row],[Muestra]]),"0")</f>
        <v>0</v>
      </c>
      <c r="AV20" s="27"/>
      <c r="AW20" s="29" t="s">
        <v>900</v>
      </c>
      <c r="AX20" s="19" t="s">
        <v>890</v>
      </c>
      <c r="AY20" s="19" t="s">
        <v>890</v>
      </c>
      <c r="AZ20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0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0" s="24">
        <f>1-BD_MR_FF[[#This Row],[% Defectos]]</f>
        <v>1</v>
      </c>
      <c r="BD20" s="31"/>
      <c r="BE20" s="19">
        <f>SUM(BD_MR_FF[[#This Row],[Palos (Un.) (≤18)]:[Larvas (Un.) (≤24)]])</f>
        <v>0</v>
      </c>
      <c r="BF20" s="19">
        <f>SUM(BD_MR_FF[[#This Row],[Vidrio (Un.) (0)]:[Plástico (Un.) (0)]])</f>
        <v>0</v>
      </c>
      <c r="BG20" s="19" t="str">
        <f>IF(ISBLANK(BD_MR_FF[[#This Row],[Descripción del Producto]]),"",BD_MR_FF[[#This Row],[Descripción del Producto]])</f>
        <v/>
      </c>
      <c r="BH20" s="19" t="str">
        <f>IF(ISBLANK(BD_MR_FF[[#This Row],[N° Lote]]),"",BD_MR_FF[[#This Row],[N° Lote]])</f>
        <v/>
      </c>
      <c r="BI20" s="19" t="str">
        <f>IF(ISBLANK(BD_MR_FF[[#This Row],[N° Pallet]]),"",BD_MR_FF[[#This Row],[N° Pallet]])</f>
        <v/>
      </c>
    </row>
    <row r="21" spans="2:61">
      <c r="B21" s="19">
        <f>_xlfn.ISOWEEKNUM(BD_MR_FF[[#This Row],[Fecha]])</f>
        <v>52</v>
      </c>
      <c r="E21" s="20"/>
      <c r="F21" s="18" t="str">
        <f>IFERROR("" &amp; _xlfn.XLOOKUP(BD_MR_FF[[#This Row],[Código]],BD_Cod!A:A,BD_Cod!B:B), "")</f>
        <v/>
      </c>
      <c r="G21" s="21" t="str">
        <f>IFERROR(" " &amp;_xlfn.XLOOKUP(BD_MR_FF[[#This Row],[Código]],BD_Cod!A:A,BD_Cod!H:H," ")," ")</f>
        <v xml:space="preserve"> </v>
      </c>
      <c r="J21" s="22">
        <v>1000</v>
      </c>
      <c r="L21" s="19" t="s">
        <v>244</v>
      </c>
      <c r="O21" s="19" t="s">
        <v>890</v>
      </c>
      <c r="P21" s="19" t="s">
        <v>890</v>
      </c>
      <c r="Q21" s="24">
        <f>1-BD_MR_FF[[#This Row],[% Defectos]]</f>
        <v>1</v>
      </c>
      <c r="R21" s="25">
        <v>0</v>
      </c>
      <c r="S21" s="26">
        <f>+IFERROR((BD_MR_FF[[#This Row],[Desviación de Color]]/BD_MR_FF[[#This Row],[Muestra]]),"0")</f>
        <v>0</v>
      </c>
      <c r="T21" s="25">
        <v>0</v>
      </c>
      <c r="U21" s="26">
        <f>+IFERROR((BD_MR_FF[[#This Row],[Sobremaduro]]/BD_MR_FF[[#This Row],[Muestra]]),"0")</f>
        <v>0</v>
      </c>
      <c r="V21" s="25">
        <v>0</v>
      </c>
      <c r="W21" s="26">
        <f>+IFERROR((BD_MR_FF[[#This Row],[Daño Mécanico]]/BD_MR_FF[[#This Row],[Muestra]]),"0")</f>
        <v>0</v>
      </c>
      <c r="X21" s="25">
        <v>0</v>
      </c>
      <c r="Y21" s="26">
        <f>+IFERROR((BD_MR_FF[[#This Row],[Daño Insecto]]/BD_MR_FF[[#This Row],[Muestra]]),"0")</f>
        <v>0</v>
      </c>
      <c r="Z21" s="25">
        <v>0</v>
      </c>
      <c r="AA21" s="26">
        <f>+IFERROR((BD_MR_FF[[#This Row],[Block]]/BD_MR_FF[[#This Row],[Muestra]]),"0")</f>
        <v>0</v>
      </c>
      <c r="AB21" s="25">
        <v>0</v>
      </c>
      <c r="AC21" s="26">
        <f>+IFERROR((BD_MR_FF[[#This Row],[Mohos]]/BD_MR_FF[[#This Row],[Muestra]]),"0")</f>
        <v>0</v>
      </c>
      <c r="AD21" s="25">
        <v>0</v>
      </c>
      <c r="AE21" s="27">
        <v>0</v>
      </c>
      <c r="AG21" s="25">
        <v>0</v>
      </c>
      <c r="AH21" s="26">
        <f>+IFERROR((BD_MR_FF[[#This Row],[Valor Extra 1]]/BD_MR_FF[[#This Row],[Muestra]]),"0")</f>
        <v>0</v>
      </c>
      <c r="AJ21" s="25">
        <v>0</v>
      </c>
      <c r="AK21" s="26">
        <f>+IFERROR((BD_MR_FF[[#This Row],[Valor Extra 2]]/BD_MR_FF[[#This Row],[Muestra]]),"0")</f>
        <v>0</v>
      </c>
      <c r="AL21" s="19">
        <v>0</v>
      </c>
      <c r="AM21" s="26">
        <f>+IFERROR((BD_MR_FF[[#This Row],[Calibre &gt;16]]/BD_MR_FF[[#This Row],[Muestra]]),"0")</f>
        <v>0</v>
      </c>
      <c r="AN21" s="19">
        <v>0</v>
      </c>
      <c r="AO21" s="26">
        <f>+IFERROR((BD_MR_FF[[#This Row],[Calibre &lt;16]]/BD_MR_FF[[#This Row],[Muestra]]),"0")</f>
        <v>0</v>
      </c>
      <c r="AV21" s="27"/>
      <c r="AW21" s="29" t="s">
        <v>900</v>
      </c>
      <c r="AX21" s="19" t="s">
        <v>890</v>
      </c>
      <c r="AY21" s="19" t="s">
        <v>890</v>
      </c>
      <c r="AZ21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1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1" s="24">
        <f>1-BD_MR_FF[[#This Row],[% Defectos]]</f>
        <v>1</v>
      </c>
      <c r="BD21" s="31"/>
      <c r="BE21" s="19">
        <f>SUM(BD_MR_FF[[#This Row],[Palos (Un.) (≤18)]:[Larvas (Un.) (≤24)]])</f>
        <v>0</v>
      </c>
      <c r="BF21" s="19">
        <f>SUM(BD_MR_FF[[#This Row],[Vidrio (Un.) (0)]:[Plástico (Un.) (0)]])</f>
        <v>0</v>
      </c>
      <c r="BG21" s="19" t="str">
        <f>IF(ISBLANK(BD_MR_FF[[#This Row],[Descripción del Producto]]),"",BD_MR_FF[[#This Row],[Descripción del Producto]])</f>
        <v/>
      </c>
      <c r="BH21" s="19" t="str">
        <f>IF(ISBLANK(BD_MR_FF[[#This Row],[N° Lote]]),"",BD_MR_FF[[#This Row],[N° Lote]])</f>
        <v/>
      </c>
      <c r="BI21" s="19" t="str">
        <f>IF(ISBLANK(BD_MR_FF[[#This Row],[N° Pallet]]),"",BD_MR_FF[[#This Row],[N° Pallet]])</f>
        <v/>
      </c>
    </row>
    <row r="22" spans="2:61">
      <c r="B22" s="19">
        <f>_xlfn.ISOWEEKNUM(BD_MR_FF[[#This Row],[Fecha]])</f>
        <v>52</v>
      </c>
      <c r="E22" s="20"/>
      <c r="F22" s="18" t="str">
        <f>IFERROR("" &amp; _xlfn.XLOOKUP(BD_MR_FF[[#This Row],[Código]],BD_Cod!A:A,BD_Cod!B:B), "")</f>
        <v/>
      </c>
      <c r="G22" s="21" t="str">
        <f>IFERROR(" " &amp;_xlfn.XLOOKUP(BD_MR_FF[[#This Row],[Código]],BD_Cod!A:A,BD_Cod!H:H," ")," ")</f>
        <v xml:space="preserve"> </v>
      </c>
      <c r="J22" s="22">
        <v>1000</v>
      </c>
      <c r="L22" s="19" t="s">
        <v>244</v>
      </c>
      <c r="O22" s="19" t="s">
        <v>890</v>
      </c>
      <c r="P22" s="19" t="s">
        <v>890</v>
      </c>
      <c r="Q22" s="24">
        <f>1-BD_MR_FF[[#This Row],[% Defectos]]</f>
        <v>1</v>
      </c>
      <c r="R22" s="25">
        <v>0</v>
      </c>
      <c r="S22" s="26">
        <f>+IFERROR((BD_MR_FF[[#This Row],[Desviación de Color]]/BD_MR_FF[[#This Row],[Muestra]]),"0")</f>
        <v>0</v>
      </c>
      <c r="T22" s="25">
        <v>0</v>
      </c>
      <c r="U22" s="26">
        <f>+IFERROR((BD_MR_FF[[#This Row],[Sobremaduro]]/BD_MR_FF[[#This Row],[Muestra]]),"0")</f>
        <v>0</v>
      </c>
      <c r="V22" s="25">
        <v>0</v>
      </c>
      <c r="W22" s="26">
        <f>+IFERROR((BD_MR_FF[[#This Row],[Daño Mécanico]]/BD_MR_FF[[#This Row],[Muestra]]),"0")</f>
        <v>0</v>
      </c>
      <c r="X22" s="25">
        <v>0</v>
      </c>
      <c r="Y22" s="26">
        <f>+IFERROR((BD_MR_FF[[#This Row],[Daño Insecto]]/BD_MR_FF[[#This Row],[Muestra]]),"0")</f>
        <v>0</v>
      </c>
      <c r="Z22" s="25">
        <v>0</v>
      </c>
      <c r="AA22" s="26">
        <f>+IFERROR((BD_MR_FF[[#This Row],[Block]]/BD_MR_FF[[#This Row],[Muestra]]),"0")</f>
        <v>0</v>
      </c>
      <c r="AB22" s="25">
        <v>0</v>
      </c>
      <c r="AC22" s="26">
        <f>+IFERROR((BD_MR_FF[[#This Row],[Mohos]]/BD_MR_FF[[#This Row],[Muestra]]),"0")</f>
        <v>0</v>
      </c>
      <c r="AD22" s="25">
        <v>0</v>
      </c>
      <c r="AE22" s="27">
        <v>0</v>
      </c>
      <c r="AG22" s="25">
        <v>0</v>
      </c>
      <c r="AH22" s="26">
        <f>+IFERROR((BD_MR_FF[[#This Row],[Valor Extra 1]]/BD_MR_FF[[#This Row],[Muestra]]),"0")</f>
        <v>0</v>
      </c>
      <c r="AJ22" s="25">
        <v>0</v>
      </c>
      <c r="AK22" s="26">
        <f>+IFERROR((BD_MR_FF[[#This Row],[Valor Extra 2]]/BD_MR_FF[[#This Row],[Muestra]]),"0")</f>
        <v>0</v>
      </c>
      <c r="AL22" s="19">
        <v>0</v>
      </c>
      <c r="AM22" s="26">
        <f>+IFERROR((BD_MR_FF[[#This Row],[Calibre &gt;16]]/BD_MR_FF[[#This Row],[Muestra]]),"0")</f>
        <v>0</v>
      </c>
      <c r="AN22" s="19">
        <v>0</v>
      </c>
      <c r="AO22" s="26">
        <f>+IFERROR((BD_MR_FF[[#This Row],[Calibre &lt;16]]/BD_MR_FF[[#This Row],[Muestra]]),"0")</f>
        <v>0</v>
      </c>
      <c r="AV22" s="27"/>
      <c r="AW22" s="29" t="s">
        <v>900</v>
      </c>
      <c r="AX22" s="19" t="s">
        <v>890</v>
      </c>
      <c r="AY22" s="19" t="s">
        <v>890</v>
      </c>
      <c r="AZ22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2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2" s="24">
        <f>1-BD_MR_FF[[#This Row],[% Defectos]]</f>
        <v>1</v>
      </c>
      <c r="BD22" s="31"/>
      <c r="BE22" s="19">
        <f>SUM(BD_MR_FF[[#This Row],[Palos (Un.) (≤18)]:[Larvas (Un.) (≤24)]])</f>
        <v>0</v>
      </c>
      <c r="BF22" s="19">
        <f>SUM(BD_MR_FF[[#This Row],[Vidrio (Un.) (0)]:[Plástico (Un.) (0)]])</f>
        <v>0</v>
      </c>
      <c r="BG22" s="19" t="str">
        <f>IF(ISBLANK(BD_MR_FF[[#This Row],[Descripción del Producto]]),"",BD_MR_FF[[#This Row],[Descripción del Producto]])</f>
        <v/>
      </c>
      <c r="BH22" s="19" t="str">
        <f>IF(ISBLANK(BD_MR_FF[[#This Row],[N° Lote]]),"",BD_MR_FF[[#This Row],[N° Lote]])</f>
        <v/>
      </c>
      <c r="BI22" s="19" t="str">
        <f>IF(ISBLANK(BD_MR_FF[[#This Row],[N° Pallet]]),"",BD_MR_FF[[#This Row],[N° Pallet]])</f>
        <v/>
      </c>
    </row>
    <row r="23" spans="2:61">
      <c r="B23" s="19">
        <f>_xlfn.ISOWEEKNUM(BD_MR_FF[[#This Row],[Fecha]])</f>
        <v>52</v>
      </c>
      <c r="E23" s="20"/>
      <c r="F23" s="18" t="str">
        <f>IFERROR("" &amp; _xlfn.XLOOKUP(BD_MR_FF[[#This Row],[Código]],BD_Cod!A:A,BD_Cod!B:B), "")</f>
        <v/>
      </c>
      <c r="G23" s="21" t="str">
        <f>IFERROR(" " &amp;_xlfn.XLOOKUP(BD_MR_FF[[#This Row],[Código]],BD_Cod!A:A,BD_Cod!H:H," ")," ")</f>
        <v xml:space="preserve"> </v>
      </c>
      <c r="J23" s="22">
        <v>1000</v>
      </c>
      <c r="L23" s="19" t="s">
        <v>244</v>
      </c>
      <c r="O23" s="19" t="s">
        <v>890</v>
      </c>
      <c r="P23" s="19" t="s">
        <v>890</v>
      </c>
      <c r="Q23" s="24">
        <f>1-BD_MR_FF[[#This Row],[% Defectos]]</f>
        <v>1</v>
      </c>
      <c r="R23" s="25">
        <v>0</v>
      </c>
      <c r="S23" s="26">
        <f>+IFERROR((BD_MR_FF[[#This Row],[Desviación de Color]]/BD_MR_FF[[#This Row],[Muestra]]),"0")</f>
        <v>0</v>
      </c>
      <c r="T23" s="25">
        <v>0</v>
      </c>
      <c r="U23" s="26">
        <f>+IFERROR((BD_MR_FF[[#This Row],[Sobremaduro]]/BD_MR_FF[[#This Row],[Muestra]]),"0")</f>
        <v>0</v>
      </c>
      <c r="V23" s="25">
        <v>0</v>
      </c>
      <c r="W23" s="26">
        <f>+IFERROR((BD_MR_FF[[#This Row],[Daño Mécanico]]/BD_MR_FF[[#This Row],[Muestra]]),"0")</f>
        <v>0</v>
      </c>
      <c r="X23" s="25">
        <v>0</v>
      </c>
      <c r="Y23" s="26">
        <f>+IFERROR((BD_MR_FF[[#This Row],[Daño Insecto]]/BD_MR_FF[[#This Row],[Muestra]]),"0")</f>
        <v>0</v>
      </c>
      <c r="Z23" s="25">
        <v>0</v>
      </c>
      <c r="AA23" s="26">
        <f>+IFERROR((BD_MR_FF[[#This Row],[Block]]/BD_MR_FF[[#This Row],[Muestra]]),"0")</f>
        <v>0</v>
      </c>
      <c r="AB23" s="25">
        <v>0</v>
      </c>
      <c r="AC23" s="26">
        <f>+IFERROR((BD_MR_FF[[#This Row],[Mohos]]/BD_MR_FF[[#This Row],[Muestra]]),"0")</f>
        <v>0</v>
      </c>
      <c r="AD23" s="25">
        <v>0</v>
      </c>
      <c r="AE23" s="27">
        <v>0</v>
      </c>
      <c r="AG23" s="25">
        <v>0</v>
      </c>
      <c r="AH23" s="26">
        <f>+IFERROR((BD_MR_FF[[#This Row],[Valor Extra 1]]/BD_MR_FF[[#This Row],[Muestra]]),"0")</f>
        <v>0</v>
      </c>
      <c r="AJ23" s="25">
        <v>0</v>
      </c>
      <c r="AK23" s="26">
        <f>+IFERROR((BD_MR_FF[[#This Row],[Valor Extra 2]]/BD_MR_FF[[#This Row],[Muestra]]),"0")</f>
        <v>0</v>
      </c>
      <c r="AL23" s="19">
        <v>0</v>
      </c>
      <c r="AM23" s="26">
        <f>+IFERROR((BD_MR_FF[[#This Row],[Calibre &gt;16]]/BD_MR_FF[[#This Row],[Muestra]]),"0")</f>
        <v>0</v>
      </c>
      <c r="AN23" s="19">
        <v>0</v>
      </c>
      <c r="AO23" s="26">
        <f>+IFERROR((BD_MR_FF[[#This Row],[Calibre &lt;16]]/BD_MR_FF[[#This Row],[Muestra]]),"0")</f>
        <v>0</v>
      </c>
      <c r="AV23" s="27"/>
      <c r="AW23" s="29" t="s">
        <v>900</v>
      </c>
      <c r="AX23" s="19" t="s">
        <v>890</v>
      </c>
      <c r="AY23" s="19" t="s">
        <v>890</v>
      </c>
      <c r="AZ23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3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3" s="24">
        <f>1-BD_MR_FF[[#This Row],[% Defectos]]</f>
        <v>1</v>
      </c>
      <c r="BD23" s="31"/>
      <c r="BE23" s="19">
        <f>SUM(BD_MR_FF[[#This Row],[Palos (Un.) (≤18)]:[Larvas (Un.) (≤24)]])</f>
        <v>0</v>
      </c>
      <c r="BF23" s="19">
        <f>SUM(BD_MR_FF[[#This Row],[Vidrio (Un.) (0)]:[Plástico (Un.) (0)]])</f>
        <v>0</v>
      </c>
      <c r="BG23" s="19" t="str">
        <f>IF(ISBLANK(BD_MR_FF[[#This Row],[Descripción del Producto]]),"",BD_MR_FF[[#This Row],[Descripción del Producto]])</f>
        <v/>
      </c>
      <c r="BH23" s="19" t="str">
        <f>IF(ISBLANK(BD_MR_FF[[#This Row],[N° Lote]]),"",BD_MR_FF[[#This Row],[N° Lote]])</f>
        <v/>
      </c>
      <c r="BI23" s="19" t="str">
        <f>IF(ISBLANK(BD_MR_FF[[#This Row],[N° Pallet]]),"",BD_MR_FF[[#This Row],[N° Pallet]])</f>
        <v/>
      </c>
    </row>
    <row r="24" spans="2:61">
      <c r="B24" s="19">
        <f>_xlfn.ISOWEEKNUM(BD_MR_FF[[#This Row],[Fecha]])</f>
        <v>52</v>
      </c>
      <c r="E24" s="20"/>
      <c r="F24" s="18" t="str">
        <f>IFERROR("" &amp; _xlfn.XLOOKUP(BD_MR_FF[[#This Row],[Código]],BD_Cod!A:A,BD_Cod!B:B), "")</f>
        <v/>
      </c>
      <c r="G24" s="21" t="str">
        <f>IFERROR(" " &amp;_xlfn.XLOOKUP(BD_MR_FF[[#This Row],[Código]],BD_Cod!A:A,BD_Cod!H:H," ")," ")</f>
        <v xml:space="preserve"> </v>
      </c>
      <c r="J24" s="22">
        <v>1000</v>
      </c>
      <c r="L24" s="19" t="s">
        <v>244</v>
      </c>
      <c r="O24" s="19" t="s">
        <v>890</v>
      </c>
      <c r="P24" s="19" t="s">
        <v>890</v>
      </c>
      <c r="Q24" s="24">
        <f>1-BD_MR_FF[[#This Row],[% Defectos]]</f>
        <v>1</v>
      </c>
      <c r="R24" s="25">
        <v>0</v>
      </c>
      <c r="S24" s="26">
        <f>+IFERROR((BD_MR_FF[[#This Row],[Desviación de Color]]/BD_MR_FF[[#This Row],[Muestra]]),"0")</f>
        <v>0</v>
      </c>
      <c r="T24" s="25">
        <v>0</v>
      </c>
      <c r="U24" s="26">
        <f>+IFERROR((BD_MR_FF[[#This Row],[Sobremaduro]]/BD_MR_FF[[#This Row],[Muestra]]),"0")</f>
        <v>0</v>
      </c>
      <c r="V24" s="25">
        <v>0</v>
      </c>
      <c r="W24" s="26">
        <f>+IFERROR((BD_MR_FF[[#This Row],[Daño Mécanico]]/BD_MR_FF[[#This Row],[Muestra]]),"0")</f>
        <v>0</v>
      </c>
      <c r="X24" s="25">
        <v>0</v>
      </c>
      <c r="Y24" s="26">
        <f>+IFERROR((BD_MR_FF[[#This Row],[Daño Insecto]]/BD_MR_FF[[#This Row],[Muestra]]),"0")</f>
        <v>0</v>
      </c>
      <c r="Z24" s="25">
        <v>0</v>
      </c>
      <c r="AA24" s="26">
        <f>+IFERROR((BD_MR_FF[[#This Row],[Block]]/BD_MR_FF[[#This Row],[Muestra]]),"0")</f>
        <v>0</v>
      </c>
      <c r="AB24" s="25">
        <v>0</v>
      </c>
      <c r="AC24" s="26">
        <f>+IFERROR((BD_MR_FF[[#This Row],[Mohos]]/BD_MR_FF[[#This Row],[Muestra]]),"0")</f>
        <v>0</v>
      </c>
      <c r="AD24" s="25">
        <v>0</v>
      </c>
      <c r="AE24" s="27">
        <v>0</v>
      </c>
      <c r="AG24" s="25">
        <v>0</v>
      </c>
      <c r="AH24" s="26">
        <f>+IFERROR((BD_MR_FF[[#This Row],[Valor Extra 1]]/BD_MR_FF[[#This Row],[Muestra]]),"0")</f>
        <v>0</v>
      </c>
      <c r="AJ24" s="25">
        <v>0</v>
      </c>
      <c r="AK24" s="26">
        <f>+IFERROR((BD_MR_FF[[#This Row],[Valor Extra 2]]/BD_MR_FF[[#This Row],[Muestra]]),"0")</f>
        <v>0</v>
      </c>
      <c r="AL24" s="19">
        <v>0</v>
      </c>
      <c r="AM24" s="26">
        <f>+IFERROR((BD_MR_FF[[#This Row],[Calibre &gt;16]]/BD_MR_FF[[#This Row],[Muestra]]),"0")</f>
        <v>0</v>
      </c>
      <c r="AN24" s="19">
        <v>0</v>
      </c>
      <c r="AO24" s="26">
        <f>+IFERROR((BD_MR_FF[[#This Row],[Calibre &lt;16]]/BD_MR_FF[[#This Row],[Muestra]]),"0")</f>
        <v>0</v>
      </c>
      <c r="AV24" s="27"/>
      <c r="AW24" s="29" t="s">
        <v>900</v>
      </c>
      <c r="AX24" s="19" t="s">
        <v>890</v>
      </c>
      <c r="AY24" s="19" t="s">
        <v>890</v>
      </c>
      <c r="AZ24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4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4" s="24">
        <f>1-BD_MR_FF[[#This Row],[% Defectos]]</f>
        <v>1</v>
      </c>
      <c r="BD24" s="31"/>
      <c r="BE24" s="19">
        <f>SUM(BD_MR_FF[[#This Row],[Palos (Un.) (≤18)]:[Larvas (Un.) (≤24)]])</f>
        <v>0</v>
      </c>
      <c r="BF24" s="19">
        <f>SUM(BD_MR_FF[[#This Row],[Vidrio (Un.) (0)]:[Plástico (Un.) (0)]])</f>
        <v>0</v>
      </c>
      <c r="BG24" s="19" t="str">
        <f>IF(ISBLANK(BD_MR_FF[[#This Row],[Descripción del Producto]]),"",BD_MR_FF[[#This Row],[Descripción del Producto]])</f>
        <v/>
      </c>
      <c r="BH24" s="19" t="str">
        <f>IF(ISBLANK(BD_MR_FF[[#This Row],[N° Lote]]),"",BD_MR_FF[[#This Row],[N° Lote]])</f>
        <v/>
      </c>
      <c r="BI24" s="19" t="str">
        <f>IF(ISBLANK(BD_MR_FF[[#This Row],[N° Pallet]]),"",BD_MR_FF[[#This Row],[N° Pallet]])</f>
        <v/>
      </c>
    </row>
    <row r="25" spans="2:61">
      <c r="B25" s="19">
        <f>_xlfn.ISOWEEKNUM(BD_MR_FF[[#This Row],[Fecha]])</f>
        <v>52</v>
      </c>
      <c r="E25" s="20"/>
      <c r="F25" s="18" t="str">
        <f>IFERROR("" &amp; _xlfn.XLOOKUP(BD_MR_FF[[#This Row],[Código]],BD_Cod!A:A,BD_Cod!B:B), "")</f>
        <v/>
      </c>
      <c r="G25" s="21" t="str">
        <f>IFERROR(" " &amp;_xlfn.XLOOKUP(BD_MR_FF[[#This Row],[Código]],BD_Cod!A:A,BD_Cod!H:H," ")," ")</f>
        <v xml:space="preserve"> </v>
      </c>
      <c r="J25" s="22">
        <v>1000</v>
      </c>
      <c r="L25" s="19" t="s">
        <v>244</v>
      </c>
      <c r="O25" s="19" t="s">
        <v>890</v>
      </c>
      <c r="P25" s="19" t="s">
        <v>890</v>
      </c>
      <c r="Q25" s="24">
        <f>1-BD_MR_FF[[#This Row],[% Defectos]]</f>
        <v>1</v>
      </c>
      <c r="R25" s="25">
        <v>0</v>
      </c>
      <c r="S25" s="26">
        <f>+IFERROR((BD_MR_FF[[#This Row],[Desviación de Color]]/BD_MR_FF[[#This Row],[Muestra]]),"0")</f>
        <v>0</v>
      </c>
      <c r="T25" s="25">
        <v>0</v>
      </c>
      <c r="U25" s="26">
        <f>+IFERROR((BD_MR_FF[[#This Row],[Sobremaduro]]/BD_MR_FF[[#This Row],[Muestra]]),"0")</f>
        <v>0</v>
      </c>
      <c r="V25" s="25">
        <v>0</v>
      </c>
      <c r="W25" s="26">
        <f>+IFERROR((BD_MR_FF[[#This Row],[Daño Mécanico]]/BD_MR_FF[[#This Row],[Muestra]]),"0")</f>
        <v>0</v>
      </c>
      <c r="X25" s="25">
        <v>0</v>
      </c>
      <c r="Y25" s="26">
        <f>+IFERROR((BD_MR_FF[[#This Row],[Daño Insecto]]/BD_MR_FF[[#This Row],[Muestra]]),"0")</f>
        <v>0</v>
      </c>
      <c r="Z25" s="25">
        <v>0</v>
      </c>
      <c r="AA25" s="26">
        <f>+IFERROR((BD_MR_FF[[#This Row],[Block]]/BD_MR_FF[[#This Row],[Muestra]]),"0")</f>
        <v>0</v>
      </c>
      <c r="AB25" s="25">
        <v>0</v>
      </c>
      <c r="AC25" s="26">
        <f>+IFERROR((BD_MR_FF[[#This Row],[Mohos]]/BD_MR_FF[[#This Row],[Muestra]]),"0")</f>
        <v>0</v>
      </c>
      <c r="AD25" s="25">
        <v>0</v>
      </c>
      <c r="AE25" s="27">
        <v>0</v>
      </c>
      <c r="AG25" s="25">
        <v>0</v>
      </c>
      <c r="AH25" s="26">
        <f>+IFERROR((BD_MR_FF[[#This Row],[Valor Extra 1]]/BD_MR_FF[[#This Row],[Muestra]]),"0")</f>
        <v>0</v>
      </c>
      <c r="AJ25" s="25">
        <v>0</v>
      </c>
      <c r="AK25" s="26">
        <f>+IFERROR((BD_MR_FF[[#This Row],[Valor Extra 2]]/BD_MR_FF[[#This Row],[Muestra]]),"0")</f>
        <v>0</v>
      </c>
      <c r="AL25" s="19">
        <v>0</v>
      </c>
      <c r="AM25" s="26">
        <f>+IFERROR((BD_MR_FF[[#This Row],[Calibre &gt;16]]/BD_MR_FF[[#This Row],[Muestra]]),"0")</f>
        <v>0</v>
      </c>
      <c r="AN25" s="19">
        <v>0</v>
      </c>
      <c r="AO25" s="26">
        <f>+IFERROR((BD_MR_FF[[#This Row],[Calibre &lt;16]]/BD_MR_FF[[#This Row],[Muestra]]),"0")</f>
        <v>0</v>
      </c>
      <c r="AV25" s="27"/>
      <c r="AW25" s="29" t="s">
        <v>900</v>
      </c>
      <c r="AX25" s="19" t="s">
        <v>890</v>
      </c>
      <c r="AY25" s="19" t="s">
        <v>890</v>
      </c>
      <c r="AZ25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5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5" s="24">
        <f>1-BD_MR_FF[[#This Row],[% Defectos]]</f>
        <v>1</v>
      </c>
      <c r="BD25" s="31"/>
      <c r="BE25" s="19">
        <f>SUM(BD_MR_FF[[#This Row],[Palos (Un.) (≤18)]:[Larvas (Un.) (≤24)]])</f>
        <v>0</v>
      </c>
      <c r="BF25" s="19">
        <f>SUM(BD_MR_FF[[#This Row],[Vidrio (Un.) (0)]:[Plástico (Un.) (0)]])</f>
        <v>0</v>
      </c>
      <c r="BG25" s="19" t="str">
        <f>IF(ISBLANK(BD_MR_FF[[#This Row],[Descripción del Producto]]),"",BD_MR_FF[[#This Row],[Descripción del Producto]])</f>
        <v/>
      </c>
      <c r="BH25" s="19" t="str">
        <f>IF(ISBLANK(BD_MR_FF[[#This Row],[N° Lote]]),"",BD_MR_FF[[#This Row],[N° Lote]])</f>
        <v/>
      </c>
      <c r="BI25" s="19" t="str">
        <f>IF(ISBLANK(BD_MR_FF[[#This Row],[N° Pallet]]),"",BD_MR_FF[[#This Row],[N° Pallet]])</f>
        <v/>
      </c>
    </row>
    <row r="26" spans="2:61">
      <c r="B26" s="19">
        <f>_xlfn.ISOWEEKNUM(BD_MR_FF[[#This Row],[Fecha]])</f>
        <v>52</v>
      </c>
      <c r="E26" s="20"/>
      <c r="F26" s="18" t="str">
        <f>IFERROR("" &amp; _xlfn.XLOOKUP(BD_MR_FF[[#This Row],[Código]],BD_Cod!A:A,BD_Cod!B:B), "")</f>
        <v/>
      </c>
      <c r="G26" s="21" t="str">
        <f>IFERROR(" " &amp;_xlfn.XLOOKUP(BD_MR_FF[[#This Row],[Código]],BD_Cod!A:A,BD_Cod!H:H," ")," ")</f>
        <v xml:space="preserve"> </v>
      </c>
      <c r="J26" s="22">
        <v>1000</v>
      </c>
      <c r="L26" s="19" t="s">
        <v>244</v>
      </c>
      <c r="O26" s="19" t="s">
        <v>890</v>
      </c>
      <c r="P26" s="19" t="s">
        <v>890</v>
      </c>
      <c r="Q26" s="24">
        <f>1-BD_MR_FF[[#This Row],[% Defectos]]</f>
        <v>1</v>
      </c>
      <c r="R26" s="25">
        <v>0</v>
      </c>
      <c r="S26" s="26">
        <f>+IFERROR((BD_MR_FF[[#This Row],[Desviación de Color]]/BD_MR_FF[[#This Row],[Muestra]]),"0")</f>
        <v>0</v>
      </c>
      <c r="T26" s="25">
        <v>0</v>
      </c>
      <c r="U26" s="26">
        <f>+IFERROR((BD_MR_FF[[#This Row],[Sobremaduro]]/BD_MR_FF[[#This Row],[Muestra]]),"0")</f>
        <v>0</v>
      </c>
      <c r="V26" s="25">
        <v>0</v>
      </c>
      <c r="W26" s="26">
        <f>+IFERROR((BD_MR_FF[[#This Row],[Daño Mécanico]]/BD_MR_FF[[#This Row],[Muestra]]),"0")</f>
        <v>0</v>
      </c>
      <c r="X26" s="25">
        <v>0</v>
      </c>
      <c r="Y26" s="26">
        <f>+IFERROR((BD_MR_FF[[#This Row],[Daño Insecto]]/BD_MR_FF[[#This Row],[Muestra]]),"0")</f>
        <v>0</v>
      </c>
      <c r="Z26" s="25">
        <v>0</v>
      </c>
      <c r="AA26" s="26">
        <f>+IFERROR((BD_MR_FF[[#This Row],[Block]]/BD_MR_FF[[#This Row],[Muestra]]),"0")</f>
        <v>0</v>
      </c>
      <c r="AB26" s="25">
        <v>0</v>
      </c>
      <c r="AC26" s="26">
        <f>+IFERROR((BD_MR_FF[[#This Row],[Mohos]]/BD_MR_FF[[#This Row],[Muestra]]),"0")</f>
        <v>0</v>
      </c>
      <c r="AD26" s="25">
        <v>0</v>
      </c>
      <c r="AE26" s="27">
        <v>0</v>
      </c>
      <c r="AG26" s="25">
        <v>0</v>
      </c>
      <c r="AH26" s="26">
        <f>+IFERROR((BD_MR_FF[[#This Row],[Valor Extra 1]]/BD_MR_FF[[#This Row],[Muestra]]),"0")</f>
        <v>0</v>
      </c>
      <c r="AJ26" s="25">
        <v>0</v>
      </c>
      <c r="AK26" s="26">
        <f>+IFERROR((BD_MR_FF[[#This Row],[Valor Extra 2]]/BD_MR_FF[[#This Row],[Muestra]]),"0")</f>
        <v>0</v>
      </c>
      <c r="AL26" s="19">
        <v>0</v>
      </c>
      <c r="AM26" s="26">
        <f>+IFERROR((BD_MR_FF[[#This Row],[Calibre &gt;16]]/BD_MR_FF[[#This Row],[Muestra]]),"0")</f>
        <v>0</v>
      </c>
      <c r="AN26" s="19">
        <v>0</v>
      </c>
      <c r="AO26" s="26">
        <f>+IFERROR((BD_MR_FF[[#This Row],[Calibre &lt;16]]/BD_MR_FF[[#This Row],[Muestra]]),"0")</f>
        <v>0</v>
      </c>
      <c r="AV26" s="27"/>
      <c r="AW26" s="29" t="s">
        <v>900</v>
      </c>
      <c r="AX26" s="19" t="s">
        <v>890</v>
      </c>
      <c r="AY26" s="19" t="s">
        <v>890</v>
      </c>
      <c r="AZ26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6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6" s="24">
        <f>1-BD_MR_FF[[#This Row],[% Defectos]]</f>
        <v>1</v>
      </c>
      <c r="BD26" s="31"/>
      <c r="BE26" s="19">
        <f>SUM(BD_MR_FF[[#This Row],[Palos (Un.) (≤18)]:[Larvas (Un.) (≤24)]])</f>
        <v>0</v>
      </c>
      <c r="BF26" s="19">
        <f>SUM(BD_MR_FF[[#This Row],[Vidrio (Un.) (0)]:[Plástico (Un.) (0)]])</f>
        <v>0</v>
      </c>
      <c r="BG26" s="19" t="str">
        <f>IF(ISBLANK(BD_MR_FF[[#This Row],[Descripción del Producto]]),"",BD_MR_FF[[#This Row],[Descripción del Producto]])</f>
        <v/>
      </c>
      <c r="BH26" s="19" t="str">
        <f>IF(ISBLANK(BD_MR_FF[[#This Row],[N° Lote]]),"",BD_MR_FF[[#This Row],[N° Lote]])</f>
        <v/>
      </c>
      <c r="BI26" s="19" t="str">
        <f>IF(ISBLANK(BD_MR_FF[[#This Row],[N° Pallet]]),"",BD_MR_FF[[#This Row],[N° Pallet]])</f>
        <v/>
      </c>
    </row>
    <row r="27" spans="2:61">
      <c r="B27" s="19">
        <f>_xlfn.ISOWEEKNUM(BD_MR_FF[[#This Row],[Fecha]])</f>
        <v>52</v>
      </c>
      <c r="E27" s="20"/>
      <c r="F27" s="18" t="str">
        <f>IFERROR("" &amp; _xlfn.XLOOKUP(BD_MR_FF[[#This Row],[Código]],BD_Cod!A:A,BD_Cod!B:B), "")</f>
        <v/>
      </c>
      <c r="G27" s="21" t="str">
        <f>IFERROR(" " &amp;_xlfn.XLOOKUP(BD_MR_FF[[#This Row],[Código]],BD_Cod!A:A,BD_Cod!H:H," ")," ")</f>
        <v xml:space="preserve"> </v>
      </c>
      <c r="J27" s="22">
        <v>1000</v>
      </c>
      <c r="L27" s="19" t="s">
        <v>244</v>
      </c>
      <c r="O27" s="19" t="s">
        <v>890</v>
      </c>
      <c r="P27" s="19" t="s">
        <v>890</v>
      </c>
      <c r="Q27" s="24">
        <f>1-BD_MR_FF[[#This Row],[% Defectos]]</f>
        <v>1</v>
      </c>
      <c r="R27" s="25">
        <v>0</v>
      </c>
      <c r="S27" s="26">
        <f>+IFERROR((BD_MR_FF[[#This Row],[Desviación de Color]]/BD_MR_FF[[#This Row],[Muestra]]),"0")</f>
        <v>0</v>
      </c>
      <c r="T27" s="25">
        <v>0</v>
      </c>
      <c r="U27" s="26">
        <f>+IFERROR((BD_MR_FF[[#This Row],[Sobremaduro]]/BD_MR_FF[[#This Row],[Muestra]]),"0")</f>
        <v>0</v>
      </c>
      <c r="V27" s="25">
        <v>0</v>
      </c>
      <c r="W27" s="26">
        <f>+IFERROR((BD_MR_FF[[#This Row],[Daño Mécanico]]/BD_MR_FF[[#This Row],[Muestra]]),"0")</f>
        <v>0</v>
      </c>
      <c r="X27" s="25">
        <v>0</v>
      </c>
      <c r="Y27" s="26">
        <f>+IFERROR((BD_MR_FF[[#This Row],[Daño Insecto]]/BD_MR_FF[[#This Row],[Muestra]]),"0")</f>
        <v>0</v>
      </c>
      <c r="Z27" s="25">
        <v>0</v>
      </c>
      <c r="AA27" s="26">
        <f>+IFERROR((BD_MR_FF[[#This Row],[Block]]/BD_MR_FF[[#This Row],[Muestra]]),"0")</f>
        <v>0</v>
      </c>
      <c r="AB27" s="25">
        <v>0</v>
      </c>
      <c r="AC27" s="26">
        <f>+IFERROR((BD_MR_FF[[#This Row],[Mohos]]/BD_MR_FF[[#This Row],[Muestra]]),"0")</f>
        <v>0</v>
      </c>
      <c r="AD27" s="25">
        <v>0</v>
      </c>
      <c r="AE27" s="27">
        <v>0</v>
      </c>
      <c r="AG27" s="25">
        <v>0</v>
      </c>
      <c r="AH27" s="26">
        <f>+IFERROR((BD_MR_FF[[#This Row],[Valor Extra 1]]/BD_MR_FF[[#This Row],[Muestra]]),"0")</f>
        <v>0</v>
      </c>
      <c r="AJ27" s="25">
        <v>0</v>
      </c>
      <c r="AK27" s="26">
        <f>+IFERROR((BD_MR_FF[[#This Row],[Valor Extra 2]]/BD_MR_FF[[#This Row],[Muestra]]),"0")</f>
        <v>0</v>
      </c>
      <c r="AL27" s="19">
        <v>0</v>
      </c>
      <c r="AM27" s="26">
        <f>+IFERROR((BD_MR_FF[[#This Row],[Calibre &gt;16]]/BD_MR_FF[[#This Row],[Muestra]]),"0")</f>
        <v>0</v>
      </c>
      <c r="AN27" s="19">
        <v>0</v>
      </c>
      <c r="AO27" s="26">
        <f>+IFERROR((BD_MR_FF[[#This Row],[Calibre &lt;16]]/BD_MR_FF[[#This Row],[Muestra]]),"0")</f>
        <v>0</v>
      </c>
      <c r="AV27" s="27"/>
      <c r="AW27" s="29" t="s">
        <v>900</v>
      </c>
      <c r="AX27" s="19" t="s">
        <v>890</v>
      </c>
      <c r="AY27" s="19" t="s">
        <v>890</v>
      </c>
      <c r="AZ27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7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7" s="24">
        <f>1-BD_MR_FF[[#This Row],[% Defectos]]</f>
        <v>1</v>
      </c>
      <c r="BD27" s="31"/>
      <c r="BE27" s="19">
        <f>SUM(BD_MR_FF[[#This Row],[Palos (Un.) (≤18)]:[Larvas (Un.) (≤24)]])</f>
        <v>0</v>
      </c>
      <c r="BF27" s="19">
        <f>SUM(BD_MR_FF[[#This Row],[Vidrio (Un.) (0)]:[Plástico (Un.) (0)]])</f>
        <v>0</v>
      </c>
      <c r="BG27" s="19" t="str">
        <f>IF(ISBLANK(BD_MR_FF[[#This Row],[Descripción del Producto]]),"",BD_MR_FF[[#This Row],[Descripción del Producto]])</f>
        <v/>
      </c>
      <c r="BH27" s="19" t="str">
        <f>IF(ISBLANK(BD_MR_FF[[#This Row],[N° Lote]]),"",BD_MR_FF[[#This Row],[N° Lote]])</f>
        <v/>
      </c>
      <c r="BI27" s="19" t="str">
        <f>IF(ISBLANK(BD_MR_FF[[#This Row],[N° Pallet]]),"",BD_MR_FF[[#This Row],[N° Pallet]])</f>
        <v/>
      </c>
    </row>
    <row r="28" spans="2:61">
      <c r="B28" s="19">
        <f>_xlfn.ISOWEEKNUM(BD_MR_FF[[#This Row],[Fecha]])</f>
        <v>52</v>
      </c>
      <c r="E28" s="20"/>
      <c r="F28" s="18" t="str">
        <f>IFERROR("" &amp; _xlfn.XLOOKUP(BD_MR_FF[[#This Row],[Código]],BD_Cod!A:A,BD_Cod!B:B), "")</f>
        <v/>
      </c>
      <c r="G28" s="21" t="str">
        <f>IFERROR(" " &amp;_xlfn.XLOOKUP(BD_MR_FF[[#This Row],[Código]],BD_Cod!A:A,BD_Cod!H:H," ")," ")</f>
        <v xml:space="preserve"> </v>
      </c>
      <c r="J28" s="22">
        <v>1000</v>
      </c>
      <c r="L28" s="19" t="s">
        <v>244</v>
      </c>
      <c r="O28" s="19" t="s">
        <v>890</v>
      </c>
      <c r="P28" s="19" t="s">
        <v>890</v>
      </c>
      <c r="Q28" s="24">
        <f>1-BD_MR_FF[[#This Row],[% Defectos]]</f>
        <v>1</v>
      </c>
      <c r="R28" s="25">
        <v>0</v>
      </c>
      <c r="S28" s="26">
        <f>+IFERROR((BD_MR_FF[[#This Row],[Desviación de Color]]/BD_MR_FF[[#This Row],[Muestra]]),"0")</f>
        <v>0</v>
      </c>
      <c r="T28" s="25">
        <v>0</v>
      </c>
      <c r="U28" s="26">
        <f>+IFERROR((BD_MR_FF[[#This Row],[Sobremaduro]]/BD_MR_FF[[#This Row],[Muestra]]),"0")</f>
        <v>0</v>
      </c>
      <c r="V28" s="25">
        <v>0</v>
      </c>
      <c r="W28" s="26">
        <f>+IFERROR((BD_MR_FF[[#This Row],[Daño Mécanico]]/BD_MR_FF[[#This Row],[Muestra]]),"0")</f>
        <v>0</v>
      </c>
      <c r="X28" s="25">
        <v>0</v>
      </c>
      <c r="Y28" s="26">
        <f>+IFERROR((BD_MR_FF[[#This Row],[Daño Insecto]]/BD_MR_FF[[#This Row],[Muestra]]),"0")</f>
        <v>0</v>
      </c>
      <c r="Z28" s="25">
        <v>0</v>
      </c>
      <c r="AA28" s="26">
        <f>+IFERROR((BD_MR_FF[[#This Row],[Block]]/BD_MR_FF[[#This Row],[Muestra]]),"0")</f>
        <v>0</v>
      </c>
      <c r="AB28" s="25">
        <v>0</v>
      </c>
      <c r="AC28" s="26">
        <f>+IFERROR((BD_MR_FF[[#This Row],[Mohos]]/BD_MR_FF[[#This Row],[Muestra]]),"0")</f>
        <v>0</v>
      </c>
      <c r="AD28" s="25">
        <v>0</v>
      </c>
      <c r="AE28" s="27">
        <v>0</v>
      </c>
      <c r="AG28" s="25">
        <v>0</v>
      </c>
      <c r="AH28" s="26">
        <f>+IFERROR((BD_MR_FF[[#This Row],[Valor Extra 1]]/BD_MR_FF[[#This Row],[Muestra]]),"0")</f>
        <v>0</v>
      </c>
      <c r="AJ28" s="25">
        <v>0</v>
      </c>
      <c r="AK28" s="26">
        <f>+IFERROR((BD_MR_FF[[#This Row],[Valor Extra 2]]/BD_MR_FF[[#This Row],[Muestra]]),"0")</f>
        <v>0</v>
      </c>
      <c r="AL28" s="19">
        <v>0</v>
      </c>
      <c r="AM28" s="26">
        <f>+IFERROR((BD_MR_FF[[#This Row],[Calibre &gt;16]]/BD_MR_FF[[#This Row],[Muestra]]),"0")</f>
        <v>0</v>
      </c>
      <c r="AN28" s="19">
        <v>0</v>
      </c>
      <c r="AO28" s="26">
        <f>+IFERROR((BD_MR_FF[[#This Row],[Calibre &lt;16]]/BD_MR_FF[[#This Row],[Muestra]]),"0")</f>
        <v>0</v>
      </c>
      <c r="AV28" s="27"/>
      <c r="AW28" s="29" t="s">
        <v>900</v>
      </c>
      <c r="AX28" s="19" t="s">
        <v>890</v>
      </c>
      <c r="AY28" s="19" t="s">
        <v>890</v>
      </c>
      <c r="AZ28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8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8" s="24">
        <f>1-BD_MR_FF[[#This Row],[% Defectos]]</f>
        <v>1</v>
      </c>
      <c r="BD28" s="31"/>
      <c r="BE28" s="19">
        <f>SUM(BD_MR_FF[[#This Row],[Palos (Un.) (≤18)]:[Larvas (Un.) (≤24)]])</f>
        <v>0</v>
      </c>
      <c r="BF28" s="19">
        <f>SUM(BD_MR_FF[[#This Row],[Vidrio (Un.) (0)]:[Plástico (Un.) (0)]])</f>
        <v>0</v>
      </c>
      <c r="BG28" s="19" t="str">
        <f>IF(ISBLANK(BD_MR_FF[[#This Row],[Descripción del Producto]]),"",BD_MR_FF[[#This Row],[Descripción del Producto]])</f>
        <v/>
      </c>
      <c r="BH28" s="19" t="str">
        <f>IF(ISBLANK(BD_MR_FF[[#This Row],[N° Lote]]),"",BD_MR_FF[[#This Row],[N° Lote]])</f>
        <v/>
      </c>
      <c r="BI28" s="19" t="str">
        <f>IF(ISBLANK(BD_MR_FF[[#This Row],[N° Pallet]]),"",BD_MR_FF[[#This Row],[N° Pallet]])</f>
        <v/>
      </c>
    </row>
    <row r="29" spans="2:61">
      <c r="B29" s="19">
        <f>_xlfn.ISOWEEKNUM(BD_MR_FF[[#This Row],[Fecha]])</f>
        <v>52</v>
      </c>
      <c r="E29" s="20"/>
      <c r="F29" s="18" t="str">
        <f>IFERROR("" &amp; _xlfn.XLOOKUP(BD_MR_FF[[#This Row],[Código]],BD_Cod!A:A,BD_Cod!B:B), "")</f>
        <v/>
      </c>
      <c r="G29" s="21" t="str">
        <f>IFERROR(" " &amp;_xlfn.XLOOKUP(BD_MR_FF[[#This Row],[Código]],BD_Cod!A:A,BD_Cod!H:H," ")," ")</f>
        <v xml:space="preserve"> </v>
      </c>
      <c r="J29" s="22">
        <v>1000</v>
      </c>
      <c r="L29" s="19" t="s">
        <v>244</v>
      </c>
      <c r="O29" s="19" t="s">
        <v>890</v>
      </c>
      <c r="P29" s="19" t="s">
        <v>890</v>
      </c>
      <c r="Q29" s="24">
        <f>1-BD_MR_FF[[#This Row],[% Defectos]]</f>
        <v>1</v>
      </c>
      <c r="R29" s="25">
        <v>0</v>
      </c>
      <c r="S29" s="26">
        <f>+IFERROR((BD_MR_FF[[#This Row],[Desviación de Color]]/BD_MR_FF[[#This Row],[Muestra]]),"0")</f>
        <v>0</v>
      </c>
      <c r="T29" s="25">
        <v>0</v>
      </c>
      <c r="U29" s="26">
        <f>+IFERROR((BD_MR_FF[[#This Row],[Sobremaduro]]/BD_MR_FF[[#This Row],[Muestra]]),"0")</f>
        <v>0</v>
      </c>
      <c r="V29" s="25">
        <v>0</v>
      </c>
      <c r="W29" s="26">
        <f>+IFERROR((BD_MR_FF[[#This Row],[Daño Mécanico]]/BD_MR_FF[[#This Row],[Muestra]]),"0")</f>
        <v>0</v>
      </c>
      <c r="X29" s="25">
        <v>0</v>
      </c>
      <c r="Y29" s="26">
        <f>+IFERROR((BD_MR_FF[[#This Row],[Daño Insecto]]/BD_MR_FF[[#This Row],[Muestra]]),"0")</f>
        <v>0</v>
      </c>
      <c r="Z29" s="25">
        <v>0</v>
      </c>
      <c r="AA29" s="26">
        <f>+IFERROR((BD_MR_FF[[#This Row],[Block]]/BD_MR_FF[[#This Row],[Muestra]]),"0")</f>
        <v>0</v>
      </c>
      <c r="AB29" s="25">
        <v>0</v>
      </c>
      <c r="AC29" s="26">
        <f>+IFERROR((BD_MR_FF[[#This Row],[Mohos]]/BD_MR_FF[[#This Row],[Muestra]]),"0")</f>
        <v>0</v>
      </c>
      <c r="AD29" s="25">
        <v>0</v>
      </c>
      <c r="AE29" s="27">
        <v>0</v>
      </c>
      <c r="AG29" s="25">
        <v>0</v>
      </c>
      <c r="AH29" s="26">
        <f>+IFERROR((BD_MR_FF[[#This Row],[Valor Extra 1]]/BD_MR_FF[[#This Row],[Muestra]]),"0")</f>
        <v>0</v>
      </c>
      <c r="AJ29" s="25">
        <v>0</v>
      </c>
      <c r="AK29" s="26">
        <f>+IFERROR((BD_MR_FF[[#This Row],[Valor Extra 2]]/BD_MR_FF[[#This Row],[Muestra]]),"0")</f>
        <v>0</v>
      </c>
      <c r="AL29" s="19">
        <v>0</v>
      </c>
      <c r="AM29" s="26">
        <f>+IFERROR((BD_MR_FF[[#This Row],[Calibre &gt;16]]/BD_MR_FF[[#This Row],[Muestra]]),"0")</f>
        <v>0</v>
      </c>
      <c r="AN29" s="19">
        <v>0</v>
      </c>
      <c r="AO29" s="26">
        <f>+IFERROR((BD_MR_FF[[#This Row],[Calibre &lt;16]]/BD_MR_FF[[#This Row],[Muestra]]),"0")</f>
        <v>0</v>
      </c>
      <c r="AV29" s="27"/>
      <c r="AW29" s="29" t="s">
        <v>900</v>
      </c>
      <c r="AX29" s="19" t="s">
        <v>890</v>
      </c>
      <c r="AY29" s="19" t="s">
        <v>890</v>
      </c>
      <c r="AZ29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29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29" s="24">
        <f>1-BD_MR_FF[[#This Row],[% Defectos]]</f>
        <v>1</v>
      </c>
      <c r="BD29" s="31"/>
      <c r="BE29" s="19">
        <f>SUM(BD_MR_FF[[#This Row],[Palos (Un.) (≤18)]:[Larvas (Un.) (≤24)]])</f>
        <v>0</v>
      </c>
      <c r="BF29" s="19">
        <f>SUM(BD_MR_FF[[#This Row],[Vidrio (Un.) (0)]:[Plástico (Un.) (0)]])</f>
        <v>0</v>
      </c>
      <c r="BG29" s="19" t="str">
        <f>IF(ISBLANK(BD_MR_FF[[#This Row],[Descripción del Producto]]),"",BD_MR_FF[[#This Row],[Descripción del Producto]])</f>
        <v/>
      </c>
      <c r="BH29" s="19" t="str">
        <f>IF(ISBLANK(BD_MR_FF[[#This Row],[N° Lote]]),"",BD_MR_FF[[#This Row],[N° Lote]])</f>
        <v/>
      </c>
      <c r="BI29" s="19" t="str">
        <f>IF(ISBLANK(BD_MR_FF[[#This Row],[N° Pallet]]),"",BD_MR_FF[[#This Row],[N° Pallet]])</f>
        <v/>
      </c>
    </row>
    <row r="30" spans="2:61">
      <c r="B30" s="19">
        <f>_xlfn.ISOWEEKNUM(BD_MR_FF[[#This Row],[Fecha]])</f>
        <v>52</v>
      </c>
      <c r="E30" s="20"/>
      <c r="F30" s="18" t="str">
        <f>IFERROR("" &amp; _xlfn.XLOOKUP(BD_MR_FF[[#This Row],[Código]],BD_Cod!A:A,BD_Cod!B:B), "")</f>
        <v/>
      </c>
      <c r="G30" s="21" t="str">
        <f>IFERROR(" " &amp;_xlfn.XLOOKUP(BD_MR_FF[[#This Row],[Código]],BD_Cod!A:A,BD_Cod!H:H," ")," ")</f>
        <v xml:space="preserve"> </v>
      </c>
      <c r="J30" s="22">
        <v>1000</v>
      </c>
      <c r="L30" s="19" t="s">
        <v>244</v>
      </c>
      <c r="O30" s="19" t="s">
        <v>890</v>
      </c>
      <c r="P30" s="19" t="s">
        <v>890</v>
      </c>
      <c r="Q30" s="24">
        <f>1-BD_MR_FF[[#This Row],[% Defectos]]</f>
        <v>1</v>
      </c>
      <c r="R30" s="25">
        <v>0</v>
      </c>
      <c r="S30" s="26">
        <f>+IFERROR((BD_MR_FF[[#This Row],[Desviación de Color]]/BD_MR_FF[[#This Row],[Muestra]]),"0")</f>
        <v>0</v>
      </c>
      <c r="T30" s="25">
        <v>0</v>
      </c>
      <c r="U30" s="26">
        <f>+IFERROR((BD_MR_FF[[#This Row],[Sobremaduro]]/BD_MR_FF[[#This Row],[Muestra]]),"0")</f>
        <v>0</v>
      </c>
      <c r="V30" s="25">
        <v>0</v>
      </c>
      <c r="W30" s="26">
        <f>+IFERROR((BD_MR_FF[[#This Row],[Daño Mécanico]]/BD_MR_FF[[#This Row],[Muestra]]),"0")</f>
        <v>0</v>
      </c>
      <c r="X30" s="25">
        <v>0</v>
      </c>
      <c r="Y30" s="26">
        <f>+IFERROR((BD_MR_FF[[#This Row],[Daño Insecto]]/BD_MR_FF[[#This Row],[Muestra]]),"0")</f>
        <v>0</v>
      </c>
      <c r="Z30" s="25">
        <v>0</v>
      </c>
      <c r="AA30" s="26">
        <f>+IFERROR((BD_MR_FF[[#This Row],[Block]]/BD_MR_FF[[#This Row],[Muestra]]),"0")</f>
        <v>0</v>
      </c>
      <c r="AB30" s="25">
        <v>0</v>
      </c>
      <c r="AC30" s="26">
        <f>+IFERROR((BD_MR_FF[[#This Row],[Mohos]]/BD_MR_FF[[#This Row],[Muestra]]),"0")</f>
        <v>0</v>
      </c>
      <c r="AD30" s="25">
        <v>0</v>
      </c>
      <c r="AE30" s="27">
        <v>0</v>
      </c>
      <c r="AG30" s="25">
        <v>0</v>
      </c>
      <c r="AH30" s="26">
        <f>+IFERROR((BD_MR_FF[[#This Row],[Valor Extra 1]]/BD_MR_FF[[#This Row],[Muestra]]),"0")</f>
        <v>0</v>
      </c>
      <c r="AJ30" s="25">
        <v>0</v>
      </c>
      <c r="AK30" s="26">
        <f>+IFERROR((BD_MR_FF[[#This Row],[Valor Extra 2]]/BD_MR_FF[[#This Row],[Muestra]]),"0")</f>
        <v>0</v>
      </c>
      <c r="AL30" s="19">
        <v>0</v>
      </c>
      <c r="AM30" s="26">
        <f>+IFERROR((BD_MR_FF[[#This Row],[Calibre &gt;16]]/BD_MR_FF[[#This Row],[Muestra]]),"0")</f>
        <v>0</v>
      </c>
      <c r="AN30" s="19">
        <v>0</v>
      </c>
      <c r="AO30" s="26">
        <f>+IFERROR((BD_MR_FF[[#This Row],[Calibre &lt;16]]/BD_MR_FF[[#This Row],[Muestra]]),"0")</f>
        <v>0</v>
      </c>
      <c r="AV30" s="27"/>
      <c r="AW30" s="29" t="s">
        <v>900</v>
      </c>
      <c r="AX30" s="19" t="s">
        <v>890</v>
      </c>
      <c r="AY30" s="19" t="s">
        <v>890</v>
      </c>
      <c r="AZ30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0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0" s="24">
        <f>1-BD_MR_FF[[#This Row],[% Defectos]]</f>
        <v>1</v>
      </c>
      <c r="BD30" s="31"/>
      <c r="BE30" s="19">
        <f>SUM(BD_MR_FF[[#This Row],[Palos (Un.) (≤18)]:[Larvas (Un.) (≤24)]])</f>
        <v>0</v>
      </c>
      <c r="BF30" s="19">
        <f>SUM(BD_MR_FF[[#This Row],[Vidrio (Un.) (0)]:[Plástico (Un.) (0)]])</f>
        <v>0</v>
      </c>
      <c r="BG30" s="19" t="str">
        <f>IF(ISBLANK(BD_MR_FF[[#This Row],[Descripción del Producto]]),"",BD_MR_FF[[#This Row],[Descripción del Producto]])</f>
        <v/>
      </c>
      <c r="BH30" s="19" t="str">
        <f>IF(ISBLANK(BD_MR_FF[[#This Row],[N° Lote]]),"",BD_MR_FF[[#This Row],[N° Lote]])</f>
        <v/>
      </c>
      <c r="BI30" s="19" t="str">
        <f>IF(ISBLANK(BD_MR_FF[[#This Row],[N° Pallet]]),"",BD_MR_FF[[#This Row],[N° Pallet]])</f>
        <v/>
      </c>
    </row>
    <row r="31" spans="2:61">
      <c r="B31" s="19">
        <f>_xlfn.ISOWEEKNUM(BD_MR_FF[[#This Row],[Fecha]])</f>
        <v>52</v>
      </c>
      <c r="E31" s="20"/>
      <c r="F31" s="18" t="str">
        <f>IFERROR("" &amp; _xlfn.XLOOKUP(BD_MR_FF[[#This Row],[Código]],BD_Cod!A:A,BD_Cod!B:B), "")</f>
        <v/>
      </c>
      <c r="G31" s="21" t="str">
        <f>IFERROR(" " &amp;_xlfn.XLOOKUP(BD_MR_FF[[#This Row],[Código]],BD_Cod!A:A,BD_Cod!H:H," ")," ")</f>
        <v xml:space="preserve"> </v>
      </c>
      <c r="J31" s="22">
        <v>1000</v>
      </c>
      <c r="L31" s="19" t="s">
        <v>244</v>
      </c>
      <c r="O31" s="19" t="s">
        <v>890</v>
      </c>
      <c r="P31" s="19" t="s">
        <v>890</v>
      </c>
      <c r="Q31" s="24">
        <f>1-BD_MR_FF[[#This Row],[% Defectos]]</f>
        <v>1</v>
      </c>
      <c r="R31" s="25">
        <v>0</v>
      </c>
      <c r="S31" s="26">
        <f>+IFERROR((BD_MR_FF[[#This Row],[Desviación de Color]]/BD_MR_FF[[#This Row],[Muestra]]),"0")</f>
        <v>0</v>
      </c>
      <c r="T31" s="25">
        <v>0</v>
      </c>
      <c r="U31" s="26">
        <f>+IFERROR((BD_MR_FF[[#This Row],[Sobremaduro]]/BD_MR_FF[[#This Row],[Muestra]]),"0")</f>
        <v>0</v>
      </c>
      <c r="V31" s="25">
        <v>0</v>
      </c>
      <c r="W31" s="26">
        <f>+IFERROR((BD_MR_FF[[#This Row],[Daño Mécanico]]/BD_MR_FF[[#This Row],[Muestra]]),"0")</f>
        <v>0</v>
      </c>
      <c r="X31" s="25">
        <v>0</v>
      </c>
      <c r="Y31" s="26">
        <f>+IFERROR((BD_MR_FF[[#This Row],[Daño Insecto]]/BD_MR_FF[[#This Row],[Muestra]]),"0")</f>
        <v>0</v>
      </c>
      <c r="Z31" s="25">
        <v>0</v>
      </c>
      <c r="AA31" s="26">
        <f>+IFERROR((BD_MR_FF[[#This Row],[Block]]/BD_MR_FF[[#This Row],[Muestra]]),"0")</f>
        <v>0</v>
      </c>
      <c r="AB31" s="25">
        <v>0</v>
      </c>
      <c r="AC31" s="26">
        <f>+IFERROR((BD_MR_FF[[#This Row],[Mohos]]/BD_MR_FF[[#This Row],[Muestra]]),"0")</f>
        <v>0</v>
      </c>
      <c r="AD31" s="25">
        <v>0</v>
      </c>
      <c r="AE31" s="27">
        <v>0</v>
      </c>
      <c r="AG31" s="25">
        <v>0</v>
      </c>
      <c r="AH31" s="26">
        <f>+IFERROR((BD_MR_FF[[#This Row],[Valor Extra 1]]/BD_MR_FF[[#This Row],[Muestra]]),"0")</f>
        <v>0</v>
      </c>
      <c r="AJ31" s="25">
        <v>0</v>
      </c>
      <c r="AK31" s="26">
        <f>+IFERROR((BD_MR_FF[[#This Row],[Valor Extra 2]]/BD_MR_FF[[#This Row],[Muestra]]),"0")</f>
        <v>0</v>
      </c>
      <c r="AL31" s="19">
        <v>0</v>
      </c>
      <c r="AM31" s="26">
        <f>+IFERROR((BD_MR_FF[[#This Row],[Calibre &gt;16]]/BD_MR_FF[[#This Row],[Muestra]]),"0")</f>
        <v>0</v>
      </c>
      <c r="AN31" s="19">
        <v>0</v>
      </c>
      <c r="AO31" s="26">
        <f>+IFERROR((BD_MR_FF[[#This Row],[Calibre &lt;16]]/BD_MR_FF[[#This Row],[Muestra]]),"0")</f>
        <v>0</v>
      </c>
      <c r="AV31" s="27"/>
      <c r="AW31" s="29" t="s">
        <v>900</v>
      </c>
      <c r="AX31" s="19" t="s">
        <v>890</v>
      </c>
      <c r="AY31" s="19" t="s">
        <v>890</v>
      </c>
      <c r="AZ31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1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1" s="24">
        <f>1-BD_MR_FF[[#This Row],[% Defectos]]</f>
        <v>1</v>
      </c>
      <c r="BD31" s="31"/>
      <c r="BE31" s="19">
        <f>SUM(BD_MR_FF[[#This Row],[Palos (Un.) (≤18)]:[Larvas (Un.) (≤24)]])</f>
        <v>0</v>
      </c>
      <c r="BF31" s="19">
        <f>SUM(BD_MR_FF[[#This Row],[Vidrio (Un.) (0)]:[Plástico (Un.) (0)]])</f>
        <v>0</v>
      </c>
      <c r="BG31" s="19" t="str">
        <f>IF(ISBLANK(BD_MR_FF[[#This Row],[Descripción del Producto]]),"",BD_MR_FF[[#This Row],[Descripción del Producto]])</f>
        <v/>
      </c>
      <c r="BH31" s="19" t="str">
        <f>IF(ISBLANK(BD_MR_FF[[#This Row],[N° Lote]]),"",BD_MR_FF[[#This Row],[N° Lote]])</f>
        <v/>
      </c>
      <c r="BI31" s="19" t="str">
        <f>IF(ISBLANK(BD_MR_FF[[#This Row],[N° Pallet]]),"",BD_MR_FF[[#This Row],[N° Pallet]])</f>
        <v/>
      </c>
    </row>
    <row r="32" spans="2:61">
      <c r="B32" s="19">
        <f>_xlfn.ISOWEEKNUM(BD_MR_FF[[#This Row],[Fecha]])</f>
        <v>52</v>
      </c>
      <c r="E32" s="20"/>
      <c r="F32" s="18" t="str">
        <f>IFERROR("" &amp; _xlfn.XLOOKUP(BD_MR_FF[[#This Row],[Código]],BD_Cod!A:A,BD_Cod!B:B), "")</f>
        <v/>
      </c>
      <c r="G32" s="21" t="str">
        <f>IFERROR(" " &amp;_xlfn.XLOOKUP(BD_MR_FF[[#This Row],[Código]],BD_Cod!A:A,BD_Cod!H:H," ")," ")</f>
        <v xml:space="preserve"> </v>
      </c>
      <c r="J32" s="22">
        <v>1000</v>
      </c>
      <c r="L32" s="19" t="s">
        <v>244</v>
      </c>
      <c r="O32" s="19" t="s">
        <v>890</v>
      </c>
      <c r="P32" s="19" t="s">
        <v>890</v>
      </c>
      <c r="Q32" s="24">
        <f>1-BD_MR_FF[[#This Row],[% Defectos]]</f>
        <v>1</v>
      </c>
      <c r="R32" s="25">
        <v>0</v>
      </c>
      <c r="S32" s="26">
        <f>+IFERROR((BD_MR_FF[[#This Row],[Desviación de Color]]/BD_MR_FF[[#This Row],[Muestra]]),"0")</f>
        <v>0</v>
      </c>
      <c r="T32" s="25">
        <v>0</v>
      </c>
      <c r="U32" s="26">
        <f>+IFERROR((BD_MR_FF[[#This Row],[Sobremaduro]]/BD_MR_FF[[#This Row],[Muestra]]),"0")</f>
        <v>0</v>
      </c>
      <c r="V32" s="25">
        <v>0</v>
      </c>
      <c r="W32" s="26">
        <f>+IFERROR((BD_MR_FF[[#This Row],[Daño Mécanico]]/BD_MR_FF[[#This Row],[Muestra]]),"0")</f>
        <v>0</v>
      </c>
      <c r="X32" s="25">
        <v>0</v>
      </c>
      <c r="Y32" s="26">
        <f>+IFERROR((BD_MR_FF[[#This Row],[Daño Insecto]]/BD_MR_FF[[#This Row],[Muestra]]),"0")</f>
        <v>0</v>
      </c>
      <c r="Z32" s="25">
        <v>0</v>
      </c>
      <c r="AA32" s="26">
        <f>+IFERROR((BD_MR_FF[[#This Row],[Block]]/BD_MR_FF[[#This Row],[Muestra]]),"0")</f>
        <v>0</v>
      </c>
      <c r="AB32" s="25">
        <v>0</v>
      </c>
      <c r="AC32" s="26">
        <f>+IFERROR((BD_MR_FF[[#This Row],[Mohos]]/BD_MR_FF[[#This Row],[Muestra]]),"0")</f>
        <v>0</v>
      </c>
      <c r="AD32" s="25">
        <v>0</v>
      </c>
      <c r="AE32" s="27">
        <v>0</v>
      </c>
      <c r="AG32" s="25">
        <v>0</v>
      </c>
      <c r="AH32" s="26">
        <f>+IFERROR((BD_MR_FF[[#This Row],[Valor Extra 1]]/BD_MR_FF[[#This Row],[Muestra]]),"0")</f>
        <v>0</v>
      </c>
      <c r="AJ32" s="25">
        <v>0</v>
      </c>
      <c r="AK32" s="26">
        <f>+IFERROR((BD_MR_FF[[#This Row],[Valor Extra 2]]/BD_MR_FF[[#This Row],[Muestra]]),"0")</f>
        <v>0</v>
      </c>
      <c r="AL32" s="19">
        <v>0</v>
      </c>
      <c r="AM32" s="26">
        <f>+IFERROR((BD_MR_FF[[#This Row],[Calibre &gt;16]]/BD_MR_FF[[#This Row],[Muestra]]),"0")</f>
        <v>0</v>
      </c>
      <c r="AN32" s="19">
        <v>0</v>
      </c>
      <c r="AO32" s="26">
        <f>+IFERROR((BD_MR_FF[[#This Row],[Calibre &lt;16]]/BD_MR_FF[[#This Row],[Muestra]]),"0")</f>
        <v>0</v>
      </c>
      <c r="AV32" s="27"/>
      <c r="AW32" s="29" t="s">
        <v>900</v>
      </c>
      <c r="AX32" s="19" t="s">
        <v>890</v>
      </c>
      <c r="AY32" s="19" t="s">
        <v>890</v>
      </c>
      <c r="AZ32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2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2" s="24">
        <f>1-BD_MR_FF[[#This Row],[% Defectos]]</f>
        <v>1</v>
      </c>
      <c r="BD32" s="31"/>
      <c r="BE32" s="19">
        <f>SUM(BD_MR_FF[[#This Row],[Palos (Un.) (≤18)]:[Larvas (Un.) (≤24)]])</f>
        <v>0</v>
      </c>
      <c r="BF32" s="19">
        <f>SUM(BD_MR_FF[[#This Row],[Vidrio (Un.) (0)]:[Plástico (Un.) (0)]])</f>
        <v>0</v>
      </c>
      <c r="BG32" s="19" t="str">
        <f>IF(ISBLANK(BD_MR_FF[[#This Row],[Descripción del Producto]]),"",BD_MR_FF[[#This Row],[Descripción del Producto]])</f>
        <v/>
      </c>
      <c r="BH32" s="19" t="str">
        <f>IF(ISBLANK(BD_MR_FF[[#This Row],[N° Lote]]),"",BD_MR_FF[[#This Row],[N° Lote]])</f>
        <v/>
      </c>
      <c r="BI32" s="19" t="str">
        <f>IF(ISBLANK(BD_MR_FF[[#This Row],[N° Pallet]]),"",BD_MR_FF[[#This Row],[N° Pallet]])</f>
        <v/>
      </c>
    </row>
    <row r="33" spans="2:61">
      <c r="B33" s="19">
        <f>_xlfn.ISOWEEKNUM(BD_MR_FF[[#This Row],[Fecha]])</f>
        <v>52</v>
      </c>
      <c r="E33" s="20"/>
      <c r="F33" s="18" t="str">
        <f>IFERROR("" &amp; _xlfn.XLOOKUP(BD_MR_FF[[#This Row],[Código]],BD_Cod!A:A,BD_Cod!B:B), "")</f>
        <v/>
      </c>
      <c r="G33" s="21" t="str">
        <f>IFERROR(" " &amp;_xlfn.XLOOKUP(BD_MR_FF[[#This Row],[Código]],BD_Cod!A:A,BD_Cod!H:H," ")," ")</f>
        <v xml:space="preserve"> </v>
      </c>
      <c r="J33" s="22">
        <v>1000</v>
      </c>
      <c r="L33" s="19" t="s">
        <v>244</v>
      </c>
      <c r="O33" s="19" t="s">
        <v>890</v>
      </c>
      <c r="P33" s="19" t="s">
        <v>890</v>
      </c>
      <c r="Q33" s="24">
        <f>1-BD_MR_FF[[#This Row],[% Defectos]]</f>
        <v>1</v>
      </c>
      <c r="R33" s="25">
        <v>0</v>
      </c>
      <c r="S33" s="26">
        <f>+IFERROR((BD_MR_FF[[#This Row],[Desviación de Color]]/BD_MR_FF[[#This Row],[Muestra]]),"0")</f>
        <v>0</v>
      </c>
      <c r="T33" s="25">
        <v>0</v>
      </c>
      <c r="U33" s="26">
        <f>+IFERROR((BD_MR_FF[[#This Row],[Sobremaduro]]/BD_MR_FF[[#This Row],[Muestra]]),"0")</f>
        <v>0</v>
      </c>
      <c r="V33" s="25">
        <v>0</v>
      </c>
      <c r="W33" s="26">
        <f>+IFERROR((BD_MR_FF[[#This Row],[Daño Mécanico]]/BD_MR_FF[[#This Row],[Muestra]]),"0")</f>
        <v>0</v>
      </c>
      <c r="X33" s="25">
        <v>0</v>
      </c>
      <c r="Y33" s="26">
        <f>+IFERROR((BD_MR_FF[[#This Row],[Daño Insecto]]/BD_MR_FF[[#This Row],[Muestra]]),"0")</f>
        <v>0</v>
      </c>
      <c r="Z33" s="25">
        <v>0</v>
      </c>
      <c r="AA33" s="26">
        <f>+IFERROR((BD_MR_FF[[#This Row],[Block]]/BD_MR_FF[[#This Row],[Muestra]]),"0")</f>
        <v>0</v>
      </c>
      <c r="AB33" s="25">
        <v>0</v>
      </c>
      <c r="AC33" s="26">
        <f>+IFERROR((BD_MR_FF[[#This Row],[Mohos]]/BD_MR_FF[[#This Row],[Muestra]]),"0")</f>
        <v>0</v>
      </c>
      <c r="AD33" s="25">
        <v>0</v>
      </c>
      <c r="AE33" s="27">
        <v>0</v>
      </c>
      <c r="AG33" s="25">
        <v>0</v>
      </c>
      <c r="AH33" s="26">
        <f>+IFERROR((BD_MR_FF[[#This Row],[Valor Extra 1]]/BD_MR_FF[[#This Row],[Muestra]]),"0")</f>
        <v>0</v>
      </c>
      <c r="AJ33" s="25">
        <v>0</v>
      </c>
      <c r="AK33" s="26">
        <f>+IFERROR((BD_MR_FF[[#This Row],[Valor Extra 2]]/BD_MR_FF[[#This Row],[Muestra]]),"0")</f>
        <v>0</v>
      </c>
      <c r="AL33" s="19">
        <v>0</v>
      </c>
      <c r="AM33" s="26">
        <f>+IFERROR((BD_MR_FF[[#This Row],[Calibre &gt;16]]/BD_MR_FF[[#This Row],[Muestra]]),"0")</f>
        <v>0</v>
      </c>
      <c r="AN33" s="19">
        <v>0</v>
      </c>
      <c r="AO33" s="26">
        <f>+IFERROR((BD_MR_FF[[#This Row],[Calibre &lt;16]]/BD_MR_FF[[#This Row],[Muestra]]),"0")</f>
        <v>0</v>
      </c>
      <c r="AV33" s="27"/>
      <c r="AW33" s="29" t="s">
        <v>900</v>
      </c>
      <c r="AX33" s="19" t="s">
        <v>890</v>
      </c>
      <c r="AY33" s="19" t="s">
        <v>890</v>
      </c>
      <c r="AZ33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3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3" s="24">
        <f>1-BD_MR_FF[[#This Row],[% Defectos]]</f>
        <v>1</v>
      </c>
      <c r="BD33" s="31"/>
      <c r="BE33" s="19">
        <f>SUM(BD_MR_FF[[#This Row],[Palos (Un.) (≤18)]:[Larvas (Un.) (≤24)]])</f>
        <v>0</v>
      </c>
      <c r="BF33" s="19">
        <f>SUM(BD_MR_FF[[#This Row],[Vidrio (Un.) (0)]:[Plástico (Un.) (0)]])</f>
        <v>0</v>
      </c>
      <c r="BG33" s="19" t="str">
        <f>IF(ISBLANK(BD_MR_FF[[#This Row],[Descripción del Producto]]),"",BD_MR_FF[[#This Row],[Descripción del Producto]])</f>
        <v/>
      </c>
      <c r="BH33" s="19" t="str">
        <f>IF(ISBLANK(BD_MR_FF[[#This Row],[N° Lote]]),"",BD_MR_FF[[#This Row],[N° Lote]])</f>
        <v/>
      </c>
      <c r="BI33" s="19" t="str">
        <f>IF(ISBLANK(BD_MR_FF[[#This Row],[N° Pallet]]),"",BD_MR_FF[[#This Row],[N° Pallet]])</f>
        <v/>
      </c>
    </row>
    <row r="34" spans="2:61">
      <c r="B34" s="19">
        <f>_xlfn.ISOWEEKNUM(BD_MR_FF[[#This Row],[Fecha]])</f>
        <v>52</v>
      </c>
      <c r="E34" s="20"/>
      <c r="F34" s="18" t="str">
        <f>IFERROR("" &amp; _xlfn.XLOOKUP(BD_MR_FF[[#This Row],[Código]],BD_Cod!A:A,BD_Cod!B:B), "")</f>
        <v/>
      </c>
      <c r="G34" s="21" t="str">
        <f>IFERROR(" " &amp;_xlfn.XLOOKUP(BD_MR_FF[[#This Row],[Código]],BD_Cod!A:A,BD_Cod!H:H," ")," ")</f>
        <v xml:space="preserve"> </v>
      </c>
      <c r="J34" s="22">
        <v>1000</v>
      </c>
      <c r="L34" s="19" t="s">
        <v>244</v>
      </c>
      <c r="O34" s="19" t="s">
        <v>890</v>
      </c>
      <c r="P34" s="19" t="s">
        <v>890</v>
      </c>
      <c r="Q34" s="24">
        <f>1-BD_MR_FF[[#This Row],[% Defectos]]</f>
        <v>1</v>
      </c>
      <c r="R34" s="25">
        <v>0</v>
      </c>
      <c r="S34" s="26">
        <f>+IFERROR((BD_MR_FF[[#This Row],[Desviación de Color]]/BD_MR_FF[[#This Row],[Muestra]]),"0")</f>
        <v>0</v>
      </c>
      <c r="T34" s="25">
        <v>0</v>
      </c>
      <c r="U34" s="26">
        <f>+IFERROR((BD_MR_FF[[#This Row],[Sobremaduro]]/BD_MR_FF[[#This Row],[Muestra]]),"0")</f>
        <v>0</v>
      </c>
      <c r="V34" s="25">
        <v>0</v>
      </c>
      <c r="W34" s="26">
        <f>+IFERROR((BD_MR_FF[[#This Row],[Daño Mécanico]]/BD_MR_FF[[#This Row],[Muestra]]),"0")</f>
        <v>0</v>
      </c>
      <c r="X34" s="25">
        <v>0</v>
      </c>
      <c r="Y34" s="26">
        <f>+IFERROR((BD_MR_FF[[#This Row],[Daño Insecto]]/BD_MR_FF[[#This Row],[Muestra]]),"0")</f>
        <v>0</v>
      </c>
      <c r="Z34" s="25">
        <v>0</v>
      </c>
      <c r="AA34" s="26">
        <f>+IFERROR((BD_MR_FF[[#This Row],[Block]]/BD_MR_FF[[#This Row],[Muestra]]),"0")</f>
        <v>0</v>
      </c>
      <c r="AB34" s="25">
        <v>0</v>
      </c>
      <c r="AC34" s="26">
        <f>+IFERROR((BD_MR_FF[[#This Row],[Mohos]]/BD_MR_FF[[#This Row],[Muestra]]),"0")</f>
        <v>0</v>
      </c>
      <c r="AD34" s="25">
        <v>0</v>
      </c>
      <c r="AE34" s="27">
        <v>0</v>
      </c>
      <c r="AG34" s="25">
        <v>0</v>
      </c>
      <c r="AH34" s="26">
        <f>+IFERROR((BD_MR_FF[[#This Row],[Valor Extra 1]]/BD_MR_FF[[#This Row],[Muestra]]),"0")</f>
        <v>0</v>
      </c>
      <c r="AJ34" s="25">
        <v>0</v>
      </c>
      <c r="AK34" s="26">
        <f>+IFERROR((BD_MR_FF[[#This Row],[Valor Extra 2]]/BD_MR_FF[[#This Row],[Muestra]]),"0")</f>
        <v>0</v>
      </c>
      <c r="AL34" s="19">
        <v>0</v>
      </c>
      <c r="AM34" s="26">
        <f>+IFERROR((BD_MR_FF[[#This Row],[Calibre &gt;16]]/BD_MR_FF[[#This Row],[Muestra]]),"0")</f>
        <v>0</v>
      </c>
      <c r="AN34" s="19">
        <v>0</v>
      </c>
      <c r="AO34" s="26">
        <f>+IFERROR((BD_MR_FF[[#This Row],[Calibre &lt;16]]/BD_MR_FF[[#This Row],[Muestra]]),"0")</f>
        <v>0</v>
      </c>
      <c r="AV34" s="27"/>
      <c r="AW34" s="29" t="s">
        <v>900</v>
      </c>
      <c r="AX34" s="19" t="s">
        <v>890</v>
      </c>
      <c r="AY34" s="19" t="s">
        <v>890</v>
      </c>
      <c r="AZ34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4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4" s="24">
        <f>1-BD_MR_FF[[#This Row],[% Defectos]]</f>
        <v>1</v>
      </c>
      <c r="BD34" s="31"/>
      <c r="BE34" s="19">
        <f>SUM(BD_MR_FF[[#This Row],[Palos (Un.) (≤18)]:[Larvas (Un.) (≤24)]])</f>
        <v>0</v>
      </c>
      <c r="BF34" s="19">
        <f>SUM(BD_MR_FF[[#This Row],[Vidrio (Un.) (0)]:[Plástico (Un.) (0)]])</f>
        <v>0</v>
      </c>
      <c r="BG34" s="19" t="str">
        <f>IF(ISBLANK(BD_MR_FF[[#This Row],[Descripción del Producto]]),"",BD_MR_FF[[#This Row],[Descripción del Producto]])</f>
        <v/>
      </c>
      <c r="BH34" s="19" t="str">
        <f>IF(ISBLANK(BD_MR_FF[[#This Row],[N° Lote]]),"",BD_MR_FF[[#This Row],[N° Lote]])</f>
        <v/>
      </c>
      <c r="BI34" s="19" t="str">
        <f>IF(ISBLANK(BD_MR_FF[[#This Row],[N° Pallet]]),"",BD_MR_FF[[#This Row],[N° Pallet]])</f>
        <v/>
      </c>
    </row>
    <row r="35" spans="2:61">
      <c r="B35" s="19">
        <f>_xlfn.ISOWEEKNUM(BD_MR_FF[[#This Row],[Fecha]])</f>
        <v>52</v>
      </c>
      <c r="E35" s="20"/>
      <c r="F35" s="18" t="str">
        <f>IFERROR("" &amp; _xlfn.XLOOKUP(BD_MR_FF[[#This Row],[Código]],BD_Cod!A:A,BD_Cod!B:B), "")</f>
        <v/>
      </c>
      <c r="G35" s="21" t="str">
        <f>IFERROR(" " &amp;_xlfn.XLOOKUP(BD_MR_FF[[#This Row],[Código]],BD_Cod!A:A,BD_Cod!H:H," ")," ")</f>
        <v xml:space="preserve"> </v>
      </c>
      <c r="J35" s="22">
        <v>1000</v>
      </c>
      <c r="L35" s="19" t="s">
        <v>244</v>
      </c>
      <c r="O35" s="19" t="s">
        <v>890</v>
      </c>
      <c r="P35" s="19" t="s">
        <v>890</v>
      </c>
      <c r="Q35" s="24">
        <f>1-BD_MR_FF[[#This Row],[% Defectos]]</f>
        <v>1</v>
      </c>
      <c r="R35" s="25">
        <v>0</v>
      </c>
      <c r="S35" s="26">
        <f>+IFERROR((BD_MR_FF[[#This Row],[Desviación de Color]]/BD_MR_FF[[#This Row],[Muestra]]),"0")</f>
        <v>0</v>
      </c>
      <c r="T35" s="25">
        <v>0</v>
      </c>
      <c r="U35" s="26">
        <f>+IFERROR((BD_MR_FF[[#This Row],[Sobremaduro]]/BD_MR_FF[[#This Row],[Muestra]]),"0")</f>
        <v>0</v>
      </c>
      <c r="V35" s="25">
        <v>0</v>
      </c>
      <c r="W35" s="26">
        <f>+IFERROR((BD_MR_FF[[#This Row],[Daño Mécanico]]/BD_MR_FF[[#This Row],[Muestra]]),"0")</f>
        <v>0</v>
      </c>
      <c r="X35" s="25">
        <v>0</v>
      </c>
      <c r="Y35" s="26">
        <f>+IFERROR((BD_MR_FF[[#This Row],[Daño Insecto]]/BD_MR_FF[[#This Row],[Muestra]]),"0")</f>
        <v>0</v>
      </c>
      <c r="Z35" s="25">
        <v>0</v>
      </c>
      <c r="AA35" s="26">
        <f>+IFERROR((BD_MR_FF[[#This Row],[Block]]/BD_MR_FF[[#This Row],[Muestra]]),"0")</f>
        <v>0</v>
      </c>
      <c r="AB35" s="25">
        <v>0</v>
      </c>
      <c r="AC35" s="26">
        <f>+IFERROR((BD_MR_FF[[#This Row],[Mohos]]/BD_MR_FF[[#This Row],[Muestra]]),"0")</f>
        <v>0</v>
      </c>
      <c r="AD35" s="25">
        <v>0</v>
      </c>
      <c r="AE35" s="27">
        <v>0</v>
      </c>
      <c r="AG35" s="25">
        <v>0</v>
      </c>
      <c r="AH35" s="26">
        <f>+IFERROR((BD_MR_FF[[#This Row],[Valor Extra 1]]/BD_MR_FF[[#This Row],[Muestra]]),"0")</f>
        <v>0</v>
      </c>
      <c r="AJ35" s="25">
        <v>0</v>
      </c>
      <c r="AK35" s="26">
        <f>+IFERROR((BD_MR_FF[[#This Row],[Valor Extra 2]]/BD_MR_FF[[#This Row],[Muestra]]),"0")</f>
        <v>0</v>
      </c>
      <c r="AL35" s="19">
        <v>0</v>
      </c>
      <c r="AM35" s="26">
        <f>+IFERROR((BD_MR_FF[[#This Row],[Calibre &gt;16]]/BD_MR_FF[[#This Row],[Muestra]]),"0")</f>
        <v>0</v>
      </c>
      <c r="AN35" s="19">
        <v>0</v>
      </c>
      <c r="AO35" s="26">
        <f>+IFERROR((BD_MR_FF[[#This Row],[Calibre &lt;16]]/BD_MR_FF[[#This Row],[Muestra]]),"0")</f>
        <v>0</v>
      </c>
      <c r="AV35" s="27"/>
      <c r="AW35" s="29" t="s">
        <v>900</v>
      </c>
      <c r="AX35" s="19" t="s">
        <v>890</v>
      </c>
      <c r="AY35" s="19" t="s">
        <v>890</v>
      </c>
      <c r="AZ35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5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5" s="24">
        <f>1-BD_MR_FF[[#This Row],[% Defectos]]</f>
        <v>1</v>
      </c>
      <c r="BD35" s="31"/>
      <c r="BE35" s="19">
        <f>SUM(BD_MR_FF[[#This Row],[Palos (Un.) (≤18)]:[Larvas (Un.) (≤24)]])</f>
        <v>0</v>
      </c>
      <c r="BF35" s="19">
        <f>SUM(BD_MR_FF[[#This Row],[Vidrio (Un.) (0)]:[Plástico (Un.) (0)]])</f>
        <v>0</v>
      </c>
      <c r="BG35" s="19" t="str">
        <f>IF(ISBLANK(BD_MR_FF[[#This Row],[Descripción del Producto]]),"",BD_MR_FF[[#This Row],[Descripción del Producto]])</f>
        <v/>
      </c>
      <c r="BH35" s="19" t="str">
        <f>IF(ISBLANK(BD_MR_FF[[#This Row],[N° Lote]]),"",BD_MR_FF[[#This Row],[N° Lote]])</f>
        <v/>
      </c>
      <c r="BI35" s="19" t="str">
        <f>IF(ISBLANK(BD_MR_FF[[#This Row],[N° Pallet]]),"",BD_MR_FF[[#This Row],[N° Pallet]])</f>
        <v/>
      </c>
    </row>
    <row r="36" spans="2:61">
      <c r="B36" s="19">
        <f>_xlfn.ISOWEEKNUM(BD_MR_FF[[#This Row],[Fecha]])</f>
        <v>52</v>
      </c>
      <c r="E36" s="20"/>
      <c r="F36" s="18" t="str">
        <f>IFERROR("" &amp; _xlfn.XLOOKUP(BD_MR_FF[[#This Row],[Código]],BD_Cod!A:A,BD_Cod!B:B), "")</f>
        <v/>
      </c>
      <c r="G36" s="21" t="str">
        <f>IFERROR(" " &amp;_xlfn.XLOOKUP(BD_MR_FF[[#This Row],[Código]],BD_Cod!A:A,BD_Cod!H:H," ")," ")</f>
        <v xml:space="preserve"> </v>
      </c>
      <c r="J36" s="22">
        <v>1000</v>
      </c>
      <c r="L36" s="19" t="s">
        <v>244</v>
      </c>
      <c r="O36" s="19" t="s">
        <v>890</v>
      </c>
      <c r="P36" s="19" t="s">
        <v>890</v>
      </c>
      <c r="Q36" s="24">
        <f>1-BD_MR_FF[[#This Row],[% Defectos]]</f>
        <v>1</v>
      </c>
      <c r="R36" s="25">
        <v>0</v>
      </c>
      <c r="S36" s="26">
        <f>+IFERROR((BD_MR_FF[[#This Row],[Desviación de Color]]/BD_MR_FF[[#This Row],[Muestra]]),"0")</f>
        <v>0</v>
      </c>
      <c r="T36" s="25">
        <v>0</v>
      </c>
      <c r="U36" s="26">
        <f>+IFERROR((BD_MR_FF[[#This Row],[Sobremaduro]]/BD_MR_FF[[#This Row],[Muestra]]),"0")</f>
        <v>0</v>
      </c>
      <c r="V36" s="25">
        <v>0</v>
      </c>
      <c r="W36" s="26">
        <f>+IFERROR((BD_MR_FF[[#This Row],[Daño Mécanico]]/BD_MR_FF[[#This Row],[Muestra]]),"0")</f>
        <v>0</v>
      </c>
      <c r="X36" s="25">
        <v>0</v>
      </c>
      <c r="Y36" s="26">
        <f>+IFERROR((BD_MR_FF[[#This Row],[Daño Insecto]]/BD_MR_FF[[#This Row],[Muestra]]),"0")</f>
        <v>0</v>
      </c>
      <c r="Z36" s="25">
        <v>0</v>
      </c>
      <c r="AA36" s="26">
        <f>+IFERROR((BD_MR_FF[[#This Row],[Block]]/BD_MR_FF[[#This Row],[Muestra]]),"0")</f>
        <v>0</v>
      </c>
      <c r="AB36" s="25">
        <v>0</v>
      </c>
      <c r="AC36" s="26">
        <f>+IFERROR((BD_MR_FF[[#This Row],[Mohos]]/BD_MR_FF[[#This Row],[Muestra]]),"0")</f>
        <v>0</v>
      </c>
      <c r="AD36" s="25">
        <v>0</v>
      </c>
      <c r="AE36" s="27">
        <v>0</v>
      </c>
      <c r="AG36" s="25">
        <v>0</v>
      </c>
      <c r="AH36" s="26">
        <f>+IFERROR((BD_MR_FF[[#This Row],[Valor Extra 1]]/BD_MR_FF[[#This Row],[Muestra]]),"0")</f>
        <v>0</v>
      </c>
      <c r="AJ36" s="25">
        <v>0</v>
      </c>
      <c r="AK36" s="26">
        <f>+IFERROR((BD_MR_FF[[#This Row],[Valor Extra 2]]/BD_MR_FF[[#This Row],[Muestra]]),"0")</f>
        <v>0</v>
      </c>
      <c r="AL36" s="19">
        <v>0</v>
      </c>
      <c r="AM36" s="26">
        <f>+IFERROR((BD_MR_FF[[#This Row],[Calibre &gt;16]]/BD_MR_FF[[#This Row],[Muestra]]),"0")</f>
        <v>0</v>
      </c>
      <c r="AN36" s="19">
        <v>0</v>
      </c>
      <c r="AO36" s="26">
        <f>+IFERROR((BD_MR_FF[[#This Row],[Calibre &lt;16]]/BD_MR_FF[[#This Row],[Muestra]]),"0")</f>
        <v>0</v>
      </c>
      <c r="AV36" s="27"/>
      <c r="AW36" s="29" t="s">
        <v>900</v>
      </c>
      <c r="AX36" s="19" t="s">
        <v>890</v>
      </c>
      <c r="AY36" s="19" t="s">
        <v>890</v>
      </c>
      <c r="AZ36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6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6" s="24">
        <f>1-BD_MR_FF[[#This Row],[% Defectos]]</f>
        <v>1</v>
      </c>
      <c r="BD36" s="31"/>
      <c r="BE36" s="19">
        <f>SUM(BD_MR_FF[[#This Row],[Palos (Un.) (≤18)]:[Larvas (Un.) (≤24)]])</f>
        <v>0</v>
      </c>
      <c r="BF36" s="19">
        <f>SUM(BD_MR_FF[[#This Row],[Vidrio (Un.) (0)]:[Plástico (Un.) (0)]])</f>
        <v>0</v>
      </c>
      <c r="BG36" s="19" t="str">
        <f>IF(ISBLANK(BD_MR_FF[[#This Row],[Descripción del Producto]]),"",BD_MR_FF[[#This Row],[Descripción del Producto]])</f>
        <v/>
      </c>
      <c r="BH36" s="19" t="str">
        <f>IF(ISBLANK(BD_MR_FF[[#This Row],[N° Lote]]),"",BD_MR_FF[[#This Row],[N° Lote]])</f>
        <v/>
      </c>
      <c r="BI36" s="19" t="str">
        <f>IF(ISBLANK(BD_MR_FF[[#This Row],[N° Pallet]]),"",BD_MR_FF[[#This Row],[N° Pallet]])</f>
        <v/>
      </c>
    </row>
    <row r="37" spans="2:61">
      <c r="B37" s="19">
        <f>_xlfn.ISOWEEKNUM(BD_MR_FF[[#This Row],[Fecha]])</f>
        <v>52</v>
      </c>
      <c r="E37" s="20"/>
      <c r="F37" s="18" t="str">
        <f>IFERROR("" &amp; _xlfn.XLOOKUP(BD_MR_FF[[#This Row],[Código]],BD_Cod!A:A,BD_Cod!B:B), "")</f>
        <v/>
      </c>
      <c r="G37" s="21" t="str">
        <f>IFERROR(" " &amp;_xlfn.XLOOKUP(BD_MR_FF[[#This Row],[Código]],BD_Cod!A:A,BD_Cod!H:H," ")," ")</f>
        <v xml:space="preserve"> </v>
      </c>
      <c r="J37" s="22">
        <v>1000</v>
      </c>
      <c r="L37" s="19" t="s">
        <v>244</v>
      </c>
      <c r="O37" s="19" t="s">
        <v>890</v>
      </c>
      <c r="P37" s="19" t="s">
        <v>890</v>
      </c>
      <c r="Q37" s="24">
        <f>1-BD_MR_FF[[#This Row],[% Defectos]]</f>
        <v>1</v>
      </c>
      <c r="R37" s="25">
        <v>0</v>
      </c>
      <c r="S37" s="26">
        <f>+IFERROR((BD_MR_FF[[#This Row],[Desviación de Color]]/BD_MR_FF[[#This Row],[Muestra]]),"0")</f>
        <v>0</v>
      </c>
      <c r="T37" s="25">
        <v>0</v>
      </c>
      <c r="U37" s="26">
        <f>+IFERROR((BD_MR_FF[[#This Row],[Sobremaduro]]/BD_MR_FF[[#This Row],[Muestra]]),"0")</f>
        <v>0</v>
      </c>
      <c r="V37" s="25">
        <v>0</v>
      </c>
      <c r="W37" s="26">
        <f>+IFERROR((BD_MR_FF[[#This Row],[Daño Mécanico]]/BD_MR_FF[[#This Row],[Muestra]]),"0")</f>
        <v>0</v>
      </c>
      <c r="X37" s="25">
        <v>0</v>
      </c>
      <c r="Y37" s="26">
        <f>+IFERROR((BD_MR_FF[[#This Row],[Daño Insecto]]/BD_MR_FF[[#This Row],[Muestra]]),"0")</f>
        <v>0</v>
      </c>
      <c r="Z37" s="25">
        <v>0</v>
      </c>
      <c r="AA37" s="26">
        <f>+IFERROR((BD_MR_FF[[#This Row],[Block]]/BD_MR_FF[[#This Row],[Muestra]]),"0")</f>
        <v>0</v>
      </c>
      <c r="AB37" s="25">
        <v>0</v>
      </c>
      <c r="AC37" s="26">
        <f>+IFERROR((BD_MR_FF[[#This Row],[Mohos]]/BD_MR_FF[[#This Row],[Muestra]]),"0")</f>
        <v>0</v>
      </c>
      <c r="AD37" s="25">
        <v>0</v>
      </c>
      <c r="AE37" s="27">
        <v>0</v>
      </c>
      <c r="AG37" s="25">
        <v>0</v>
      </c>
      <c r="AH37" s="26">
        <f>+IFERROR((BD_MR_FF[[#This Row],[Valor Extra 1]]/BD_MR_FF[[#This Row],[Muestra]]),"0")</f>
        <v>0</v>
      </c>
      <c r="AJ37" s="25">
        <v>0</v>
      </c>
      <c r="AK37" s="26">
        <f>+IFERROR((BD_MR_FF[[#This Row],[Valor Extra 2]]/BD_MR_FF[[#This Row],[Muestra]]),"0")</f>
        <v>0</v>
      </c>
      <c r="AL37" s="19">
        <v>0</v>
      </c>
      <c r="AM37" s="26">
        <f>+IFERROR((BD_MR_FF[[#This Row],[Calibre &gt;16]]/BD_MR_FF[[#This Row],[Muestra]]),"0")</f>
        <v>0</v>
      </c>
      <c r="AN37" s="19">
        <v>0</v>
      </c>
      <c r="AO37" s="26">
        <f>+IFERROR((BD_MR_FF[[#This Row],[Calibre &lt;16]]/BD_MR_FF[[#This Row],[Muestra]]),"0")</f>
        <v>0</v>
      </c>
      <c r="AV37" s="27"/>
      <c r="AW37" s="29" t="s">
        <v>900</v>
      </c>
      <c r="AX37" s="19" t="s">
        <v>890</v>
      </c>
      <c r="AY37" s="19" t="s">
        <v>890</v>
      </c>
      <c r="AZ37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7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7" s="24">
        <f>1-BD_MR_FF[[#This Row],[% Defectos]]</f>
        <v>1</v>
      </c>
      <c r="BD37" s="31"/>
      <c r="BE37" s="19">
        <f>SUM(BD_MR_FF[[#This Row],[Palos (Un.) (≤18)]:[Larvas (Un.) (≤24)]])</f>
        <v>0</v>
      </c>
      <c r="BF37" s="19">
        <f>SUM(BD_MR_FF[[#This Row],[Vidrio (Un.) (0)]:[Plástico (Un.) (0)]])</f>
        <v>0</v>
      </c>
      <c r="BG37" s="19" t="str">
        <f>IF(ISBLANK(BD_MR_FF[[#This Row],[Descripción del Producto]]),"",BD_MR_FF[[#This Row],[Descripción del Producto]])</f>
        <v/>
      </c>
      <c r="BH37" s="19" t="str">
        <f>IF(ISBLANK(BD_MR_FF[[#This Row],[N° Lote]]),"",BD_MR_FF[[#This Row],[N° Lote]])</f>
        <v/>
      </c>
      <c r="BI37" s="19" t="str">
        <f>IF(ISBLANK(BD_MR_FF[[#This Row],[N° Pallet]]),"",BD_MR_FF[[#This Row],[N° Pallet]])</f>
        <v/>
      </c>
    </row>
    <row r="38" spans="2:61">
      <c r="B38" s="19">
        <f>_xlfn.ISOWEEKNUM(BD_MR_FF[[#This Row],[Fecha]])</f>
        <v>52</v>
      </c>
      <c r="E38" s="20"/>
      <c r="F38" s="18" t="str">
        <f>IFERROR("" &amp; _xlfn.XLOOKUP(BD_MR_FF[[#This Row],[Código]],BD_Cod!A:A,BD_Cod!B:B), "")</f>
        <v/>
      </c>
      <c r="G38" s="21" t="str">
        <f>IFERROR(" " &amp;_xlfn.XLOOKUP(BD_MR_FF[[#This Row],[Código]],BD_Cod!A:A,BD_Cod!H:H," ")," ")</f>
        <v xml:space="preserve"> </v>
      </c>
      <c r="J38" s="22">
        <v>1000</v>
      </c>
      <c r="L38" s="19" t="s">
        <v>244</v>
      </c>
      <c r="O38" s="19" t="s">
        <v>890</v>
      </c>
      <c r="P38" s="19" t="s">
        <v>890</v>
      </c>
      <c r="Q38" s="24">
        <f>1-BD_MR_FF[[#This Row],[% Defectos]]</f>
        <v>1</v>
      </c>
      <c r="R38" s="25">
        <v>0</v>
      </c>
      <c r="S38" s="26">
        <f>+IFERROR((BD_MR_FF[[#This Row],[Desviación de Color]]/BD_MR_FF[[#This Row],[Muestra]]),"0")</f>
        <v>0</v>
      </c>
      <c r="T38" s="25">
        <v>0</v>
      </c>
      <c r="U38" s="26">
        <f>+IFERROR((BD_MR_FF[[#This Row],[Sobremaduro]]/BD_MR_FF[[#This Row],[Muestra]]),"0")</f>
        <v>0</v>
      </c>
      <c r="V38" s="25">
        <v>0</v>
      </c>
      <c r="W38" s="26">
        <f>+IFERROR((BD_MR_FF[[#This Row],[Daño Mécanico]]/BD_MR_FF[[#This Row],[Muestra]]),"0")</f>
        <v>0</v>
      </c>
      <c r="X38" s="25">
        <v>0</v>
      </c>
      <c r="Y38" s="26">
        <f>+IFERROR((BD_MR_FF[[#This Row],[Daño Insecto]]/BD_MR_FF[[#This Row],[Muestra]]),"0")</f>
        <v>0</v>
      </c>
      <c r="Z38" s="25">
        <v>0</v>
      </c>
      <c r="AA38" s="26">
        <f>+IFERROR((BD_MR_FF[[#This Row],[Block]]/BD_MR_FF[[#This Row],[Muestra]]),"0")</f>
        <v>0</v>
      </c>
      <c r="AB38" s="25">
        <v>0</v>
      </c>
      <c r="AC38" s="26">
        <f>+IFERROR((BD_MR_FF[[#This Row],[Mohos]]/BD_MR_FF[[#This Row],[Muestra]]),"0")</f>
        <v>0</v>
      </c>
      <c r="AD38" s="25">
        <v>0</v>
      </c>
      <c r="AE38" s="27">
        <v>0</v>
      </c>
      <c r="AG38" s="25">
        <v>0</v>
      </c>
      <c r="AH38" s="26">
        <f>+IFERROR((BD_MR_FF[[#This Row],[Valor Extra 1]]/BD_MR_FF[[#This Row],[Muestra]]),"0")</f>
        <v>0</v>
      </c>
      <c r="AJ38" s="25">
        <v>0</v>
      </c>
      <c r="AK38" s="26">
        <f>+IFERROR((BD_MR_FF[[#This Row],[Valor Extra 2]]/BD_MR_FF[[#This Row],[Muestra]]),"0")</f>
        <v>0</v>
      </c>
      <c r="AL38" s="19">
        <v>0</v>
      </c>
      <c r="AM38" s="26">
        <f>+IFERROR((BD_MR_FF[[#This Row],[Calibre &gt;16]]/BD_MR_FF[[#This Row],[Muestra]]),"0")</f>
        <v>0</v>
      </c>
      <c r="AN38" s="19">
        <v>0</v>
      </c>
      <c r="AO38" s="26">
        <f>+IFERROR((BD_MR_FF[[#This Row],[Calibre &lt;16]]/BD_MR_FF[[#This Row],[Muestra]]),"0")</f>
        <v>0</v>
      </c>
      <c r="AV38" s="27"/>
      <c r="AW38" s="29" t="s">
        <v>900</v>
      </c>
      <c r="AX38" s="19" t="s">
        <v>890</v>
      </c>
      <c r="AY38" s="19" t="s">
        <v>890</v>
      </c>
      <c r="AZ38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8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8" s="24">
        <f>1-BD_MR_FF[[#This Row],[% Defectos]]</f>
        <v>1</v>
      </c>
      <c r="BD38" s="31"/>
      <c r="BE38" s="19">
        <f>SUM(BD_MR_FF[[#This Row],[Palos (Un.) (≤18)]:[Larvas (Un.) (≤24)]])</f>
        <v>0</v>
      </c>
      <c r="BF38" s="19">
        <f>SUM(BD_MR_FF[[#This Row],[Vidrio (Un.) (0)]:[Plástico (Un.) (0)]])</f>
        <v>0</v>
      </c>
      <c r="BG38" s="19" t="str">
        <f>IF(ISBLANK(BD_MR_FF[[#This Row],[Descripción del Producto]]),"",BD_MR_FF[[#This Row],[Descripción del Producto]])</f>
        <v/>
      </c>
      <c r="BH38" s="19" t="str">
        <f>IF(ISBLANK(BD_MR_FF[[#This Row],[N° Lote]]),"",BD_MR_FF[[#This Row],[N° Lote]])</f>
        <v/>
      </c>
      <c r="BI38" s="19" t="str">
        <f>IF(ISBLANK(BD_MR_FF[[#This Row],[N° Pallet]]),"",BD_MR_FF[[#This Row],[N° Pallet]])</f>
        <v/>
      </c>
    </row>
    <row r="39" spans="2:61">
      <c r="B39" s="19">
        <f>_xlfn.ISOWEEKNUM(BD_MR_FF[[#This Row],[Fecha]])</f>
        <v>52</v>
      </c>
      <c r="E39" s="20"/>
      <c r="F39" s="18" t="str">
        <f>IFERROR("" &amp; _xlfn.XLOOKUP(BD_MR_FF[[#This Row],[Código]],BD_Cod!A:A,BD_Cod!B:B), "")</f>
        <v/>
      </c>
      <c r="G39" s="21" t="str">
        <f>IFERROR(" " &amp;_xlfn.XLOOKUP(BD_MR_FF[[#This Row],[Código]],BD_Cod!A:A,BD_Cod!H:H," ")," ")</f>
        <v xml:space="preserve"> </v>
      </c>
      <c r="J39" s="22">
        <v>1000</v>
      </c>
      <c r="L39" s="19" t="s">
        <v>244</v>
      </c>
      <c r="O39" s="19" t="s">
        <v>890</v>
      </c>
      <c r="P39" s="19" t="s">
        <v>890</v>
      </c>
      <c r="Q39" s="24">
        <f>1-BD_MR_FF[[#This Row],[% Defectos]]</f>
        <v>1</v>
      </c>
      <c r="R39" s="25">
        <v>0</v>
      </c>
      <c r="S39" s="26">
        <f>+IFERROR((BD_MR_FF[[#This Row],[Desviación de Color]]/BD_MR_FF[[#This Row],[Muestra]]),"0")</f>
        <v>0</v>
      </c>
      <c r="T39" s="25">
        <v>0</v>
      </c>
      <c r="U39" s="26">
        <f>+IFERROR((BD_MR_FF[[#This Row],[Sobremaduro]]/BD_MR_FF[[#This Row],[Muestra]]),"0")</f>
        <v>0</v>
      </c>
      <c r="V39" s="25">
        <v>0</v>
      </c>
      <c r="W39" s="26">
        <f>+IFERROR((BD_MR_FF[[#This Row],[Daño Mécanico]]/BD_MR_FF[[#This Row],[Muestra]]),"0")</f>
        <v>0</v>
      </c>
      <c r="X39" s="25">
        <v>0</v>
      </c>
      <c r="Y39" s="26">
        <f>+IFERROR((BD_MR_FF[[#This Row],[Daño Insecto]]/BD_MR_FF[[#This Row],[Muestra]]),"0")</f>
        <v>0</v>
      </c>
      <c r="Z39" s="25">
        <v>0</v>
      </c>
      <c r="AA39" s="26">
        <f>+IFERROR((BD_MR_FF[[#This Row],[Block]]/BD_MR_FF[[#This Row],[Muestra]]),"0")</f>
        <v>0</v>
      </c>
      <c r="AB39" s="25">
        <v>0</v>
      </c>
      <c r="AC39" s="26">
        <f>+IFERROR((BD_MR_FF[[#This Row],[Mohos]]/BD_MR_FF[[#This Row],[Muestra]]),"0")</f>
        <v>0</v>
      </c>
      <c r="AD39" s="25">
        <v>0</v>
      </c>
      <c r="AE39" s="27">
        <v>0</v>
      </c>
      <c r="AG39" s="25">
        <v>0</v>
      </c>
      <c r="AH39" s="26">
        <f>+IFERROR((BD_MR_FF[[#This Row],[Valor Extra 1]]/BD_MR_FF[[#This Row],[Muestra]]),"0")</f>
        <v>0</v>
      </c>
      <c r="AJ39" s="25">
        <v>0</v>
      </c>
      <c r="AK39" s="26">
        <f>+IFERROR((BD_MR_FF[[#This Row],[Valor Extra 2]]/BD_MR_FF[[#This Row],[Muestra]]),"0")</f>
        <v>0</v>
      </c>
      <c r="AL39" s="19">
        <v>0</v>
      </c>
      <c r="AM39" s="26">
        <f>+IFERROR((BD_MR_FF[[#This Row],[Calibre &gt;16]]/BD_MR_FF[[#This Row],[Muestra]]),"0")</f>
        <v>0</v>
      </c>
      <c r="AN39" s="19">
        <v>0</v>
      </c>
      <c r="AO39" s="26">
        <f>+IFERROR((BD_MR_FF[[#This Row],[Calibre &lt;16]]/BD_MR_FF[[#This Row],[Muestra]]),"0")</f>
        <v>0</v>
      </c>
      <c r="AV39" s="27"/>
      <c r="AW39" s="29" t="s">
        <v>900</v>
      </c>
      <c r="AX39" s="19" t="s">
        <v>890</v>
      </c>
      <c r="AY39" s="19" t="s">
        <v>890</v>
      </c>
      <c r="AZ39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39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39" s="24">
        <f>1-BD_MR_FF[[#This Row],[% Defectos]]</f>
        <v>1</v>
      </c>
      <c r="BD39" s="31"/>
      <c r="BE39" s="19">
        <f>SUM(BD_MR_FF[[#This Row],[Palos (Un.) (≤18)]:[Larvas (Un.) (≤24)]])</f>
        <v>0</v>
      </c>
      <c r="BF39" s="19">
        <f>SUM(BD_MR_FF[[#This Row],[Vidrio (Un.) (0)]:[Plástico (Un.) (0)]])</f>
        <v>0</v>
      </c>
      <c r="BG39" s="19" t="str">
        <f>IF(ISBLANK(BD_MR_FF[[#This Row],[Descripción del Producto]]),"",BD_MR_FF[[#This Row],[Descripción del Producto]])</f>
        <v/>
      </c>
      <c r="BH39" s="19" t="str">
        <f>IF(ISBLANK(BD_MR_FF[[#This Row],[N° Lote]]),"",BD_MR_FF[[#This Row],[N° Lote]])</f>
        <v/>
      </c>
      <c r="BI39" s="19" t="str">
        <f>IF(ISBLANK(BD_MR_FF[[#This Row],[N° Pallet]]),"",BD_MR_FF[[#This Row],[N° Pallet]])</f>
        <v/>
      </c>
    </row>
    <row r="40" spans="2:61">
      <c r="B40" s="19">
        <f>_xlfn.ISOWEEKNUM(BD_MR_FF[[#This Row],[Fecha]])</f>
        <v>52</v>
      </c>
      <c r="E40" s="20"/>
      <c r="F40" s="18" t="str">
        <f>IFERROR("" &amp; _xlfn.XLOOKUP(BD_MR_FF[[#This Row],[Código]],BD_Cod!A:A,BD_Cod!B:B), "")</f>
        <v/>
      </c>
      <c r="G40" s="21" t="str">
        <f>IFERROR(" " &amp;_xlfn.XLOOKUP(BD_MR_FF[[#This Row],[Código]],BD_Cod!A:A,BD_Cod!H:H," ")," ")</f>
        <v xml:space="preserve"> </v>
      </c>
      <c r="J40" s="22">
        <v>1000</v>
      </c>
      <c r="L40" s="19" t="s">
        <v>244</v>
      </c>
      <c r="O40" s="19" t="s">
        <v>890</v>
      </c>
      <c r="P40" s="19" t="s">
        <v>890</v>
      </c>
      <c r="Q40" s="24">
        <f>1-BD_MR_FF[[#This Row],[% Defectos]]</f>
        <v>1</v>
      </c>
      <c r="R40" s="25">
        <v>0</v>
      </c>
      <c r="S40" s="26">
        <f>+IFERROR((BD_MR_FF[[#This Row],[Desviación de Color]]/BD_MR_FF[[#This Row],[Muestra]]),"0")</f>
        <v>0</v>
      </c>
      <c r="T40" s="25">
        <v>0</v>
      </c>
      <c r="U40" s="26">
        <f>+IFERROR((BD_MR_FF[[#This Row],[Sobremaduro]]/BD_MR_FF[[#This Row],[Muestra]]),"0")</f>
        <v>0</v>
      </c>
      <c r="V40" s="25">
        <v>0</v>
      </c>
      <c r="W40" s="26">
        <f>+IFERROR((BD_MR_FF[[#This Row],[Daño Mécanico]]/BD_MR_FF[[#This Row],[Muestra]]),"0")</f>
        <v>0</v>
      </c>
      <c r="X40" s="25">
        <v>0</v>
      </c>
      <c r="Y40" s="26">
        <f>+IFERROR((BD_MR_FF[[#This Row],[Daño Insecto]]/BD_MR_FF[[#This Row],[Muestra]]),"0")</f>
        <v>0</v>
      </c>
      <c r="Z40" s="25">
        <v>0</v>
      </c>
      <c r="AA40" s="26">
        <f>+IFERROR((BD_MR_FF[[#This Row],[Block]]/BD_MR_FF[[#This Row],[Muestra]]),"0")</f>
        <v>0</v>
      </c>
      <c r="AB40" s="25">
        <v>0</v>
      </c>
      <c r="AC40" s="26">
        <f>+IFERROR((BD_MR_FF[[#This Row],[Mohos]]/BD_MR_FF[[#This Row],[Muestra]]),"0")</f>
        <v>0</v>
      </c>
      <c r="AD40" s="25">
        <v>0</v>
      </c>
      <c r="AE40" s="27">
        <v>0</v>
      </c>
      <c r="AG40" s="25">
        <v>0</v>
      </c>
      <c r="AH40" s="26">
        <f>+IFERROR((BD_MR_FF[[#This Row],[Valor Extra 1]]/BD_MR_FF[[#This Row],[Muestra]]),"0")</f>
        <v>0</v>
      </c>
      <c r="AJ40" s="25">
        <v>0</v>
      </c>
      <c r="AK40" s="26">
        <f>+IFERROR((BD_MR_FF[[#This Row],[Valor Extra 2]]/BD_MR_FF[[#This Row],[Muestra]]),"0")</f>
        <v>0</v>
      </c>
      <c r="AL40" s="19">
        <v>0</v>
      </c>
      <c r="AM40" s="26">
        <f>+IFERROR((BD_MR_FF[[#This Row],[Calibre &gt;16]]/BD_MR_FF[[#This Row],[Muestra]]),"0")</f>
        <v>0</v>
      </c>
      <c r="AN40" s="19">
        <v>0</v>
      </c>
      <c r="AO40" s="26">
        <f>+IFERROR((BD_MR_FF[[#This Row],[Calibre &lt;16]]/BD_MR_FF[[#This Row],[Muestra]]),"0")</f>
        <v>0</v>
      </c>
      <c r="AV40" s="27"/>
      <c r="AW40" s="29" t="s">
        <v>900</v>
      </c>
      <c r="AX40" s="19" t="s">
        <v>890</v>
      </c>
      <c r="AY40" s="19" t="s">
        <v>890</v>
      </c>
      <c r="AZ40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0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0" s="24">
        <f>1-BD_MR_FF[[#This Row],[% Defectos]]</f>
        <v>1</v>
      </c>
      <c r="BD40" s="31"/>
      <c r="BE40" s="19">
        <f>SUM(BD_MR_FF[[#This Row],[Palos (Un.) (≤18)]:[Larvas (Un.) (≤24)]])</f>
        <v>0</v>
      </c>
      <c r="BF40" s="19">
        <f>SUM(BD_MR_FF[[#This Row],[Vidrio (Un.) (0)]:[Plástico (Un.) (0)]])</f>
        <v>0</v>
      </c>
      <c r="BG40" s="19" t="str">
        <f>IF(ISBLANK(BD_MR_FF[[#This Row],[Descripción del Producto]]),"",BD_MR_FF[[#This Row],[Descripción del Producto]])</f>
        <v/>
      </c>
      <c r="BH40" s="19" t="str">
        <f>IF(ISBLANK(BD_MR_FF[[#This Row],[N° Lote]]),"",BD_MR_FF[[#This Row],[N° Lote]])</f>
        <v/>
      </c>
      <c r="BI40" s="19" t="str">
        <f>IF(ISBLANK(BD_MR_FF[[#This Row],[N° Pallet]]),"",BD_MR_FF[[#This Row],[N° Pallet]])</f>
        <v/>
      </c>
    </row>
    <row r="41" spans="2:61">
      <c r="B41" s="19">
        <f>_xlfn.ISOWEEKNUM(BD_MR_FF[[#This Row],[Fecha]])</f>
        <v>52</v>
      </c>
      <c r="E41" s="20"/>
      <c r="F41" s="18" t="str">
        <f>IFERROR("" &amp; _xlfn.XLOOKUP(BD_MR_FF[[#This Row],[Código]],BD_Cod!A:A,BD_Cod!B:B), "")</f>
        <v/>
      </c>
      <c r="G41" s="21" t="str">
        <f>IFERROR(" " &amp;_xlfn.XLOOKUP(BD_MR_FF[[#This Row],[Código]],BD_Cod!A:A,BD_Cod!H:H," ")," ")</f>
        <v xml:space="preserve"> </v>
      </c>
      <c r="J41" s="22">
        <v>1000</v>
      </c>
      <c r="L41" s="19" t="s">
        <v>244</v>
      </c>
      <c r="O41" s="19" t="s">
        <v>890</v>
      </c>
      <c r="P41" s="19" t="s">
        <v>890</v>
      </c>
      <c r="Q41" s="24">
        <f>1-BD_MR_FF[[#This Row],[% Defectos]]</f>
        <v>1</v>
      </c>
      <c r="R41" s="25">
        <v>0</v>
      </c>
      <c r="S41" s="26">
        <f>+IFERROR((BD_MR_FF[[#This Row],[Desviación de Color]]/BD_MR_FF[[#This Row],[Muestra]]),"0")</f>
        <v>0</v>
      </c>
      <c r="T41" s="25">
        <v>0</v>
      </c>
      <c r="U41" s="26">
        <f>+IFERROR((BD_MR_FF[[#This Row],[Sobremaduro]]/BD_MR_FF[[#This Row],[Muestra]]),"0")</f>
        <v>0</v>
      </c>
      <c r="V41" s="25">
        <v>0</v>
      </c>
      <c r="W41" s="26">
        <f>+IFERROR((BD_MR_FF[[#This Row],[Daño Mécanico]]/BD_MR_FF[[#This Row],[Muestra]]),"0")</f>
        <v>0</v>
      </c>
      <c r="X41" s="25">
        <v>0</v>
      </c>
      <c r="Y41" s="26">
        <f>+IFERROR((BD_MR_FF[[#This Row],[Daño Insecto]]/BD_MR_FF[[#This Row],[Muestra]]),"0")</f>
        <v>0</v>
      </c>
      <c r="Z41" s="25">
        <v>0</v>
      </c>
      <c r="AA41" s="26">
        <f>+IFERROR((BD_MR_FF[[#This Row],[Block]]/BD_MR_FF[[#This Row],[Muestra]]),"0")</f>
        <v>0</v>
      </c>
      <c r="AB41" s="25">
        <v>0</v>
      </c>
      <c r="AC41" s="26">
        <f>+IFERROR((BD_MR_FF[[#This Row],[Mohos]]/BD_MR_FF[[#This Row],[Muestra]]),"0")</f>
        <v>0</v>
      </c>
      <c r="AD41" s="25">
        <v>0</v>
      </c>
      <c r="AE41" s="27">
        <v>0</v>
      </c>
      <c r="AG41" s="25">
        <v>0</v>
      </c>
      <c r="AH41" s="26">
        <f>+IFERROR((BD_MR_FF[[#This Row],[Valor Extra 1]]/BD_MR_FF[[#This Row],[Muestra]]),"0")</f>
        <v>0</v>
      </c>
      <c r="AJ41" s="25">
        <v>0</v>
      </c>
      <c r="AK41" s="26">
        <f>+IFERROR((BD_MR_FF[[#This Row],[Valor Extra 2]]/BD_MR_FF[[#This Row],[Muestra]]),"0")</f>
        <v>0</v>
      </c>
      <c r="AL41" s="19">
        <v>0</v>
      </c>
      <c r="AM41" s="26">
        <f>+IFERROR((BD_MR_FF[[#This Row],[Calibre &gt;16]]/BD_MR_FF[[#This Row],[Muestra]]),"0")</f>
        <v>0</v>
      </c>
      <c r="AN41" s="19">
        <v>0</v>
      </c>
      <c r="AO41" s="26">
        <f>+IFERROR((BD_MR_FF[[#This Row],[Calibre &lt;16]]/BD_MR_FF[[#This Row],[Muestra]]),"0")</f>
        <v>0</v>
      </c>
      <c r="AV41" s="27"/>
      <c r="AW41" s="29" t="s">
        <v>900</v>
      </c>
      <c r="AX41" s="19" t="s">
        <v>890</v>
      </c>
      <c r="AY41" s="19" t="s">
        <v>890</v>
      </c>
      <c r="AZ41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1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1" s="24">
        <f>1-BD_MR_FF[[#This Row],[% Defectos]]</f>
        <v>1</v>
      </c>
      <c r="BD41" s="31"/>
      <c r="BE41" s="19">
        <f>SUM(BD_MR_FF[[#This Row],[Palos (Un.) (≤18)]:[Larvas (Un.) (≤24)]])</f>
        <v>0</v>
      </c>
      <c r="BF41" s="19">
        <f>SUM(BD_MR_FF[[#This Row],[Vidrio (Un.) (0)]:[Plástico (Un.) (0)]])</f>
        <v>0</v>
      </c>
      <c r="BG41" s="19" t="str">
        <f>IF(ISBLANK(BD_MR_FF[[#This Row],[Descripción del Producto]]),"",BD_MR_FF[[#This Row],[Descripción del Producto]])</f>
        <v/>
      </c>
      <c r="BH41" s="19" t="str">
        <f>IF(ISBLANK(BD_MR_FF[[#This Row],[N° Lote]]),"",BD_MR_FF[[#This Row],[N° Lote]])</f>
        <v/>
      </c>
      <c r="BI41" s="19" t="str">
        <f>IF(ISBLANK(BD_MR_FF[[#This Row],[N° Pallet]]),"",BD_MR_FF[[#This Row],[N° Pallet]])</f>
        <v/>
      </c>
    </row>
    <row r="42" spans="2:61">
      <c r="B42" s="19">
        <f>_xlfn.ISOWEEKNUM(BD_MR_FF[[#This Row],[Fecha]])</f>
        <v>52</v>
      </c>
      <c r="E42" s="20"/>
      <c r="F42" s="18" t="str">
        <f>IFERROR("" &amp; _xlfn.XLOOKUP(BD_MR_FF[[#This Row],[Código]],BD_Cod!A:A,BD_Cod!B:B), "")</f>
        <v/>
      </c>
      <c r="G42" s="21" t="str">
        <f>IFERROR(" " &amp;_xlfn.XLOOKUP(BD_MR_FF[[#This Row],[Código]],BD_Cod!A:A,BD_Cod!H:H," ")," ")</f>
        <v xml:space="preserve"> </v>
      </c>
      <c r="J42" s="22">
        <v>1000</v>
      </c>
      <c r="L42" s="19" t="s">
        <v>244</v>
      </c>
      <c r="O42" s="19" t="s">
        <v>890</v>
      </c>
      <c r="P42" s="19" t="s">
        <v>890</v>
      </c>
      <c r="Q42" s="24">
        <f>1-BD_MR_FF[[#This Row],[% Defectos]]</f>
        <v>1</v>
      </c>
      <c r="R42" s="25">
        <v>0</v>
      </c>
      <c r="S42" s="26">
        <f>+IFERROR((BD_MR_FF[[#This Row],[Desviación de Color]]/BD_MR_FF[[#This Row],[Muestra]]),"0")</f>
        <v>0</v>
      </c>
      <c r="T42" s="25">
        <v>0</v>
      </c>
      <c r="U42" s="26">
        <f>+IFERROR((BD_MR_FF[[#This Row],[Sobremaduro]]/BD_MR_FF[[#This Row],[Muestra]]),"0")</f>
        <v>0</v>
      </c>
      <c r="V42" s="25">
        <v>0</v>
      </c>
      <c r="W42" s="26">
        <f>+IFERROR((BD_MR_FF[[#This Row],[Daño Mécanico]]/BD_MR_FF[[#This Row],[Muestra]]),"0")</f>
        <v>0</v>
      </c>
      <c r="X42" s="25">
        <v>0</v>
      </c>
      <c r="Y42" s="26">
        <f>+IFERROR((BD_MR_FF[[#This Row],[Daño Insecto]]/BD_MR_FF[[#This Row],[Muestra]]),"0")</f>
        <v>0</v>
      </c>
      <c r="Z42" s="25">
        <v>0</v>
      </c>
      <c r="AA42" s="26">
        <f>+IFERROR((BD_MR_FF[[#This Row],[Block]]/BD_MR_FF[[#This Row],[Muestra]]),"0")</f>
        <v>0</v>
      </c>
      <c r="AB42" s="25">
        <v>0</v>
      </c>
      <c r="AC42" s="26">
        <f>+IFERROR((BD_MR_FF[[#This Row],[Mohos]]/BD_MR_FF[[#This Row],[Muestra]]),"0")</f>
        <v>0</v>
      </c>
      <c r="AD42" s="25">
        <v>0</v>
      </c>
      <c r="AE42" s="27">
        <v>0</v>
      </c>
      <c r="AG42" s="25">
        <v>0</v>
      </c>
      <c r="AH42" s="26">
        <f>+IFERROR((BD_MR_FF[[#This Row],[Valor Extra 1]]/BD_MR_FF[[#This Row],[Muestra]]),"0")</f>
        <v>0</v>
      </c>
      <c r="AJ42" s="25">
        <v>0</v>
      </c>
      <c r="AK42" s="26">
        <f>+IFERROR((BD_MR_FF[[#This Row],[Valor Extra 2]]/BD_MR_FF[[#This Row],[Muestra]]),"0")</f>
        <v>0</v>
      </c>
      <c r="AL42" s="19">
        <v>0</v>
      </c>
      <c r="AM42" s="26">
        <f>+IFERROR((BD_MR_FF[[#This Row],[Calibre &gt;16]]/BD_MR_FF[[#This Row],[Muestra]]),"0")</f>
        <v>0</v>
      </c>
      <c r="AN42" s="19">
        <v>0</v>
      </c>
      <c r="AO42" s="26">
        <f>+IFERROR((BD_MR_FF[[#This Row],[Calibre &lt;16]]/BD_MR_FF[[#This Row],[Muestra]]),"0")</f>
        <v>0</v>
      </c>
      <c r="AV42" s="27"/>
      <c r="AW42" s="29" t="s">
        <v>900</v>
      </c>
      <c r="AX42" s="19" t="s">
        <v>890</v>
      </c>
      <c r="AY42" s="19" t="s">
        <v>890</v>
      </c>
      <c r="AZ42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2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2" s="24">
        <f>1-BD_MR_FF[[#This Row],[% Defectos]]</f>
        <v>1</v>
      </c>
      <c r="BD42" s="31"/>
      <c r="BE42" s="19">
        <f>SUM(BD_MR_FF[[#This Row],[Palos (Un.) (≤18)]:[Larvas (Un.) (≤24)]])</f>
        <v>0</v>
      </c>
      <c r="BF42" s="19">
        <f>SUM(BD_MR_FF[[#This Row],[Vidrio (Un.) (0)]:[Plástico (Un.) (0)]])</f>
        <v>0</v>
      </c>
      <c r="BG42" s="19" t="str">
        <f>IF(ISBLANK(BD_MR_FF[[#This Row],[Descripción del Producto]]),"",BD_MR_FF[[#This Row],[Descripción del Producto]])</f>
        <v/>
      </c>
      <c r="BH42" s="19" t="str">
        <f>IF(ISBLANK(BD_MR_FF[[#This Row],[N° Lote]]),"",BD_MR_FF[[#This Row],[N° Lote]])</f>
        <v/>
      </c>
      <c r="BI42" s="19" t="str">
        <f>IF(ISBLANK(BD_MR_FF[[#This Row],[N° Pallet]]),"",BD_MR_FF[[#This Row],[N° Pallet]])</f>
        <v/>
      </c>
    </row>
    <row r="43" spans="2:61">
      <c r="B43" s="19">
        <f>_xlfn.ISOWEEKNUM(BD_MR_FF[[#This Row],[Fecha]])</f>
        <v>52</v>
      </c>
      <c r="E43" s="20"/>
      <c r="F43" s="18" t="str">
        <f>IFERROR("" &amp; _xlfn.XLOOKUP(BD_MR_FF[[#This Row],[Código]],BD_Cod!A:A,BD_Cod!B:B), "")</f>
        <v/>
      </c>
      <c r="G43" s="21" t="str">
        <f>IFERROR(" " &amp;_xlfn.XLOOKUP(BD_MR_FF[[#This Row],[Código]],BD_Cod!A:A,BD_Cod!H:H," ")," ")</f>
        <v xml:space="preserve"> </v>
      </c>
      <c r="J43" s="22">
        <v>1000</v>
      </c>
      <c r="L43" s="19" t="s">
        <v>244</v>
      </c>
      <c r="O43" s="19" t="s">
        <v>890</v>
      </c>
      <c r="P43" s="19" t="s">
        <v>890</v>
      </c>
      <c r="Q43" s="24">
        <f>1-BD_MR_FF[[#This Row],[% Defectos]]</f>
        <v>1</v>
      </c>
      <c r="R43" s="25">
        <v>0</v>
      </c>
      <c r="S43" s="26">
        <f>+IFERROR((BD_MR_FF[[#This Row],[Desviación de Color]]/BD_MR_FF[[#This Row],[Muestra]]),"0")</f>
        <v>0</v>
      </c>
      <c r="T43" s="25">
        <v>0</v>
      </c>
      <c r="U43" s="26">
        <f>+IFERROR((BD_MR_FF[[#This Row],[Sobremaduro]]/BD_MR_FF[[#This Row],[Muestra]]),"0")</f>
        <v>0</v>
      </c>
      <c r="V43" s="25">
        <v>0</v>
      </c>
      <c r="W43" s="26">
        <f>+IFERROR((BD_MR_FF[[#This Row],[Daño Mécanico]]/BD_MR_FF[[#This Row],[Muestra]]),"0")</f>
        <v>0</v>
      </c>
      <c r="X43" s="25">
        <v>0</v>
      </c>
      <c r="Y43" s="26">
        <f>+IFERROR((BD_MR_FF[[#This Row],[Daño Insecto]]/BD_MR_FF[[#This Row],[Muestra]]),"0")</f>
        <v>0</v>
      </c>
      <c r="Z43" s="25">
        <v>0</v>
      </c>
      <c r="AA43" s="26">
        <f>+IFERROR((BD_MR_FF[[#This Row],[Block]]/BD_MR_FF[[#This Row],[Muestra]]),"0")</f>
        <v>0</v>
      </c>
      <c r="AB43" s="25">
        <v>0</v>
      </c>
      <c r="AC43" s="26">
        <f>+IFERROR((BD_MR_FF[[#This Row],[Mohos]]/BD_MR_FF[[#This Row],[Muestra]]),"0")</f>
        <v>0</v>
      </c>
      <c r="AD43" s="25">
        <v>0</v>
      </c>
      <c r="AE43" s="27">
        <v>0</v>
      </c>
      <c r="AG43" s="25">
        <v>0</v>
      </c>
      <c r="AH43" s="26">
        <f>+IFERROR((BD_MR_FF[[#This Row],[Valor Extra 1]]/BD_MR_FF[[#This Row],[Muestra]]),"0")</f>
        <v>0</v>
      </c>
      <c r="AJ43" s="25">
        <v>0</v>
      </c>
      <c r="AK43" s="26">
        <f>+IFERROR((BD_MR_FF[[#This Row],[Valor Extra 2]]/BD_MR_FF[[#This Row],[Muestra]]),"0")</f>
        <v>0</v>
      </c>
      <c r="AL43" s="19">
        <v>0</v>
      </c>
      <c r="AM43" s="26">
        <f>+IFERROR((BD_MR_FF[[#This Row],[Calibre &gt;16]]/BD_MR_FF[[#This Row],[Muestra]]),"0")</f>
        <v>0</v>
      </c>
      <c r="AN43" s="19">
        <v>0</v>
      </c>
      <c r="AO43" s="26">
        <f>+IFERROR((BD_MR_FF[[#This Row],[Calibre &lt;16]]/BD_MR_FF[[#This Row],[Muestra]]),"0")</f>
        <v>0</v>
      </c>
      <c r="AV43" s="27"/>
      <c r="AW43" s="29" t="s">
        <v>900</v>
      </c>
      <c r="AX43" s="19" t="s">
        <v>890</v>
      </c>
      <c r="AY43" s="19" t="s">
        <v>890</v>
      </c>
      <c r="AZ43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3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3" s="24">
        <f>1-BD_MR_FF[[#This Row],[% Defectos]]</f>
        <v>1</v>
      </c>
      <c r="BD43" s="31"/>
      <c r="BE43" s="19">
        <f>SUM(BD_MR_FF[[#This Row],[Palos (Un.) (≤18)]:[Larvas (Un.) (≤24)]])</f>
        <v>0</v>
      </c>
      <c r="BF43" s="19">
        <f>SUM(BD_MR_FF[[#This Row],[Vidrio (Un.) (0)]:[Plástico (Un.) (0)]])</f>
        <v>0</v>
      </c>
      <c r="BG43" s="19" t="str">
        <f>IF(ISBLANK(BD_MR_FF[[#This Row],[Descripción del Producto]]),"",BD_MR_FF[[#This Row],[Descripción del Producto]])</f>
        <v/>
      </c>
      <c r="BH43" s="19" t="str">
        <f>IF(ISBLANK(BD_MR_FF[[#This Row],[N° Lote]]),"",BD_MR_FF[[#This Row],[N° Lote]])</f>
        <v/>
      </c>
      <c r="BI43" s="19" t="str">
        <f>IF(ISBLANK(BD_MR_FF[[#This Row],[N° Pallet]]),"",BD_MR_FF[[#This Row],[N° Pallet]])</f>
        <v/>
      </c>
    </row>
    <row r="44" spans="2:61">
      <c r="B44" s="19">
        <f>_xlfn.ISOWEEKNUM(BD_MR_FF[[#This Row],[Fecha]])</f>
        <v>52</v>
      </c>
      <c r="E44" s="20"/>
      <c r="F44" s="18" t="str">
        <f>IFERROR("" &amp; _xlfn.XLOOKUP(BD_MR_FF[[#This Row],[Código]],BD_Cod!A:A,BD_Cod!B:B), "")</f>
        <v/>
      </c>
      <c r="G44" s="21" t="str">
        <f>IFERROR(" " &amp;_xlfn.XLOOKUP(BD_MR_FF[[#This Row],[Código]],BD_Cod!A:A,BD_Cod!H:H," ")," ")</f>
        <v xml:space="preserve"> </v>
      </c>
      <c r="J44" s="22">
        <v>1000</v>
      </c>
      <c r="L44" s="19" t="s">
        <v>244</v>
      </c>
      <c r="O44" s="19" t="s">
        <v>890</v>
      </c>
      <c r="P44" s="19" t="s">
        <v>890</v>
      </c>
      <c r="Q44" s="24">
        <f>1-BD_MR_FF[[#This Row],[% Defectos]]</f>
        <v>1</v>
      </c>
      <c r="R44" s="25">
        <v>0</v>
      </c>
      <c r="S44" s="26">
        <f>+IFERROR((BD_MR_FF[[#This Row],[Desviación de Color]]/BD_MR_FF[[#This Row],[Muestra]]),"0")</f>
        <v>0</v>
      </c>
      <c r="T44" s="25">
        <v>0</v>
      </c>
      <c r="U44" s="26">
        <f>+IFERROR((BD_MR_FF[[#This Row],[Sobremaduro]]/BD_MR_FF[[#This Row],[Muestra]]),"0")</f>
        <v>0</v>
      </c>
      <c r="V44" s="25">
        <v>0</v>
      </c>
      <c r="W44" s="26">
        <f>+IFERROR((BD_MR_FF[[#This Row],[Daño Mécanico]]/BD_MR_FF[[#This Row],[Muestra]]),"0")</f>
        <v>0</v>
      </c>
      <c r="X44" s="25">
        <v>0</v>
      </c>
      <c r="Y44" s="26">
        <f>+IFERROR((BD_MR_FF[[#This Row],[Daño Insecto]]/BD_MR_FF[[#This Row],[Muestra]]),"0")</f>
        <v>0</v>
      </c>
      <c r="Z44" s="25">
        <v>0</v>
      </c>
      <c r="AA44" s="26">
        <f>+IFERROR((BD_MR_FF[[#This Row],[Block]]/BD_MR_FF[[#This Row],[Muestra]]),"0")</f>
        <v>0</v>
      </c>
      <c r="AB44" s="25">
        <v>0</v>
      </c>
      <c r="AC44" s="26">
        <f>+IFERROR((BD_MR_FF[[#This Row],[Mohos]]/BD_MR_FF[[#This Row],[Muestra]]),"0")</f>
        <v>0</v>
      </c>
      <c r="AD44" s="25">
        <v>0</v>
      </c>
      <c r="AE44" s="27">
        <v>0</v>
      </c>
      <c r="AG44" s="25">
        <v>0</v>
      </c>
      <c r="AH44" s="26">
        <f>+IFERROR((BD_MR_FF[[#This Row],[Valor Extra 1]]/BD_MR_FF[[#This Row],[Muestra]]),"0")</f>
        <v>0</v>
      </c>
      <c r="AJ44" s="25">
        <v>0</v>
      </c>
      <c r="AK44" s="26">
        <f>+IFERROR((BD_MR_FF[[#This Row],[Valor Extra 2]]/BD_MR_FF[[#This Row],[Muestra]]),"0")</f>
        <v>0</v>
      </c>
      <c r="AL44" s="19">
        <v>0</v>
      </c>
      <c r="AM44" s="26">
        <f>+IFERROR((BD_MR_FF[[#This Row],[Calibre &gt;16]]/BD_MR_FF[[#This Row],[Muestra]]),"0")</f>
        <v>0</v>
      </c>
      <c r="AN44" s="19">
        <v>0</v>
      </c>
      <c r="AO44" s="26">
        <f>+IFERROR((BD_MR_FF[[#This Row],[Calibre &lt;16]]/BD_MR_FF[[#This Row],[Muestra]]),"0")</f>
        <v>0</v>
      </c>
      <c r="AV44" s="27"/>
      <c r="AW44" s="29" t="s">
        <v>900</v>
      </c>
      <c r="AX44" s="19" t="s">
        <v>890</v>
      </c>
      <c r="AY44" s="19" t="s">
        <v>890</v>
      </c>
      <c r="AZ44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4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4" s="24">
        <f>1-BD_MR_FF[[#This Row],[% Defectos]]</f>
        <v>1</v>
      </c>
      <c r="BD44" s="31"/>
      <c r="BE44" s="19">
        <f>SUM(BD_MR_FF[[#This Row],[Palos (Un.) (≤18)]:[Larvas (Un.) (≤24)]])</f>
        <v>0</v>
      </c>
      <c r="BF44" s="19">
        <f>SUM(BD_MR_FF[[#This Row],[Vidrio (Un.) (0)]:[Plástico (Un.) (0)]])</f>
        <v>0</v>
      </c>
      <c r="BG44" s="19" t="str">
        <f>IF(ISBLANK(BD_MR_FF[[#This Row],[Descripción del Producto]]),"",BD_MR_FF[[#This Row],[Descripción del Producto]])</f>
        <v/>
      </c>
      <c r="BH44" s="19" t="str">
        <f>IF(ISBLANK(BD_MR_FF[[#This Row],[N° Lote]]),"",BD_MR_FF[[#This Row],[N° Lote]])</f>
        <v/>
      </c>
      <c r="BI44" s="19" t="str">
        <f>IF(ISBLANK(BD_MR_FF[[#This Row],[N° Pallet]]),"",BD_MR_FF[[#This Row],[N° Pallet]])</f>
        <v/>
      </c>
    </row>
    <row r="45" spans="2:61">
      <c r="B45" s="19">
        <f>_xlfn.ISOWEEKNUM(BD_MR_FF[[#This Row],[Fecha]])</f>
        <v>52</v>
      </c>
      <c r="E45" s="20"/>
      <c r="F45" s="18" t="str">
        <f>IFERROR("" &amp; _xlfn.XLOOKUP(BD_MR_FF[[#This Row],[Código]],BD_Cod!A:A,BD_Cod!B:B), "")</f>
        <v/>
      </c>
      <c r="G45" s="21" t="str">
        <f>IFERROR(" " &amp;_xlfn.XLOOKUP(BD_MR_FF[[#This Row],[Código]],BD_Cod!A:A,BD_Cod!H:H," ")," ")</f>
        <v xml:space="preserve"> </v>
      </c>
      <c r="J45" s="22">
        <v>1000</v>
      </c>
      <c r="L45" s="19" t="s">
        <v>244</v>
      </c>
      <c r="O45" s="19" t="s">
        <v>890</v>
      </c>
      <c r="P45" s="19" t="s">
        <v>890</v>
      </c>
      <c r="Q45" s="24">
        <f>1-BD_MR_FF[[#This Row],[% Defectos]]</f>
        <v>1</v>
      </c>
      <c r="R45" s="25">
        <v>0</v>
      </c>
      <c r="S45" s="26">
        <f>+IFERROR((BD_MR_FF[[#This Row],[Desviación de Color]]/BD_MR_FF[[#This Row],[Muestra]]),"0")</f>
        <v>0</v>
      </c>
      <c r="T45" s="25">
        <v>0</v>
      </c>
      <c r="U45" s="26">
        <f>+IFERROR((BD_MR_FF[[#This Row],[Sobremaduro]]/BD_MR_FF[[#This Row],[Muestra]]),"0")</f>
        <v>0</v>
      </c>
      <c r="V45" s="25">
        <v>0</v>
      </c>
      <c r="W45" s="26">
        <f>+IFERROR((BD_MR_FF[[#This Row],[Daño Mécanico]]/BD_MR_FF[[#This Row],[Muestra]]),"0")</f>
        <v>0</v>
      </c>
      <c r="X45" s="25">
        <v>0</v>
      </c>
      <c r="Y45" s="26">
        <f>+IFERROR((BD_MR_FF[[#This Row],[Daño Insecto]]/BD_MR_FF[[#This Row],[Muestra]]),"0")</f>
        <v>0</v>
      </c>
      <c r="Z45" s="25">
        <v>0</v>
      </c>
      <c r="AA45" s="26">
        <f>+IFERROR((BD_MR_FF[[#This Row],[Block]]/BD_MR_FF[[#This Row],[Muestra]]),"0")</f>
        <v>0</v>
      </c>
      <c r="AB45" s="25">
        <v>0</v>
      </c>
      <c r="AC45" s="26">
        <f>+IFERROR((BD_MR_FF[[#This Row],[Mohos]]/BD_MR_FF[[#This Row],[Muestra]]),"0")</f>
        <v>0</v>
      </c>
      <c r="AD45" s="25">
        <v>0</v>
      </c>
      <c r="AE45" s="27">
        <v>0</v>
      </c>
      <c r="AG45" s="25">
        <v>0</v>
      </c>
      <c r="AH45" s="26">
        <f>+IFERROR((BD_MR_FF[[#This Row],[Valor Extra 1]]/BD_MR_FF[[#This Row],[Muestra]]),"0")</f>
        <v>0</v>
      </c>
      <c r="AJ45" s="25">
        <v>0</v>
      </c>
      <c r="AK45" s="26">
        <f>+IFERROR((BD_MR_FF[[#This Row],[Valor Extra 2]]/BD_MR_FF[[#This Row],[Muestra]]),"0")</f>
        <v>0</v>
      </c>
      <c r="AL45" s="19">
        <v>0</v>
      </c>
      <c r="AM45" s="26">
        <f>+IFERROR((BD_MR_FF[[#This Row],[Calibre &gt;16]]/BD_MR_FF[[#This Row],[Muestra]]),"0")</f>
        <v>0</v>
      </c>
      <c r="AN45" s="19">
        <v>0</v>
      </c>
      <c r="AO45" s="26">
        <f>+IFERROR((BD_MR_FF[[#This Row],[Calibre &lt;16]]/BD_MR_FF[[#This Row],[Muestra]]),"0")</f>
        <v>0</v>
      </c>
      <c r="AV45" s="27"/>
      <c r="AW45" s="29" t="s">
        <v>900</v>
      </c>
      <c r="AX45" s="19" t="s">
        <v>890</v>
      </c>
      <c r="AY45" s="19" t="s">
        <v>890</v>
      </c>
      <c r="AZ45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5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5" s="24">
        <f>1-BD_MR_FF[[#This Row],[% Defectos]]</f>
        <v>1</v>
      </c>
      <c r="BD45" s="31"/>
      <c r="BE45" s="19">
        <f>SUM(BD_MR_FF[[#This Row],[Palos (Un.) (≤18)]:[Larvas (Un.) (≤24)]])</f>
        <v>0</v>
      </c>
      <c r="BF45" s="19">
        <f>SUM(BD_MR_FF[[#This Row],[Vidrio (Un.) (0)]:[Plástico (Un.) (0)]])</f>
        <v>0</v>
      </c>
      <c r="BG45" s="19" t="str">
        <f>IF(ISBLANK(BD_MR_FF[[#This Row],[Descripción del Producto]]),"",BD_MR_FF[[#This Row],[Descripción del Producto]])</f>
        <v/>
      </c>
      <c r="BH45" s="19" t="str">
        <f>IF(ISBLANK(BD_MR_FF[[#This Row],[N° Lote]]),"",BD_MR_FF[[#This Row],[N° Lote]])</f>
        <v/>
      </c>
      <c r="BI45" s="19" t="str">
        <f>IF(ISBLANK(BD_MR_FF[[#This Row],[N° Pallet]]),"",BD_MR_FF[[#This Row],[N° Pallet]])</f>
        <v/>
      </c>
    </row>
    <row r="46" spans="2:61">
      <c r="B46" s="19">
        <f>_xlfn.ISOWEEKNUM(BD_MR_FF[[#This Row],[Fecha]])</f>
        <v>52</v>
      </c>
      <c r="E46" s="20"/>
      <c r="F46" s="18" t="str">
        <f>IFERROR("" &amp; _xlfn.XLOOKUP(BD_MR_FF[[#This Row],[Código]],BD_Cod!A:A,BD_Cod!B:B), "")</f>
        <v/>
      </c>
      <c r="G46" s="21" t="str">
        <f>IFERROR(" " &amp;_xlfn.XLOOKUP(BD_MR_FF[[#This Row],[Código]],BD_Cod!A:A,BD_Cod!H:H," ")," ")</f>
        <v xml:space="preserve"> </v>
      </c>
      <c r="J46" s="22">
        <v>1000</v>
      </c>
      <c r="L46" s="19" t="s">
        <v>244</v>
      </c>
      <c r="O46" s="19" t="s">
        <v>890</v>
      </c>
      <c r="P46" s="19" t="s">
        <v>890</v>
      </c>
      <c r="Q46" s="24">
        <f>1-BD_MR_FF[[#This Row],[% Defectos]]</f>
        <v>1</v>
      </c>
      <c r="R46" s="25">
        <v>0</v>
      </c>
      <c r="S46" s="26">
        <f>+IFERROR((BD_MR_FF[[#This Row],[Desviación de Color]]/BD_MR_FF[[#This Row],[Muestra]]),"0")</f>
        <v>0</v>
      </c>
      <c r="T46" s="25">
        <v>0</v>
      </c>
      <c r="U46" s="26">
        <f>+IFERROR((BD_MR_FF[[#This Row],[Sobremaduro]]/BD_MR_FF[[#This Row],[Muestra]]),"0")</f>
        <v>0</v>
      </c>
      <c r="V46" s="25">
        <v>0</v>
      </c>
      <c r="W46" s="26">
        <f>+IFERROR((BD_MR_FF[[#This Row],[Daño Mécanico]]/BD_MR_FF[[#This Row],[Muestra]]),"0")</f>
        <v>0</v>
      </c>
      <c r="X46" s="25">
        <v>0</v>
      </c>
      <c r="Y46" s="26">
        <f>+IFERROR((BD_MR_FF[[#This Row],[Daño Insecto]]/BD_MR_FF[[#This Row],[Muestra]]),"0")</f>
        <v>0</v>
      </c>
      <c r="Z46" s="25">
        <v>0</v>
      </c>
      <c r="AA46" s="26">
        <f>+IFERROR((BD_MR_FF[[#This Row],[Block]]/BD_MR_FF[[#This Row],[Muestra]]),"0")</f>
        <v>0</v>
      </c>
      <c r="AB46" s="25">
        <v>0</v>
      </c>
      <c r="AC46" s="26">
        <f>+IFERROR((BD_MR_FF[[#This Row],[Mohos]]/BD_MR_FF[[#This Row],[Muestra]]),"0")</f>
        <v>0</v>
      </c>
      <c r="AD46" s="25">
        <v>0</v>
      </c>
      <c r="AE46" s="27">
        <v>0</v>
      </c>
      <c r="AG46" s="25">
        <v>0</v>
      </c>
      <c r="AH46" s="26">
        <f>+IFERROR((BD_MR_FF[[#This Row],[Valor Extra 1]]/BD_MR_FF[[#This Row],[Muestra]]),"0")</f>
        <v>0</v>
      </c>
      <c r="AJ46" s="25">
        <v>0</v>
      </c>
      <c r="AK46" s="26">
        <f>+IFERROR((BD_MR_FF[[#This Row],[Valor Extra 2]]/BD_MR_FF[[#This Row],[Muestra]]),"0")</f>
        <v>0</v>
      </c>
      <c r="AL46" s="19">
        <v>0</v>
      </c>
      <c r="AM46" s="26">
        <f>+IFERROR((BD_MR_FF[[#This Row],[Calibre &gt;16]]/BD_MR_FF[[#This Row],[Muestra]]),"0")</f>
        <v>0</v>
      </c>
      <c r="AN46" s="19">
        <v>0</v>
      </c>
      <c r="AO46" s="26">
        <f>+IFERROR((BD_MR_FF[[#This Row],[Calibre &lt;16]]/BD_MR_FF[[#This Row],[Muestra]]),"0")</f>
        <v>0</v>
      </c>
      <c r="AV46" s="27"/>
      <c r="AW46" s="29" t="s">
        <v>900</v>
      </c>
      <c r="AX46" s="19" t="s">
        <v>890</v>
      </c>
      <c r="AY46" s="19" t="s">
        <v>890</v>
      </c>
      <c r="AZ46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6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6" s="24">
        <f>1-BD_MR_FF[[#This Row],[% Defectos]]</f>
        <v>1</v>
      </c>
      <c r="BD46" s="31"/>
      <c r="BE46" s="19">
        <f>SUM(BD_MR_FF[[#This Row],[Palos (Un.) (≤18)]:[Larvas (Un.) (≤24)]])</f>
        <v>0</v>
      </c>
      <c r="BF46" s="19">
        <f>SUM(BD_MR_FF[[#This Row],[Vidrio (Un.) (0)]:[Plástico (Un.) (0)]])</f>
        <v>0</v>
      </c>
      <c r="BG46" s="19" t="str">
        <f>IF(ISBLANK(BD_MR_FF[[#This Row],[Descripción del Producto]]),"",BD_MR_FF[[#This Row],[Descripción del Producto]])</f>
        <v/>
      </c>
      <c r="BH46" s="19" t="str">
        <f>IF(ISBLANK(BD_MR_FF[[#This Row],[N° Lote]]),"",BD_MR_FF[[#This Row],[N° Lote]])</f>
        <v/>
      </c>
      <c r="BI46" s="19" t="str">
        <f>IF(ISBLANK(BD_MR_FF[[#This Row],[N° Pallet]]),"",BD_MR_FF[[#This Row],[N° Pallet]])</f>
        <v/>
      </c>
    </row>
    <row r="47" spans="2:61">
      <c r="B47" s="19">
        <f>_xlfn.ISOWEEKNUM(BD_MR_FF[[#This Row],[Fecha]])</f>
        <v>52</v>
      </c>
      <c r="E47" s="20"/>
      <c r="F47" s="18" t="str">
        <f>IFERROR("" &amp; _xlfn.XLOOKUP(BD_MR_FF[[#This Row],[Código]],BD_Cod!A:A,BD_Cod!B:B), "")</f>
        <v/>
      </c>
      <c r="G47" s="21" t="str">
        <f>IFERROR(" " &amp;_xlfn.XLOOKUP(BD_MR_FF[[#This Row],[Código]],BD_Cod!A:A,BD_Cod!H:H," ")," ")</f>
        <v xml:space="preserve"> </v>
      </c>
      <c r="J47" s="22">
        <v>1000</v>
      </c>
      <c r="L47" s="19" t="s">
        <v>244</v>
      </c>
      <c r="O47" s="19" t="s">
        <v>890</v>
      </c>
      <c r="P47" s="19" t="s">
        <v>890</v>
      </c>
      <c r="Q47" s="24">
        <f>1-BD_MR_FF[[#This Row],[% Defectos]]</f>
        <v>1</v>
      </c>
      <c r="R47" s="25">
        <v>0</v>
      </c>
      <c r="S47" s="26">
        <f>+IFERROR((BD_MR_FF[[#This Row],[Desviación de Color]]/BD_MR_FF[[#This Row],[Muestra]]),"0")</f>
        <v>0</v>
      </c>
      <c r="T47" s="25">
        <v>0</v>
      </c>
      <c r="U47" s="26">
        <f>+IFERROR((BD_MR_FF[[#This Row],[Sobremaduro]]/BD_MR_FF[[#This Row],[Muestra]]),"0")</f>
        <v>0</v>
      </c>
      <c r="V47" s="25">
        <v>0</v>
      </c>
      <c r="W47" s="26">
        <f>+IFERROR((BD_MR_FF[[#This Row],[Daño Mécanico]]/BD_MR_FF[[#This Row],[Muestra]]),"0")</f>
        <v>0</v>
      </c>
      <c r="X47" s="25">
        <v>0</v>
      </c>
      <c r="Y47" s="26">
        <f>+IFERROR((BD_MR_FF[[#This Row],[Daño Insecto]]/BD_MR_FF[[#This Row],[Muestra]]),"0")</f>
        <v>0</v>
      </c>
      <c r="Z47" s="25">
        <v>0</v>
      </c>
      <c r="AA47" s="26">
        <f>+IFERROR((BD_MR_FF[[#This Row],[Block]]/BD_MR_FF[[#This Row],[Muestra]]),"0")</f>
        <v>0</v>
      </c>
      <c r="AB47" s="25">
        <v>0</v>
      </c>
      <c r="AC47" s="26">
        <f>+IFERROR((BD_MR_FF[[#This Row],[Mohos]]/BD_MR_FF[[#This Row],[Muestra]]),"0")</f>
        <v>0</v>
      </c>
      <c r="AD47" s="25">
        <v>0</v>
      </c>
      <c r="AE47" s="27">
        <v>0</v>
      </c>
      <c r="AG47" s="25">
        <v>0</v>
      </c>
      <c r="AH47" s="26">
        <f>+IFERROR((BD_MR_FF[[#This Row],[Valor Extra 1]]/BD_MR_FF[[#This Row],[Muestra]]),"0")</f>
        <v>0</v>
      </c>
      <c r="AJ47" s="25">
        <v>0</v>
      </c>
      <c r="AK47" s="26">
        <f>+IFERROR((BD_MR_FF[[#This Row],[Valor Extra 2]]/BD_MR_FF[[#This Row],[Muestra]]),"0")</f>
        <v>0</v>
      </c>
      <c r="AL47" s="19">
        <v>0</v>
      </c>
      <c r="AM47" s="26">
        <f>+IFERROR((BD_MR_FF[[#This Row],[Calibre &gt;16]]/BD_MR_FF[[#This Row],[Muestra]]),"0")</f>
        <v>0</v>
      </c>
      <c r="AN47" s="19">
        <v>0</v>
      </c>
      <c r="AO47" s="26">
        <f>+IFERROR((BD_MR_FF[[#This Row],[Calibre &lt;16]]/BD_MR_FF[[#This Row],[Muestra]]),"0")</f>
        <v>0</v>
      </c>
      <c r="AV47" s="27"/>
      <c r="AW47" s="29" t="s">
        <v>900</v>
      </c>
      <c r="AX47" s="19" t="s">
        <v>890</v>
      </c>
      <c r="AY47" s="19" t="s">
        <v>890</v>
      </c>
      <c r="AZ47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7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7" s="24">
        <f>1-BD_MR_FF[[#This Row],[% Defectos]]</f>
        <v>1</v>
      </c>
      <c r="BD47" s="31"/>
      <c r="BE47" s="19">
        <f>SUM(BD_MR_FF[[#This Row],[Palos (Un.) (≤18)]:[Larvas (Un.) (≤24)]])</f>
        <v>0</v>
      </c>
      <c r="BF47" s="19">
        <f>SUM(BD_MR_FF[[#This Row],[Vidrio (Un.) (0)]:[Plástico (Un.) (0)]])</f>
        <v>0</v>
      </c>
      <c r="BG47" s="19" t="str">
        <f>IF(ISBLANK(BD_MR_FF[[#This Row],[Descripción del Producto]]),"",BD_MR_FF[[#This Row],[Descripción del Producto]])</f>
        <v/>
      </c>
      <c r="BH47" s="19" t="str">
        <f>IF(ISBLANK(BD_MR_FF[[#This Row],[N° Lote]]),"",BD_MR_FF[[#This Row],[N° Lote]])</f>
        <v/>
      </c>
      <c r="BI47" s="19" t="str">
        <f>IF(ISBLANK(BD_MR_FF[[#This Row],[N° Pallet]]),"",BD_MR_FF[[#This Row],[N° Pallet]])</f>
        <v/>
      </c>
    </row>
    <row r="48" spans="2:61">
      <c r="B48" s="19">
        <f>_xlfn.ISOWEEKNUM(BD_MR_FF[[#This Row],[Fecha]])</f>
        <v>52</v>
      </c>
      <c r="E48" s="20"/>
      <c r="F48" s="18" t="str">
        <f>IFERROR("" &amp; _xlfn.XLOOKUP(BD_MR_FF[[#This Row],[Código]],BD_Cod!A:A,BD_Cod!B:B), "")</f>
        <v/>
      </c>
      <c r="G48" s="21" t="str">
        <f>IFERROR(" " &amp;_xlfn.XLOOKUP(BD_MR_FF[[#This Row],[Código]],BD_Cod!A:A,BD_Cod!H:H," ")," ")</f>
        <v xml:space="preserve"> </v>
      </c>
      <c r="J48" s="22">
        <v>1000</v>
      </c>
      <c r="L48" s="19" t="s">
        <v>244</v>
      </c>
      <c r="O48" s="19" t="s">
        <v>890</v>
      </c>
      <c r="P48" s="19" t="s">
        <v>890</v>
      </c>
      <c r="Q48" s="24">
        <f>1-BD_MR_FF[[#This Row],[% Defectos]]</f>
        <v>1</v>
      </c>
      <c r="R48" s="25">
        <v>0</v>
      </c>
      <c r="S48" s="26">
        <f>+IFERROR((BD_MR_FF[[#This Row],[Desviación de Color]]/BD_MR_FF[[#This Row],[Muestra]]),"0")</f>
        <v>0</v>
      </c>
      <c r="T48" s="25">
        <v>0</v>
      </c>
      <c r="U48" s="26">
        <f>+IFERROR((BD_MR_FF[[#This Row],[Sobremaduro]]/BD_MR_FF[[#This Row],[Muestra]]),"0")</f>
        <v>0</v>
      </c>
      <c r="V48" s="25">
        <v>0</v>
      </c>
      <c r="W48" s="26">
        <f>+IFERROR((BD_MR_FF[[#This Row],[Daño Mécanico]]/BD_MR_FF[[#This Row],[Muestra]]),"0")</f>
        <v>0</v>
      </c>
      <c r="X48" s="25">
        <v>0</v>
      </c>
      <c r="Y48" s="26">
        <f>+IFERROR((BD_MR_FF[[#This Row],[Daño Insecto]]/BD_MR_FF[[#This Row],[Muestra]]),"0")</f>
        <v>0</v>
      </c>
      <c r="Z48" s="25">
        <v>0</v>
      </c>
      <c r="AA48" s="26">
        <f>+IFERROR((BD_MR_FF[[#This Row],[Block]]/BD_MR_FF[[#This Row],[Muestra]]),"0")</f>
        <v>0</v>
      </c>
      <c r="AB48" s="25">
        <v>0</v>
      </c>
      <c r="AC48" s="26">
        <f>+IFERROR((BD_MR_FF[[#This Row],[Mohos]]/BD_MR_FF[[#This Row],[Muestra]]),"0")</f>
        <v>0</v>
      </c>
      <c r="AD48" s="25">
        <v>0</v>
      </c>
      <c r="AE48" s="27">
        <v>0</v>
      </c>
      <c r="AG48" s="25">
        <v>0</v>
      </c>
      <c r="AH48" s="26">
        <f>+IFERROR((BD_MR_FF[[#This Row],[Valor Extra 1]]/BD_MR_FF[[#This Row],[Muestra]]),"0")</f>
        <v>0</v>
      </c>
      <c r="AJ48" s="25">
        <v>0</v>
      </c>
      <c r="AK48" s="26">
        <f>+IFERROR((BD_MR_FF[[#This Row],[Valor Extra 2]]/BD_MR_FF[[#This Row],[Muestra]]),"0")</f>
        <v>0</v>
      </c>
      <c r="AL48" s="19">
        <v>0</v>
      </c>
      <c r="AM48" s="26">
        <f>+IFERROR((BD_MR_FF[[#This Row],[Calibre &gt;16]]/BD_MR_FF[[#This Row],[Muestra]]),"0")</f>
        <v>0</v>
      </c>
      <c r="AN48" s="19">
        <v>0</v>
      </c>
      <c r="AO48" s="26">
        <f>+IFERROR((BD_MR_FF[[#This Row],[Calibre &lt;16]]/BD_MR_FF[[#This Row],[Muestra]]),"0")</f>
        <v>0</v>
      </c>
      <c r="AV48" s="27"/>
      <c r="AW48" s="29" t="s">
        <v>900</v>
      </c>
      <c r="AX48" s="19" t="s">
        <v>890</v>
      </c>
      <c r="AY48" s="19" t="s">
        <v>890</v>
      </c>
      <c r="AZ48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8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8" s="24">
        <f>1-BD_MR_FF[[#This Row],[% Defectos]]</f>
        <v>1</v>
      </c>
      <c r="BD48" s="31"/>
      <c r="BE48" s="19">
        <f>SUM(BD_MR_FF[[#This Row],[Palos (Un.) (≤18)]:[Larvas (Un.) (≤24)]])</f>
        <v>0</v>
      </c>
      <c r="BF48" s="19">
        <f>SUM(BD_MR_FF[[#This Row],[Vidrio (Un.) (0)]:[Plástico (Un.) (0)]])</f>
        <v>0</v>
      </c>
      <c r="BG48" s="19" t="str">
        <f>IF(ISBLANK(BD_MR_FF[[#This Row],[Descripción del Producto]]),"",BD_MR_FF[[#This Row],[Descripción del Producto]])</f>
        <v/>
      </c>
      <c r="BH48" s="19" t="str">
        <f>IF(ISBLANK(BD_MR_FF[[#This Row],[N° Lote]]),"",BD_MR_FF[[#This Row],[N° Lote]])</f>
        <v/>
      </c>
      <c r="BI48" s="19" t="str">
        <f>IF(ISBLANK(BD_MR_FF[[#This Row],[N° Pallet]]),"",BD_MR_FF[[#This Row],[N° Pallet]])</f>
        <v/>
      </c>
    </row>
    <row r="49" spans="2:61">
      <c r="B49" s="19">
        <f>_xlfn.ISOWEEKNUM(BD_MR_FF[[#This Row],[Fecha]])</f>
        <v>52</v>
      </c>
      <c r="E49" s="20"/>
      <c r="F49" s="18" t="str">
        <f>IFERROR("" &amp; _xlfn.XLOOKUP(BD_MR_FF[[#This Row],[Código]],BD_Cod!A:A,BD_Cod!B:B), "")</f>
        <v/>
      </c>
      <c r="G49" s="21" t="str">
        <f>IFERROR(" " &amp;_xlfn.XLOOKUP(BD_MR_FF[[#This Row],[Código]],BD_Cod!A:A,BD_Cod!H:H," ")," ")</f>
        <v xml:space="preserve"> </v>
      </c>
      <c r="J49" s="22">
        <v>1000</v>
      </c>
      <c r="L49" s="19" t="s">
        <v>244</v>
      </c>
      <c r="O49" s="19" t="s">
        <v>890</v>
      </c>
      <c r="P49" s="19" t="s">
        <v>890</v>
      </c>
      <c r="Q49" s="24">
        <f>1-BD_MR_FF[[#This Row],[% Defectos]]</f>
        <v>1</v>
      </c>
      <c r="R49" s="25">
        <v>0</v>
      </c>
      <c r="S49" s="26">
        <f>+IFERROR((BD_MR_FF[[#This Row],[Desviación de Color]]/BD_MR_FF[[#This Row],[Muestra]]),"0")</f>
        <v>0</v>
      </c>
      <c r="T49" s="25">
        <v>0</v>
      </c>
      <c r="U49" s="26">
        <f>+IFERROR((BD_MR_FF[[#This Row],[Sobremaduro]]/BD_MR_FF[[#This Row],[Muestra]]),"0")</f>
        <v>0</v>
      </c>
      <c r="V49" s="25">
        <v>0</v>
      </c>
      <c r="W49" s="26">
        <f>+IFERROR((BD_MR_FF[[#This Row],[Daño Mécanico]]/BD_MR_FF[[#This Row],[Muestra]]),"0")</f>
        <v>0</v>
      </c>
      <c r="X49" s="25">
        <v>0</v>
      </c>
      <c r="Y49" s="26">
        <f>+IFERROR((BD_MR_FF[[#This Row],[Daño Insecto]]/BD_MR_FF[[#This Row],[Muestra]]),"0")</f>
        <v>0</v>
      </c>
      <c r="Z49" s="25">
        <v>0</v>
      </c>
      <c r="AA49" s="26">
        <f>+IFERROR((BD_MR_FF[[#This Row],[Block]]/BD_MR_FF[[#This Row],[Muestra]]),"0")</f>
        <v>0</v>
      </c>
      <c r="AB49" s="25">
        <v>0</v>
      </c>
      <c r="AC49" s="26">
        <f>+IFERROR((BD_MR_FF[[#This Row],[Mohos]]/BD_MR_FF[[#This Row],[Muestra]]),"0")</f>
        <v>0</v>
      </c>
      <c r="AD49" s="25">
        <v>0</v>
      </c>
      <c r="AE49" s="27">
        <v>0</v>
      </c>
      <c r="AG49" s="25">
        <v>0</v>
      </c>
      <c r="AH49" s="26">
        <f>+IFERROR((BD_MR_FF[[#This Row],[Valor Extra 1]]/BD_MR_FF[[#This Row],[Muestra]]),"0")</f>
        <v>0</v>
      </c>
      <c r="AJ49" s="25">
        <v>0</v>
      </c>
      <c r="AK49" s="26">
        <f>+IFERROR((BD_MR_FF[[#This Row],[Valor Extra 2]]/BD_MR_FF[[#This Row],[Muestra]]),"0")</f>
        <v>0</v>
      </c>
      <c r="AL49" s="19">
        <v>0</v>
      </c>
      <c r="AM49" s="26">
        <f>+IFERROR((BD_MR_FF[[#This Row],[Calibre &gt;16]]/BD_MR_FF[[#This Row],[Muestra]]),"0")</f>
        <v>0</v>
      </c>
      <c r="AN49" s="19">
        <v>0</v>
      </c>
      <c r="AO49" s="26">
        <f>+IFERROR((BD_MR_FF[[#This Row],[Calibre &lt;16]]/BD_MR_FF[[#This Row],[Muestra]]),"0")</f>
        <v>0</v>
      </c>
      <c r="AV49" s="27"/>
      <c r="AW49" s="29" t="s">
        <v>900</v>
      </c>
      <c r="AX49" s="19" t="s">
        <v>890</v>
      </c>
      <c r="AY49" s="19" t="s">
        <v>890</v>
      </c>
      <c r="AZ49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49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49" s="24">
        <f>1-BD_MR_FF[[#This Row],[% Defectos]]</f>
        <v>1</v>
      </c>
      <c r="BD49" s="31"/>
      <c r="BE49" s="19">
        <f>SUM(BD_MR_FF[[#This Row],[Palos (Un.) (≤18)]:[Larvas (Un.) (≤24)]])</f>
        <v>0</v>
      </c>
      <c r="BF49" s="19">
        <f>SUM(BD_MR_FF[[#This Row],[Vidrio (Un.) (0)]:[Plástico (Un.) (0)]])</f>
        <v>0</v>
      </c>
      <c r="BG49" s="19" t="str">
        <f>IF(ISBLANK(BD_MR_FF[[#This Row],[Descripción del Producto]]),"",BD_MR_FF[[#This Row],[Descripción del Producto]])</f>
        <v/>
      </c>
      <c r="BH49" s="19" t="str">
        <f>IF(ISBLANK(BD_MR_FF[[#This Row],[N° Lote]]),"",BD_MR_FF[[#This Row],[N° Lote]])</f>
        <v/>
      </c>
      <c r="BI49" s="19" t="str">
        <f>IF(ISBLANK(BD_MR_FF[[#This Row],[N° Pallet]]),"",BD_MR_FF[[#This Row],[N° Pallet]])</f>
        <v/>
      </c>
    </row>
    <row r="50" spans="2:61">
      <c r="B50" s="19">
        <f>_xlfn.ISOWEEKNUM(BD_MR_FF[[#This Row],[Fecha]])</f>
        <v>52</v>
      </c>
      <c r="E50" s="20"/>
      <c r="F50" s="18" t="str">
        <f>IFERROR("" &amp; _xlfn.XLOOKUP(BD_MR_FF[[#This Row],[Código]],BD_Cod!A:A,BD_Cod!B:B), "")</f>
        <v/>
      </c>
      <c r="G50" s="21" t="str">
        <f>IFERROR(" " &amp;_xlfn.XLOOKUP(BD_MR_FF[[#This Row],[Código]],BD_Cod!A:A,BD_Cod!H:H," ")," ")</f>
        <v xml:space="preserve"> </v>
      </c>
      <c r="J50" s="22">
        <v>1000</v>
      </c>
      <c r="L50" s="19" t="s">
        <v>244</v>
      </c>
      <c r="O50" s="19" t="s">
        <v>890</v>
      </c>
      <c r="P50" s="19" t="s">
        <v>890</v>
      </c>
      <c r="Q50" s="24">
        <f>1-BD_MR_FF[[#This Row],[% Defectos]]</f>
        <v>1</v>
      </c>
      <c r="R50" s="25">
        <v>0</v>
      </c>
      <c r="S50" s="26">
        <f>+IFERROR((BD_MR_FF[[#This Row],[Desviación de Color]]/BD_MR_FF[[#This Row],[Muestra]]),"0")</f>
        <v>0</v>
      </c>
      <c r="T50" s="25">
        <v>0</v>
      </c>
      <c r="U50" s="26">
        <f>+IFERROR((BD_MR_FF[[#This Row],[Sobremaduro]]/BD_MR_FF[[#This Row],[Muestra]]),"0")</f>
        <v>0</v>
      </c>
      <c r="V50" s="25">
        <v>0</v>
      </c>
      <c r="W50" s="26">
        <f>+IFERROR((BD_MR_FF[[#This Row],[Daño Mécanico]]/BD_MR_FF[[#This Row],[Muestra]]),"0")</f>
        <v>0</v>
      </c>
      <c r="X50" s="25">
        <v>0</v>
      </c>
      <c r="Y50" s="26">
        <f>+IFERROR((BD_MR_FF[[#This Row],[Daño Insecto]]/BD_MR_FF[[#This Row],[Muestra]]),"0")</f>
        <v>0</v>
      </c>
      <c r="Z50" s="25">
        <v>0</v>
      </c>
      <c r="AA50" s="26">
        <f>+IFERROR((BD_MR_FF[[#This Row],[Block]]/BD_MR_FF[[#This Row],[Muestra]]),"0")</f>
        <v>0</v>
      </c>
      <c r="AB50" s="25">
        <v>0</v>
      </c>
      <c r="AC50" s="26">
        <f>+IFERROR((BD_MR_FF[[#This Row],[Mohos]]/BD_MR_FF[[#This Row],[Muestra]]),"0")</f>
        <v>0</v>
      </c>
      <c r="AD50" s="25">
        <v>0</v>
      </c>
      <c r="AE50" s="27">
        <v>0</v>
      </c>
      <c r="AG50" s="25">
        <v>0</v>
      </c>
      <c r="AH50" s="26">
        <f>+IFERROR((BD_MR_FF[[#This Row],[Valor Extra 1]]/BD_MR_FF[[#This Row],[Muestra]]),"0")</f>
        <v>0</v>
      </c>
      <c r="AJ50" s="25">
        <v>0</v>
      </c>
      <c r="AK50" s="26">
        <f>+IFERROR((BD_MR_FF[[#This Row],[Valor Extra 2]]/BD_MR_FF[[#This Row],[Muestra]]),"0")</f>
        <v>0</v>
      </c>
      <c r="AL50" s="19">
        <v>0</v>
      </c>
      <c r="AM50" s="26">
        <f>+IFERROR((BD_MR_FF[[#This Row],[Calibre &gt;16]]/BD_MR_FF[[#This Row],[Muestra]]),"0")</f>
        <v>0</v>
      </c>
      <c r="AN50" s="19">
        <v>0</v>
      </c>
      <c r="AO50" s="26">
        <f>+IFERROR((BD_MR_FF[[#This Row],[Calibre &lt;16]]/BD_MR_FF[[#This Row],[Muestra]]),"0")</f>
        <v>0</v>
      </c>
      <c r="AV50" s="27"/>
      <c r="AW50" s="29" t="s">
        <v>900</v>
      </c>
      <c r="AX50" s="19" t="s">
        <v>890</v>
      </c>
      <c r="AY50" s="19" t="s">
        <v>890</v>
      </c>
      <c r="AZ50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0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0" s="24">
        <f>1-BD_MR_FF[[#This Row],[% Defectos]]</f>
        <v>1</v>
      </c>
      <c r="BD50" s="31"/>
      <c r="BE50" s="19">
        <f>SUM(BD_MR_FF[[#This Row],[Palos (Un.) (≤18)]:[Larvas (Un.) (≤24)]])</f>
        <v>0</v>
      </c>
      <c r="BF50" s="19">
        <f>SUM(BD_MR_FF[[#This Row],[Vidrio (Un.) (0)]:[Plástico (Un.) (0)]])</f>
        <v>0</v>
      </c>
      <c r="BG50" s="19" t="str">
        <f>IF(ISBLANK(BD_MR_FF[[#This Row],[Descripción del Producto]]),"",BD_MR_FF[[#This Row],[Descripción del Producto]])</f>
        <v/>
      </c>
      <c r="BH50" s="19" t="str">
        <f>IF(ISBLANK(BD_MR_FF[[#This Row],[N° Lote]]),"",BD_MR_FF[[#This Row],[N° Lote]])</f>
        <v/>
      </c>
      <c r="BI50" s="19" t="str">
        <f>IF(ISBLANK(BD_MR_FF[[#This Row],[N° Pallet]]),"",BD_MR_FF[[#This Row],[N° Pallet]])</f>
        <v/>
      </c>
    </row>
    <row r="51" spans="2:61">
      <c r="B51" s="19">
        <f>_xlfn.ISOWEEKNUM(BD_MR_FF[[#This Row],[Fecha]])</f>
        <v>52</v>
      </c>
      <c r="E51" s="20"/>
      <c r="F51" s="18" t="str">
        <f>IFERROR("" &amp; _xlfn.XLOOKUP(BD_MR_FF[[#This Row],[Código]],BD_Cod!A:A,BD_Cod!B:B), "")</f>
        <v/>
      </c>
      <c r="G51" s="21" t="str">
        <f>IFERROR(" " &amp;_xlfn.XLOOKUP(BD_MR_FF[[#This Row],[Código]],BD_Cod!A:A,BD_Cod!H:H," ")," ")</f>
        <v xml:space="preserve"> </v>
      </c>
      <c r="J51" s="22">
        <v>1000</v>
      </c>
      <c r="L51" s="19" t="s">
        <v>244</v>
      </c>
      <c r="O51" s="19" t="s">
        <v>890</v>
      </c>
      <c r="P51" s="19" t="s">
        <v>890</v>
      </c>
      <c r="Q51" s="24">
        <f>1-BD_MR_FF[[#This Row],[% Defectos]]</f>
        <v>1</v>
      </c>
      <c r="R51" s="25">
        <v>0</v>
      </c>
      <c r="S51" s="26">
        <f>+IFERROR((BD_MR_FF[[#This Row],[Desviación de Color]]/BD_MR_FF[[#This Row],[Muestra]]),"0")</f>
        <v>0</v>
      </c>
      <c r="T51" s="25">
        <v>0</v>
      </c>
      <c r="U51" s="26">
        <f>+IFERROR((BD_MR_FF[[#This Row],[Sobremaduro]]/BD_MR_FF[[#This Row],[Muestra]]),"0")</f>
        <v>0</v>
      </c>
      <c r="V51" s="25">
        <v>0</v>
      </c>
      <c r="W51" s="26">
        <f>+IFERROR((BD_MR_FF[[#This Row],[Daño Mécanico]]/BD_MR_FF[[#This Row],[Muestra]]),"0")</f>
        <v>0</v>
      </c>
      <c r="X51" s="25">
        <v>0</v>
      </c>
      <c r="Y51" s="26">
        <f>+IFERROR((BD_MR_FF[[#This Row],[Daño Insecto]]/BD_MR_FF[[#This Row],[Muestra]]),"0")</f>
        <v>0</v>
      </c>
      <c r="Z51" s="25">
        <v>0</v>
      </c>
      <c r="AA51" s="26">
        <f>+IFERROR((BD_MR_FF[[#This Row],[Block]]/BD_MR_FF[[#This Row],[Muestra]]),"0")</f>
        <v>0</v>
      </c>
      <c r="AB51" s="25">
        <v>0</v>
      </c>
      <c r="AC51" s="26">
        <f>+IFERROR((BD_MR_FF[[#This Row],[Mohos]]/BD_MR_FF[[#This Row],[Muestra]]),"0")</f>
        <v>0</v>
      </c>
      <c r="AD51" s="25">
        <v>0</v>
      </c>
      <c r="AE51" s="27">
        <v>0</v>
      </c>
      <c r="AG51" s="25">
        <v>0</v>
      </c>
      <c r="AH51" s="26">
        <f>+IFERROR((BD_MR_FF[[#This Row],[Valor Extra 1]]/BD_MR_FF[[#This Row],[Muestra]]),"0")</f>
        <v>0</v>
      </c>
      <c r="AJ51" s="25">
        <v>0</v>
      </c>
      <c r="AK51" s="26">
        <f>+IFERROR((BD_MR_FF[[#This Row],[Valor Extra 2]]/BD_MR_FF[[#This Row],[Muestra]]),"0")</f>
        <v>0</v>
      </c>
      <c r="AL51" s="19">
        <v>0</v>
      </c>
      <c r="AM51" s="26">
        <f>+IFERROR((BD_MR_FF[[#This Row],[Calibre &gt;16]]/BD_MR_FF[[#This Row],[Muestra]]),"0")</f>
        <v>0</v>
      </c>
      <c r="AN51" s="19">
        <v>0</v>
      </c>
      <c r="AO51" s="26">
        <f>+IFERROR((BD_MR_FF[[#This Row],[Calibre &lt;16]]/BD_MR_FF[[#This Row],[Muestra]]),"0")</f>
        <v>0</v>
      </c>
      <c r="AV51" s="27"/>
      <c r="AW51" s="29" t="s">
        <v>900</v>
      </c>
      <c r="AX51" s="19" t="s">
        <v>890</v>
      </c>
      <c r="AY51" s="19" t="s">
        <v>890</v>
      </c>
      <c r="AZ51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1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1" s="24">
        <f>1-BD_MR_FF[[#This Row],[% Defectos]]</f>
        <v>1</v>
      </c>
      <c r="BD51" s="31"/>
      <c r="BE51" s="19">
        <f>SUM(BD_MR_FF[[#This Row],[Palos (Un.) (≤18)]:[Larvas (Un.) (≤24)]])</f>
        <v>0</v>
      </c>
      <c r="BF51" s="19">
        <f>SUM(BD_MR_FF[[#This Row],[Vidrio (Un.) (0)]:[Plástico (Un.) (0)]])</f>
        <v>0</v>
      </c>
      <c r="BG51" s="19" t="str">
        <f>IF(ISBLANK(BD_MR_FF[[#This Row],[Descripción del Producto]]),"",BD_MR_FF[[#This Row],[Descripción del Producto]])</f>
        <v/>
      </c>
      <c r="BH51" s="19" t="str">
        <f>IF(ISBLANK(BD_MR_FF[[#This Row],[N° Lote]]),"",BD_MR_FF[[#This Row],[N° Lote]])</f>
        <v/>
      </c>
      <c r="BI51" s="19" t="str">
        <f>IF(ISBLANK(BD_MR_FF[[#This Row],[N° Pallet]]),"",BD_MR_FF[[#This Row],[N° Pallet]])</f>
        <v/>
      </c>
    </row>
    <row r="52" spans="2:61">
      <c r="B52" s="19">
        <f>_xlfn.ISOWEEKNUM(BD_MR_FF[[#This Row],[Fecha]])</f>
        <v>52</v>
      </c>
      <c r="E52" s="20"/>
      <c r="F52" s="18" t="str">
        <f>IFERROR("" &amp; _xlfn.XLOOKUP(BD_MR_FF[[#This Row],[Código]],BD_Cod!A:A,BD_Cod!B:B), "")</f>
        <v/>
      </c>
      <c r="G52" s="21" t="str">
        <f>IFERROR(" " &amp;_xlfn.XLOOKUP(BD_MR_FF[[#This Row],[Código]],BD_Cod!A:A,BD_Cod!H:H," ")," ")</f>
        <v xml:space="preserve"> </v>
      </c>
      <c r="J52" s="22">
        <v>1000</v>
      </c>
      <c r="L52" s="19" t="s">
        <v>244</v>
      </c>
      <c r="O52" s="19" t="s">
        <v>890</v>
      </c>
      <c r="P52" s="19" t="s">
        <v>890</v>
      </c>
      <c r="Q52" s="24">
        <f>1-BD_MR_FF[[#This Row],[% Defectos]]</f>
        <v>1</v>
      </c>
      <c r="R52" s="25">
        <v>0</v>
      </c>
      <c r="S52" s="26">
        <f>+IFERROR((BD_MR_FF[[#This Row],[Desviación de Color]]/BD_MR_FF[[#This Row],[Muestra]]),"0")</f>
        <v>0</v>
      </c>
      <c r="T52" s="25">
        <v>0</v>
      </c>
      <c r="U52" s="26">
        <f>+IFERROR((BD_MR_FF[[#This Row],[Sobremaduro]]/BD_MR_FF[[#This Row],[Muestra]]),"0")</f>
        <v>0</v>
      </c>
      <c r="V52" s="25">
        <v>0</v>
      </c>
      <c r="W52" s="26">
        <f>+IFERROR((BD_MR_FF[[#This Row],[Daño Mécanico]]/BD_MR_FF[[#This Row],[Muestra]]),"0")</f>
        <v>0</v>
      </c>
      <c r="X52" s="25">
        <v>0</v>
      </c>
      <c r="Y52" s="26">
        <f>+IFERROR((BD_MR_FF[[#This Row],[Daño Insecto]]/BD_MR_FF[[#This Row],[Muestra]]),"0")</f>
        <v>0</v>
      </c>
      <c r="Z52" s="25">
        <v>0</v>
      </c>
      <c r="AA52" s="26">
        <f>+IFERROR((BD_MR_FF[[#This Row],[Block]]/BD_MR_FF[[#This Row],[Muestra]]),"0")</f>
        <v>0</v>
      </c>
      <c r="AB52" s="25">
        <v>0</v>
      </c>
      <c r="AC52" s="26">
        <f>+IFERROR((BD_MR_FF[[#This Row],[Mohos]]/BD_MR_FF[[#This Row],[Muestra]]),"0")</f>
        <v>0</v>
      </c>
      <c r="AD52" s="25">
        <v>0</v>
      </c>
      <c r="AE52" s="27">
        <v>0</v>
      </c>
      <c r="AG52" s="25">
        <v>0</v>
      </c>
      <c r="AH52" s="26">
        <f>+IFERROR((BD_MR_FF[[#This Row],[Valor Extra 1]]/BD_MR_FF[[#This Row],[Muestra]]),"0")</f>
        <v>0</v>
      </c>
      <c r="AJ52" s="25">
        <v>0</v>
      </c>
      <c r="AK52" s="26">
        <f>+IFERROR((BD_MR_FF[[#This Row],[Valor Extra 2]]/BD_MR_FF[[#This Row],[Muestra]]),"0")</f>
        <v>0</v>
      </c>
      <c r="AL52" s="19">
        <v>0</v>
      </c>
      <c r="AM52" s="26">
        <f>+IFERROR((BD_MR_FF[[#This Row],[Calibre &gt;16]]/BD_MR_FF[[#This Row],[Muestra]]),"0")</f>
        <v>0</v>
      </c>
      <c r="AN52" s="19">
        <v>0</v>
      </c>
      <c r="AO52" s="26">
        <f>+IFERROR((BD_MR_FF[[#This Row],[Calibre &lt;16]]/BD_MR_FF[[#This Row],[Muestra]]),"0")</f>
        <v>0</v>
      </c>
      <c r="AV52" s="27"/>
      <c r="AW52" s="29" t="s">
        <v>900</v>
      </c>
      <c r="AX52" s="19" t="s">
        <v>890</v>
      </c>
      <c r="AY52" s="19" t="s">
        <v>890</v>
      </c>
      <c r="AZ52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2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2" s="24">
        <f>1-BD_MR_FF[[#This Row],[% Defectos]]</f>
        <v>1</v>
      </c>
      <c r="BD52" s="31"/>
      <c r="BE52" s="19">
        <f>SUM(BD_MR_FF[[#This Row],[Palos (Un.) (≤18)]:[Larvas (Un.) (≤24)]])</f>
        <v>0</v>
      </c>
      <c r="BF52" s="19">
        <f>SUM(BD_MR_FF[[#This Row],[Vidrio (Un.) (0)]:[Plástico (Un.) (0)]])</f>
        <v>0</v>
      </c>
      <c r="BG52" s="19" t="str">
        <f>IF(ISBLANK(BD_MR_FF[[#This Row],[Descripción del Producto]]),"",BD_MR_FF[[#This Row],[Descripción del Producto]])</f>
        <v/>
      </c>
      <c r="BH52" s="19" t="str">
        <f>IF(ISBLANK(BD_MR_FF[[#This Row],[N° Lote]]),"",BD_MR_FF[[#This Row],[N° Lote]])</f>
        <v/>
      </c>
      <c r="BI52" s="19" t="str">
        <f>IF(ISBLANK(BD_MR_FF[[#This Row],[N° Pallet]]),"",BD_MR_FF[[#This Row],[N° Pallet]])</f>
        <v/>
      </c>
    </row>
    <row r="53" spans="2:61">
      <c r="B53" s="19">
        <f>_xlfn.ISOWEEKNUM(BD_MR_FF[[#This Row],[Fecha]])</f>
        <v>52</v>
      </c>
      <c r="E53" s="20"/>
      <c r="F53" s="18" t="str">
        <f>IFERROR("" &amp; _xlfn.XLOOKUP(BD_MR_FF[[#This Row],[Código]],BD_Cod!A:A,BD_Cod!B:B), "")</f>
        <v/>
      </c>
      <c r="G53" s="21" t="str">
        <f>IFERROR(" " &amp;_xlfn.XLOOKUP(BD_MR_FF[[#This Row],[Código]],BD_Cod!A:A,BD_Cod!H:H," ")," ")</f>
        <v xml:space="preserve"> </v>
      </c>
      <c r="J53" s="22">
        <v>1000</v>
      </c>
      <c r="L53" s="19" t="s">
        <v>244</v>
      </c>
      <c r="O53" s="19" t="s">
        <v>890</v>
      </c>
      <c r="P53" s="19" t="s">
        <v>890</v>
      </c>
      <c r="Q53" s="24">
        <f>1-BD_MR_FF[[#This Row],[% Defectos]]</f>
        <v>1</v>
      </c>
      <c r="R53" s="25">
        <v>0</v>
      </c>
      <c r="S53" s="26">
        <f>+IFERROR((BD_MR_FF[[#This Row],[Desviación de Color]]/BD_MR_FF[[#This Row],[Muestra]]),"0")</f>
        <v>0</v>
      </c>
      <c r="T53" s="25">
        <v>0</v>
      </c>
      <c r="U53" s="26">
        <f>+IFERROR((BD_MR_FF[[#This Row],[Sobremaduro]]/BD_MR_FF[[#This Row],[Muestra]]),"0")</f>
        <v>0</v>
      </c>
      <c r="V53" s="25">
        <v>0</v>
      </c>
      <c r="W53" s="26">
        <f>+IFERROR((BD_MR_FF[[#This Row],[Daño Mécanico]]/BD_MR_FF[[#This Row],[Muestra]]),"0")</f>
        <v>0</v>
      </c>
      <c r="X53" s="25">
        <v>0</v>
      </c>
      <c r="Y53" s="26">
        <f>+IFERROR((BD_MR_FF[[#This Row],[Daño Insecto]]/BD_MR_FF[[#This Row],[Muestra]]),"0")</f>
        <v>0</v>
      </c>
      <c r="Z53" s="25">
        <v>0</v>
      </c>
      <c r="AA53" s="26">
        <f>+IFERROR((BD_MR_FF[[#This Row],[Block]]/BD_MR_FF[[#This Row],[Muestra]]),"0")</f>
        <v>0</v>
      </c>
      <c r="AB53" s="25">
        <v>0</v>
      </c>
      <c r="AC53" s="26">
        <f>+IFERROR((BD_MR_FF[[#This Row],[Mohos]]/BD_MR_FF[[#This Row],[Muestra]]),"0")</f>
        <v>0</v>
      </c>
      <c r="AD53" s="25">
        <v>0</v>
      </c>
      <c r="AE53" s="27">
        <v>0</v>
      </c>
      <c r="AG53" s="25">
        <v>0</v>
      </c>
      <c r="AH53" s="26">
        <f>+IFERROR((BD_MR_FF[[#This Row],[Valor Extra 1]]/BD_MR_FF[[#This Row],[Muestra]]),"0")</f>
        <v>0</v>
      </c>
      <c r="AJ53" s="25">
        <v>0</v>
      </c>
      <c r="AK53" s="26">
        <f>+IFERROR((BD_MR_FF[[#This Row],[Valor Extra 2]]/BD_MR_FF[[#This Row],[Muestra]]),"0")</f>
        <v>0</v>
      </c>
      <c r="AL53" s="19">
        <v>0</v>
      </c>
      <c r="AM53" s="26">
        <f>+IFERROR((BD_MR_FF[[#This Row],[Calibre &gt;16]]/BD_MR_FF[[#This Row],[Muestra]]),"0")</f>
        <v>0</v>
      </c>
      <c r="AN53" s="19">
        <v>0</v>
      </c>
      <c r="AO53" s="26">
        <f>+IFERROR((BD_MR_FF[[#This Row],[Calibre &lt;16]]/BD_MR_FF[[#This Row],[Muestra]]),"0")</f>
        <v>0</v>
      </c>
      <c r="AV53" s="27"/>
      <c r="AW53" s="29" t="s">
        <v>900</v>
      </c>
      <c r="AX53" s="19" t="s">
        <v>890</v>
      </c>
      <c r="AY53" s="19" t="s">
        <v>890</v>
      </c>
      <c r="AZ53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3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3" s="24">
        <f>1-BD_MR_FF[[#This Row],[% Defectos]]</f>
        <v>1</v>
      </c>
      <c r="BD53" s="31"/>
      <c r="BE53" s="19">
        <f>SUM(BD_MR_FF[[#This Row],[Palos (Un.) (≤18)]:[Larvas (Un.) (≤24)]])</f>
        <v>0</v>
      </c>
      <c r="BF53" s="19">
        <f>SUM(BD_MR_FF[[#This Row],[Vidrio (Un.) (0)]:[Plástico (Un.) (0)]])</f>
        <v>0</v>
      </c>
      <c r="BG53" s="19" t="str">
        <f>IF(ISBLANK(BD_MR_FF[[#This Row],[Descripción del Producto]]),"",BD_MR_FF[[#This Row],[Descripción del Producto]])</f>
        <v/>
      </c>
      <c r="BH53" s="19" t="str">
        <f>IF(ISBLANK(BD_MR_FF[[#This Row],[N° Lote]]),"",BD_MR_FF[[#This Row],[N° Lote]])</f>
        <v/>
      </c>
      <c r="BI53" s="19" t="str">
        <f>IF(ISBLANK(BD_MR_FF[[#This Row],[N° Pallet]]),"",BD_MR_FF[[#This Row],[N° Pallet]])</f>
        <v/>
      </c>
    </row>
    <row r="54" spans="2:61">
      <c r="B54" s="19">
        <f>_xlfn.ISOWEEKNUM(BD_MR_FF[[#This Row],[Fecha]])</f>
        <v>52</v>
      </c>
      <c r="E54" s="20"/>
      <c r="F54" s="18" t="str">
        <f>IFERROR("" &amp; _xlfn.XLOOKUP(BD_MR_FF[[#This Row],[Código]],BD_Cod!A:A,BD_Cod!B:B), "")</f>
        <v/>
      </c>
      <c r="G54" s="21" t="str">
        <f>IFERROR(" " &amp;_xlfn.XLOOKUP(BD_MR_FF[[#This Row],[Código]],BD_Cod!A:A,BD_Cod!H:H," ")," ")</f>
        <v xml:space="preserve"> </v>
      </c>
      <c r="J54" s="22">
        <v>1000</v>
      </c>
      <c r="L54" s="19" t="s">
        <v>244</v>
      </c>
      <c r="O54" s="19" t="s">
        <v>890</v>
      </c>
      <c r="P54" s="19" t="s">
        <v>890</v>
      </c>
      <c r="Q54" s="24">
        <f>1-BD_MR_FF[[#This Row],[% Defectos]]</f>
        <v>1</v>
      </c>
      <c r="R54" s="25">
        <v>0</v>
      </c>
      <c r="S54" s="26">
        <f>+IFERROR((BD_MR_FF[[#This Row],[Desviación de Color]]/BD_MR_FF[[#This Row],[Muestra]]),"0")</f>
        <v>0</v>
      </c>
      <c r="T54" s="25">
        <v>0</v>
      </c>
      <c r="U54" s="26">
        <f>+IFERROR((BD_MR_FF[[#This Row],[Sobremaduro]]/BD_MR_FF[[#This Row],[Muestra]]),"0")</f>
        <v>0</v>
      </c>
      <c r="V54" s="25">
        <v>0</v>
      </c>
      <c r="W54" s="26">
        <f>+IFERROR((BD_MR_FF[[#This Row],[Daño Mécanico]]/BD_MR_FF[[#This Row],[Muestra]]),"0")</f>
        <v>0</v>
      </c>
      <c r="X54" s="25">
        <v>0</v>
      </c>
      <c r="Y54" s="26">
        <f>+IFERROR((BD_MR_FF[[#This Row],[Daño Insecto]]/BD_MR_FF[[#This Row],[Muestra]]),"0")</f>
        <v>0</v>
      </c>
      <c r="Z54" s="25">
        <v>0</v>
      </c>
      <c r="AA54" s="26">
        <f>+IFERROR((BD_MR_FF[[#This Row],[Block]]/BD_MR_FF[[#This Row],[Muestra]]),"0")</f>
        <v>0</v>
      </c>
      <c r="AB54" s="25">
        <v>0</v>
      </c>
      <c r="AC54" s="26">
        <f>+IFERROR((BD_MR_FF[[#This Row],[Mohos]]/BD_MR_FF[[#This Row],[Muestra]]),"0")</f>
        <v>0</v>
      </c>
      <c r="AD54" s="25">
        <v>0</v>
      </c>
      <c r="AE54" s="27">
        <v>0</v>
      </c>
      <c r="AG54" s="25">
        <v>0</v>
      </c>
      <c r="AH54" s="26">
        <f>+IFERROR((BD_MR_FF[[#This Row],[Valor Extra 1]]/BD_MR_FF[[#This Row],[Muestra]]),"0")</f>
        <v>0</v>
      </c>
      <c r="AJ54" s="25">
        <v>0</v>
      </c>
      <c r="AK54" s="26">
        <f>+IFERROR((BD_MR_FF[[#This Row],[Valor Extra 2]]/BD_MR_FF[[#This Row],[Muestra]]),"0")</f>
        <v>0</v>
      </c>
      <c r="AL54" s="19">
        <v>0</v>
      </c>
      <c r="AM54" s="26">
        <f>+IFERROR((BD_MR_FF[[#This Row],[Calibre &gt;16]]/BD_MR_FF[[#This Row],[Muestra]]),"0")</f>
        <v>0</v>
      </c>
      <c r="AN54" s="19">
        <v>0</v>
      </c>
      <c r="AO54" s="26">
        <f>+IFERROR((BD_MR_FF[[#This Row],[Calibre &lt;16]]/BD_MR_FF[[#This Row],[Muestra]]),"0")</f>
        <v>0</v>
      </c>
      <c r="AV54" s="27"/>
      <c r="AW54" s="29" t="s">
        <v>900</v>
      </c>
      <c r="AX54" s="19" t="s">
        <v>890</v>
      </c>
      <c r="AY54" s="19" t="s">
        <v>890</v>
      </c>
      <c r="AZ54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4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4" s="24">
        <f>1-BD_MR_FF[[#This Row],[% Defectos]]</f>
        <v>1</v>
      </c>
      <c r="BD54" s="31"/>
      <c r="BE54" s="19">
        <f>SUM(BD_MR_FF[[#This Row],[Palos (Un.) (≤18)]:[Larvas (Un.) (≤24)]])</f>
        <v>0</v>
      </c>
      <c r="BF54" s="19">
        <f>SUM(BD_MR_FF[[#This Row],[Vidrio (Un.) (0)]:[Plástico (Un.) (0)]])</f>
        <v>0</v>
      </c>
      <c r="BG54" s="19" t="str">
        <f>IF(ISBLANK(BD_MR_FF[[#This Row],[Descripción del Producto]]),"",BD_MR_FF[[#This Row],[Descripción del Producto]])</f>
        <v/>
      </c>
      <c r="BH54" s="19" t="str">
        <f>IF(ISBLANK(BD_MR_FF[[#This Row],[N° Lote]]),"",BD_MR_FF[[#This Row],[N° Lote]])</f>
        <v/>
      </c>
      <c r="BI54" s="19" t="str">
        <f>IF(ISBLANK(BD_MR_FF[[#This Row],[N° Pallet]]),"",BD_MR_FF[[#This Row],[N° Pallet]])</f>
        <v/>
      </c>
    </row>
    <row r="55" spans="2:61">
      <c r="B55" s="19">
        <f>_xlfn.ISOWEEKNUM(BD_MR_FF[[#This Row],[Fecha]])</f>
        <v>52</v>
      </c>
      <c r="E55" s="20"/>
      <c r="F55" s="18" t="str">
        <f>IFERROR("" &amp; _xlfn.XLOOKUP(BD_MR_FF[[#This Row],[Código]],BD_Cod!A:A,BD_Cod!B:B), "")</f>
        <v/>
      </c>
      <c r="G55" s="21" t="str">
        <f>IFERROR(" " &amp;_xlfn.XLOOKUP(BD_MR_FF[[#This Row],[Código]],BD_Cod!A:A,BD_Cod!H:H," ")," ")</f>
        <v xml:space="preserve"> </v>
      </c>
      <c r="J55" s="22">
        <v>1000</v>
      </c>
      <c r="L55" s="19" t="s">
        <v>244</v>
      </c>
      <c r="O55" s="19" t="s">
        <v>890</v>
      </c>
      <c r="P55" s="19" t="s">
        <v>890</v>
      </c>
      <c r="Q55" s="24">
        <f>1-BD_MR_FF[[#This Row],[% Defectos]]</f>
        <v>1</v>
      </c>
      <c r="R55" s="25">
        <v>0</v>
      </c>
      <c r="S55" s="26">
        <f>+IFERROR((BD_MR_FF[[#This Row],[Desviación de Color]]/BD_MR_FF[[#This Row],[Muestra]]),"0")</f>
        <v>0</v>
      </c>
      <c r="T55" s="25">
        <v>0</v>
      </c>
      <c r="U55" s="26">
        <f>+IFERROR((BD_MR_FF[[#This Row],[Sobremaduro]]/BD_MR_FF[[#This Row],[Muestra]]),"0")</f>
        <v>0</v>
      </c>
      <c r="V55" s="25">
        <v>0</v>
      </c>
      <c r="W55" s="26">
        <f>+IFERROR((BD_MR_FF[[#This Row],[Daño Mécanico]]/BD_MR_FF[[#This Row],[Muestra]]),"0")</f>
        <v>0</v>
      </c>
      <c r="X55" s="25">
        <v>0</v>
      </c>
      <c r="Y55" s="26">
        <f>+IFERROR((BD_MR_FF[[#This Row],[Daño Insecto]]/BD_MR_FF[[#This Row],[Muestra]]),"0")</f>
        <v>0</v>
      </c>
      <c r="Z55" s="25">
        <v>0</v>
      </c>
      <c r="AA55" s="26">
        <f>+IFERROR((BD_MR_FF[[#This Row],[Block]]/BD_MR_FF[[#This Row],[Muestra]]),"0")</f>
        <v>0</v>
      </c>
      <c r="AB55" s="25">
        <v>0</v>
      </c>
      <c r="AC55" s="26">
        <f>+IFERROR((BD_MR_FF[[#This Row],[Mohos]]/BD_MR_FF[[#This Row],[Muestra]]),"0")</f>
        <v>0</v>
      </c>
      <c r="AD55" s="25">
        <v>0</v>
      </c>
      <c r="AE55" s="27">
        <v>0</v>
      </c>
      <c r="AG55" s="25">
        <v>0</v>
      </c>
      <c r="AH55" s="26">
        <f>+IFERROR((BD_MR_FF[[#This Row],[Valor Extra 1]]/BD_MR_FF[[#This Row],[Muestra]]),"0")</f>
        <v>0</v>
      </c>
      <c r="AJ55" s="25">
        <v>0</v>
      </c>
      <c r="AK55" s="26">
        <f>+IFERROR((BD_MR_FF[[#This Row],[Valor Extra 2]]/BD_MR_FF[[#This Row],[Muestra]]),"0")</f>
        <v>0</v>
      </c>
      <c r="AL55" s="19">
        <v>0</v>
      </c>
      <c r="AM55" s="26">
        <f>+IFERROR((BD_MR_FF[[#This Row],[Calibre &gt;16]]/BD_MR_FF[[#This Row],[Muestra]]),"0")</f>
        <v>0</v>
      </c>
      <c r="AN55" s="19">
        <v>0</v>
      </c>
      <c r="AO55" s="26">
        <f>+IFERROR((BD_MR_FF[[#This Row],[Calibre &lt;16]]/BD_MR_FF[[#This Row],[Muestra]]),"0")</f>
        <v>0</v>
      </c>
      <c r="AV55" s="27"/>
      <c r="AW55" s="29" t="s">
        <v>900</v>
      </c>
      <c r="AX55" s="19" t="s">
        <v>890</v>
      </c>
      <c r="AY55" s="19" t="s">
        <v>890</v>
      </c>
      <c r="AZ55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5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5" s="24">
        <f>1-BD_MR_FF[[#This Row],[% Defectos]]</f>
        <v>1</v>
      </c>
      <c r="BD55" s="31"/>
      <c r="BE55" s="19">
        <f>SUM(BD_MR_FF[[#This Row],[Palos (Un.) (≤18)]:[Larvas (Un.) (≤24)]])</f>
        <v>0</v>
      </c>
      <c r="BF55" s="19">
        <f>SUM(BD_MR_FF[[#This Row],[Vidrio (Un.) (0)]:[Plástico (Un.) (0)]])</f>
        <v>0</v>
      </c>
      <c r="BG55" s="19" t="str">
        <f>IF(ISBLANK(BD_MR_FF[[#This Row],[Descripción del Producto]]),"",BD_MR_FF[[#This Row],[Descripción del Producto]])</f>
        <v/>
      </c>
      <c r="BH55" s="19" t="str">
        <f>IF(ISBLANK(BD_MR_FF[[#This Row],[N° Lote]]),"",BD_MR_FF[[#This Row],[N° Lote]])</f>
        <v/>
      </c>
      <c r="BI55" s="19" t="str">
        <f>IF(ISBLANK(BD_MR_FF[[#This Row],[N° Pallet]]),"",BD_MR_FF[[#This Row],[N° Pallet]])</f>
        <v/>
      </c>
    </row>
    <row r="56" spans="2:61">
      <c r="B56" s="19">
        <f>_xlfn.ISOWEEKNUM(BD_MR_FF[[#This Row],[Fecha]])</f>
        <v>52</v>
      </c>
      <c r="E56" s="20"/>
      <c r="F56" s="18" t="str">
        <f>IFERROR("" &amp; _xlfn.XLOOKUP(BD_MR_FF[[#This Row],[Código]],BD_Cod!A:A,BD_Cod!B:B), "")</f>
        <v/>
      </c>
      <c r="G56" s="21" t="str">
        <f>IFERROR(" " &amp;_xlfn.XLOOKUP(BD_MR_FF[[#This Row],[Código]],BD_Cod!A:A,BD_Cod!H:H," ")," ")</f>
        <v xml:space="preserve"> </v>
      </c>
      <c r="J56" s="22">
        <v>1000</v>
      </c>
      <c r="L56" s="19" t="s">
        <v>244</v>
      </c>
      <c r="O56" s="19" t="s">
        <v>890</v>
      </c>
      <c r="P56" s="19" t="s">
        <v>890</v>
      </c>
      <c r="Q56" s="24">
        <f>1-BD_MR_FF[[#This Row],[% Defectos]]</f>
        <v>1</v>
      </c>
      <c r="R56" s="25">
        <v>0</v>
      </c>
      <c r="S56" s="26">
        <f>+IFERROR((BD_MR_FF[[#This Row],[Desviación de Color]]/BD_MR_FF[[#This Row],[Muestra]]),"0")</f>
        <v>0</v>
      </c>
      <c r="T56" s="25">
        <v>0</v>
      </c>
      <c r="U56" s="26">
        <f>+IFERROR((BD_MR_FF[[#This Row],[Sobremaduro]]/BD_MR_FF[[#This Row],[Muestra]]),"0")</f>
        <v>0</v>
      </c>
      <c r="V56" s="25">
        <v>0</v>
      </c>
      <c r="W56" s="26">
        <f>+IFERROR((BD_MR_FF[[#This Row],[Daño Mécanico]]/BD_MR_FF[[#This Row],[Muestra]]),"0")</f>
        <v>0</v>
      </c>
      <c r="X56" s="25">
        <v>0</v>
      </c>
      <c r="Y56" s="26">
        <f>+IFERROR((BD_MR_FF[[#This Row],[Daño Insecto]]/BD_MR_FF[[#This Row],[Muestra]]),"0")</f>
        <v>0</v>
      </c>
      <c r="Z56" s="25">
        <v>0</v>
      </c>
      <c r="AA56" s="26">
        <f>+IFERROR((BD_MR_FF[[#This Row],[Block]]/BD_MR_FF[[#This Row],[Muestra]]),"0")</f>
        <v>0</v>
      </c>
      <c r="AB56" s="25">
        <v>0</v>
      </c>
      <c r="AC56" s="26">
        <f>+IFERROR((BD_MR_FF[[#This Row],[Mohos]]/BD_MR_FF[[#This Row],[Muestra]]),"0")</f>
        <v>0</v>
      </c>
      <c r="AD56" s="25">
        <v>0</v>
      </c>
      <c r="AE56" s="27">
        <v>0</v>
      </c>
      <c r="AG56" s="25">
        <v>0</v>
      </c>
      <c r="AH56" s="26">
        <f>+IFERROR((BD_MR_FF[[#This Row],[Valor Extra 1]]/BD_MR_FF[[#This Row],[Muestra]]),"0")</f>
        <v>0</v>
      </c>
      <c r="AJ56" s="25">
        <v>0</v>
      </c>
      <c r="AK56" s="26">
        <f>+IFERROR((BD_MR_FF[[#This Row],[Valor Extra 2]]/BD_MR_FF[[#This Row],[Muestra]]),"0")</f>
        <v>0</v>
      </c>
      <c r="AL56" s="19">
        <v>0</v>
      </c>
      <c r="AM56" s="26">
        <f>+IFERROR((BD_MR_FF[[#This Row],[Calibre &gt;16]]/BD_MR_FF[[#This Row],[Muestra]]),"0")</f>
        <v>0</v>
      </c>
      <c r="AN56" s="19">
        <v>0</v>
      </c>
      <c r="AO56" s="26">
        <f>+IFERROR((BD_MR_FF[[#This Row],[Calibre &lt;16]]/BD_MR_FF[[#This Row],[Muestra]]),"0")</f>
        <v>0</v>
      </c>
      <c r="AV56" s="27"/>
      <c r="AW56" s="29" t="s">
        <v>900</v>
      </c>
      <c r="AX56" s="19" t="s">
        <v>890</v>
      </c>
      <c r="AY56" s="19" t="s">
        <v>890</v>
      </c>
      <c r="AZ56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6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6" s="24">
        <f>1-BD_MR_FF[[#This Row],[% Defectos]]</f>
        <v>1</v>
      </c>
      <c r="BD56" s="31"/>
      <c r="BE56" s="19">
        <f>SUM(BD_MR_FF[[#This Row],[Palos (Un.) (≤18)]:[Larvas (Un.) (≤24)]])</f>
        <v>0</v>
      </c>
      <c r="BF56" s="19">
        <f>SUM(BD_MR_FF[[#This Row],[Vidrio (Un.) (0)]:[Plástico (Un.) (0)]])</f>
        <v>0</v>
      </c>
      <c r="BG56" s="19" t="str">
        <f>IF(ISBLANK(BD_MR_FF[[#This Row],[Descripción del Producto]]),"",BD_MR_FF[[#This Row],[Descripción del Producto]])</f>
        <v/>
      </c>
      <c r="BH56" s="19" t="str">
        <f>IF(ISBLANK(BD_MR_FF[[#This Row],[N° Lote]]),"",BD_MR_FF[[#This Row],[N° Lote]])</f>
        <v/>
      </c>
      <c r="BI56" s="19" t="str">
        <f>IF(ISBLANK(BD_MR_FF[[#This Row],[N° Pallet]]),"",BD_MR_FF[[#This Row],[N° Pallet]])</f>
        <v/>
      </c>
    </row>
    <row r="57" spans="2:61">
      <c r="B57" s="19">
        <f>_xlfn.ISOWEEKNUM(BD_MR_FF[[#This Row],[Fecha]])</f>
        <v>52</v>
      </c>
      <c r="E57" s="20"/>
      <c r="F57" s="18" t="str">
        <f>IFERROR("" &amp; _xlfn.XLOOKUP(BD_MR_FF[[#This Row],[Código]],BD_Cod!A:A,BD_Cod!B:B), "")</f>
        <v/>
      </c>
      <c r="G57" s="21" t="str">
        <f>IFERROR(" " &amp;_xlfn.XLOOKUP(BD_MR_FF[[#This Row],[Código]],BD_Cod!A:A,BD_Cod!H:H," ")," ")</f>
        <v xml:space="preserve"> </v>
      </c>
      <c r="J57" s="22">
        <v>1000</v>
      </c>
      <c r="L57" s="19" t="s">
        <v>244</v>
      </c>
      <c r="O57" s="19" t="s">
        <v>890</v>
      </c>
      <c r="P57" s="19" t="s">
        <v>890</v>
      </c>
      <c r="Q57" s="24">
        <f>1-BD_MR_FF[[#This Row],[% Defectos]]</f>
        <v>1</v>
      </c>
      <c r="R57" s="25">
        <v>0</v>
      </c>
      <c r="S57" s="26">
        <f>+IFERROR((BD_MR_FF[[#This Row],[Desviación de Color]]/BD_MR_FF[[#This Row],[Muestra]]),"0")</f>
        <v>0</v>
      </c>
      <c r="T57" s="25">
        <v>0</v>
      </c>
      <c r="U57" s="26">
        <f>+IFERROR((BD_MR_FF[[#This Row],[Sobremaduro]]/BD_MR_FF[[#This Row],[Muestra]]),"0")</f>
        <v>0</v>
      </c>
      <c r="V57" s="25">
        <v>0</v>
      </c>
      <c r="W57" s="26">
        <f>+IFERROR((BD_MR_FF[[#This Row],[Daño Mécanico]]/BD_MR_FF[[#This Row],[Muestra]]),"0")</f>
        <v>0</v>
      </c>
      <c r="X57" s="25">
        <v>0</v>
      </c>
      <c r="Y57" s="26">
        <f>+IFERROR((BD_MR_FF[[#This Row],[Daño Insecto]]/BD_MR_FF[[#This Row],[Muestra]]),"0")</f>
        <v>0</v>
      </c>
      <c r="Z57" s="25">
        <v>0</v>
      </c>
      <c r="AA57" s="26">
        <f>+IFERROR((BD_MR_FF[[#This Row],[Block]]/BD_MR_FF[[#This Row],[Muestra]]),"0")</f>
        <v>0</v>
      </c>
      <c r="AB57" s="25">
        <v>0</v>
      </c>
      <c r="AC57" s="26">
        <f>+IFERROR((BD_MR_FF[[#This Row],[Mohos]]/BD_MR_FF[[#This Row],[Muestra]]),"0")</f>
        <v>0</v>
      </c>
      <c r="AD57" s="25">
        <v>0</v>
      </c>
      <c r="AE57" s="27">
        <v>0</v>
      </c>
      <c r="AG57" s="25">
        <v>0</v>
      </c>
      <c r="AH57" s="26">
        <f>+IFERROR((BD_MR_FF[[#This Row],[Valor Extra 1]]/BD_MR_FF[[#This Row],[Muestra]]),"0")</f>
        <v>0</v>
      </c>
      <c r="AJ57" s="25">
        <v>0</v>
      </c>
      <c r="AK57" s="26">
        <f>+IFERROR((BD_MR_FF[[#This Row],[Valor Extra 2]]/BD_MR_FF[[#This Row],[Muestra]]),"0")</f>
        <v>0</v>
      </c>
      <c r="AL57" s="19">
        <v>0</v>
      </c>
      <c r="AM57" s="26">
        <f>+IFERROR((BD_MR_FF[[#This Row],[Calibre &gt;16]]/BD_MR_FF[[#This Row],[Muestra]]),"0")</f>
        <v>0</v>
      </c>
      <c r="AN57" s="19">
        <v>0</v>
      </c>
      <c r="AO57" s="26">
        <f>+IFERROR((BD_MR_FF[[#This Row],[Calibre &lt;16]]/BD_MR_FF[[#This Row],[Muestra]]),"0")</f>
        <v>0</v>
      </c>
      <c r="AV57" s="27"/>
      <c r="AW57" s="29" t="s">
        <v>900</v>
      </c>
      <c r="AX57" s="19" t="s">
        <v>890</v>
      </c>
      <c r="AY57" s="19" t="s">
        <v>890</v>
      </c>
      <c r="AZ57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7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7" s="24">
        <f>1-BD_MR_FF[[#This Row],[% Defectos]]</f>
        <v>1</v>
      </c>
      <c r="BD57" s="31"/>
      <c r="BE57" s="19">
        <f>SUM(BD_MR_FF[[#This Row],[Palos (Un.) (≤18)]:[Larvas (Un.) (≤24)]])</f>
        <v>0</v>
      </c>
      <c r="BF57" s="19">
        <f>SUM(BD_MR_FF[[#This Row],[Vidrio (Un.) (0)]:[Plástico (Un.) (0)]])</f>
        <v>0</v>
      </c>
      <c r="BG57" s="19" t="str">
        <f>IF(ISBLANK(BD_MR_FF[[#This Row],[Descripción del Producto]]),"",BD_MR_FF[[#This Row],[Descripción del Producto]])</f>
        <v/>
      </c>
      <c r="BH57" s="19" t="str">
        <f>IF(ISBLANK(BD_MR_FF[[#This Row],[N° Lote]]),"",BD_MR_FF[[#This Row],[N° Lote]])</f>
        <v/>
      </c>
      <c r="BI57" s="19" t="str">
        <f>IF(ISBLANK(BD_MR_FF[[#This Row],[N° Pallet]]),"",BD_MR_FF[[#This Row],[N° Pallet]])</f>
        <v/>
      </c>
    </row>
    <row r="58" spans="2:61">
      <c r="B58" s="19">
        <f>_xlfn.ISOWEEKNUM(BD_MR_FF[[#This Row],[Fecha]])</f>
        <v>52</v>
      </c>
      <c r="E58" s="20"/>
      <c r="F58" s="18" t="str">
        <f>IFERROR("" &amp; _xlfn.XLOOKUP(BD_MR_FF[[#This Row],[Código]],BD_Cod!A:A,BD_Cod!B:B), "")</f>
        <v/>
      </c>
      <c r="G58" s="21" t="str">
        <f>IFERROR(" " &amp;_xlfn.XLOOKUP(BD_MR_FF[[#This Row],[Código]],BD_Cod!A:A,BD_Cod!H:H," ")," ")</f>
        <v xml:space="preserve"> </v>
      </c>
      <c r="J58" s="22">
        <v>1000</v>
      </c>
      <c r="L58" s="19" t="s">
        <v>244</v>
      </c>
      <c r="O58" s="19" t="s">
        <v>890</v>
      </c>
      <c r="P58" s="19" t="s">
        <v>890</v>
      </c>
      <c r="Q58" s="24">
        <f>1-BD_MR_FF[[#This Row],[% Defectos]]</f>
        <v>1</v>
      </c>
      <c r="R58" s="25">
        <v>0</v>
      </c>
      <c r="S58" s="26">
        <f>+IFERROR((BD_MR_FF[[#This Row],[Desviación de Color]]/BD_MR_FF[[#This Row],[Muestra]]),"0")</f>
        <v>0</v>
      </c>
      <c r="T58" s="25">
        <v>0</v>
      </c>
      <c r="U58" s="26">
        <f>+IFERROR((BD_MR_FF[[#This Row],[Sobremaduro]]/BD_MR_FF[[#This Row],[Muestra]]),"0")</f>
        <v>0</v>
      </c>
      <c r="V58" s="25">
        <v>0</v>
      </c>
      <c r="W58" s="26">
        <f>+IFERROR((BD_MR_FF[[#This Row],[Daño Mécanico]]/BD_MR_FF[[#This Row],[Muestra]]),"0")</f>
        <v>0</v>
      </c>
      <c r="X58" s="25">
        <v>0</v>
      </c>
      <c r="Y58" s="26">
        <f>+IFERROR((BD_MR_FF[[#This Row],[Daño Insecto]]/BD_MR_FF[[#This Row],[Muestra]]),"0")</f>
        <v>0</v>
      </c>
      <c r="Z58" s="25">
        <v>0</v>
      </c>
      <c r="AA58" s="26">
        <f>+IFERROR((BD_MR_FF[[#This Row],[Block]]/BD_MR_FF[[#This Row],[Muestra]]),"0")</f>
        <v>0</v>
      </c>
      <c r="AB58" s="25">
        <v>0</v>
      </c>
      <c r="AC58" s="26">
        <f>+IFERROR((BD_MR_FF[[#This Row],[Mohos]]/BD_MR_FF[[#This Row],[Muestra]]),"0")</f>
        <v>0</v>
      </c>
      <c r="AD58" s="25">
        <v>0</v>
      </c>
      <c r="AE58" s="27">
        <v>0</v>
      </c>
      <c r="AG58" s="25">
        <v>0</v>
      </c>
      <c r="AH58" s="26">
        <f>+IFERROR((BD_MR_FF[[#This Row],[Valor Extra 1]]/BD_MR_FF[[#This Row],[Muestra]]),"0")</f>
        <v>0</v>
      </c>
      <c r="AJ58" s="25">
        <v>0</v>
      </c>
      <c r="AK58" s="26">
        <f>+IFERROR((BD_MR_FF[[#This Row],[Valor Extra 2]]/BD_MR_FF[[#This Row],[Muestra]]),"0")</f>
        <v>0</v>
      </c>
      <c r="AL58" s="19">
        <v>0</v>
      </c>
      <c r="AM58" s="26">
        <f>+IFERROR((BD_MR_FF[[#This Row],[Calibre &gt;16]]/BD_MR_FF[[#This Row],[Muestra]]),"0")</f>
        <v>0</v>
      </c>
      <c r="AN58" s="19">
        <v>0</v>
      </c>
      <c r="AO58" s="26">
        <f>+IFERROR((BD_MR_FF[[#This Row],[Calibre &lt;16]]/BD_MR_FF[[#This Row],[Muestra]]),"0")</f>
        <v>0</v>
      </c>
      <c r="AV58" s="27"/>
      <c r="AW58" s="29" t="s">
        <v>900</v>
      </c>
      <c r="AX58" s="19" t="s">
        <v>890</v>
      </c>
      <c r="AY58" s="19" t="s">
        <v>890</v>
      </c>
      <c r="AZ58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8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8" s="24">
        <f>1-BD_MR_FF[[#This Row],[% Defectos]]</f>
        <v>1</v>
      </c>
      <c r="BD58" s="31"/>
      <c r="BE58" s="19">
        <f>SUM(BD_MR_FF[[#This Row],[Palos (Un.) (≤18)]:[Larvas (Un.) (≤24)]])</f>
        <v>0</v>
      </c>
      <c r="BF58" s="19">
        <f>SUM(BD_MR_FF[[#This Row],[Vidrio (Un.) (0)]:[Plástico (Un.) (0)]])</f>
        <v>0</v>
      </c>
      <c r="BG58" s="19" t="str">
        <f>IF(ISBLANK(BD_MR_FF[[#This Row],[Descripción del Producto]]),"",BD_MR_FF[[#This Row],[Descripción del Producto]])</f>
        <v/>
      </c>
      <c r="BH58" s="19" t="str">
        <f>IF(ISBLANK(BD_MR_FF[[#This Row],[N° Lote]]),"",BD_MR_FF[[#This Row],[N° Lote]])</f>
        <v/>
      </c>
      <c r="BI58" s="19" t="str">
        <f>IF(ISBLANK(BD_MR_FF[[#This Row],[N° Pallet]]),"",BD_MR_FF[[#This Row],[N° Pallet]])</f>
        <v/>
      </c>
    </row>
    <row r="59" spans="2:61">
      <c r="B59" s="19">
        <f>_xlfn.ISOWEEKNUM(BD_MR_FF[[#This Row],[Fecha]])</f>
        <v>52</v>
      </c>
      <c r="E59" s="20"/>
      <c r="F59" s="18" t="str">
        <f>IFERROR("" &amp; _xlfn.XLOOKUP(BD_MR_FF[[#This Row],[Código]],BD_Cod!A:A,BD_Cod!B:B), "")</f>
        <v/>
      </c>
      <c r="G59" s="21" t="str">
        <f>IFERROR(" " &amp;_xlfn.XLOOKUP(BD_MR_FF[[#This Row],[Código]],BD_Cod!A:A,BD_Cod!H:H," ")," ")</f>
        <v xml:space="preserve"> </v>
      </c>
      <c r="J59" s="22">
        <v>1000</v>
      </c>
      <c r="L59" s="19" t="s">
        <v>244</v>
      </c>
      <c r="O59" s="19" t="s">
        <v>890</v>
      </c>
      <c r="P59" s="19" t="s">
        <v>890</v>
      </c>
      <c r="Q59" s="24">
        <f>1-BD_MR_FF[[#This Row],[% Defectos]]</f>
        <v>1</v>
      </c>
      <c r="R59" s="25">
        <v>0</v>
      </c>
      <c r="S59" s="26">
        <f>+IFERROR((BD_MR_FF[[#This Row],[Desviación de Color]]/BD_MR_FF[[#This Row],[Muestra]]),"0")</f>
        <v>0</v>
      </c>
      <c r="T59" s="25">
        <v>0</v>
      </c>
      <c r="U59" s="26">
        <f>+IFERROR((BD_MR_FF[[#This Row],[Sobremaduro]]/BD_MR_FF[[#This Row],[Muestra]]),"0")</f>
        <v>0</v>
      </c>
      <c r="V59" s="25">
        <v>0</v>
      </c>
      <c r="W59" s="26">
        <f>+IFERROR((BD_MR_FF[[#This Row],[Daño Mécanico]]/BD_MR_FF[[#This Row],[Muestra]]),"0")</f>
        <v>0</v>
      </c>
      <c r="X59" s="25">
        <v>0</v>
      </c>
      <c r="Y59" s="26">
        <f>+IFERROR((BD_MR_FF[[#This Row],[Daño Insecto]]/BD_MR_FF[[#This Row],[Muestra]]),"0")</f>
        <v>0</v>
      </c>
      <c r="Z59" s="25">
        <v>0</v>
      </c>
      <c r="AA59" s="26">
        <f>+IFERROR((BD_MR_FF[[#This Row],[Block]]/BD_MR_FF[[#This Row],[Muestra]]),"0")</f>
        <v>0</v>
      </c>
      <c r="AB59" s="25">
        <v>0</v>
      </c>
      <c r="AC59" s="26">
        <f>+IFERROR((BD_MR_FF[[#This Row],[Mohos]]/BD_MR_FF[[#This Row],[Muestra]]),"0")</f>
        <v>0</v>
      </c>
      <c r="AD59" s="25">
        <v>0</v>
      </c>
      <c r="AE59" s="27">
        <v>0</v>
      </c>
      <c r="AG59" s="25">
        <v>0</v>
      </c>
      <c r="AH59" s="26">
        <f>+IFERROR((BD_MR_FF[[#This Row],[Valor Extra 1]]/BD_MR_FF[[#This Row],[Muestra]]),"0")</f>
        <v>0</v>
      </c>
      <c r="AJ59" s="25">
        <v>0</v>
      </c>
      <c r="AK59" s="26">
        <f>+IFERROR((BD_MR_FF[[#This Row],[Valor Extra 2]]/BD_MR_FF[[#This Row],[Muestra]]),"0")</f>
        <v>0</v>
      </c>
      <c r="AL59" s="19">
        <v>0</v>
      </c>
      <c r="AM59" s="26">
        <f>+IFERROR((BD_MR_FF[[#This Row],[Calibre &gt;16]]/BD_MR_FF[[#This Row],[Muestra]]),"0")</f>
        <v>0</v>
      </c>
      <c r="AN59" s="19">
        <v>0</v>
      </c>
      <c r="AO59" s="26">
        <f>+IFERROR((BD_MR_FF[[#This Row],[Calibre &lt;16]]/BD_MR_FF[[#This Row],[Muestra]]),"0")</f>
        <v>0</v>
      </c>
      <c r="AV59" s="27"/>
      <c r="AW59" s="29" t="s">
        <v>900</v>
      </c>
      <c r="AX59" s="19" t="s">
        <v>890</v>
      </c>
      <c r="AY59" s="19" t="s">
        <v>890</v>
      </c>
      <c r="AZ59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59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59" s="24">
        <f>1-BD_MR_FF[[#This Row],[% Defectos]]</f>
        <v>1</v>
      </c>
      <c r="BD59" s="31"/>
      <c r="BE59" s="19">
        <f>SUM(BD_MR_FF[[#This Row],[Palos (Un.) (≤18)]:[Larvas (Un.) (≤24)]])</f>
        <v>0</v>
      </c>
      <c r="BF59" s="19">
        <f>SUM(BD_MR_FF[[#This Row],[Vidrio (Un.) (0)]:[Plástico (Un.) (0)]])</f>
        <v>0</v>
      </c>
      <c r="BG59" s="19" t="str">
        <f>IF(ISBLANK(BD_MR_FF[[#This Row],[Descripción del Producto]]),"",BD_MR_FF[[#This Row],[Descripción del Producto]])</f>
        <v/>
      </c>
      <c r="BH59" s="19" t="str">
        <f>IF(ISBLANK(BD_MR_FF[[#This Row],[N° Lote]]),"",BD_MR_FF[[#This Row],[N° Lote]])</f>
        <v/>
      </c>
      <c r="BI59" s="19" t="str">
        <f>IF(ISBLANK(BD_MR_FF[[#This Row],[N° Pallet]]),"",BD_MR_FF[[#This Row],[N° Pallet]])</f>
        <v/>
      </c>
    </row>
    <row r="60" spans="2:61">
      <c r="B60" s="19">
        <f>_xlfn.ISOWEEKNUM(BD_MR_FF[[#This Row],[Fecha]])</f>
        <v>52</v>
      </c>
      <c r="E60" s="20"/>
      <c r="F60" s="18" t="str">
        <f>IFERROR("" &amp; _xlfn.XLOOKUP(BD_MR_FF[[#This Row],[Código]],BD_Cod!A:A,BD_Cod!B:B), "")</f>
        <v/>
      </c>
      <c r="G60" s="21" t="str">
        <f>IFERROR(" " &amp;_xlfn.XLOOKUP(BD_MR_FF[[#This Row],[Código]],BD_Cod!A:A,BD_Cod!H:H," ")," ")</f>
        <v xml:space="preserve"> </v>
      </c>
      <c r="J60" s="22">
        <v>1000</v>
      </c>
      <c r="L60" s="19" t="s">
        <v>244</v>
      </c>
      <c r="O60" s="19" t="s">
        <v>890</v>
      </c>
      <c r="P60" s="19" t="s">
        <v>890</v>
      </c>
      <c r="Q60" s="24">
        <f>1-BD_MR_FF[[#This Row],[% Defectos]]</f>
        <v>1</v>
      </c>
      <c r="R60" s="25">
        <v>0</v>
      </c>
      <c r="S60" s="26">
        <f>+IFERROR((BD_MR_FF[[#This Row],[Desviación de Color]]/BD_MR_FF[[#This Row],[Muestra]]),"0")</f>
        <v>0</v>
      </c>
      <c r="T60" s="25">
        <v>0</v>
      </c>
      <c r="U60" s="26">
        <f>+IFERROR((BD_MR_FF[[#This Row],[Sobremaduro]]/BD_MR_FF[[#This Row],[Muestra]]),"0")</f>
        <v>0</v>
      </c>
      <c r="V60" s="25">
        <v>0</v>
      </c>
      <c r="W60" s="26">
        <f>+IFERROR((BD_MR_FF[[#This Row],[Daño Mécanico]]/BD_MR_FF[[#This Row],[Muestra]]),"0")</f>
        <v>0</v>
      </c>
      <c r="X60" s="25">
        <v>0</v>
      </c>
      <c r="Y60" s="26">
        <f>+IFERROR((BD_MR_FF[[#This Row],[Daño Insecto]]/BD_MR_FF[[#This Row],[Muestra]]),"0")</f>
        <v>0</v>
      </c>
      <c r="Z60" s="25">
        <v>0</v>
      </c>
      <c r="AA60" s="26">
        <f>+IFERROR((BD_MR_FF[[#This Row],[Block]]/BD_MR_FF[[#This Row],[Muestra]]),"0")</f>
        <v>0</v>
      </c>
      <c r="AB60" s="25">
        <v>0</v>
      </c>
      <c r="AC60" s="26">
        <f>+IFERROR((BD_MR_FF[[#This Row],[Mohos]]/BD_MR_FF[[#This Row],[Muestra]]),"0")</f>
        <v>0</v>
      </c>
      <c r="AD60" s="25">
        <v>0</v>
      </c>
      <c r="AE60" s="27">
        <v>0</v>
      </c>
      <c r="AG60" s="25">
        <v>0</v>
      </c>
      <c r="AH60" s="26">
        <f>+IFERROR((BD_MR_FF[[#This Row],[Valor Extra 1]]/BD_MR_FF[[#This Row],[Muestra]]),"0")</f>
        <v>0</v>
      </c>
      <c r="AJ60" s="25">
        <v>0</v>
      </c>
      <c r="AK60" s="26">
        <f>+IFERROR((BD_MR_FF[[#This Row],[Valor Extra 2]]/BD_MR_FF[[#This Row],[Muestra]]),"0")</f>
        <v>0</v>
      </c>
      <c r="AL60" s="19">
        <v>0</v>
      </c>
      <c r="AM60" s="26">
        <f>+IFERROR((BD_MR_FF[[#This Row],[Calibre &gt;16]]/BD_MR_FF[[#This Row],[Muestra]]),"0")</f>
        <v>0</v>
      </c>
      <c r="AN60" s="19">
        <v>0</v>
      </c>
      <c r="AO60" s="26">
        <f>+IFERROR((BD_MR_FF[[#This Row],[Calibre &lt;16]]/BD_MR_FF[[#This Row],[Muestra]]),"0")</f>
        <v>0</v>
      </c>
      <c r="AV60" s="27"/>
      <c r="AW60" s="29" t="s">
        <v>900</v>
      </c>
      <c r="AX60" s="19" t="s">
        <v>890</v>
      </c>
      <c r="AY60" s="19" t="s">
        <v>890</v>
      </c>
      <c r="AZ60" s="30">
        <f>SUM(BD_MR_FF[[#This Row],[Desviación de Color]]+BD_MR_FF[[#This Row],[Sobremaduro]]+BD_MR_FF[[#This Row],[Daño Mécanico]]+BD_MR_FF[[#This Row],[Daño Insecto]]+BD_MR_FF[[#This Row],[Block]]+BD_MR_FF[[#This Row],[Mohos]])</f>
        <v>0</v>
      </c>
      <c r="BA60" s="26">
        <f>SUM(BD_MR_FF[[#This Row],[% Desv. Color (≤5%)]]+BD_MR_FF[[#This Row],[% Sobremaduro (≤6%)]]+BD_MR_FF[[#This Row],[% Daño Mécanico (≤6%)]]+BD_MR_FF[[#This Row],[% Daño Insc. (≤5%)]]+BD_MR_FF[[#This Row],[% Block (≤5%)]]+BD_MR_FF[[#This Row],[% Mohos (0%)]])</f>
        <v>0</v>
      </c>
      <c r="BC60" s="24">
        <f>1-BD_MR_FF[[#This Row],[% Defectos]]</f>
        <v>1</v>
      </c>
      <c r="BD60" s="31"/>
      <c r="BE60" s="19">
        <f>SUM(BD_MR_FF[[#This Row],[Palos (Un.) (≤18)]:[Larvas (Un.) (≤24)]])</f>
        <v>0</v>
      </c>
      <c r="BF60" s="19">
        <f>SUM(BD_MR_FF[[#This Row],[Vidrio (Un.) (0)]:[Plástico (Un.) (0)]])</f>
        <v>0</v>
      </c>
      <c r="BG60" s="19" t="str">
        <f>IF(ISBLANK(BD_MR_FF[[#This Row],[Descripción del Producto]]),"",BD_MR_FF[[#This Row],[Descripción del Producto]])</f>
        <v/>
      </c>
      <c r="BH60" s="19" t="str">
        <f>IF(ISBLANK(BD_MR_FF[[#This Row],[N° Lote]]),"",BD_MR_FF[[#This Row],[N° Lote]])</f>
        <v/>
      </c>
      <c r="BI60" s="19" t="str">
        <f>IF(ISBLANK(BD_MR_FF[[#This Row],[N° Pallet]]),"",BD_MR_FF[[#This Row],[N° Pallet]])</f>
        <v/>
      </c>
    </row>
  </sheetData>
  <conditionalFormatting sqref="F1">
    <cfRule type="containsText" dxfId="94" priority="13" operator="containsText" text="FB">
      <formula>NOT(ISERROR(SEARCH("FB",F1)))</formula>
    </cfRule>
    <cfRule type="containsText" dxfId="93" priority="14" operator="containsText" text="AR">
      <formula>NOT(ISERROR(SEARCH("AR",F1)))</formula>
    </cfRule>
  </conditionalFormatting>
  <conditionalFormatting sqref="G1">
    <cfRule type="containsText" dxfId="92" priority="12" operator="containsText" text="Retail">
      <formula>NOT(ISERROR(SEARCH("Retail",G1)))</formula>
    </cfRule>
  </conditionalFormatting>
  <conditionalFormatting sqref="S2:S1048576 W2:W1048576">
    <cfRule type="cellIs" dxfId="91" priority="10" operator="greaterThanOrEqual">
      <formula>0.06</formula>
    </cfRule>
  </conditionalFormatting>
  <conditionalFormatting sqref="U2:U1048576">
    <cfRule type="cellIs" dxfId="90" priority="9" operator="greaterThan">
      <formula>0.06</formula>
    </cfRule>
  </conditionalFormatting>
  <conditionalFormatting sqref="Y2:Y1048576">
    <cfRule type="cellIs" dxfId="89" priority="8" operator="greaterThanOrEqual">
      <formula>0.05</formula>
    </cfRule>
  </conditionalFormatting>
  <conditionalFormatting sqref="AA2:AA1048576">
    <cfRule type="cellIs" dxfId="88" priority="7" operator="greaterThan">
      <formula>0.05</formula>
    </cfRule>
  </conditionalFormatting>
  <conditionalFormatting sqref="AC2:AC1048576">
    <cfRule type="cellIs" dxfId="87" priority="6" operator="greaterThanOrEqual">
      <formula>0.01</formula>
    </cfRule>
  </conditionalFormatting>
  <conditionalFormatting sqref="AD2:AD1048576">
    <cfRule type="cellIs" dxfId="86" priority="5" operator="greaterThanOrEqual">
      <formula>2</formula>
    </cfRule>
  </conditionalFormatting>
  <conditionalFormatting sqref="AP2:AR1048576">
    <cfRule type="cellIs" dxfId="85" priority="4" operator="greaterThanOrEqual">
      <formula>18</formula>
    </cfRule>
  </conditionalFormatting>
  <conditionalFormatting sqref="AP1:AV1048576">
    <cfRule type="containsText" dxfId="84" priority="1" operator="containsText" text="S/A">
      <formula>NOT(ISERROR(SEARCH("S/A",AP1)))</formula>
    </cfRule>
  </conditionalFormatting>
  <conditionalFormatting sqref="AS2:AS1048576">
    <cfRule type="cellIs" dxfId="83" priority="3" operator="greaterThanOrEqual">
      <formula>24</formula>
    </cfRule>
  </conditionalFormatting>
  <conditionalFormatting sqref="AT2:AV1048576">
    <cfRule type="cellIs" dxfId="82" priority="2" operator="greaterThanOrEqual">
      <formula>1</formula>
    </cfRule>
  </conditionalFormatting>
  <conditionalFormatting sqref="AW2:AW1048576">
    <cfRule type="cellIs" dxfId="81" priority="11" operator="lessThan">
      <formula>8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55FC-5F6D-4989-BB0F-9F9EAC044637}">
  <dimension ref="A1:BI150"/>
  <sheetViews>
    <sheetView workbookViewId="0">
      <selection activeCell="F19" sqref="F19"/>
    </sheetView>
  </sheetViews>
  <sheetFormatPr defaultColWidth="11.42578125" defaultRowHeight="14.45"/>
  <cols>
    <col min="1" max="1" width="14.140625" bestFit="1" customWidth="1"/>
    <col min="2" max="2" width="10" bestFit="1" customWidth="1"/>
    <col min="3" max="3" width="7.85546875" bestFit="1" customWidth="1"/>
    <col min="4" max="4" width="6.85546875" bestFit="1" customWidth="1"/>
    <col min="5" max="5" width="10" bestFit="1" customWidth="1"/>
    <col min="6" max="6" width="28.5703125" bestFit="1" customWidth="1"/>
    <col min="7" max="7" width="16.42578125" bestFit="1" customWidth="1"/>
    <col min="8" max="8" width="10.5703125" bestFit="1" customWidth="1"/>
    <col min="9" max="9" width="9.140625" bestFit="1" customWidth="1"/>
    <col min="10" max="10" width="9.85546875" bestFit="1" customWidth="1"/>
    <col min="11" max="11" width="15.85546875" bestFit="1" customWidth="1"/>
    <col min="12" max="12" width="12.140625" bestFit="1" customWidth="1"/>
    <col min="13" max="13" width="14.85546875" bestFit="1" customWidth="1"/>
    <col min="14" max="14" width="10" bestFit="1" customWidth="1"/>
    <col min="15" max="15" width="14.42578125" bestFit="1" customWidth="1"/>
    <col min="16" max="16" width="13.5703125" bestFit="1" customWidth="1"/>
    <col min="17" max="17" width="10.42578125" bestFit="1" customWidth="1"/>
    <col min="18" max="18" width="19.5703125" bestFit="1" customWidth="1"/>
    <col min="19" max="19" width="19.85546875" bestFit="1" customWidth="1"/>
    <col min="20" max="20" width="14.5703125" bestFit="1" customWidth="1"/>
    <col min="21" max="21" width="21.85546875" bestFit="1" customWidth="1"/>
    <col min="22" max="22" width="15.85546875" bestFit="1" customWidth="1"/>
    <col min="23" max="23" width="23" bestFit="1" customWidth="1"/>
    <col min="24" max="24" width="13.85546875" bestFit="1" customWidth="1"/>
    <col min="25" max="25" width="19" bestFit="1" customWidth="1"/>
    <col min="26" max="26" width="7.85546875" bestFit="1" customWidth="1"/>
    <col min="27" max="27" width="15" bestFit="1" customWidth="1"/>
    <col min="28" max="28" width="8.5703125" bestFit="1" customWidth="1"/>
    <col min="29" max="29" width="14.5703125" bestFit="1" customWidth="1"/>
    <col min="30" max="30" width="16.5703125" bestFit="1" customWidth="1"/>
    <col min="31" max="31" width="14.140625" bestFit="1" customWidth="1"/>
    <col min="32" max="32" width="19.140625" bestFit="1" customWidth="1"/>
    <col min="33" max="33" width="13.42578125" bestFit="1" customWidth="1"/>
    <col min="34" max="34" width="10.5703125" bestFit="1" customWidth="1"/>
    <col min="35" max="35" width="19.140625" bestFit="1" customWidth="1"/>
    <col min="36" max="36" width="13.42578125" bestFit="1" customWidth="1"/>
    <col min="37" max="37" width="10.5703125" bestFit="1" customWidth="1"/>
    <col min="38" max="38" width="12.5703125" bestFit="1" customWidth="1"/>
    <col min="39" max="39" width="8.140625" bestFit="1" customWidth="1"/>
    <col min="40" max="40" width="12.5703125" bestFit="1" customWidth="1"/>
    <col min="41" max="41" width="8.140625" bestFit="1" customWidth="1"/>
    <col min="42" max="42" width="16.85546875" bestFit="1" customWidth="1"/>
    <col min="43" max="43" width="16.5703125" bestFit="1" customWidth="1"/>
    <col min="44" max="44" width="17.140625" bestFit="1" customWidth="1"/>
    <col min="45" max="45" width="17.5703125" bestFit="1" customWidth="1"/>
    <col min="46" max="46" width="15.42578125" bestFit="1" customWidth="1"/>
    <col min="47" max="47" width="16.5703125" bestFit="1" customWidth="1"/>
    <col min="48" max="48" width="17.140625" bestFit="1" customWidth="1"/>
    <col min="49" max="49" width="11.5703125" bestFit="1" customWidth="1"/>
    <col min="50" max="50" width="8.140625" bestFit="1" customWidth="1"/>
    <col min="51" max="51" width="6.85546875" bestFit="1" customWidth="1"/>
    <col min="52" max="52" width="15.5703125" bestFit="1" customWidth="1"/>
    <col min="53" max="53" width="12.42578125" bestFit="1" customWidth="1"/>
    <col min="54" max="54" width="42.5703125" bestFit="1" customWidth="1"/>
    <col min="55" max="55" width="8" bestFit="1" customWidth="1"/>
    <col min="56" max="56" width="22.42578125" bestFit="1" customWidth="1"/>
    <col min="57" max="57" width="16" bestFit="1" customWidth="1"/>
    <col min="58" max="58" width="14.85546875" bestFit="1" customWidth="1"/>
    <col min="59" max="59" width="28.5703125" bestFit="1" customWidth="1"/>
    <col min="61" max="61" width="12.85546875" bestFit="1" customWidth="1"/>
  </cols>
  <sheetData>
    <row r="1" spans="1:61">
      <c r="A1" t="s">
        <v>830</v>
      </c>
      <c r="B1" t="s">
        <v>831</v>
      </c>
      <c r="C1" t="s">
        <v>832</v>
      </c>
      <c r="D1" t="s">
        <v>833</v>
      </c>
      <c r="E1" t="s">
        <v>834</v>
      </c>
      <c r="F1" t="s">
        <v>835</v>
      </c>
      <c r="G1" t="s">
        <v>7</v>
      </c>
      <c r="H1" t="s">
        <v>836</v>
      </c>
      <c r="I1" t="s">
        <v>837</v>
      </c>
      <c r="J1" t="s">
        <v>838</v>
      </c>
      <c r="K1" t="s">
        <v>839</v>
      </c>
      <c r="L1" t="s">
        <v>840</v>
      </c>
      <c r="M1" t="s">
        <v>841</v>
      </c>
      <c r="N1" t="s">
        <v>842</v>
      </c>
      <c r="O1" t="s">
        <v>843</v>
      </c>
      <c r="P1" t="s">
        <v>844</v>
      </c>
      <c r="Q1" t="s">
        <v>845</v>
      </c>
      <c r="R1" t="s">
        <v>846</v>
      </c>
      <c r="S1" t="s">
        <v>847</v>
      </c>
      <c r="T1" t="s">
        <v>848</v>
      </c>
      <c r="U1" t="s">
        <v>849</v>
      </c>
      <c r="V1" t="s">
        <v>850</v>
      </c>
      <c r="W1" t="s">
        <v>851</v>
      </c>
      <c r="X1" t="s">
        <v>852</v>
      </c>
      <c r="Y1" t="s">
        <v>853</v>
      </c>
      <c r="Z1" t="s">
        <v>122</v>
      </c>
      <c r="AA1" t="s">
        <v>854</v>
      </c>
      <c r="AB1" t="s">
        <v>855</v>
      </c>
      <c r="AC1" t="s">
        <v>856</v>
      </c>
      <c r="AD1" t="s">
        <v>857</v>
      </c>
      <c r="AE1" t="s">
        <v>858</v>
      </c>
      <c r="AF1" t="s">
        <v>859</v>
      </c>
      <c r="AG1" t="s">
        <v>860</v>
      </c>
      <c r="AH1" t="s">
        <v>861</v>
      </c>
      <c r="AI1" t="s">
        <v>862</v>
      </c>
      <c r="AJ1" t="s">
        <v>863</v>
      </c>
      <c r="AK1" t="s">
        <v>864</v>
      </c>
      <c r="AL1" t="s">
        <v>865</v>
      </c>
      <c r="AM1" t="s">
        <v>866</v>
      </c>
      <c r="AN1" t="s">
        <v>867</v>
      </c>
      <c r="AO1" t="s">
        <v>868</v>
      </c>
      <c r="AP1" t="s">
        <v>869</v>
      </c>
      <c r="AQ1" t="s">
        <v>870</v>
      </c>
      <c r="AR1" t="s">
        <v>871</v>
      </c>
      <c r="AS1" t="s">
        <v>872</v>
      </c>
      <c r="AT1" t="s">
        <v>873</v>
      </c>
      <c r="AU1" t="s">
        <v>874</v>
      </c>
      <c r="AV1" t="s">
        <v>875</v>
      </c>
      <c r="AW1" t="s">
        <v>876</v>
      </c>
      <c r="AX1" t="s">
        <v>877</v>
      </c>
      <c r="AY1" t="s">
        <v>878</v>
      </c>
      <c r="AZ1" t="s">
        <v>879</v>
      </c>
      <c r="BA1" t="s">
        <v>880</v>
      </c>
      <c r="BB1" t="s">
        <v>881</v>
      </c>
      <c r="BC1" t="s">
        <v>882</v>
      </c>
      <c r="BD1" t="s">
        <v>883</v>
      </c>
      <c r="BE1" t="s">
        <v>884</v>
      </c>
      <c r="BF1" t="s">
        <v>885</v>
      </c>
      <c r="BG1" t="s">
        <v>886</v>
      </c>
      <c r="BH1" t="s">
        <v>887</v>
      </c>
      <c r="BI1" t="s">
        <v>888</v>
      </c>
    </row>
    <row r="2" spans="1:61">
      <c r="A2" s="38">
        <v>46037</v>
      </c>
      <c r="B2">
        <v>3</v>
      </c>
      <c r="C2">
        <v>1</v>
      </c>
      <c r="D2">
        <v>3</v>
      </c>
      <c r="E2">
        <v>304231000</v>
      </c>
      <c r="F2" t="s">
        <v>811</v>
      </c>
      <c r="G2" t="s">
        <v>907</v>
      </c>
      <c r="H2">
        <v>21219</v>
      </c>
      <c r="I2">
        <v>7830</v>
      </c>
      <c r="J2">
        <v>1000</v>
      </c>
      <c r="K2" t="s">
        <v>889</v>
      </c>
      <c r="L2" t="s">
        <v>244</v>
      </c>
      <c r="M2">
        <v>12555</v>
      </c>
      <c r="N2">
        <v>-12.6</v>
      </c>
      <c r="O2" t="s">
        <v>890</v>
      </c>
      <c r="P2" t="s">
        <v>890</v>
      </c>
      <c r="Q2">
        <v>0.877</v>
      </c>
      <c r="R2">
        <v>64</v>
      </c>
      <c r="S2">
        <v>6.4000000000000001E-2</v>
      </c>
      <c r="T2">
        <v>0</v>
      </c>
      <c r="U2">
        <v>0</v>
      </c>
      <c r="V2">
        <v>0</v>
      </c>
      <c r="W2">
        <v>0</v>
      </c>
      <c r="X2">
        <v>53</v>
      </c>
      <c r="Y2">
        <v>5.2999999999999999E-2</v>
      </c>
      <c r="Z2">
        <v>0</v>
      </c>
      <c r="AA2">
        <v>0</v>
      </c>
      <c r="AB2">
        <v>6</v>
      </c>
      <c r="AC2">
        <v>6.0000000000000001E-3</v>
      </c>
      <c r="AD2">
        <v>0</v>
      </c>
      <c r="AE2">
        <v>0</v>
      </c>
      <c r="AF2" t="s">
        <v>891</v>
      </c>
      <c r="AG2">
        <v>40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892</v>
      </c>
      <c r="AQ2" t="s">
        <v>892</v>
      </c>
      <c r="AR2" t="s">
        <v>892</v>
      </c>
      <c r="AS2" t="s">
        <v>892</v>
      </c>
      <c r="AT2" t="s">
        <v>892</v>
      </c>
      <c r="AU2" t="s">
        <v>892</v>
      </c>
      <c r="AV2" t="s">
        <v>892</v>
      </c>
      <c r="AW2">
        <v>13.7</v>
      </c>
      <c r="AX2" t="s">
        <v>890</v>
      </c>
      <c r="AY2" t="s">
        <v>890</v>
      </c>
      <c r="AZ2">
        <v>123</v>
      </c>
      <c r="BA2">
        <v>0.123</v>
      </c>
      <c r="BB2" t="s">
        <v>893</v>
      </c>
      <c r="BC2">
        <v>0.877</v>
      </c>
      <c r="BD2" t="s">
        <v>894</v>
      </c>
      <c r="BE2">
        <v>0</v>
      </c>
      <c r="BF2">
        <v>0</v>
      </c>
      <c r="BG2" t="s">
        <v>811</v>
      </c>
      <c r="BH2">
        <v>7830</v>
      </c>
      <c r="BI2">
        <v>21219</v>
      </c>
    </row>
    <row r="3" spans="1:61">
      <c r="A3" s="38">
        <v>46037</v>
      </c>
      <c r="B3">
        <v>3</v>
      </c>
      <c r="C3">
        <v>1</v>
      </c>
      <c r="D3">
        <v>3</v>
      </c>
      <c r="E3">
        <v>304231000</v>
      </c>
      <c r="F3" t="s">
        <v>811</v>
      </c>
      <c r="G3" t="s">
        <v>907</v>
      </c>
      <c r="H3">
        <v>21219</v>
      </c>
      <c r="I3">
        <v>7830</v>
      </c>
      <c r="J3">
        <v>1000</v>
      </c>
      <c r="K3">
        <v>0.37361111111111112</v>
      </c>
      <c r="L3" t="s">
        <v>244</v>
      </c>
      <c r="M3">
        <v>12575</v>
      </c>
      <c r="N3">
        <v>-9.6</v>
      </c>
      <c r="O3" t="s">
        <v>890</v>
      </c>
      <c r="P3" t="s">
        <v>890</v>
      </c>
      <c r="Q3">
        <v>0.89400000000000002</v>
      </c>
      <c r="R3">
        <v>44</v>
      </c>
      <c r="S3">
        <v>4.3999999999999997E-2</v>
      </c>
      <c r="T3">
        <v>0</v>
      </c>
      <c r="U3">
        <v>0</v>
      </c>
      <c r="V3">
        <v>0</v>
      </c>
      <c r="W3">
        <v>0</v>
      </c>
      <c r="X3">
        <v>30</v>
      </c>
      <c r="Y3">
        <v>0.03</v>
      </c>
      <c r="Z3">
        <v>32</v>
      </c>
      <c r="AA3">
        <v>3.2000000000000001E-2</v>
      </c>
      <c r="AB3">
        <v>0</v>
      </c>
      <c r="AC3">
        <v>0</v>
      </c>
      <c r="AD3">
        <v>1</v>
      </c>
      <c r="AE3">
        <v>0</v>
      </c>
      <c r="AG3">
        <v>0</v>
      </c>
      <c r="AH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892</v>
      </c>
      <c r="AQ3" t="s">
        <v>892</v>
      </c>
      <c r="AR3" t="s">
        <v>892</v>
      </c>
      <c r="AS3" t="s">
        <v>892</v>
      </c>
      <c r="AT3" t="s">
        <v>892</v>
      </c>
      <c r="AU3" t="s">
        <v>892</v>
      </c>
      <c r="AV3" t="s">
        <v>892</v>
      </c>
      <c r="AW3">
        <v>12.2</v>
      </c>
      <c r="AX3" t="s">
        <v>890</v>
      </c>
      <c r="AY3" t="s">
        <v>890</v>
      </c>
      <c r="AZ3">
        <v>106</v>
      </c>
      <c r="BA3">
        <v>0.106</v>
      </c>
      <c r="BB3" t="s">
        <v>893</v>
      </c>
      <c r="BC3">
        <v>0.89400000000000002</v>
      </c>
      <c r="BD3" t="s">
        <v>894</v>
      </c>
      <c r="BE3">
        <v>0</v>
      </c>
      <c r="BF3">
        <v>0</v>
      </c>
      <c r="BG3" t="s">
        <v>811</v>
      </c>
      <c r="BH3">
        <v>7830</v>
      </c>
      <c r="BI3">
        <v>21219</v>
      </c>
    </row>
    <row r="4" spans="1:61">
      <c r="A4" s="38">
        <v>46037</v>
      </c>
      <c r="B4">
        <v>3</v>
      </c>
      <c r="C4">
        <v>1</v>
      </c>
      <c r="D4">
        <v>3</v>
      </c>
      <c r="E4">
        <v>304231000</v>
      </c>
      <c r="F4" t="s">
        <v>811</v>
      </c>
      <c r="G4" t="s">
        <v>907</v>
      </c>
      <c r="H4">
        <v>21220</v>
      </c>
      <c r="I4">
        <v>7830</v>
      </c>
      <c r="J4">
        <v>1000</v>
      </c>
      <c r="K4">
        <v>0.37708333333333333</v>
      </c>
      <c r="L4" t="s">
        <v>244</v>
      </c>
      <c r="M4">
        <v>12560</v>
      </c>
      <c r="N4">
        <v>-6.9</v>
      </c>
      <c r="O4" t="s">
        <v>890</v>
      </c>
      <c r="P4" t="s">
        <v>890</v>
      </c>
      <c r="Q4">
        <v>0.69899999999999995</v>
      </c>
      <c r="R4">
        <v>78</v>
      </c>
      <c r="S4">
        <v>7.8E-2</v>
      </c>
      <c r="T4">
        <v>0</v>
      </c>
      <c r="U4">
        <v>0</v>
      </c>
      <c r="V4">
        <v>22</v>
      </c>
      <c r="W4">
        <v>2.1999999999999999E-2</v>
      </c>
      <c r="X4">
        <v>63</v>
      </c>
      <c r="Y4">
        <v>6.3E-2</v>
      </c>
      <c r="Z4">
        <v>133</v>
      </c>
      <c r="AA4">
        <v>0.13300000000000001</v>
      </c>
      <c r="AB4">
        <v>5</v>
      </c>
      <c r="AC4">
        <v>5.0000000000000001E-3</v>
      </c>
      <c r="AD4">
        <v>4</v>
      </c>
      <c r="AE4">
        <v>0</v>
      </c>
      <c r="AF4" t="s">
        <v>895</v>
      </c>
      <c r="AG4">
        <v>5</v>
      </c>
      <c r="AH4">
        <v>5.0000000000000001E-3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892</v>
      </c>
      <c r="AQ4" t="s">
        <v>892</v>
      </c>
      <c r="AR4" t="s">
        <v>892</v>
      </c>
      <c r="AS4" t="s">
        <v>892</v>
      </c>
      <c r="AT4" t="s">
        <v>892</v>
      </c>
      <c r="AU4" t="s">
        <v>892</v>
      </c>
      <c r="AV4" t="s">
        <v>892</v>
      </c>
      <c r="AW4">
        <v>11.4</v>
      </c>
      <c r="AX4" t="s">
        <v>890</v>
      </c>
      <c r="AY4" t="s">
        <v>890</v>
      </c>
      <c r="AZ4">
        <v>301</v>
      </c>
      <c r="BA4">
        <v>0.30100000000000005</v>
      </c>
      <c r="BB4" t="s">
        <v>893</v>
      </c>
      <c r="BC4">
        <v>0.69899999999999995</v>
      </c>
      <c r="BD4" t="s">
        <v>894</v>
      </c>
      <c r="BE4">
        <v>0</v>
      </c>
      <c r="BF4">
        <v>0</v>
      </c>
      <c r="BG4" t="s">
        <v>811</v>
      </c>
      <c r="BH4">
        <v>7830</v>
      </c>
      <c r="BI4">
        <v>21220</v>
      </c>
    </row>
    <row r="5" spans="1:61">
      <c r="A5" s="38">
        <v>46037</v>
      </c>
      <c r="B5">
        <v>3</v>
      </c>
      <c r="C5">
        <v>1</v>
      </c>
      <c r="D5">
        <v>3</v>
      </c>
      <c r="E5">
        <v>304231000</v>
      </c>
      <c r="F5" t="s">
        <v>811</v>
      </c>
      <c r="G5" t="s">
        <v>907</v>
      </c>
      <c r="H5">
        <v>21221</v>
      </c>
      <c r="I5">
        <v>7830</v>
      </c>
      <c r="J5">
        <v>1000</v>
      </c>
      <c r="K5">
        <v>0.39027777777777778</v>
      </c>
      <c r="L5" t="s">
        <v>244</v>
      </c>
      <c r="M5">
        <v>12555</v>
      </c>
      <c r="N5">
        <v>-14.2</v>
      </c>
      <c r="O5" t="s">
        <v>890</v>
      </c>
      <c r="P5" t="s">
        <v>890</v>
      </c>
      <c r="Q5">
        <v>0.86099999999999999</v>
      </c>
      <c r="R5">
        <v>19</v>
      </c>
      <c r="S5">
        <v>1.9E-2</v>
      </c>
      <c r="T5">
        <v>0</v>
      </c>
      <c r="U5">
        <v>0</v>
      </c>
      <c r="V5">
        <v>18</v>
      </c>
      <c r="W5">
        <v>1.7999999999999999E-2</v>
      </c>
      <c r="X5">
        <v>70</v>
      </c>
      <c r="Y5">
        <v>7.0000000000000007E-2</v>
      </c>
      <c r="Z5">
        <v>32</v>
      </c>
      <c r="AA5">
        <v>3.2000000000000001E-2</v>
      </c>
      <c r="AB5">
        <v>0</v>
      </c>
      <c r="AC5">
        <v>0</v>
      </c>
      <c r="AD5">
        <v>1</v>
      </c>
      <c r="AE5">
        <v>0</v>
      </c>
      <c r="AF5" t="s">
        <v>896</v>
      </c>
      <c r="AG5">
        <v>8</v>
      </c>
      <c r="AH5">
        <v>8.0000000000000002E-3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892</v>
      </c>
      <c r="AQ5" t="s">
        <v>892</v>
      </c>
      <c r="AR5" t="s">
        <v>892</v>
      </c>
      <c r="AS5" t="s">
        <v>892</v>
      </c>
      <c r="AT5" t="s">
        <v>892</v>
      </c>
      <c r="AU5" t="s">
        <v>892</v>
      </c>
      <c r="AV5" t="s">
        <v>892</v>
      </c>
      <c r="AW5">
        <v>14.8</v>
      </c>
      <c r="AX5" t="s">
        <v>890</v>
      </c>
      <c r="AY5" t="s">
        <v>890</v>
      </c>
      <c r="AZ5">
        <v>139</v>
      </c>
      <c r="BA5">
        <v>0.13900000000000001</v>
      </c>
      <c r="BB5" t="s">
        <v>893</v>
      </c>
      <c r="BC5">
        <v>0.86099999999999999</v>
      </c>
      <c r="BD5" t="s">
        <v>894</v>
      </c>
      <c r="BE5">
        <v>0</v>
      </c>
      <c r="BF5">
        <v>0</v>
      </c>
      <c r="BG5" t="s">
        <v>811</v>
      </c>
      <c r="BH5">
        <v>7830</v>
      </c>
      <c r="BI5">
        <v>21221</v>
      </c>
    </row>
    <row r="6" spans="1:61">
      <c r="A6" s="38">
        <v>46037</v>
      </c>
      <c r="B6">
        <v>3</v>
      </c>
      <c r="C6">
        <v>1</v>
      </c>
      <c r="D6">
        <v>3</v>
      </c>
      <c r="E6">
        <v>304231000</v>
      </c>
      <c r="F6" t="s">
        <v>811</v>
      </c>
      <c r="G6" t="s">
        <v>907</v>
      </c>
      <c r="H6">
        <v>21221</v>
      </c>
      <c r="I6">
        <v>7830</v>
      </c>
      <c r="J6">
        <v>1000</v>
      </c>
      <c r="K6">
        <v>0.39374999999999999</v>
      </c>
      <c r="L6" t="s">
        <v>244</v>
      </c>
      <c r="M6">
        <v>12550</v>
      </c>
      <c r="N6">
        <v>-10.1</v>
      </c>
      <c r="O6" t="s">
        <v>890</v>
      </c>
      <c r="P6" t="s">
        <v>890</v>
      </c>
      <c r="Q6">
        <v>0.90200000000000002</v>
      </c>
      <c r="R6">
        <v>23</v>
      </c>
      <c r="S6">
        <v>2.3E-2</v>
      </c>
      <c r="T6">
        <v>0</v>
      </c>
      <c r="U6">
        <v>0</v>
      </c>
      <c r="V6">
        <v>4</v>
      </c>
      <c r="W6">
        <v>4.0000000000000001E-3</v>
      </c>
      <c r="X6">
        <v>26</v>
      </c>
      <c r="Y6">
        <v>2.5999999999999999E-2</v>
      </c>
      <c r="Z6">
        <v>0</v>
      </c>
      <c r="AA6">
        <v>0</v>
      </c>
      <c r="AB6">
        <v>45</v>
      </c>
      <c r="AC6">
        <v>4.4999999999999998E-2</v>
      </c>
      <c r="AD6">
        <v>5</v>
      </c>
      <c r="AE6">
        <v>0</v>
      </c>
      <c r="AF6" t="s">
        <v>895</v>
      </c>
      <c r="AG6">
        <v>5</v>
      </c>
      <c r="AH6">
        <v>5.0000000000000001E-3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892</v>
      </c>
      <c r="AQ6" t="s">
        <v>892</v>
      </c>
      <c r="AR6" t="s">
        <v>892</v>
      </c>
      <c r="AS6" t="s">
        <v>892</v>
      </c>
      <c r="AT6" t="s">
        <v>892</v>
      </c>
      <c r="AU6" t="s">
        <v>892</v>
      </c>
      <c r="AV6" t="s">
        <v>892</v>
      </c>
      <c r="AW6">
        <v>13.6</v>
      </c>
      <c r="AX6" t="s">
        <v>890</v>
      </c>
      <c r="AY6" t="s">
        <v>890</v>
      </c>
      <c r="AZ6">
        <v>98</v>
      </c>
      <c r="BA6">
        <v>9.8000000000000004E-2</v>
      </c>
      <c r="BB6" t="s">
        <v>893</v>
      </c>
      <c r="BC6">
        <v>0.90200000000000002</v>
      </c>
      <c r="BD6" t="s">
        <v>894</v>
      </c>
      <c r="BE6">
        <v>0</v>
      </c>
      <c r="BF6">
        <v>0</v>
      </c>
      <c r="BG6" t="s">
        <v>811</v>
      </c>
      <c r="BH6">
        <v>7830</v>
      </c>
      <c r="BI6">
        <v>21221</v>
      </c>
    </row>
    <row r="7" spans="1:61">
      <c r="A7" s="38">
        <v>46037</v>
      </c>
      <c r="B7">
        <v>3</v>
      </c>
      <c r="C7">
        <v>1</v>
      </c>
      <c r="D7">
        <v>3</v>
      </c>
      <c r="E7">
        <v>304231000</v>
      </c>
      <c r="F7" t="s">
        <v>811</v>
      </c>
      <c r="G7" t="s">
        <v>907</v>
      </c>
      <c r="H7">
        <v>21222</v>
      </c>
      <c r="I7">
        <v>7830</v>
      </c>
      <c r="J7">
        <v>1000</v>
      </c>
      <c r="K7">
        <v>0.4</v>
      </c>
      <c r="L7" t="s">
        <v>244</v>
      </c>
      <c r="M7">
        <v>12555</v>
      </c>
      <c r="N7">
        <v>-12.1</v>
      </c>
      <c r="O7" t="s">
        <v>890</v>
      </c>
      <c r="P7" t="s">
        <v>890</v>
      </c>
      <c r="Q7">
        <v>0.82699999999999996</v>
      </c>
      <c r="R7">
        <v>32</v>
      </c>
      <c r="S7">
        <v>3.2000000000000001E-2</v>
      </c>
      <c r="T7">
        <v>0</v>
      </c>
      <c r="U7">
        <v>0</v>
      </c>
      <c r="V7">
        <v>9</v>
      </c>
      <c r="W7">
        <v>8.9999999999999993E-3</v>
      </c>
      <c r="X7">
        <v>98</v>
      </c>
      <c r="Y7">
        <v>9.8000000000000004E-2</v>
      </c>
      <c r="Z7">
        <v>34</v>
      </c>
      <c r="AA7">
        <v>3.4000000000000002E-2</v>
      </c>
      <c r="AB7">
        <v>0</v>
      </c>
      <c r="AC7">
        <v>0</v>
      </c>
      <c r="AD7">
        <v>1</v>
      </c>
      <c r="AE7">
        <v>0</v>
      </c>
      <c r="AG7">
        <v>0</v>
      </c>
      <c r="AH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892</v>
      </c>
      <c r="AQ7" t="s">
        <v>892</v>
      </c>
      <c r="AR7" t="s">
        <v>892</v>
      </c>
      <c r="AS7" t="s">
        <v>892</v>
      </c>
      <c r="AT7" t="s">
        <v>892</v>
      </c>
      <c r="AU7" t="s">
        <v>892</v>
      </c>
      <c r="AV7" t="s">
        <v>892</v>
      </c>
      <c r="AW7">
        <v>13.5</v>
      </c>
      <c r="AX7" t="s">
        <v>890</v>
      </c>
      <c r="AY7" t="s">
        <v>890</v>
      </c>
      <c r="AZ7">
        <v>173</v>
      </c>
      <c r="BA7">
        <v>0.17300000000000001</v>
      </c>
      <c r="BB7" t="s">
        <v>893</v>
      </c>
      <c r="BC7">
        <v>0.82699999999999996</v>
      </c>
      <c r="BD7" t="s">
        <v>897</v>
      </c>
      <c r="BE7">
        <v>0</v>
      </c>
      <c r="BF7">
        <v>0</v>
      </c>
      <c r="BG7" t="s">
        <v>811</v>
      </c>
      <c r="BH7">
        <v>7830</v>
      </c>
      <c r="BI7">
        <v>21222</v>
      </c>
    </row>
    <row r="8" spans="1:61">
      <c r="A8" s="38">
        <v>46037</v>
      </c>
      <c r="B8">
        <v>3</v>
      </c>
      <c r="C8">
        <v>1</v>
      </c>
      <c r="D8">
        <v>3</v>
      </c>
      <c r="E8">
        <v>304231000</v>
      </c>
      <c r="F8" t="s">
        <v>811</v>
      </c>
      <c r="G8" t="s">
        <v>907</v>
      </c>
      <c r="H8">
        <v>21222</v>
      </c>
      <c r="I8">
        <v>7830</v>
      </c>
      <c r="J8">
        <v>1000</v>
      </c>
      <c r="K8">
        <v>0.40833333333333333</v>
      </c>
      <c r="L8" t="s">
        <v>244</v>
      </c>
      <c r="M8">
        <v>12565</v>
      </c>
      <c r="N8">
        <v>-11.6</v>
      </c>
      <c r="O8" t="s">
        <v>890</v>
      </c>
      <c r="P8" t="s">
        <v>890</v>
      </c>
      <c r="Q8">
        <v>0.91300000000000003</v>
      </c>
      <c r="R8">
        <v>84</v>
      </c>
      <c r="S8">
        <v>8.4000000000000005E-2</v>
      </c>
      <c r="T8">
        <v>0</v>
      </c>
      <c r="U8">
        <v>0</v>
      </c>
      <c r="V8">
        <v>0</v>
      </c>
      <c r="W8">
        <v>0</v>
      </c>
      <c r="X8">
        <v>3</v>
      </c>
      <c r="Y8">
        <v>3.0000000000000001E-3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 t="s">
        <v>895</v>
      </c>
      <c r="AG8">
        <v>15</v>
      </c>
      <c r="AH8">
        <v>1.4999999999999999E-2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892</v>
      </c>
      <c r="AQ8" t="s">
        <v>892</v>
      </c>
      <c r="AR8" t="s">
        <v>892</v>
      </c>
      <c r="AS8" t="s">
        <v>892</v>
      </c>
      <c r="AT8" t="s">
        <v>892</v>
      </c>
      <c r="AU8" t="s">
        <v>892</v>
      </c>
      <c r="AV8" t="s">
        <v>892</v>
      </c>
      <c r="AW8">
        <v>13.8</v>
      </c>
      <c r="AX8" t="s">
        <v>890</v>
      </c>
      <c r="AY8" t="s">
        <v>890</v>
      </c>
      <c r="AZ8">
        <v>87</v>
      </c>
      <c r="BA8">
        <v>8.7000000000000008E-2</v>
      </c>
      <c r="BB8" t="s">
        <v>893</v>
      </c>
      <c r="BC8">
        <v>0.91300000000000003</v>
      </c>
      <c r="BD8" t="s">
        <v>897</v>
      </c>
      <c r="BE8">
        <v>0</v>
      </c>
      <c r="BF8">
        <v>0</v>
      </c>
      <c r="BG8" t="s">
        <v>811</v>
      </c>
      <c r="BH8">
        <v>7830</v>
      </c>
      <c r="BI8">
        <v>21222</v>
      </c>
    </row>
    <row r="9" spans="1:61">
      <c r="A9" s="38">
        <v>46037</v>
      </c>
      <c r="B9">
        <v>3</v>
      </c>
      <c r="C9">
        <v>1</v>
      </c>
      <c r="D9">
        <v>3</v>
      </c>
      <c r="E9">
        <v>304231000</v>
      </c>
      <c r="F9" t="s">
        <v>811</v>
      </c>
      <c r="G9" t="s">
        <v>907</v>
      </c>
      <c r="H9">
        <v>21223</v>
      </c>
      <c r="I9">
        <v>7830</v>
      </c>
      <c r="J9">
        <v>1000</v>
      </c>
      <c r="K9">
        <v>0.42291666666666666</v>
      </c>
      <c r="L9" t="s">
        <v>244</v>
      </c>
      <c r="M9">
        <v>12515</v>
      </c>
      <c r="N9">
        <v>-10.8</v>
      </c>
      <c r="O9" t="s">
        <v>890</v>
      </c>
      <c r="P9" t="s">
        <v>890</v>
      </c>
      <c r="Q9">
        <v>0.91300000000000003</v>
      </c>
      <c r="R9">
        <v>34</v>
      </c>
      <c r="S9">
        <v>3.4000000000000002E-2</v>
      </c>
      <c r="T9">
        <v>0</v>
      </c>
      <c r="U9">
        <v>0</v>
      </c>
      <c r="V9">
        <v>0</v>
      </c>
      <c r="W9">
        <v>0</v>
      </c>
      <c r="X9">
        <v>49</v>
      </c>
      <c r="Y9">
        <v>4.9000000000000002E-2</v>
      </c>
      <c r="Z9">
        <v>0</v>
      </c>
      <c r="AA9">
        <v>0</v>
      </c>
      <c r="AB9">
        <v>4</v>
      </c>
      <c r="AC9">
        <v>4.0000000000000001E-3</v>
      </c>
      <c r="AD9">
        <v>6</v>
      </c>
      <c r="AE9">
        <v>0</v>
      </c>
      <c r="AG9">
        <v>0</v>
      </c>
      <c r="AH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892</v>
      </c>
      <c r="AQ9" t="s">
        <v>892</v>
      </c>
      <c r="AR9" t="s">
        <v>892</v>
      </c>
      <c r="AS9" t="s">
        <v>892</v>
      </c>
      <c r="AT9" t="s">
        <v>892</v>
      </c>
      <c r="AU9" t="s">
        <v>892</v>
      </c>
      <c r="AV9" t="s">
        <v>892</v>
      </c>
      <c r="AW9">
        <v>14.8</v>
      </c>
      <c r="AX9" t="s">
        <v>890</v>
      </c>
      <c r="AY9" t="s">
        <v>890</v>
      </c>
      <c r="AZ9">
        <v>87</v>
      </c>
      <c r="BA9">
        <v>8.7000000000000008E-2</v>
      </c>
      <c r="BB9" t="s">
        <v>893</v>
      </c>
      <c r="BC9">
        <v>0.91300000000000003</v>
      </c>
      <c r="BD9" t="s">
        <v>897</v>
      </c>
      <c r="BE9">
        <v>0</v>
      </c>
      <c r="BF9">
        <v>0</v>
      </c>
      <c r="BG9" t="s">
        <v>811</v>
      </c>
      <c r="BH9">
        <v>7830</v>
      </c>
      <c r="BI9">
        <v>21223</v>
      </c>
    </row>
    <row r="10" spans="1:61">
      <c r="A10" s="38">
        <v>46037</v>
      </c>
      <c r="B10">
        <v>3</v>
      </c>
      <c r="C10">
        <v>1</v>
      </c>
      <c r="D10">
        <v>3</v>
      </c>
      <c r="E10">
        <v>304231000</v>
      </c>
      <c r="F10" t="s">
        <v>811</v>
      </c>
      <c r="G10" t="s">
        <v>907</v>
      </c>
      <c r="H10">
        <v>21250</v>
      </c>
      <c r="I10">
        <v>7830</v>
      </c>
      <c r="J10">
        <v>1000</v>
      </c>
      <c r="K10">
        <v>0.43680555555555556</v>
      </c>
      <c r="L10" t="s">
        <v>244</v>
      </c>
      <c r="M10">
        <v>12565</v>
      </c>
      <c r="N10">
        <v>-11.6</v>
      </c>
      <c r="O10" t="s">
        <v>890</v>
      </c>
      <c r="P10" t="s">
        <v>890</v>
      </c>
      <c r="Q10">
        <v>0.93300000000000005</v>
      </c>
      <c r="R10">
        <v>33</v>
      </c>
      <c r="S10">
        <v>3.3000000000000002E-2</v>
      </c>
      <c r="T10">
        <v>0</v>
      </c>
      <c r="U10">
        <v>0</v>
      </c>
      <c r="V10">
        <v>0</v>
      </c>
      <c r="W10">
        <v>0</v>
      </c>
      <c r="X10">
        <v>34</v>
      </c>
      <c r="Y10">
        <v>3.4000000000000002E-2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892</v>
      </c>
      <c r="AQ10" t="s">
        <v>892</v>
      </c>
      <c r="AR10" t="s">
        <v>892</v>
      </c>
      <c r="AS10" t="s">
        <v>892</v>
      </c>
      <c r="AT10" t="s">
        <v>892</v>
      </c>
      <c r="AU10" t="s">
        <v>892</v>
      </c>
      <c r="AV10" t="s">
        <v>892</v>
      </c>
      <c r="AW10">
        <v>16.100000000000001</v>
      </c>
      <c r="AX10" t="s">
        <v>890</v>
      </c>
      <c r="AY10" t="s">
        <v>890</v>
      </c>
      <c r="AZ10">
        <v>67</v>
      </c>
      <c r="BA10">
        <v>6.7000000000000004E-2</v>
      </c>
      <c r="BB10" t="s">
        <v>893</v>
      </c>
      <c r="BC10">
        <v>0.93300000000000005</v>
      </c>
      <c r="BD10" t="s">
        <v>897</v>
      </c>
      <c r="BE10">
        <v>0</v>
      </c>
      <c r="BF10">
        <v>0</v>
      </c>
      <c r="BG10" t="s">
        <v>811</v>
      </c>
      <c r="BH10">
        <v>7830</v>
      </c>
      <c r="BI10">
        <v>21250</v>
      </c>
    </row>
    <row r="11" spans="1:61">
      <c r="A11" s="38">
        <v>46037</v>
      </c>
      <c r="B11">
        <v>3</v>
      </c>
      <c r="C11">
        <v>1</v>
      </c>
      <c r="D11">
        <v>3</v>
      </c>
      <c r="E11">
        <v>304231000</v>
      </c>
      <c r="F11" t="s">
        <v>811</v>
      </c>
      <c r="G11" t="s">
        <v>907</v>
      </c>
      <c r="H11">
        <v>21250</v>
      </c>
      <c r="I11">
        <v>7830</v>
      </c>
      <c r="J11">
        <v>1000</v>
      </c>
      <c r="K11">
        <v>0.44027777777777777</v>
      </c>
      <c r="L11" t="s">
        <v>244</v>
      </c>
      <c r="M11">
        <v>12575</v>
      </c>
      <c r="N11">
        <v>-10.4</v>
      </c>
      <c r="O11" t="s">
        <v>890</v>
      </c>
      <c r="P11" t="s">
        <v>890</v>
      </c>
      <c r="Q11">
        <v>0.85499999999999998</v>
      </c>
      <c r="R11">
        <v>54</v>
      </c>
      <c r="S11">
        <v>5.3999999999999999E-2</v>
      </c>
      <c r="T11">
        <v>0</v>
      </c>
      <c r="U11">
        <v>0</v>
      </c>
      <c r="V11">
        <v>0</v>
      </c>
      <c r="W11">
        <v>0</v>
      </c>
      <c r="X11">
        <v>77</v>
      </c>
      <c r="Y11">
        <v>7.6999999999999999E-2</v>
      </c>
      <c r="Z11">
        <v>14</v>
      </c>
      <c r="AA11">
        <v>1.4E-2</v>
      </c>
      <c r="AB11">
        <v>0</v>
      </c>
      <c r="AC11">
        <v>0</v>
      </c>
      <c r="AD11">
        <v>1</v>
      </c>
      <c r="AE11">
        <v>0</v>
      </c>
      <c r="AG11">
        <v>0</v>
      </c>
      <c r="AH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892</v>
      </c>
      <c r="AQ11" t="s">
        <v>892</v>
      </c>
      <c r="AR11" t="s">
        <v>892</v>
      </c>
      <c r="AS11" t="s">
        <v>892</v>
      </c>
      <c r="AT11" t="s">
        <v>892</v>
      </c>
      <c r="AU11" t="s">
        <v>892</v>
      </c>
      <c r="AV11" t="s">
        <v>892</v>
      </c>
      <c r="AW11">
        <v>13.6</v>
      </c>
      <c r="AX11" t="s">
        <v>890</v>
      </c>
      <c r="AY11" t="s">
        <v>890</v>
      </c>
      <c r="AZ11">
        <v>145</v>
      </c>
      <c r="BA11">
        <v>0.14500000000000002</v>
      </c>
      <c r="BB11" t="s">
        <v>893</v>
      </c>
      <c r="BC11">
        <v>0.85499999999999998</v>
      </c>
      <c r="BD11" t="s">
        <v>897</v>
      </c>
      <c r="BE11">
        <v>0</v>
      </c>
      <c r="BF11">
        <v>0</v>
      </c>
      <c r="BG11" t="s">
        <v>811</v>
      </c>
      <c r="BH11">
        <v>7830</v>
      </c>
      <c r="BI11">
        <v>21250</v>
      </c>
    </row>
    <row r="12" spans="1:61">
      <c r="A12" s="38">
        <v>46037</v>
      </c>
      <c r="B12">
        <v>3</v>
      </c>
      <c r="C12">
        <v>1</v>
      </c>
      <c r="D12">
        <v>3</v>
      </c>
      <c r="E12">
        <v>304231000</v>
      </c>
      <c r="F12" t="s">
        <v>811</v>
      </c>
      <c r="G12" t="s">
        <v>907</v>
      </c>
      <c r="H12">
        <v>21251</v>
      </c>
      <c r="I12">
        <v>7830</v>
      </c>
      <c r="J12">
        <v>1000</v>
      </c>
      <c r="K12">
        <v>0.45555555555555555</v>
      </c>
      <c r="L12" t="s">
        <v>244</v>
      </c>
      <c r="M12">
        <v>12560</v>
      </c>
      <c r="N12">
        <v>-14</v>
      </c>
      <c r="O12" t="s">
        <v>890</v>
      </c>
      <c r="P12" t="s">
        <v>890</v>
      </c>
      <c r="Q12">
        <v>0.92300000000000004</v>
      </c>
      <c r="R12">
        <v>70</v>
      </c>
      <c r="S12">
        <v>7.0000000000000007E-2</v>
      </c>
      <c r="T12">
        <v>0</v>
      </c>
      <c r="U12">
        <v>0</v>
      </c>
      <c r="V12">
        <v>0</v>
      </c>
      <c r="W12">
        <v>0</v>
      </c>
      <c r="X12">
        <v>7</v>
      </c>
      <c r="Y12">
        <v>7.0000000000000001E-3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G12">
        <v>0</v>
      </c>
      <c r="AH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892</v>
      </c>
      <c r="AQ12" t="s">
        <v>892</v>
      </c>
      <c r="AR12" t="s">
        <v>892</v>
      </c>
      <c r="AS12" t="s">
        <v>892</v>
      </c>
      <c r="AT12" t="s">
        <v>892</v>
      </c>
      <c r="AU12" t="s">
        <v>892</v>
      </c>
      <c r="AV12" t="s">
        <v>892</v>
      </c>
      <c r="AW12">
        <v>15.4</v>
      </c>
      <c r="AX12" t="s">
        <v>890</v>
      </c>
      <c r="AY12" t="s">
        <v>890</v>
      </c>
      <c r="AZ12">
        <v>77</v>
      </c>
      <c r="BA12">
        <v>7.7000000000000013E-2</v>
      </c>
      <c r="BB12" t="s">
        <v>893</v>
      </c>
      <c r="BC12">
        <v>0.92300000000000004</v>
      </c>
      <c r="BD12" t="s">
        <v>894</v>
      </c>
      <c r="BE12">
        <v>0</v>
      </c>
      <c r="BF12">
        <v>0</v>
      </c>
      <c r="BG12" t="s">
        <v>811</v>
      </c>
      <c r="BH12">
        <v>7830</v>
      </c>
      <c r="BI12">
        <v>21251</v>
      </c>
    </row>
    <row r="13" spans="1:61">
      <c r="A13" s="38">
        <v>46037</v>
      </c>
      <c r="B13">
        <v>3</v>
      </c>
      <c r="C13">
        <v>1</v>
      </c>
      <c r="D13">
        <v>3</v>
      </c>
      <c r="E13">
        <v>304231000</v>
      </c>
      <c r="F13" t="s">
        <v>811</v>
      </c>
      <c r="G13" t="s">
        <v>907</v>
      </c>
      <c r="H13">
        <v>21252</v>
      </c>
      <c r="I13">
        <v>7830</v>
      </c>
      <c r="J13">
        <v>1000</v>
      </c>
      <c r="K13">
        <v>0.46736111111111112</v>
      </c>
      <c r="L13" t="s">
        <v>244</v>
      </c>
      <c r="M13">
        <v>12575</v>
      </c>
      <c r="N13">
        <v>-14</v>
      </c>
      <c r="O13" t="s">
        <v>890</v>
      </c>
      <c r="P13" t="s">
        <v>890</v>
      </c>
      <c r="Q13">
        <v>0.93399999999999994</v>
      </c>
      <c r="R13">
        <v>6</v>
      </c>
      <c r="S13">
        <v>6.0000000000000001E-3</v>
      </c>
      <c r="T13">
        <v>0</v>
      </c>
      <c r="U13">
        <v>0</v>
      </c>
      <c r="V13">
        <v>0</v>
      </c>
      <c r="W13">
        <v>0</v>
      </c>
      <c r="X13">
        <v>60</v>
      </c>
      <c r="Y13">
        <v>0.06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 t="s">
        <v>898</v>
      </c>
      <c r="AG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892</v>
      </c>
      <c r="AQ13" t="s">
        <v>892</v>
      </c>
      <c r="AR13" t="s">
        <v>892</v>
      </c>
      <c r="AS13" t="s">
        <v>892</v>
      </c>
      <c r="AT13" t="s">
        <v>892</v>
      </c>
      <c r="AU13" t="s">
        <v>892</v>
      </c>
      <c r="AV13" t="s">
        <v>892</v>
      </c>
      <c r="AW13">
        <v>15.6</v>
      </c>
      <c r="AX13" t="s">
        <v>890</v>
      </c>
      <c r="AY13" t="s">
        <v>890</v>
      </c>
      <c r="AZ13">
        <v>66</v>
      </c>
      <c r="BA13">
        <v>6.6000000000000003E-2</v>
      </c>
      <c r="BB13" t="s">
        <v>893</v>
      </c>
      <c r="BC13">
        <v>0.93399999999999994</v>
      </c>
      <c r="BD13" t="s">
        <v>894</v>
      </c>
      <c r="BE13">
        <v>0</v>
      </c>
      <c r="BF13">
        <v>0</v>
      </c>
      <c r="BG13" t="s">
        <v>811</v>
      </c>
      <c r="BH13">
        <v>7830</v>
      </c>
      <c r="BI13">
        <v>21252</v>
      </c>
    </row>
    <row r="14" spans="1:61">
      <c r="A14" s="38">
        <v>46037</v>
      </c>
      <c r="B14">
        <v>3</v>
      </c>
      <c r="C14">
        <v>1</v>
      </c>
      <c r="D14">
        <v>3</v>
      </c>
      <c r="E14">
        <v>304231000</v>
      </c>
      <c r="F14" t="s">
        <v>811</v>
      </c>
      <c r="G14" t="s">
        <v>907</v>
      </c>
      <c r="H14">
        <v>21253</v>
      </c>
      <c r="I14">
        <v>7830</v>
      </c>
      <c r="J14">
        <v>1000</v>
      </c>
      <c r="K14">
        <v>0.47638888888888886</v>
      </c>
      <c r="L14" t="s">
        <v>244</v>
      </c>
      <c r="M14">
        <v>12570</v>
      </c>
      <c r="N14">
        <v>-14.7</v>
      </c>
      <c r="O14" t="s">
        <v>890</v>
      </c>
      <c r="P14" t="s">
        <v>890</v>
      </c>
      <c r="Q14">
        <v>0.9</v>
      </c>
      <c r="R14">
        <v>12</v>
      </c>
      <c r="S14">
        <v>1.2E-2</v>
      </c>
      <c r="T14">
        <v>0</v>
      </c>
      <c r="U14">
        <v>0</v>
      </c>
      <c r="V14">
        <v>0</v>
      </c>
      <c r="W14">
        <v>0</v>
      </c>
      <c r="X14">
        <v>88</v>
      </c>
      <c r="Y14">
        <v>8.7999999999999995E-2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0</v>
      </c>
      <c r="AF14" t="s">
        <v>898</v>
      </c>
      <c r="AG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t="s">
        <v>892</v>
      </c>
      <c r="AQ14" t="s">
        <v>892</v>
      </c>
      <c r="AR14" t="s">
        <v>892</v>
      </c>
      <c r="AS14" t="s">
        <v>892</v>
      </c>
      <c r="AT14" t="s">
        <v>892</v>
      </c>
      <c r="AU14" t="s">
        <v>892</v>
      </c>
      <c r="AV14" t="s">
        <v>892</v>
      </c>
      <c r="AW14">
        <v>13.7</v>
      </c>
      <c r="AX14" t="s">
        <v>890</v>
      </c>
      <c r="AY14" t="s">
        <v>890</v>
      </c>
      <c r="AZ14">
        <v>100</v>
      </c>
      <c r="BA14">
        <v>9.9999999999999992E-2</v>
      </c>
      <c r="BB14" t="s">
        <v>893</v>
      </c>
      <c r="BC14">
        <v>0.9</v>
      </c>
      <c r="BD14" t="s">
        <v>894</v>
      </c>
      <c r="BE14">
        <v>0</v>
      </c>
      <c r="BF14">
        <v>0</v>
      </c>
      <c r="BG14" t="s">
        <v>811</v>
      </c>
      <c r="BH14">
        <v>7830</v>
      </c>
      <c r="BI14">
        <v>21253</v>
      </c>
    </row>
    <row r="15" spans="1:61">
      <c r="A15" s="38">
        <v>46037</v>
      </c>
      <c r="B15">
        <v>3</v>
      </c>
      <c r="C15">
        <v>1</v>
      </c>
      <c r="D15">
        <v>3</v>
      </c>
      <c r="E15">
        <v>304231000</v>
      </c>
      <c r="F15" t="s">
        <v>811</v>
      </c>
      <c r="G15" t="s">
        <v>907</v>
      </c>
      <c r="H15">
        <v>21254</v>
      </c>
      <c r="I15">
        <v>7830</v>
      </c>
      <c r="J15">
        <v>1000</v>
      </c>
      <c r="K15">
        <v>0.49166666666666664</v>
      </c>
      <c r="L15" t="s">
        <v>244</v>
      </c>
      <c r="M15">
        <v>12560</v>
      </c>
      <c r="N15">
        <v>-12.2</v>
      </c>
      <c r="O15" t="s">
        <v>890</v>
      </c>
      <c r="P15" t="s">
        <v>890</v>
      </c>
      <c r="Q15">
        <v>0.88300000000000001</v>
      </c>
      <c r="R15">
        <v>26</v>
      </c>
      <c r="S15">
        <v>2.5999999999999999E-2</v>
      </c>
      <c r="T15">
        <v>0</v>
      </c>
      <c r="U15">
        <v>0</v>
      </c>
      <c r="V15">
        <v>0</v>
      </c>
      <c r="W15">
        <v>0</v>
      </c>
      <c r="X15">
        <v>62</v>
      </c>
      <c r="Y15">
        <v>6.2E-2</v>
      </c>
      <c r="Z15">
        <v>23</v>
      </c>
      <c r="AA15">
        <v>2.3E-2</v>
      </c>
      <c r="AB15">
        <v>6</v>
      </c>
      <c r="AC15">
        <v>6.0000000000000001E-3</v>
      </c>
      <c r="AD15">
        <v>0</v>
      </c>
      <c r="AE15">
        <v>0</v>
      </c>
      <c r="AG15">
        <v>0</v>
      </c>
      <c r="AH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892</v>
      </c>
      <c r="AQ15" t="s">
        <v>892</v>
      </c>
      <c r="AR15" t="s">
        <v>892</v>
      </c>
      <c r="AS15" t="s">
        <v>892</v>
      </c>
      <c r="AT15" t="s">
        <v>892</v>
      </c>
      <c r="AU15" t="s">
        <v>892</v>
      </c>
      <c r="AV15" t="s">
        <v>892</v>
      </c>
      <c r="AW15">
        <v>15.6</v>
      </c>
      <c r="AX15" t="s">
        <v>890</v>
      </c>
      <c r="AY15" t="s">
        <v>890</v>
      </c>
      <c r="AZ15">
        <v>117</v>
      </c>
      <c r="BA15">
        <v>0.11699999999999999</v>
      </c>
      <c r="BB15" t="s">
        <v>893</v>
      </c>
      <c r="BC15">
        <v>0.88300000000000001</v>
      </c>
      <c r="BD15" t="s">
        <v>894</v>
      </c>
      <c r="BE15">
        <v>0</v>
      </c>
      <c r="BF15">
        <v>0</v>
      </c>
      <c r="BG15" t="s">
        <v>811</v>
      </c>
      <c r="BH15">
        <v>7830</v>
      </c>
      <c r="BI15">
        <v>21254</v>
      </c>
    </row>
    <row r="16" spans="1:61">
      <c r="A16" s="38">
        <v>46037</v>
      </c>
      <c r="B16">
        <v>3</v>
      </c>
      <c r="C16">
        <v>1</v>
      </c>
      <c r="D16">
        <v>3</v>
      </c>
      <c r="E16">
        <v>304231000</v>
      </c>
      <c r="F16" t="s">
        <v>811</v>
      </c>
      <c r="G16" t="s">
        <v>907</v>
      </c>
      <c r="H16">
        <v>21255</v>
      </c>
      <c r="I16">
        <v>7830</v>
      </c>
      <c r="J16">
        <v>1000</v>
      </c>
      <c r="K16">
        <v>0.54027777777777775</v>
      </c>
      <c r="L16" t="s">
        <v>244</v>
      </c>
      <c r="M16">
        <v>12595</v>
      </c>
      <c r="N16">
        <v>-15.5</v>
      </c>
      <c r="O16" t="s">
        <v>890</v>
      </c>
      <c r="P16" t="s">
        <v>890</v>
      </c>
      <c r="Q16">
        <v>0.83099999999999996</v>
      </c>
      <c r="R16">
        <v>26</v>
      </c>
      <c r="S16">
        <v>2.5999999999999999E-2</v>
      </c>
      <c r="T16">
        <v>0</v>
      </c>
      <c r="U16">
        <v>0</v>
      </c>
      <c r="V16">
        <v>0</v>
      </c>
      <c r="W16">
        <v>0</v>
      </c>
      <c r="X16">
        <v>143</v>
      </c>
      <c r="Y16">
        <v>0.14299999999999999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0</v>
      </c>
      <c r="AH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t="s">
        <v>892</v>
      </c>
      <c r="AQ16" t="s">
        <v>892</v>
      </c>
      <c r="AR16" t="s">
        <v>892</v>
      </c>
      <c r="AS16" t="s">
        <v>892</v>
      </c>
      <c r="AT16" t="s">
        <v>892</v>
      </c>
      <c r="AU16" t="s">
        <v>892</v>
      </c>
      <c r="AV16" t="s">
        <v>892</v>
      </c>
      <c r="AW16">
        <v>13.5</v>
      </c>
      <c r="AX16" t="s">
        <v>890</v>
      </c>
      <c r="AY16" t="s">
        <v>890</v>
      </c>
      <c r="AZ16">
        <v>169</v>
      </c>
      <c r="BA16">
        <v>0.16899999999999998</v>
      </c>
      <c r="BB16" t="s">
        <v>893</v>
      </c>
      <c r="BC16">
        <v>0.83099999999999996</v>
      </c>
      <c r="BD16" t="s">
        <v>894</v>
      </c>
      <c r="BE16">
        <v>0</v>
      </c>
      <c r="BF16">
        <v>0</v>
      </c>
      <c r="BG16" t="s">
        <v>811</v>
      </c>
      <c r="BH16">
        <v>7830</v>
      </c>
      <c r="BI16">
        <v>21255</v>
      </c>
    </row>
    <row r="17" spans="1:61">
      <c r="A17" s="38">
        <v>46037</v>
      </c>
      <c r="B17">
        <v>3</v>
      </c>
      <c r="C17">
        <v>1</v>
      </c>
      <c r="D17">
        <v>3</v>
      </c>
      <c r="E17">
        <v>304231000</v>
      </c>
      <c r="F17" t="s">
        <v>811</v>
      </c>
      <c r="G17" t="s">
        <v>907</v>
      </c>
      <c r="H17">
        <v>21519</v>
      </c>
      <c r="I17">
        <v>7830</v>
      </c>
      <c r="J17">
        <v>1000</v>
      </c>
      <c r="K17">
        <v>0.58611111111111114</v>
      </c>
      <c r="L17" t="s">
        <v>244</v>
      </c>
      <c r="M17">
        <v>12550</v>
      </c>
      <c r="N17">
        <v>-12</v>
      </c>
      <c r="O17" t="s">
        <v>890</v>
      </c>
      <c r="P17" t="s">
        <v>890</v>
      </c>
      <c r="Q17">
        <v>0.86599999999999999</v>
      </c>
      <c r="R17">
        <v>4</v>
      </c>
      <c r="S17">
        <v>4.0000000000000001E-3</v>
      </c>
      <c r="T17">
        <v>0</v>
      </c>
      <c r="U17">
        <v>0</v>
      </c>
      <c r="V17">
        <v>9</v>
      </c>
      <c r="W17">
        <v>8.9999999999999993E-3</v>
      </c>
      <c r="X17">
        <v>121</v>
      </c>
      <c r="Y17">
        <v>0.121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899</v>
      </c>
      <c r="AG17">
        <v>2</v>
      </c>
      <c r="AH17">
        <v>2E-3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892</v>
      </c>
      <c r="AQ17" t="s">
        <v>892</v>
      </c>
      <c r="AR17" t="s">
        <v>892</v>
      </c>
      <c r="AS17" t="s">
        <v>892</v>
      </c>
      <c r="AT17" t="s">
        <v>892</v>
      </c>
      <c r="AU17" t="s">
        <v>892</v>
      </c>
      <c r="AV17" t="s">
        <v>892</v>
      </c>
      <c r="AW17">
        <v>12.2</v>
      </c>
      <c r="AX17" t="s">
        <v>890</v>
      </c>
      <c r="AY17" t="s">
        <v>890</v>
      </c>
      <c r="AZ17">
        <v>134</v>
      </c>
      <c r="BA17">
        <v>0.13400000000000001</v>
      </c>
      <c r="BB17" t="s">
        <v>893</v>
      </c>
      <c r="BC17">
        <v>0.86599999999999999</v>
      </c>
      <c r="BD17" t="s">
        <v>897</v>
      </c>
      <c r="BE17">
        <v>0</v>
      </c>
      <c r="BF17">
        <v>0</v>
      </c>
      <c r="BG17" t="s">
        <v>811</v>
      </c>
      <c r="BH17">
        <v>7830</v>
      </c>
      <c r="BI17">
        <v>21519</v>
      </c>
    </row>
    <row r="18" spans="1:61">
      <c r="A18" s="38">
        <v>46037</v>
      </c>
      <c r="B18">
        <v>3</v>
      </c>
      <c r="C18">
        <v>1</v>
      </c>
      <c r="D18">
        <v>3</v>
      </c>
      <c r="E18">
        <v>304231000</v>
      </c>
      <c r="F18" t="s">
        <v>811</v>
      </c>
      <c r="G18" t="s">
        <v>907</v>
      </c>
      <c r="H18">
        <v>21520</v>
      </c>
      <c r="I18">
        <v>7830</v>
      </c>
      <c r="J18">
        <v>1000</v>
      </c>
      <c r="K18">
        <v>0.59375</v>
      </c>
      <c r="L18" t="s">
        <v>244</v>
      </c>
      <c r="M18">
        <v>12555</v>
      </c>
      <c r="N18">
        <v>-14.2</v>
      </c>
      <c r="O18" t="s">
        <v>890</v>
      </c>
      <c r="P18" t="s">
        <v>890</v>
      </c>
      <c r="Q18">
        <v>0.91600000000000004</v>
      </c>
      <c r="R18">
        <v>43</v>
      </c>
      <c r="S18">
        <v>4.2999999999999997E-2</v>
      </c>
      <c r="T18">
        <v>0</v>
      </c>
      <c r="U18">
        <v>0</v>
      </c>
      <c r="V18">
        <v>0</v>
      </c>
      <c r="W18">
        <v>0</v>
      </c>
      <c r="X18">
        <v>27</v>
      </c>
      <c r="Y18">
        <v>2.7E-2</v>
      </c>
      <c r="Z18">
        <v>11</v>
      </c>
      <c r="AA18">
        <v>1.0999999999999999E-2</v>
      </c>
      <c r="AB18">
        <v>3</v>
      </c>
      <c r="AC18">
        <v>3.0000000000000001E-3</v>
      </c>
      <c r="AD18">
        <v>3</v>
      </c>
      <c r="AE18">
        <v>0</v>
      </c>
      <c r="AF18" t="s">
        <v>899</v>
      </c>
      <c r="AG18">
        <v>4</v>
      </c>
      <c r="AH18">
        <v>4.0000000000000001E-3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892</v>
      </c>
      <c r="AQ18" t="s">
        <v>892</v>
      </c>
      <c r="AR18" t="s">
        <v>892</v>
      </c>
      <c r="AS18" t="s">
        <v>892</v>
      </c>
      <c r="AT18" t="s">
        <v>892</v>
      </c>
      <c r="AU18" t="s">
        <v>892</v>
      </c>
      <c r="AV18" t="s">
        <v>892</v>
      </c>
      <c r="AW18">
        <v>14.1</v>
      </c>
      <c r="AX18" t="s">
        <v>890</v>
      </c>
      <c r="AY18" t="s">
        <v>890</v>
      </c>
      <c r="AZ18">
        <v>84</v>
      </c>
      <c r="BA18">
        <v>8.3999999999999991E-2</v>
      </c>
      <c r="BB18" t="s">
        <v>893</v>
      </c>
      <c r="BC18">
        <v>0.91600000000000004</v>
      </c>
      <c r="BD18" t="s">
        <v>897</v>
      </c>
      <c r="BE18">
        <v>0</v>
      </c>
      <c r="BF18">
        <v>0</v>
      </c>
      <c r="BG18" t="s">
        <v>811</v>
      </c>
      <c r="BH18">
        <v>7830</v>
      </c>
      <c r="BI18">
        <v>21520</v>
      </c>
    </row>
    <row r="19" spans="1:61">
      <c r="A19" s="38">
        <v>46037</v>
      </c>
      <c r="B19">
        <v>3</v>
      </c>
      <c r="C19">
        <v>1</v>
      </c>
      <c r="D19">
        <v>3</v>
      </c>
      <c r="E19">
        <v>304231000</v>
      </c>
      <c r="F19" t="s">
        <v>811</v>
      </c>
      <c r="G19" t="s">
        <v>907</v>
      </c>
      <c r="H19">
        <v>21520</v>
      </c>
      <c r="I19">
        <v>7830</v>
      </c>
      <c r="J19">
        <v>1000</v>
      </c>
      <c r="K19">
        <v>0.59375</v>
      </c>
      <c r="L19" t="s">
        <v>244</v>
      </c>
      <c r="M19">
        <v>12565</v>
      </c>
      <c r="N19">
        <v>-15.4</v>
      </c>
      <c r="O19" t="s">
        <v>890</v>
      </c>
      <c r="P19" t="s">
        <v>890</v>
      </c>
      <c r="Q19">
        <v>0.878</v>
      </c>
      <c r="R19">
        <v>59</v>
      </c>
      <c r="S19">
        <v>5.8999999999999997E-2</v>
      </c>
      <c r="T19">
        <v>0</v>
      </c>
      <c r="U19">
        <v>0</v>
      </c>
      <c r="V19">
        <v>2</v>
      </c>
      <c r="W19">
        <v>2E-3</v>
      </c>
      <c r="X19">
        <v>61</v>
      </c>
      <c r="Y19">
        <v>6.0999999999999999E-2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899</v>
      </c>
      <c r="AG19">
        <v>2</v>
      </c>
      <c r="AH19">
        <v>2E-3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892</v>
      </c>
      <c r="AQ19" t="s">
        <v>892</v>
      </c>
      <c r="AR19" t="s">
        <v>892</v>
      </c>
      <c r="AS19" t="s">
        <v>892</v>
      </c>
      <c r="AT19" t="s">
        <v>892</v>
      </c>
      <c r="AU19" t="s">
        <v>892</v>
      </c>
      <c r="AV19" t="s">
        <v>892</v>
      </c>
      <c r="AW19">
        <v>11.4</v>
      </c>
      <c r="AX19" t="s">
        <v>890</v>
      </c>
      <c r="AY19" t="s">
        <v>890</v>
      </c>
      <c r="AZ19">
        <v>122</v>
      </c>
      <c r="BA19">
        <v>0.122</v>
      </c>
      <c r="BB19" t="s">
        <v>893</v>
      </c>
      <c r="BC19">
        <v>0.878</v>
      </c>
      <c r="BD19" t="s">
        <v>897</v>
      </c>
      <c r="BE19">
        <v>0</v>
      </c>
      <c r="BF19">
        <v>0</v>
      </c>
      <c r="BG19" t="s">
        <v>811</v>
      </c>
      <c r="BH19">
        <v>7830</v>
      </c>
      <c r="BI19">
        <v>21520</v>
      </c>
    </row>
    <row r="20" spans="1:61">
      <c r="A20" s="38">
        <v>46037</v>
      </c>
      <c r="B20">
        <v>3</v>
      </c>
      <c r="C20">
        <v>1</v>
      </c>
      <c r="D20">
        <v>3</v>
      </c>
      <c r="E20">
        <v>304231000</v>
      </c>
      <c r="F20" t="s">
        <v>811</v>
      </c>
      <c r="G20" t="s">
        <v>907</v>
      </c>
      <c r="H20">
        <v>21522</v>
      </c>
      <c r="I20">
        <v>7830</v>
      </c>
      <c r="J20">
        <v>1000</v>
      </c>
      <c r="K20">
        <v>0.61319444444444449</v>
      </c>
      <c r="L20" t="s">
        <v>244</v>
      </c>
      <c r="M20">
        <v>12555</v>
      </c>
      <c r="N20">
        <v>-14.4</v>
      </c>
      <c r="O20" t="s">
        <v>890</v>
      </c>
      <c r="P20" t="s">
        <v>890</v>
      </c>
      <c r="Q20">
        <v>0.80400000000000005</v>
      </c>
      <c r="R20">
        <v>54</v>
      </c>
      <c r="S20">
        <v>5.3999999999999999E-2</v>
      </c>
      <c r="T20">
        <v>0</v>
      </c>
      <c r="U20">
        <v>0</v>
      </c>
      <c r="V20">
        <v>13</v>
      </c>
      <c r="W20">
        <v>1.2999999999999999E-2</v>
      </c>
      <c r="X20">
        <v>95</v>
      </c>
      <c r="Y20">
        <v>9.5000000000000001E-2</v>
      </c>
      <c r="Z20">
        <v>34</v>
      </c>
      <c r="AA20">
        <v>3.4000000000000002E-2</v>
      </c>
      <c r="AB20">
        <v>0</v>
      </c>
      <c r="AC20">
        <v>0</v>
      </c>
      <c r="AD20">
        <v>4</v>
      </c>
      <c r="AE20">
        <v>0</v>
      </c>
      <c r="AF20" t="s">
        <v>898</v>
      </c>
      <c r="AG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892</v>
      </c>
      <c r="AQ20" t="s">
        <v>892</v>
      </c>
      <c r="AR20" t="s">
        <v>892</v>
      </c>
      <c r="AS20" t="s">
        <v>892</v>
      </c>
      <c r="AT20" t="s">
        <v>892</v>
      </c>
      <c r="AU20" t="s">
        <v>892</v>
      </c>
      <c r="AV20" t="s">
        <v>892</v>
      </c>
      <c r="AW20">
        <v>12.5</v>
      </c>
      <c r="AX20" t="s">
        <v>890</v>
      </c>
      <c r="AY20" t="s">
        <v>890</v>
      </c>
      <c r="AZ20">
        <v>196</v>
      </c>
      <c r="BA20">
        <v>0.19600000000000001</v>
      </c>
      <c r="BB20" t="s">
        <v>893</v>
      </c>
      <c r="BC20">
        <v>0.80400000000000005</v>
      </c>
      <c r="BD20" t="s">
        <v>897</v>
      </c>
      <c r="BE20">
        <v>0</v>
      </c>
      <c r="BF20">
        <v>0</v>
      </c>
      <c r="BG20" t="s">
        <v>811</v>
      </c>
      <c r="BH20">
        <v>7830</v>
      </c>
      <c r="BI20">
        <v>21522</v>
      </c>
    </row>
    <row r="21" spans="1:61">
      <c r="A21" s="38">
        <v>46037</v>
      </c>
      <c r="B21">
        <v>3</v>
      </c>
      <c r="C21">
        <v>1</v>
      </c>
      <c r="D21">
        <v>3</v>
      </c>
      <c r="E21">
        <v>304231000</v>
      </c>
      <c r="F21" t="s">
        <v>811</v>
      </c>
      <c r="G21" t="s">
        <v>907</v>
      </c>
      <c r="H21">
        <v>21523</v>
      </c>
      <c r="I21">
        <v>7830</v>
      </c>
      <c r="J21">
        <v>1000</v>
      </c>
      <c r="K21">
        <v>0.62847222222222221</v>
      </c>
      <c r="L21" t="s">
        <v>244</v>
      </c>
      <c r="M21">
        <v>12550</v>
      </c>
      <c r="N21">
        <v>-11.6</v>
      </c>
      <c r="O21" t="s">
        <v>890</v>
      </c>
      <c r="P21" t="s">
        <v>890</v>
      </c>
      <c r="Q21">
        <v>0.91700000000000004</v>
      </c>
      <c r="R21">
        <v>16</v>
      </c>
      <c r="S21">
        <v>1.6E-2</v>
      </c>
      <c r="T21">
        <v>0</v>
      </c>
      <c r="U21">
        <v>0</v>
      </c>
      <c r="V21">
        <v>22</v>
      </c>
      <c r="W21">
        <v>2.1999999999999999E-2</v>
      </c>
      <c r="X21">
        <v>40</v>
      </c>
      <c r="Y21">
        <v>0.04</v>
      </c>
      <c r="Z21">
        <v>3</v>
      </c>
      <c r="AA21">
        <v>3.0000000000000001E-3</v>
      </c>
      <c r="AB21">
        <v>2</v>
      </c>
      <c r="AC21">
        <v>2E-3</v>
      </c>
      <c r="AD21">
        <v>0</v>
      </c>
      <c r="AE21">
        <v>0</v>
      </c>
      <c r="AG21">
        <v>0</v>
      </c>
      <c r="AH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s">
        <v>892</v>
      </c>
      <c r="AQ21" t="s">
        <v>892</v>
      </c>
      <c r="AR21" t="s">
        <v>892</v>
      </c>
      <c r="AS21" t="s">
        <v>892</v>
      </c>
      <c r="AT21" t="s">
        <v>892</v>
      </c>
      <c r="AU21" t="s">
        <v>892</v>
      </c>
      <c r="AV21" t="s">
        <v>892</v>
      </c>
      <c r="AW21">
        <v>16.100000000000001</v>
      </c>
      <c r="AX21" t="s">
        <v>890</v>
      </c>
      <c r="AY21" t="s">
        <v>890</v>
      </c>
      <c r="AZ21">
        <v>83</v>
      </c>
      <c r="BA21">
        <v>8.3000000000000004E-2</v>
      </c>
      <c r="BB21" t="s">
        <v>893</v>
      </c>
      <c r="BC21">
        <v>0.91700000000000004</v>
      </c>
      <c r="BD21" t="s">
        <v>897</v>
      </c>
      <c r="BE21">
        <v>0</v>
      </c>
      <c r="BF21">
        <v>0</v>
      </c>
      <c r="BG21" t="s">
        <v>811</v>
      </c>
      <c r="BH21">
        <v>7830</v>
      </c>
      <c r="BI21">
        <v>21523</v>
      </c>
    </row>
    <row r="22" spans="1:61">
      <c r="A22" s="38">
        <v>46037</v>
      </c>
      <c r="B22">
        <v>3</v>
      </c>
      <c r="C22">
        <v>1</v>
      </c>
      <c r="D22">
        <v>3</v>
      </c>
      <c r="E22">
        <v>304231000</v>
      </c>
      <c r="F22" t="s">
        <v>811</v>
      </c>
      <c r="G22" t="s">
        <v>907</v>
      </c>
      <c r="H22">
        <v>21524</v>
      </c>
      <c r="I22">
        <v>7830</v>
      </c>
      <c r="J22">
        <v>1000</v>
      </c>
      <c r="K22">
        <v>0.64097222222222228</v>
      </c>
      <c r="L22" t="s">
        <v>244</v>
      </c>
      <c r="M22">
        <v>12570</v>
      </c>
      <c r="N22">
        <v>-9.4</v>
      </c>
      <c r="O22" t="s">
        <v>890</v>
      </c>
      <c r="P22" t="s">
        <v>890</v>
      </c>
      <c r="Q22">
        <v>0.84899999999999998</v>
      </c>
      <c r="R22">
        <v>10</v>
      </c>
      <c r="S22">
        <v>0.01</v>
      </c>
      <c r="T22">
        <v>0</v>
      </c>
      <c r="U22">
        <v>0</v>
      </c>
      <c r="V22">
        <v>0</v>
      </c>
      <c r="W22">
        <v>0</v>
      </c>
      <c r="X22">
        <v>139</v>
      </c>
      <c r="Y22">
        <v>0.13900000000000001</v>
      </c>
      <c r="Z22">
        <v>0</v>
      </c>
      <c r="AA22">
        <v>0</v>
      </c>
      <c r="AB22">
        <v>2</v>
      </c>
      <c r="AC22">
        <v>2E-3</v>
      </c>
      <c r="AD22">
        <v>1</v>
      </c>
      <c r="AE22">
        <v>0</v>
      </c>
      <c r="AG22">
        <v>0</v>
      </c>
      <c r="AH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892</v>
      </c>
      <c r="AQ22" t="s">
        <v>892</v>
      </c>
      <c r="AR22" t="s">
        <v>892</v>
      </c>
      <c r="AS22" t="s">
        <v>892</v>
      </c>
      <c r="AT22" t="s">
        <v>892</v>
      </c>
      <c r="AU22" t="s">
        <v>892</v>
      </c>
      <c r="AV22" t="s">
        <v>892</v>
      </c>
      <c r="AW22">
        <v>13.7</v>
      </c>
      <c r="AX22" t="s">
        <v>890</v>
      </c>
      <c r="AY22" t="s">
        <v>890</v>
      </c>
      <c r="AZ22">
        <v>151</v>
      </c>
      <c r="BA22">
        <v>0.15100000000000002</v>
      </c>
      <c r="BB22" t="s">
        <v>893</v>
      </c>
      <c r="BC22">
        <v>0.84899999999999998</v>
      </c>
      <c r="BD22" t="s">
        <v>894</v>
      </c>
      <c r="BE22">
        <v>0</v>
      </c>
      <c r="BF22">
        <v>0</v>
      </c>
      <c r="BG22" t="s">
        <v>811</v>
      </c>
      <c r="BH22">
        <v>7830</v>
      </c>
      <c r="BI22">
        <v>21524</v>
      </c>
    </row>
    <row r="23" spans="1:61">
      <c r="A23" s="38">
        <v>46037</v>
      </c>
      <c r="B23">
        <v>3</v>
      </c>
      <c r="C23">
        <v>1</v>
      </c>
      <c r="D23">
        <v>3</v>
      </c>
      <c r="E23">
        <v>304231000</v>
      </c>
      <c r="F23" t="s">
        <v>811</v>
      </c>
      <c r="G23" t="s">
        <v>907</v>
      </c>
      <c r="H23">
        <v>21560</v>
      </c>
      <c r="I23">
        <v>7830</v>
      </c>
      <c r="J23">
        <v>1000</v>
      </c>
      <c r="K23">
        <v>0.65416666666666667</v>
      </c>
      <c r="L23" t="s">
        <v>244</v>
      </c>
      <c r="M23">
        <v>12550</v>
      </c>
      <c r="N23">
        <v>-10.8</v>
      </c>
      <c r="O23" t="s">
        <v>890</v>
      </c>
      <c r="P23" t="s">
        <v>890</v>
      </c>
      <c r="Q23">
        <v>0.90200000000000002</v>
      </c>
      <c r="R23">
        <v>22</v>
      </c>
      <c r="S23">
        <v>2.1999999999999999E-2</v>
      </c>
      <c r="T23">
        <v>0</v>
      </c>
      <c r="U23">
        <v>0</v>
      </c>
      <c r="V23">
        <v>0</v>
      </c>
      <c r="W23">
        <v>0</v>
      </c>
      <c r="X23">
        <v>76</v>
      </c>
      <c r="Y23">
        <v>7.5999999999999998E-2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G23">
        <v>0</v>
      </c>
      <c r="AH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892</v>
      </c>
      <c r="AQ23" t="s">
        <v>892</v>
      </c>
      <c r="AR23" t="s">
        <v>892</v>
      </c>
      <c r="AS23" t="s">
        <v>892</v>
      </c>
      <c r="AT23" t="s">
        <v>892</v>
      </c>
      <c r="AU23" t="s">
        <v>892</v>
      </c>
      <c r="AV23" t="s">
        <v>892</v>
      </c>
      <c r="AW23">
        <v>12.9</v>
      </c>
      <c r="AX23" t="s">
        <v>890</v>
      </c>
      <c r="AY23" t="s">
        <v>890</v>
      </c>
      <c r="AZ23">
        <v>98</v>
      </c>
      <c r="BA23">
        <v>9.8000000000000004E-2</v>
      </c>
      <c r="BB23" t="s">
        <v>893</v>
      </c>
      <c r="BC23">
        <v>0.90200000000000002</v>
      </c>
      <c r="BD23" t="s">
        <v>894</v>
      </c>
      <c r="BE23">
        <v>0</v>
      </c>
      <c r="BF23">
        <v>0</v>
      </c>
      <c r="BG23" t="s">
        <v>811</v>
      </c>
      <c r="BH23">
        <v>7830</v>
      </c>
      <c r="BI23">
        <v>21560</v>
      </c>
    </row>
    <row r="24" spans="1:61">
      <c r="A24" s="38">
        <v>46039</v>
      </c>
      <c r="B24">
        <v>3</v>
      </c>
      <c r="C24">
        <v>2</v>
      </c>
      <c r="D24">
        <v>3</v>
      </c>
      <c r="E24">
        <v>304231000</v>
      </c>
      <c r="F24" t="s">
        <v>811</v>
      </c>
      <c r="G24" t="s">
        <v>907</v>
      </c>
      <c r="H24">
        <v>49438</v>
      </c>
      <c r="I24">
        <v>304903</v>
      </c>
      <c r="J24">
        <v>1000</v>
      </c>
      <c r="K24">
        <v>0.9145833333333333</v>
      </c>
      <c r="L24" t="s">
        <v>244</v>
      </c>
      <c r="M24">
        <v>12560</v>
      </c>
      <c r="N24">
        <v>-10.3</v>
      </c>
      <c r="O24" t="s">
        <v>890</v>
      </c>
      <c r="P24" t="s">
        <v>890</v>
      </c>
      <c r="Q24">
        <v>0.88</v>
      </c>
      <c r="R24">
        <v>60</v>
      </c>
      <c r="S24">
        <v>0.06</v>
      </c>
      <c r="T24">
        <v>0</v>
      </c>
      <c r="U24">
        <v>0</v>
      </c>
      <c r="V24">
        <v>0</v>
      </c>
      <c r="W24">
        <v>0</v>
      </c>
      <c r="X24">
        <v>60</v>
      </c>
      <c r="Y24">
        <v>0.06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G24">
        <v>0</v>
      </c>
      <c r="AH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t="s">
        <v>892</v>
      </c>
      <c r="AQ24" t="s">
        <v>892</v>
      </c>
      <c r="AR24" t="s">
        <v>892</v>
      </c>
      <c r="AS24" t="s">
        <v>892</v>
      </c>
      <c r="AT24" t="s">
        <v>892</v>
      </c>
      <c r="AU24" t="s">
        <v>892</v>
      </c>
      <c r="AV24" t="s">
        <v>892</v>
      </c>
      <c r="AW24" t="s">
        <v>900</v>
      </c>
      <c r="AX24" t="s">
        <v>890</v>
      </c>
      <c r="AY24" t="s">
        <v>890</v>
      </c>
      <c r="AZ24">
        <v>120</v>
      </c>
      <c r="BA24">
        <v>0.12</v>
      </c>
      <c r="BB24" t="s">
        <v>901</v>
      </c>
      <c r="BC24">
        <v>0.88</v>
      </c>
      <c r="BD24" t="s">
        <v>902</v>
      </c>
      <c r="BE24">
        <v>0</v>
      </c>
      <c r="BF24">
        <v>0</v>
      </c>
      <c r="BG24" t="s">
        <v>811</v>
      </c>
      <c r="BH24">
        <v>304903</v>
      </c>
      <c r="BI24">
        <v>49438</v>
      </c>
    </row>
    <row r="25" spans="1:61">
      <c r="A25" s="38">
        <v>46039</v>
      </c>
      <c r="B25">
        <v>3</v>
      </c>
      <c r="C25">
        <v>2</v>
      </c>
      <c r="D25">
        <v>3</v>
      </c>
      <c r="E25">
        <v>304231000</v>
      </c>
      <c r="F25" t="s">
        <v>811</v>
      </c>
      <c r="G25" t="s">
        <v>907</v>
      </c>
      <c r="H25">
        <v>49439</v>
      </c>
      <c r="I25">
        <v>304903</v>
      </c>
      <c r="J25">
        <v>1000</v>
      </c>
      <c r="K25">
        <v>0.9194444444444444</v>
      </c>
      <c r="L25" t="s">
        <v>244</v>
      </c>
      <c r="M25">
        <v>12535</v>
      </c>
      <c r="N25">
        <v>-10.8</v>
      </c>
      <c r="O25" t="s">
        <v>890</v>
      </c>
      <c r="P25" t="s">
        <v>890</v>
      </c>
      <c r="Q25">
        <v>0.85899999999999999</v>
      </c>
      <c r="R25">
        <v>70</v>
      </c>
      <c r="S25">
        <v>7.0000000000000007E-2</v>
      </c>
      <c r="T25">
        <v>0</v>
      </c>
      <c r="U25">
        <v>0</v>
      </c>
      <c r="V25">
        <v>0</v>
      </c>
      <c r="W25">
        <v>0</v>
      </c>
      <c r="X25">
        <v>70</v>
      </c>
      <c r="Y25">
        <v>7.0000000000000007E-2</v>
      </c>
      <c r="Z25">
        <v>0</v>
      </c>
      <c r="AA25">
        <v>0</v>
      </c>
      <c r="AB25">
        <v>1</v>
      </c>
      <c r="AC25">
        <v>1E-3</v>
      </c>
      <c r="AD25">
        <v>8</v>
      </c>
      <c r="AE25">
        <v>0</v>
      </c>
      <c r="AG25">
        <v>0</v>
      </c>
      <c r="AH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t="s">
        <v>892</v>
      </c>
      <c r="AQ25" t="s">
        <v>892</v>
      </c>
      <c r="AR25" t="s">
        <v>892</v>
      </c>
      <c r="AS25" t="s">
        <v>892</v>
      </c>
      <c r="AT25" t="s">
        <v>892</v>
      </c>
      <c r="AU25" t="s">
        <v>892</v>
      </c>
      <c r="AV25" t="s">
        <v>892</v>
      </c>
      <c r="AW25" t="s">
        <v>900</v>
      </c>
      <c r="AX25" t="s">
        <v>890</v>
      </c>
      <c r="AY25" t="s">
        <v>890</v>
      </c>
      <c r="AZ25">
        <v>141</v>
      </c>
      <c r="BA25">
        <v>0.14100000000000001</v>
      </c>
      <c r="BB25" t="s">
        <v>901</v>
      </c>
      <c r="BC25">
        <v>0.85899999999999999</v>
      </c>
      <c r="BD25" t="s">
        <v>902</v>
      </c>
      <c r="BE25">
        <v>0</v>
      </c>
      <c r="BF25">
        <v>0</v>
      </c>
      <c r="BG25" t="s">
        <v>811</v>
      </c>
      <c r="BH25">
        <v>304903</v>
      </c>
      <c r="BI25">
        <v>49439</v>
      </c>
    </row>
    <row r="26" spans="1:61">
      <c r="A26" s="38">
        <v>46039</v>
      </c>
      <c r="B26">
        <v>3</v>
      </c>
      <c r="C26">
        <v>2</v>
      </c>
      <c r="D26">
        <v>3</v>
      </c>
      <c r="E26">
        <v>304231000</v>
      </c>
      <c r="F26" t="s">
        <v>811</v>
      </c>
      <c r="G26" t="s">
        <v>907</v>
      </c>
      <c r="H26">
        <v>49440</v>
      </c>
      <c r="I26">
        <v>304903</v>
      </c>
      <c r="J26">
        <v>1000</v>
      </c>
      <c r="K26">
        <v>0.93402777777777779</v>
      </c>
      <c r="L26" t="s">
        <v>244</v>
      </c>
      <c r="M26">
        <v>12540</v>
      </c>
      <c r="N26">
        <v>-13.8</v>
      </c>
      <c r="O26" t="s">
        <v>890</v>
      </c>
      <c r="P26" t="s">
        <v>890</v>
      </c>
      <c r="Q26">
        <v>0.80999999999999994</v>
      </c>
      <c r="R26">
        <v>80</v>
      </c>
      <c r="S26">
        <v>0.08</v>
      </c>
      <c r="T26">
        <v>0</v>
      </c>
      <c r="U26">
        <v>0</v>
      </c>
      <c r="V26">
        <v>0</v>
      </c>
      <c r="W26">
        <v>0</v>
      </c>
      <c r="X26">
        <v>70</v>
      </c>
      <c r="Y26">
        <v>7.0000000000000007E-2</v>
      </c>
      <c r="Z26">
        <v>40</v>
      </c>
      <c r="AA26">
        <v>0.04</v>
      </c>
      <c r="AB26">
        <v>0</v>
      </c>
      <c r="AC26">
        <v>0</v>
      </c>
      <c r="AD26">
        <v>0</v>
      </c>
      <c r="AE26">
        <v>0</v>
      </c>
      <c r="AG26">
        <v>0</v>
      </c>
      <c r="AH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s">
        <v>892</v>
      </c>
      <c r="AQ26" t="s">
        <v>892</v>
      </c>
      <c r="AR26" t="s">
        <v>892</v>
      </c>
      <c r="AS26" t="s">
        <v>892</v>
      </c>
      <c r="AT26" t="s">
        <v>892</v>
      </c>
      <c r="AU26" t="s">
        <v>892</v>
      </c>
      <c r="AV26" t="s">
        <v>892</v>
      </c>
      <c r="AW26" t="s">
        <v>900</v>
      </c>
      <c r="AX26" t="s">
        <v>890</v>
      </c>
      <c r="AY26" t="s">
        <v>890</v>
      </c>
      <c r="AZ26">
        <v>190</v>
      </c>
      <c r="BA26">
        <v>0.19000000000000003</v>
      </c>
      <c r="BB26" t="s">
        <v>901</v>
      </c>
      <c r="BC26">
        <v>0.80999999999999994</v>
      </c>
      <c r="BD26" t="s">
        <v>902</v>
      </c>
      <c r="BE26">
        <v>0</v>
      </c>
      <c r="BF26">
        <v>0</v>
      </c>
      <c r="BG26" t="s">
        <v>811</v>
      </c>
      <c r="BH26">
        <v>304903</v>
      </c>
      <c r="BI26">
        <v>49440</v>
      </c>
    </row>
    <row r="27" spans="1:61">
      <c r="A27" s="38">
        <v>46039</v>
      </c>
      <c r="B27">
        <v>3</v>
      </c>
      <c r="C27">
        <v>2</v>
      </c>
      <c r="D27">
        <v>3</v>
      </c>
      <c r="E27">
        <v>304231000</v>
      </c>
      <c r="F27" t="s">
        <v>811</v>
      </c>
      <c r="G27" t="s">
        <v>907</v>
      </c>
      <c r="H27">
        <v>49441</v>
      </c>
      <c r="I27">
        <v>304903</v>
      </c>
      <c r="J27">
        <v>1000</v>
      </c>
      <c r="K27">
        <v>0.94166666666666665</v>
      </c>
      <c r="L27" t="s">
        <v>244</v>
      </c>
      <c r="M27">
        <v>12575</v>
      </c>
      <c r="N27">
        <v>-14.7</v>
      </c>
      <c r="O27" t="s">
        <v>890</v>
      </c>
      <c r="P27" t="s">
        <v>890</v>
      </c>
      <c r="Q27">
        <v>0.81499999999999995</v>
      </c>
      <c r="R27">
        <v>50</v>
      </c>
      <c r="S27">
        <v>0.05</v>
      </c>
      <c r="T27">
        <v>0</v>
      </c>
      <c r="U27">
        <v>0</v>
      </c>
      <c r="V27">
        <v>0</v>
      </c>
      <c r="W27">
        <v>0</v>
      </c>
      <c r="X27">
        <v>105</v>
      </c>
      <c r="Y27">
        <v>0.105</v>
      </c>
      <c r="Z27">
        <v>30</v>
      </c>
      <c r="AA27">
        <v>0.03</v>
      </c>
      <c r="AB27">
        <v>0</v>
      </c>
      <c r="AC27">
        <v>0</v>
      </c>
      <c r="AD27">
        <v>0</v>
      </c>
      <c r="AE27">
        <v>0</v>
      </c>
      <c r="AG27">
        <v>0</v>
      </c>
      <c r="AH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t="s">
        <v>892</v>
      </c>
      <c r="AQ27" t="s">
        <v>892</v>
      </c>
      <c r="AR27" t="s">
        <v>892</v>
      </c>
      <c r="AS27" t="s">
        <v>892</v>
      </c>
      <c r="AT27" t="s">
        <v>892</v>
      </c>
      <c r="AU27" t="s">
        <v>892</v>
      </c>
      <c r="AV27" t="s">
        <v>892</v>
      </c>
      <c r="AW27" t="s">
        <v>900</v>
      </c>
      <c r="AX27" t="s">
        <v>890</v>
      </c>
      <c r="AY27" t="s">
        <v>890</v>
      </c>
      <c r="AZ27">
        <v>185</v>
      </c>
      <c r="BA27">
        <v>0.185</v>
      </c>
      <c r="BB27" t="s">
        <v>901</v>
      </c>
      <c r="BC27">
        <v>0.81499999999999995</v>
      </c>
      <c r="BD27" t="s">
        <v>902</v>
      </c>
      <c r="BE27">
        <v>0</v>
      </c>
      <c r="BF27">
        <v>0</v>
      </c>
      <c r="BG27" t="s">
        <v>811</v>
      </c>
      <c r="BH27">
        <v>304903</v>
      </c>
      <c r="BI27">
        <v>49441</v>
      </c>
    </row>
    <row r="28" spans="1:61">
      <c r="A28" s="38">
        <v>46039</v>
      </c>
      <c r="B28">
        <v>3</v>
      </c>
      <c r="C28">
        <v>2</v>
      </c>
      <c r="D28">
        <v>3</v>
      </c>
      <c r="E28">
        <v>304231000</v>
      </c>
      <c r="F28" t="s">
        <v>811</v>
      </c>
      <c r="G28" t="s">
        <v>907</v>
      </c>
      <c r="H28">
        <v>21561</v>
      </c>
      <c r="I28">
        <v>7830</v>
      </c>
      <c r="J28">
        <v>1000</v>
      </c>
      <c r="K28">
        <v>0.77847222222222223</v>
      </c>
      <c r="L28" t="s">
        <v>244</v>
      </c>
      <c r="M28">
        <v>12570</v>
      </c>
      <c r="N28">
        <v>-9.1999999999999993</v>
      </c>
      <c r="O28" t="s">
        <v>890</v>
      </c>
      <c r="P28" t="s">
        <v>890</v>
      </c>
      <c r="Q28">
        <v>0.88500000000000001</v>
      </c>
      <c r="R28">
        <v>30</v>
      </c>
      <c r="S28">
        <v>0.03</v>
      </c>
      <c r="T28">
        <v>0</v>
      </c>
      <c r="U28">
        <v>0</v>
      </c>
      <c r="V28">
        <v>0</v>
      </c>
      <c r="W28">
        <v>0</v>
      </c>
      <c r="X28">
        <v>70</v>
      </c>
      <c r="Y28">
        <v>7.0000000000000007E-2</v>
      </c>
      <c r="Z28">
        <v>15</v>
      </c>
      <c r="AA28">
        <v>1.4999999999999999E-2</v>
      </c>
      <c r="AB28">
        <v>0</v>
      </c>
      <c r="AC28">
        <v>0</v>
      </c>
      <c r="AD28">
        <v>0</v>
      </c>
      <c r="AE28">
        <v>0</v>
      </c>
      <c r="AG28">
        <v>0</v>
      </c>
      <c r="AH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892</v>
      </c>
      <c r="AQ28" t="s">
        <v>892</v>
      </c>
      <c r="AR28" t="s">
        <v>892</v>
      </c>
      <c r="AS28" t="s">
        <v>892</v>
      </c>
      <c r="AT28" t="s">
        <v>892</v>
      </c>
      <c r="AU28" t="s">
        <v>892</v>
      </c>
      <c r="AV28" t="s">
        <v>892</v>
      </c>
      <c r="AW28" t="s">
        <v>900</v>
      </c>
      <c r="AX28" t="s">
        <v>890</v>
      </c>
      <c r="AY28" t="s">
        <v>890</v>
      </c>
      <c r="AZ28">
        <v>115</v>
      </c>
      <c r="BA28">
        <v>0.115</v>
      </c>
      <c r="BB28" t="s">
        <v>901</v>
      </c>
      <c r="BC28">
        <v>0.88500000000000001</v>
      </c>
      <c r="BD28" t="s">
        <v>902</v>
      </c>
      <c r="BE28">
        <v>0</v>
      </c>
      <c r="BF28">
        <v>0</v>
      </c>
      <c r="BG28" t="s">
        <v>811</v>
      </c>
      <c r="BH28">
        <v>7830</v>
      </c>
      <c r="BI28">
        <v>21561</v>
      </c>
    </row>
    <row r="29" spans="1:61">
      <c r="A29" s="38">
        <v>46039</v>
      </c>
      <c r="B29">
        <v>3</v>
      </c>
      <c r="C29">
        <v>2</v>
      </c>
      <c r="D29">
        <v>3</v>
      </c>
      <c r="E29">
        <v>304231000</v>
      </c>
      <c r="F29" t="s">
        <v>811</v>
      </c>
      <c r="G29" t="s">
        <v>907</v>
      </c>
      <c r="H29">
        <v>49434</v>
      </c>
      <c r="I29">
        <v>304903</v>
      </c>
      <c r="J29">
        <v>1000</v>
      </c>
      <c r="K29">
        <v>0.78680555555555554</v>
      </c>
      <c r="L29" t="s">
        <v>244</v>
      </c>
      <c r="M29">
        <v>12535</v>
      </c>
      <c r="N29">
        <v>-10.3</v>
      </c>
      <c r="O29" t="s">
        <v>890</v>
      </c>
      <c r="P29" t="s">
        <v>890</v>
      </c>
      <c r="Q29">
        <v>0.91</v>
      </c>
      <c r="R29">
        <v>70</v>
      </c>
      <c r="S29">
        <v>7.0000000000000007E-2</v>
      </c>
      <c r="T29">
        <v>0</v>
      </c>
      <c r="U29">
        <v>0</v>
      </c>
      <c r="V29">
        <v>0</v>
      </c>
      <c r="W29">
        <v>0</v>
      </c>
      <c r="X29">
        <v>20</v>
      </c>
      <c r="Y29">
        <v>0.02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G29">
        <v>0</v>
      </c>
      <c r="AH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892</v>
      </c>
      <c r="AQ29" t="s">
        <v>892</v>
      </c>
      <c r="AR29" t="s">
        <v>892</v>
      </c>
      <c r="AS29" t="s">
        <v>892</v>
      </c>
      <c r="AT29" t="s">
        <v>892</v>
      </c>
      <c r="AU29" t="s">
        <v>892</v>
      </c>
      <c r="AV29" t="s">
        <v>892</v>
      </c>
      <c r="AW29" t="s">
        <v>900</v>
      </c>
      <c r="AX29" t="s">
        <v>890</v>
      </c>
      <c r="AY29" t="s">
        <v>890</v>
      </c>
      <c r="AZ29">
        <v>90</v>
      </c>
      <c r="BA29">
        <v>9.0000000000000011E-2</v>
      </c>
      <c r="BB29" t="s">
        <v>901</v>
      </c>
      <c r="BC29">
        <v>0.91</v>
      </c>
      <c r="BD29" t="s">
        <v>902</v>
      </c>
      <c r="BE29">
        <v>0</v>
      </c>
      <c r="BF29">
        <v>0</v>
      </c>
      <c r="BG29" t="s">
        <v>811</v>
      </c>
      <c r="BH29">
        <v>304903</v>
      </c>
      <c r="BI29">
        <v>49434</v>
      </c>
    </row>
    <row r="30" spans="1:61">
      <c r="A30" s="38">
        <v>46039</v>
      </c>
      <c r="B30">
        <v>3</v>
      </c>
      <c r="C30">
        <v>2</v>
      </c>
      <c r="D30">
        <v>3</v>
      </c>
      <c r="E30">
        <v>304231000</v>
      </c>
      <c r="F30" t="s">
        <v>811</v>
      </c>
      <c r="G30" t="s">
        <v>907</v>
      </c>
      <c r="H30">
        <v>49435</v>
      </c>
      <c r="I30">
        <v>304903</v>
      </c>
      <c r="J30">
        <v>1000</v>
      </c>
      <c r="K30">
        <v>0.79861111111111116</v>
      </c>
      <c r="L30" t="s">
        <v>244</v>
      </c>
      <c r="M30">
        <v>12535</v>
      </c>
      <c r="N30">
        <v>-11.6</v>
      </c>
      <c r="O30" t="s">
        <v>890</v>
      </c>
      <c r="P30" t="s">
        <v>890</v>
      </c>
      <c r="Q30">
        <v>0.87</v>
      </c>
      <c r="R30">
        <v>40</v>
      </c>
      <c r="S30">
        <v>0.04</v>
      </c>
      <c r="T30">
        <v>0</v>
      </c>
      <c r="U30">
        <v>0</v>
      </c>
      <c r="V30">
        <v>0</v>
      </c>
      <c r="W30">
        <v>0</v>
      </c>
      <c r="X30">
        <v>90</v>
      </c>
      <c r="Y30">
        <v>0.09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t="s">
        <v>892</v>
      </c>
      <c r="AQ30" t="s">
        <v>892</v>
      </c>
      <c r="AR30" t="s">
        <v>892</v>
      </c>
      <c r="AS30" t="s">
        <v>892</v>
      </c>
      <c r="AT30" t="s">
        <v>892</v>
      </c>
      <c r="AU30" t="s">
        <v>892</v>
      </c>
      <c r="AV30" t="s">
        <v>892</v>
      </c>
      <c r="AW30" t="s">
        <v>900</v>
      </c>
      <c r="AX30" t="s">
        <v>890</v>
      </c>
      <c r="AY30" t="s">
        <v>890</v>
      </c>
      <c r="AZ30">
        <v>130</v>
      </c>
      <c r="BA30">
        <v>0.13</v>
      </c>
      <c r="BB30" t="s">
        <v>901</v>
      </c>
      <c r="BC30">
        <v>0.87</v>
      </c>
      <c r="BD30" t="s">
        <v>902</v>
      </c>
      <c r="BE30">
        <v>0</v>
      </c>
      <c r="BF30">
        <v>0</v>
      </c>
      <c r="BG30" t="s">
        <v>811</v>
      </c>
      <c r="BH30">
        <v>304903</v>
      </c>
      <c r="BI30">
        <v>49435</v>
      </c>
    </row>
    <row r="31" spans="1:61">
      <c r="A31" s="38">
        <v>46039</v>
      </c>
      <c r="B31">
        <v>3</v>
      </c>
      <c r="C31">
        <v>2</v>
      </c>
      <c r="D31">
        <v>3</v>
      </c>
      <c r="E31">
        <v>304231000</v>
      </c>
      <c r="F31" t="s">
        <v>811</v>
      </c>
      <c r="G31" t="s">
        <v>907</v>
      </c>
      <c r="H31">
        <v>49436</v>
      </c>
      <c r="I31">
        <v>304903</v>
      </c>
      <c r="J31">
        <v>1000</v>
      </c>
      <c r="K31">
        <v>0.8125</v>
      </c>
      <c r="L31" t="s">
        <v>244</v>
      </c>
      <c r="M31">
        <v>12520</v>
      </c>
      <c r="N31">
        <v>-12.8</v>
      </c>
      <c r="O31" t="s">
        <v>890</v>
      </c>
      <c r="P31" t="s">
        <v>890</v>
      </c>
      <c r="Q31">
        <v>0.84</v>
      </c>
      <c r="R31">
        <v>90</v>
      </c>
      <c r="S31">
        <v>0.09</v>
      </c>
      <c r="T31">
        <v>0</v>
      </c>
      <c r="U31">
        <v>0</v>
      </c>
      <c r="V31">
        <v>10</v>
      </c>
      <c r="W31">
        <v>0.01</v>
      </c>
      <c r="X31">
        <v>50</v>
      </c>
      <c r="Y31">
        <v>0.05</v>
      </c>
      <c r="Z31">
        <v>10</v>
      </c>
      <c r="AA31">
        <v>0.01</v>
      </c>
      <c r="AB31">
        <v>0</v>
      </c>
      <c r="AC31">
        <v>0</v>
      </c>
      <c r="AD31">
        <v>0</v>
      </c>
      <c r="AE31">
        <v>0</v>
      </c>
      <c r="AG31">
        <v>0</v>
      </c>
      <c r="AH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t="s">
        <v>892</v>
      </c>
      <c r="AQ31" t="s">
        <v>892</v>
      </c>
      <c r="AR31" t="s">
        <v>892</v>
      </c>
      <c r="AS31" t="s">
        <v>892</v>
      </c>
      <c r="AT31" t="s">
        <v>892</v>
      </c>
      <c r="AU31" t="s">
        <v>892</v>
      </c>
      <c r="AV31" t="s">
        <v>892</v>
      </c>
      <c r="AW31" t="s">
        <v>900</v>
      </c>
      <c r="AX31" t="s">
        <v>890</v>
      </c>
      <c r="AY31" t="s">
        <v>890</v>
      </c>
      <c r="AZ31">
        <v>160</v>
      </c>
      <c r="BA31">
        <v>0.16</v>
      </c>
      <c r="BB31" t="s">
        <v>901</v>
      </c>
      <c r="BC31">
        <v>0.84</v>
      </c>
      <c r="BD31" t="s">
        <v>902</v>
      </c>
      <c r="BE31">
        <v>0</v>
      </c>
      <c r="BF31">
        <v>0</v>
      </c>
      <c r="BG31" t="s">
        <v>811</v>
      </c>
      <c r="BH31">
        <v>304903</v>
      </c>
      <c r="BI31">
        <v>49436</v>
      </c>
    </row>
    <row r="32" spans="1:61">
      <c r="A32" s="38">
        <v>46039</v>
      </c>
      <c r="B32">
        <v>3</v>
      </c>
      <c r="C32">
        <v>2</v>
      </c>
      <c r="D32">
        <v>3</v>
      </c>
      <c r="E32">
        <v>304231000</v>
      </c>
      <c r="F32" t="s">
        <v>811</v>
      </c>
      <c r="G32" t="s">
        <v>907</v>
      </c>
      <c r="H32">
        <v>49437</v>
      </c>
      <c r="I32">
        <v>304903</v>
      </c>
      <c r="J32">
        <v>1000</v>
      </c>
      <c r="K32">
        <v>0.90902777777777777</v>
      </c>
      <c r="L32" t="s">
        <v>244</v>
      </c>
      <c r="M32">
        <v>12525</v>
      </c>
      <c r="N32">
        <v>-12.6</v>
      </c>
      <c r="O32" t="s">
        <v>890</v>
      </c>
      <c r="P32" t="s">
        <v>890</v>
      </c>
      <c r="Q32">
        <v>0.94899999999999995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50</v>
      </c>
      <c r="Y32">
        <v>0.05</v>
      </c>
      <c r="Z32">
        <v>0</v>
      </c>
      <c r="AA32">
        <v>0</v>
      </c>
      <c r="AB32">
        <v>1</v>
      </c>
      <c r="AC32">
        <v>1E-3</v>
      </c>
      <c r="AD32">
        <v>0</v>
      </c>
      <c r="AE32">
        <v>0</v>
      </c>
      <c r="AG32">
        <v>0</v>
      </c>
      <c r="AH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892</v>
      </c>
      <c r="AQ32" t="s">
        <v>892</v>
      </c>
      <c r="AR32" t="s">
        <v>892</v>
      </c>
      <c r="AS32" t="s">
        <v>892</v>
      </c>
      <c r="AT32" t="s">
        <v>892</v>
      </c>
      <c r="AU32" t="s">
        <v>892</v>
      </c>
      <c r="AV32" t="s">
        <v>892</v>
      </c>
      <c r="AW32" t="s">
        <v>900</v>
      </c>
      <c r="AX32" t="s">
        <v>890</v>
      </c>
      <c r="AY32" t="s">
        <v>890</v>
      </c>
      <c r="AZ32">
        <v>51</v>
      </c>
      <c r="BA32">
        <v>5.1000000000000004E-2</v>
      </c>
      <c r="BB32" t="s">
        <v>901</v>
      </c>
      <c r="BC32">
        <v>0.94899999999999995</v>
      </c>
      <c r="BD32" t="s">
        <v>902</v>
      </c>
      <c r="BE32">
        <v>0</v>
      </c>
      <c r="BF32">
        <v>0</v>
      </c>
      <c r="BG32" t="s">
        <v>811</v>
      </c>
      <c r="BH32">
        <v>304903</v>
      </c>
      <c r="BI32">
        <v>49437</v>
      </c>
    </row>
    <row r="33" spans="1:59">
      <c r="A33" s="38"/>
      <c r="B33">
        <v>52</v>
      </c>
      <c r="F33" t="s">
        <v>908</v>
      </c>
      <c r="G33" t="s">
        <v>909</v>
      </c>
      <c r="J33">
        <v>1000</v>
      </c>
      <c r="L33" t="s">
        <v>244</v>
      </c>
      <c r="O33" t="s">
        <v>890</v>
      </c>
      <c r="P33" t="s">
        <v>890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G33">
        <v>0</v>
      </c>
      <c r="AH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W33" t="s">
        <v>900</v>
      </c>
      <c r="AX33" t="s">
        <v>890</v>
      </c>
      <c r="AY33" t="s">
        <v>890</v>
      </c>
      <c r="AZ33">
        <v>0</v>
      </c>
      <c r="BA33">
        <v>0</v>
      </c>
      <c r="BC33">
        <v>1</v>
      </c>
      <c r="BE33">
        <v>0</v>
      </c>
      <c r="BF33">
        <v>0</v>
      </c>
      <c r="BG33" t="s">
        <v>908</v>
      </c>
    </row>
    <row r="34" spans="1:59">
      <c r="A34" s="38"/>
      <c r="B34">
        <v>52</v>
      </c>
      <c r="F34" t="s">
        <v>908</v>
      </c>
      <c r="G34" t="s">
        <v>909</v>
      </c>
      <c r="J34">
        <v>1000</v>
      </c>
      <c r="L34" t="s">
        <v>244</v>
      </c>
      <c r="O34" t="s">
        <v>890</v>
      </c>
      <c r="P34" t="s">
        <v>890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G34">
        <v>0</v>
      </c>
      <c r="AH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W34" t="s">
        <v>900</v>
      </c>
      <c r="AX34" t="s">
        <v>890</v>
      </c>
      <c r="AY34" t="s">
        <v>890</v>
      </c>
      <c r="AZ34">
        <v>0</v>
      </c>
      <c r="BA34">
        <v>0</v>
      </c>
      <c r="BC34">
        <v>1</v>
      </c>
      <c r="BE34">
        <v>0</v>
      </c>
      <c r="BF34">
        <v>0</v>
      </c>
      <c r="BG34" t="s">
        <v>908</v>
      </c>
    </row>
    <row r="35" spans="1:59">
      <c r="A35" s="38"/>
      <c r="B35">
        <v>52</v>
      </c>
      <c r="F35" t="s">
        <v>908</v>
      </c>
      <c r="G35" t="s">
        <v>909</v>
      </c>
      <c r="J35">
        <v>1000</v>
      </c>
      <c r="L35" t="s">
        <v>244</v>
      </c>
      <c r="O35" t="s">
        <v>890</v>
      </c>
      <c r="P35" t="s">
        <v>890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>
        <v>0</v>
      </c>
      <c r="AH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W35" t="s">
        <v>900</v>
      </c>
      <c r="AX35" t="s">
        <v>890</v>
      </c>
      <c r="AY35" t="s">
        <v>890</v>
      </c>
      <c r="AZ35">
        <v>0</v>
      </c>
      <c r="BA35">
        <v>0</v>
      </c>
      <c r="BC35">
        <v>1</v>
      </c>
      <c r="BE35">
        <v>0</v>
      </c>
      <c r="BF35">
        <v>0</v>
      </c>
      <c r="BG35" t="s">
        <v>908</v>
      </c>
    </row>
    <row r="36" spans="1:59">
      <c r="A36" s="38"/>
      <c r="B36">
        <v>52</v>
      </c>
      <c r="F36" t="s">
        <v>908</v>
      </c>
      <c r="G36" t="s">
        <v>909</v>
      </c>
      <c r="J36">
        <v>1000</v>
      </c>
      <c r="L36" t="s">
        <v>244</v>
      </c>
      <c r="O36" t="s">
        <v>890</v>
      </c>
      <c r="P36" t="s">
        <v>890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G36">
        <v>0</v>
      </c>
      <c r="AH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W36" t="s">
        <v>900</v>
      </c>
      <c r="AX36" t="s">
        <v>890</v>
      </c>
      <c r="AY36" t="s">
        <v>890</v>
      </c>
      <c r="AZ36">
        <v>0</v>
      </c>
      <c r="BA36">
        <v>0</v>
      </c>
      <c r="BC36">
        <v>1</v>
      </c>
      <c r="BE36">
        <v>0</v>
      </c>
      <c r="BF36">
        <v>0</v>
      </c>
      <c r="BG36" t="s">
        <v>908</v>
      </c>
    </row>
    <row r="37" spans="1:59">
      <c r="A37" s="38"/>
      <c r="B37">
        <v>52</v>
      </c>
      <c r="F37" t="s">
        <v>908</v>
      </c>
      <c r="G37" t="s">
        <v>909</v>
      </c>
      <c r="J37">
        <v>1000</v>
      </c>
      <c r="L37" t="s">
        <v>244</v>
      </c>
      <c r="O37" t="s">
        <v>890</v>
      </c>
      <c r="P37" t="s">
        <v>890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G37">
        <v>0</v>
      </c>
      <c r="AH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W37" t="s">
        <v>900</v>
      </c>
      <c r="AX37" t="s">
        <v>890</v>
      </c>
      <c r="AY37" t="s">
        <v>890</v>
      </c>
      <c r="AZ37">
        <v>0</v>
      </c>
      <c r="BA37">
        <v>0</v>
      </c>
      <c r="BC37">
        <v>1</v>
      </c>
      <c r="BE37">
        <v>0</v>
      </c>
      <c r="BF37">
        <v>0</v>
      </c>
      <c r="BG37" t="s">
        <v>908</v>
      </c>
    </row>
    <row r="38" spans="1:59">
      <c r="A38" s="38"/>
      <c r="B38">
        <v>52</v>
      </c>
      <c r="F38" t="s">
        <v>908</v>
      </c>
      <c r="G38" t="s">
        <v>909</v>
      </c>
      <c r="J38">
        <v>1000</v>
      </c>
      <c r="L38" t="s">
        <v>244</v>
      </c>
      <c r="O38" t="s">
        <v>890</v>
      </c>
      <c r="P38" t="s">
        <v>890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0</v>
      </c>
      <c r="AH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W38" t="s">
        <v>900</v>
      </c>
      <c r="AX38" t="s">
        <v>890</v>
      </c>
      <c r="AY38" t="s">
        <v>890</v>
      </c>
      <c r="AZ38">
        <v>0</v>
      </c>
      <c r="BA38">
        <v>0</v>
      </c>
      <c r="BC38">
        <v>1</v>
      </c>
      <c r="BE38">
        <v>0</v>
      </c>
      <c r="BF38">
        <v>0</v>
      </c>
      <c r="BG38" t="s">
        <v>908</v>
      </c>
    </row>
    <row r="39" spans="1:59">
      <c r="A39" s="38"/>
      <c r="B39">
        <v>52</v>
      </c>
      <c r="F39" t="s">
        <v>908</v>
      </c>
      <c r="G39" t="s">
        <v>909</v>
      </c>
      <c r="J39">
        <v>1000</v>
      </c>
      <c r="L39" t="s">
        <v>244</v>
      </c>
      <c r="O39" t="s">
        <v>890</v>
      </c>
      <c r="P39" t="s">
        <v>890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G39">
        <v>0</v>
      </c>
      <c r="AH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W39" t="s">
        <v>900</v>
      </c>
      <c r="AX39" t="s">
        <v>890</v>
      </c>
      <c r="AY39" t="s">
        <v>890</v>
      </c>
      <c r="AZ39">
        <v>0</v>
      </c>
      <c r="BA39">
        <v>0</v>
      </c>
      <c r="BC39">
        <v>1</v>
      </c>
      <c r="BE39">
        <v>0</v>
      </c>
      <c r="BF39">
        <v>0</v>
      </c>
      <c r="BG39" t="s">
        <v>908</v>
      </c>
    </row>
    <row r="40" spans="1:59">
      <c r="A40" s="38"/>
      <c r="B40">
        <v>52</v>
      </c>
      <c r="F40" t="s">
        <v>908</v>
      </c>
      <c r="G40" t="s">
        <v>909</v>
      </c>
      <c r="J40">
        <v>1000</v>
      </c>
      <c r="L40" t="s">
        <v>244</v>
      </c>
      <c r="O40" t="s">
        <v>890</v>
      </c>
      <c r="P40" t="s">
        <v>890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G40">
        <v>0</v>
      </c>
      <c r="AH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W40" t="s">
        <v>900</v>
      </c>
      <c r="AX40" t="s">
        <v>890</v>
      </c>
      <c r="AY40" t="s">
        <v>890</v>
      </c>
      <c r="AZ40">
        <v>0</v>
      </c>
      <c r="BA40">
        <v>0</v>
      </c>
      <c r="BC40">
        <v>1</v>
      </c>
      <c r="BE40">
        <v>0</v>
      </c>
      <c r="BF40">
        <v>0</v>
      </c>
      <c r="BG40" t="s">
        <v>908</v>
      </c>
    </row>
    <row r="41" spans="1:59">
      <c r="A41" s="38"/>
      <c r="B41">
        <v>52</v>
      </c>
      <c r="F41" t="s">
        <v>908</v>
      </c>
      <c r="G41" t="s">
        <v>909</v>
      </c>
      <c r="J41">
        <v>1000</v>
      </c>
      <c r="L41" t="s">
        <v>244</v>
      </c>
      <c r="O41" t="s">
        <v>890</v>
      </c>
      <c r="P41" t="s">
        <v>890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G41">
        <v>0</v>
      </c>
      <c r="AH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W41" t="s">
        <v>900</v>
      </c>
      <c r="AX41" t="s">
        <v>890</v>
      </c>
      <c r="AY41" t="s">
        <v>890</v>
      </c>
      <c r="AZ41">
        <v>0</v>
      </c>
      <c r="BA41">
        <v>0</v>
      </c>
      <c r="BC41">
        <v>1</v>
      </c>
      <c r="BE41">
        <v>0</v>
      </c>
      <c r="BF41">
        <v>0</v>
      </c>
      <c r="BG41" t="s">
        <v>908</v>
      </c>
    </row>
    <row r="42" spans="1:59">
      <c r="A42" s="38"/>
      <c r="B42">
        <v>52</v>
      </c>
      <c r="F42" t="s">
        <v>908</v>
      </c>
      <c r="G42" t="s">
        <v>909</v>
      </c>
      <c r="J42">
        <v>1000</v>
      </c>
      <c r="L42" t="s">
        <v>244</v>
      </c>
      <c r="O42" t="s">
        <v>890</v>
      </c>
      <c r="P42" t="s">
        <v>890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G42">
        <v>0</v>
      </c>
      <c r="AH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W42" t="s">
        <v>900</v>
      </c>
      <c r="AX42" t="s">
        <v>890</v>
      </c>
      <c r="AY42" t="s">
        <v>890</v>
      </c>
      <c r="AZ42">
        <v>0</v>
      </c>
      <c r="BA42">
        <v>0</v>
      </c>
      <c r="BC42">
        <v>1</v>
      </c>
      <c r="BE42">
        <v>0</v>
      </c>
      <c r="BF42">
        <v>0</v>
      </c>
      <c r="BG42" t="s">
        <v>908</v>
      </c>
    </row>
    <row r="43" spans="1:59">
      <c r="A43" s="38"/>
      <c r="B43">
        <v>52</v>
      </c>
      <c r="F43" t="s">
        <v>908</v>
      </c>
      <c r="G43" t="s">
        <v>909</v>
      </c>
      <c r="J43">
        <v>1000</v>
      </c>
      <c r="L43" t="s">
        <v>244</v>
      </c>
      <c r="O43" t="s">
        <v>890</v>
      </c>
      <c r="P43" t="s">
        <v>890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G43">
        <v>0</v>
      </c>
      <c r="AH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W43" t="s">
        <v>900</v>
      </c>
      <c r="AX43" t="s">
        <v>890</v>
      </c>
      <c r="AY43" t="s">
        <v>890</v>
      </c>
      <c r="AZ43">
        <v>0</v>
      </c>
      <c r="BA43">
        <v>0</v>
      </c>
      <c r="BC43">
        <v>1</v>
      </c>
      <c r="BE43">
        <v>0</v>
      </c>
      <c r="BF43">
        <v>0</v>
      </c>
      <c r="BG43" t="s">
        <v>908</v>
      </c>
    </row>
    <row r="44" spans="1:59">
      <c r="A44" s="38"/>
      <c r="B44">
        <v>52</v>
      </c>
      <c r="F44" t="s">
        <v>908</v>
      </c>
      <c r="G44" t="s">
        <v>909</v>
      </c>
      <c r="J44">
        <v>1000</v>
      </c>
      <c r="L44" t="s">
        <v>244</v>
      </c>
      <c r="O44" t="s">
        <v>890</v>
      </c>
      <c r="P44" t="s">
        <v>890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W44" t="s">
        <v>900</v>
      </c>
      <c r="AX44" t="s">
        <v>890</v>
      </c>
      <c r="AY44" t="s">
        <v>890</v>
      </c>
      <c r="AZ44">
        <v>0</v>
      </c>
      <c r="BA44">
        <v>0</v>
      </c>
      <c r="BC44">
        <v>1</v>
      </c>
      <c r="BE44">
        <v>0</v>
      </c>
      <c r="BF44">
        <v>0</v>
      </c>
      <c r="BG44" t="s">
        <v>908</v>
      </c>
    </row>
    <row r="45" spans="1:59">
      <c r="A45" s="38"/>
      <c r="B45">
        <v>52</v>
      </c>
      <c r="F45" t="s">
        <v>908</v>
      </c>
      <c r="G45" t="s">
        <v>909</v>
      </c>
      <c r="J45">
        <v>1000</v>
      </c>
      <c r="L45" t="s">
        <v>244</v>
      </c>
      <c r="O45" t="s">
        <v>890</v>
      </c>
      <c r="P45" t="s">
        <v>890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G45">
        <v>0</v>
      </c>
      <c r="AH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W45" t="s">
        <v>900</v>
      </c>
      <c r="AX45" t="s">
        <v>890</v>
      </c>
      <c r="AY45" t="s">
        <v>890</v>
      </c>
      <c r="AZ45">
        <v>0</v>
      </c>
      <c r="BA45">
        <v>0</v>
      </c>
      <c r="BC45">
        <v>1</v>
      </c>
      <c r="BE45">
        <v>0</v>
      </c>
      <c r="BF45">
        <v>0</v>
      </c>
      <c r="BG45" t="s">
        <v>908</v>
      </c>
    </row>
    <row r="46" spans="1:59">
      <c r="A46" s="38"/>
      <c r="B46">
        <v>52</v>
      </c>
      <c r="F46" t="s">
        <v>908</v>
      </c>
      <c r="G46" t="s">
        <v>909</v>
      </c>
      <c r="J46">
        <v>1000</v>
      </c>
      <c r="L46" t="s">
        <v>244</v>
      </c>
      <c r="O46" t="s">
        <v>890</v>
      </c>
      <c r="P46" t="s">
        <v>890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G46">
        <v>0</v>
      </c>
      <c r="AH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W46" t="s">
        <v>900</v>
      </c>
      <c r="AX46" t="s">
        <v>890</v>
      </c>
      <c r="AY46" t="s">
        <v>890</v>
      </c>
      <c r="AZ46">
        <v>0</v>
      </c>
      <c r="BA46">
        <v>0</v>
      </c>
      <c r="BC46">
        <v>1</v>
      </c>
      <c r="BE46">
        <v>0</v>
      </c>
      <c r="BF46">
        <v>0</v>
      </c>
      <c r="BG46" t="s">
        <v>908</v>
      </c>
    </row>
    <row r="47" spans="1:59">
      <c r="A47" s="38"/>
      <c r="B47">
        <v>52</v>
      </c>
      <c r="F47" t="s">
        <v>908</v>
      </c>
      <c r="G47" t="s">
        <v>909</v>
      </c>
      <c r="J47">
        <v>1000</v>
      </c>
      <c r="L47" t="s">
        <v>244</v>
      </c>
      <c r="O47" t="s">
        <v>890</v>
      </c>
      <c r="P47" t="s">
        <v>890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W47" t="s">
        <v>900</v>
      </c>
      <c r="AX47" t="s">
        <v>890</v>
      </c>
      <c r="AY47" t="s">
        <v>890</v>
      </c>
      <c r="AZ47">
        <v>0</v>
      </c>
      <c r="BA47">
        <v>0</v>
      </c>
      <c r="BC47">
        <v>1</v>
      </c>
      <c r="BE47">
        <v>0</v>
      </c>
      <c r="BF47">
        <v>0</v>
      </c>
      <c r="BG47" t="s">
        <v>908</v>
      </c>
    </row>
    <row r="48" spans="1:59">
      <c r="A48" s="38"/>
      <c r="B48">
        <v>52</v>
      </c>
      <c r="F48" t="s">
        <v>908</v>
      </c>
      <c r="G48" t="s">
        <v>909</v>
      </c>
      <c r="J48">
        <v>1000</v>
      </c>
      <c r="L48" t="s">
        <v>244</v>
      </c>
      <c r="O48" t="s">
        <v>890</v>
      </c>
      <c r="P48" t="s">
        <v>890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G48">
        <v>0</v>
      </c>
      <c r="AH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W48" t="s">
        <v>900</v>
      </c>
      <c r="AX48" t="s">
        <v>890</v>
      </c>
      <c r="AY48" t="s">
        <v>890</v>
      </c>
      <c r="AZ48">
        <v>0</v>
      </c>
      <c r="BA48">
        <v>0</v>
      </c>
      <c r="BC48">
        <v>1</v>
      </c>
      <c r="BE48">
        <v>0</v>
      </c>
      <c r="BF48">
        <v>0</v>
      </c>
      <c r="BG48" t="s">
        <v>908</v>
      </c>
    </row>
    <row r="49" spans="1:59">
      <c r="A49" s="38"/>
      <c r="B49">
        <v>52</v>
      </c>
      <c r="F49" t="s">
        <v>908</v>
      </c>
      <c r="G49" t="s">
        <v>909</v>
      </c>
      <c r="J49">
        <v>1000</v>
      </c>
      <c r="L49" t="s">
        <v>244</v>
      </c>
      <c r="O49" t="s">
        <v>890</v>
      </c>
      <c r="P49" t="s">
        <v>890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G49">
        <v>0</v>
      </c>
      <c r="AH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W49" t="s">
        <v>900</v>
      </c>
      <c r="AX49" t="s">
        <v>890</v>
      </c>
      <c r="AY49" t="s">
        <v>890</v>
      </c>
      <c r="AZ49">
        <v>0</v>
      </c>
      <c r="BA49">
        <v>0</v>
      </c>
      <c r="BC49">
        <v>1</v>
      </c>
      <c r="BE49">
        <v>0</v>
      </c>
      <c r="BF49">
        <v>0</v>
      </c>
      <c r="BG49" t="s">
        <v>908</v>
      </c>
    </row>
    <row r="50" spans="1:59">
      <c r="A50" s="38"/>
      <c r="B50">
        <v>52</v>
      </c>
      <c r="F50" t="s">
        <v>908</v>
      </c>
      <c r="G50" t="s">
        <v>909</v>
      </c>
      <c r="J50">
        <v>1000</v>
      </c>
      <c r="L50" t="s">
        <v>244</v>
      </c>
      <c r="O50" t="s">
        <v>890</v>
      </c>
      <c r="P50" t="s">
        <v>890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G50">
        <v>0</v>
      </c>
      <c r="AH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W50" t="s">
        <v>900</v>
      </c>
      <c r="AX50" t="s">
        <v>890</v>
      </c>
      <c r="AY50" t="s">
        <v>890</v>
      </c>
      <c r="AZ50">
        <v>0</v>
      </c>
      <c r="BA50">
        <v>0</v>
      </c>
      <c r="BC50">
        <v>1</v>
      </c>
      <c r="BE50">
        <v>0</v>
      </c>
      <c r="BF50">
        <v>0</v>
      </c>
      <c r="BG50" t="s">
        <v>908</v>
      </c>
    </row>
    <row r="51" spans="1:59">
      <c r="A51" s="38"/>
      <c r="B51">
        <v>52</v>
      </c>
      <c r="F51" t="s">
        <v>908</v>
      </c>
      <c r="G51" t="s">
        <v>909</v>
      </c>
      <c r="J51">
        <v>1000</v>
      </c>
      <c r="L51" t="s">
        <v>244</v>
      </c>
      <c r="O51" t="s">
        <v>890</v>
      </c>
      <c r="P51" t="s">
        <v>890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G51">
        <v>0</v>
      </c>
      <c r="AH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W51" t="s">
        <v>900</v>
      </c>
      <c r="AX51" t="s">
        <v>890</v>
      </c>
      <c r="AY51" t="s">
        <v>890</v>
      </c>
      <c r="AZ51">
        <v>0</v>
      </c>
      <c r="BA51">
        <v>0</v>
      </c>
      <c r="BC51">
        <v>1</v>
      </c>
      <c r="BE51">
        <v>0</v>
      </c>
      <c r="BF51">
        <v>0</v>
      </c>
      <c r="BG51" t="s">
        <v>908</v>
      </c>
    </row>
    <row r="52" spans="1:59">
      <c r="A52" s="38"/>
      <c r="B52">
        <v>52</v>
      </c>
      <c r="F52" t="s">
        <v>908</v>
      </c>
      <c r="G52" t="s">
        <v>909</v>
      </c>
      <c r="J52">
        <v>1000</v>
      </c>
      <c r="L52" t="s">
        <v>244</v>
      </c>
      <c r="O52" t="s">
        <v>890</v>
      </c>
      <c r="P52" t="s">
        <v>890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G52">
        <v>0</v>
      </c>
      <c r="AH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W52" t="s">
        <v>900</v>
      </c>
      <c r="AX52" t="s">
        <v>890</v>
      </c>
      <c r="AY52" t="s">
        <v>890</v>
      </c>
      <c r="AZ52">
        <v>0</v>
      </c>
      <c r="BA52">
        <v>0</v>
      </c>
      <c r="BC52">
        <v>1</v>
      </c>
      <c r="BE52">
        <v>0</v>
      </c>
      <c r="BF52">
        <v>0</v>
      </c>
      <c r="BG52" t="s">
        <v>908</v>
      </c>
    </row>
    <row r="53" spans="1:59">
      <c r="A53" s="38"/>
      <c r="B53">
        <v>52</v>
      </c>
      <c r="F53" t="s">
        <v>908</v>
      </c>
      <c r="G53" t="s">
        <v>909</v>
      </c>
      <c r="J53">
        <v>1000</v>
      </c>
      <c r="L53" t="s">
        <v>244</v>
      </c>
      <c r="O53" t="s">
        <v>890</v>
      </c>
      <c r="P53" t="s">
        <v>890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G53">
        <v>0</v>
      </c>
      <c r="AH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W53" t="s">
        <v>900</v>
      </c>
      <c r="AX53" t="s">
        <v>890</v>
      </c>
      <c r="AY53" t="s">
        <v>890</v>
      </c>
      <c r="AZ53">
        <v>0</v>
      </c>
      <c r="BA53">
        <v>0</v>
      </c>
      <c r="BC53">
        <v>1</v>
      </c>
      <c r="BE53">
        <v>0</v>
      </c>
      <c r="BF53">
        <v>0</v>
      </c>
      <c r="BG53" t="s">
        <v>908</v>
      </c>
    </row>
    <row r="54" spans="1:59">
      <c r="A54" s="38"/>
      <c r="B54">
        <v>52</v>
      </c>
      <c r="F54" t="s">
        <v>908</v>
      </c>
      <c r="G54" t="s">
        <v>909</v>
      </c>
      <c r="J54">
        <v>1000</v>
      </c>
      <c r="L54" t="s">
        <v>244</v>
      </c>
      <c r="O54" t="s">
        <v>890</v>
      </c>
      <c r="P54" t="s">
        <v>890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G54">
        <v>0</v>
      </c>
      <c r="AH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W54" t="s">
        <v>900</v>
      </c>
      <c r="AX54" t="s">
        <v>890</v>
      </c>
      <c r="AY54" t="s">
        <v>890</v>
      </c>
      <c r="AZ54">
        <v>0</v>
      </c>
      <c r="BA54">
        <v>0</v>
      </c>
      <c r="BC54">
        <v>1</v>
      </c>
      <c r="BE54">
        <v>0</v>
      </c>
      <c r="BF54">
        <v>0</v>
      </c>
      <c r="BG54" t="s">
        <v>908</v>
      </c>
    </row>
    <row r="55" spans="1:59">
      <c r="A55" s="38"/>
      <c r="B55">
        <v>52</v>
      </c>
      <c r="F55" t="s">
        <v>908</v>
      </c>
      <c r="G55" t="s">
        <v>909</v>
      </c>
      <c r="J55">
        <v>1000</v>
      </c>
      <c r="L55" t="s">
        <v>244</v>
      </c>
      <c r="O55" t="s">
        <v>890</v>
      </c>
      <c r="P55" t="s">
        <v>890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G55">
        <v>0</v>
      </c>
      <c r="AH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W55" t="s">
        <v>900</v>
      </c>
      <c r="AX55" t="s">
        <v>890</v>
      </c>
      <c r="AY55" t="s">
        <v>890</v>
      </c>
      <c r="AZ55">
        <v>0</v>
      </c>
      <c r="BA55">
        <v>0</v>
      </c>
      <c r="BC55">
        <v>1</v>
      </c>
      <c r="BE55">
        <v>0</v>
      </c>
      <c r="BF55">
        <v>0</v>
      </c>
      <c r="BG55" t="s">
        <v>908</v>
      </c>
    </row>
    <row r="56" spans="1:59">
      <c r="A56" s="38"/>
      <c r="B56">
        <v>52</v>
      </c>
      <c r="F56" t="s">
        <v>908</v>
      </c>
      <c r="G56" t="s">
        <v>909</v>
      </c>
      <c r="J56">
        <v>1000</v>
      </c>
      <c r="L56" t="s">
        <v>244</v>
      </c>
      <c r="O56" t="s">
        <v>890</v>
      </c>
      <c r="P56" t="s">
        <v>890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G56">
        <v>0</v>
      </c>
      <c r="AH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W56" t="s">
        <v>900</v>
      </c>
      <c r="AX56" t="s">
        <v>890</v>
      </c>
      <c r="AY56" t="s">
        <v>890</v>
      </c>
      <c r="AZ56">
        <v>0</v>
      </c>
      <c r="BA56">
        <v>0</v>
      </c>
      <c r="BC56">
        <v>1</v>
      </c>
      <c r="BE56">
        <v>0</v>
      </c>
      <c r="BF56">
        <v>0</v>
      </c>
      <c r="BG56" t="s">
        <v>908</v>
      </c>
    </row>
    <row r="57" spans="1:59">
      <c r="A57" s="38"/>
      <c r="B57">
        <v>52</v>
      </c>
      <c r="F57" t="s">
        <v>908</v>
      </c>
      <c r="G57" t="s">
        <v>909</v>
      </c>
      <c r="J57">
        <v>1000</v>
      </c>
      <c r="L57" t="s">
        <v>244</v>
      </c>
      <c r="O57" t="s">
        <v>890</v>
      </c>
      <c r="P57" t="s">
        <v>890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G57">
        <v>0</v>
      </c>
      <c r="AH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W57" t="s">
        <v>900</v>
      </c>
      <c r="AX57" t="s">
        <v>890</v>
      </c>
      <c r="AY57" t="s">
        <v>890</v>
      </c>
      <c r="AZ57">
        <v>0</v>
      </c>
      <c r="BA57">
        <v>0</v>
      </c>
      <c r="BC57">
        <v>1</v>
      </c>
      <c r="BE57">
        <v>0</v>
      </c>
      <c r="BF57">
        <v>0</v>
      </c>
      <c r="BG57" t="s">
        <v>908</v>
      </c>
    </row>
    <row r="58" spans="1:59">
      <c r="A58" s="38"/>
      <c r="B58">
        <v>52</v>
      </c>
      <c r="F58" t="s">
        <v>908</v>
      </c>
      <c r="G58" t="s">
        <v>909</v>
      </c>
      <c r="J58">
        <v>1000</v>
      </c>
      <c r="L58" t="s">
        <v>244</v>
      </c>
      <c r="O58" t="s">
        <v>890</v>
      </c>
      <c r="P58" t="s">
        <v>890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G58">
        <v>0</v>
      </c>
      <c r="AH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W58" t="s">
        <v>900</v>
      </c>
      <c r="AX58" t="s">
        <v>890</v>
      </c>
      <c r="AY58" t="s">
        <v>890</v>
      </c>
      <c r="AZ58">
        <v>0</v>
      </c>
      <c r="BA58">
        <v>0</v>
      </c>
      <c r="BC58">
        <v>1</v>
      </c>
      <c r="BE58">
        <v>0</v>
      </c>
      <c r="BF58">
        <v>0</v>
      </c>
      <c r="BG58" t="s">
        <v>908</v>
      </c>
    </row>
    <row r="59" spans="1:59">
      <c r="A59" s="38"/>
      <c r="B59">
        <v>52</v>
      </c>
      <c r="F59" t="s">
        <v>908</v>
      </c>
      <c r="G59" t="s">
        <v>909</v>
      </c>
      <c r="J59">
        <v>1000</v>
      </c>
      <c r="L59" t="s">
        <v>244</v>
      </c>
      <c r="O59" t="s">
        <v>890</v>
      </c>
      <c r="P59" t="s">
        <v>890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G59">
        <v>0</v>
      </c>
      <c r="AH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W59" t="s">
        <v>900</v>
      </c>
      <c r="AX59" t="s">
        <v>890</v>
      </c>
      <c r="AY59" t="s">
        <v>890</v>
      </c>
      <c r="AZ59">
        <v>0</v>
      </c>
      <c r="BA59">
        <v>0</v>
      </c>
      <c r="BC59">
        <v>1</v>
      </c>
      <c r="BE59">
        <v>0</v>
      </c>
      <c r="BF59">
        <v>0</v>
      </c>
      <c r="BG59" t="s">
        <v>908</v>
      </c>
    </row>
    <row r="60" spans="1:59">
      <c r="A60" s="38"/>
      <c r="B60">
        <v>52</v>
      </c>
      <c r="F60" t="s">
        <v>908</v>
      </c>
      <c r="G60" t="s">
        <v>909</v>
      </c>
      <c r="J60">
        <v>1000</v>
      </c>
      <c r="L60" t="s">
        <v>244</v>
      </c>
      <c r="O60" t="s">
        <v>890</v>
      </c>
      <c r="P60" t="s">
        <v>890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G60">
        <v>0</v>
      </c>
      <c r="AH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W60" t="s">
        <v>900</v>
      </c>
      <c r="AX60" t="s">
        <v>890</v>
      </c>
      <c r="AY60" t="s">
        <v>890</v>
      </c>
      <c r="AZ60">
        <v>0</v>
      </c>
      <c r="BA60">
        <v>0</v>
      </c>
      <c r="BC60">
        <v>1</v>
      </c>
      <c r="BE60">
        <v>0</v>
      </c>
      <c r="BF60">
        <v>0</v>
      </c>
      <c r="BG60" t="s">
        <v>908</v>
      </c>
    </row>
    <row r="61" spans="1:59">
      <c r="A61" s="38"/>
      <c r="B61">
        <v>52</v>
      </c>
      <c r="F61" t="s">
        <v>908</v>
      </c>
      <c r="G61" t="s">
        <v>909</v>
      </c>
      <c r="J61">
        <v>1000</v>
      </c>
      <c r="L61" t="s">
        <v>244</v>
      </c>
      <c r="O61" t="s">
        <v>890</v>
      </c>
      <c r="P61" t="s">
        <v>890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H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W61" t="s">
        <v>900</v>
      </c>
      <c r="AX61" t="s">
        <v>890</v>
      </c>
      <c r="AY61" t="s">
        <v>890</v>
      </c>
      <c r="AZ61">
        <v>0</v>
      </c>
      <c r="BA61">
        <v>0</v>
      </c>
      <c r="BC61">
        <v>1</v>
      </c>
      <c r="BE61">
        <v>0</v>
      </c>
      <c r="BF61">
        <v>0</v>
      </c>
      <c r="BG61" t="s">
        <v>908</v>
      </c>
    </row>
    <row r="62" spans="1:59">
      <c r="A62" s="38"/>
      <c r="B62">
        <v>52</v>
      </c>
      <c r="F62" t="s">
        <v>908</v>
      </c>
      <c r="G62" t="s">
        <v>909</v>
      </c>
      <c r="J62">
        <v>1000</v>
      </c>
      <c r="L62" t="s">
        <v>244</v>
      </c>
      <c r="O62" t="s">
        <v>890</v>
      </c>
      <c r="P62" t="s">
        <v>890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G62">
        <v>0</v>
      </c>
      <c r="AH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W62" t="s">
        <v>900</v>
      </c>
      <c r="AX62" t="s">
        <v>890</v>
      </c>
      <c r="AY62" t="s">
        <v>890</v>
      </c>
      <c r="AZ62">
        <v>0</v>
      </c>
      <c r="BA62">
        <v>0</v>
      </c>
      <c r="BC62">
        <v>1</v>
      </c>
      <c r="BE62">
        <v>0</v>
      </c>
      <c r="BF62">
        <v>0</v>
      </c>
      <c r="BG62" t="s">
        <v>908</v>
      </c>
    </row>
    <row r="63" spans="1:59">
      <c r="A63" s="38"/>
      <c r="B63">
        <v>52</v>
      </c>
      <c r="F63" t="s">
        <v>908</v>
      </c>
      <c r="G63" t="s">
        <v>909</v>
      </c>
      <c r="J63">
        <v>1000</v>
      </c>
      <c r="L63" t="s">
        <v>244</v>
      </c>
      <c r="O63" t="s">
        <v>890</v>
      </c>
      <c r="P63" t="s">
        <v>890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H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W63" t="s">
        <v>900</v>
      </c>
      <c r="AX63" t="s">
        <v>890</v>
      </c>
      <c r="AY63" t="s">
        <v>890</v>
      </c>
      <c r="AZ63">
        <v>0</v>
      </c>
      <c r="BA63">
        <v>0</v>
      </c>
      <c r="BC63">
        <v>1</v>
      </c>
      <c r="BE63">
        <v>0</v>
      </c>
      <c r="BF63">
        <v>0</v>
      </c>
      <c r="BG63" t="s">
        <v>908</v>
      </c>
    </row>
    <row r="64" spans="1:59">
      <c r="A64" s="38"/>
      <c r="B64">
        <v>52</v>
      </c>
      <c r="F64" t="s">
        <v>908</v>
      </c>
      <c r="G64" t="s">
        <v>909</v>
      </c>
      <c r="J64">
        <v>1000</v>
      </c>
      <c r="L64" t="s">
        <v>244</v>
      </c>
      <c r="O64" t="s">
        <v>890</v>
      </c>
      <c r="P64" t="s">
        <v>890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G64">
        <v>0</v>
      </c>
      <c r="AH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W64" t="s">
        <v>900</v>
      </c>
      <c r="AX64" t="s">
        <v>890</v>
      </c>
      <c r="AY64" t="s">
        <v>890</v>
      </c>
      <c r="AZ64">
        <v>0</v>
      </c>
      <c r="BA64">
        <v>0</v>
      </c>
      <c r="BC64">
        <v>1</v>
      </c>
      <c r="BE64">
        <v>0</v>
      </c>
      <c r="BF64">
        <v>0</v>
      </c>
      <c r="BG64" t="s">
        <v>908</v>
      </c>
    </row>
    <row r="65" spans="1:59">
      <c r="A65" s="38"/>
      <c r="B65">
        <v>52</v>
      </c>
      <c r="F65" t="s">
        <v>908</v>
      </c>
      <c r="G65" t="s">
        <v>909</v>
      </c>
      <c r="J65">
        <v>1000</v>
      </c>
      <c r="L65" t="s">
        <v>244</v>
      </c>
      <c r="O65" t="s">
        <v>890</v>
      </c>
      <c r="P65" t="s">
        <v>890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G65">
        <v>0</v>
      </c>
      <c r="AH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W65" t="s">
        <v>900</v>
      </c>
      <c r="AX65" t="s">
        <v>890</v>
      </c>
      <c r="AY65" t="s">
        <v>890</v>
      </c>
      <c r="AZ65">
        <v>0</v>
      </c>
      <c r="BA65">
        <v>0</v>
      </c>
      <c r="BC65">
        <v>1</v>
      </c>
      <c r="BE65">
        <v>0</v>
      </c>
      <c r="BF65">
        <v>0</v>
      </c>
      <c r="BG65" t="s">
        <v>908</v>
      </c>
    </row>
    <row r="66" spans="1:59">
      <c r="A66" s="38"/>
      <c r="B66">
        <v>52</v>
      </c>
      <c r="F66" t="s">
        <v>908</v>
      </c>
      <c r="G66" t="s">
        <v>909</v>
      </c>
      <c r="J66">
        <v>1000</v>
      </c>
      <c r="L66" t="s">
        <v>244</v>
      </c>
      <c r="O66" t="s">
        <v>890</v>
      </c>
      <c r="P66" t="s">
        <v>890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G66">
        <v>0</v>
      </c>
      <c r="AH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W66" t="s">
        <v>900</v>
      </c>
      <c r="AX66" t="s">
        <v>890</v>
      </c>
      <c r="AY66" t="s">
        <v>890</v>
      </c>
      <c r="AZ66">
        <v>0</v>
      </c>
      <c r="BA66">
        <v>0</v>
      </c>
      <c r="BC66">
        <v>1</v>
      </c>
      <c r="BE66">
        <v>0</v>
      </c>
      <c r="BF66">
        <v>0</v>
      </c>
      <c r="BG66" t="s">
        <v>908</v>
      </c>
    </row>
    <row r="67" spans="1:59">
      <c r="A67" s="38"/>
      <c r="B67">
        <v>52</v>
      </c>
      <c r="F67" t="s">
        <v>908</v>
      </c>
      <c r="G67" t="s">
        <v>909</v>
      </c>
      <c r="J67">
        <v>1000</v>
      </c>
      <c r="L67" t="s">
        <v>244</v>
      </c>
      <c r="O67" t="s">
        <v>890</v>
      </c>
      <c r="P67" t="s">
        <v>890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H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W67" t="s">
        <v>900</v>
      </c>
      <c r="AX67" t="s">
        <v>890</v>
      </c>
      <c r="AY67" t="s">
        <v>890</v>
      </c>
      <c r="AZ67">
        <v>0</v>
      </c>
      <c r="BA67">
        <v>0</v>
      </c>
      <c r="BC67">
        <v>1</v>
      </c>
      <c r="BE67">
        <v>0</v>
      </c>
      <c r="BF67">
        <v>0</v>
      </c>
      <c r="BG67" t="s">
        <v>908</v>
      </c>
    </row>
    <row r="68" spans="1:59">
      <c r="A68" s="38"/>
      <c r="B68">
        <v>52</v>
      </c>
      <c r="F68" t="s">
        <v>908</v>
      </c>
      <c r="G68" t="s">
        <v>909</v>
      </c>
      <c r="J68">
        <v>1000</v>
      </c>
      <c r="L68" t="s">
        <v>244</v>
      </c>
      <c r="O68" t="s">
        <v>890</v>
      </c>
      <c r="P68" t="s">
        <v>890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G68">
        <v>0</v>
      </c>
      <c r="AH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W68" t="s">
        <v>900</v>
      </c>
      <c r="AX68" t="s">
        <v>890</v>
      </c>
      <c r="AY68" t="s">
        <v>890</v>
      </c>
      <c r="AZ68">
        <v>0</v>
      </c>
      <c r="BA68">
        <v>0</v>
      </c>
      <c r="BC68">
        <v>1</v>
      </c>
      <c r="BE68">
        <v>0</v>
      </c>
      <c r="BF68">
        <v>0</v>
      </c>
      <c r="BG68" t="s">
        <v>908</v>
      </c>
    </row>
    <row r="69" spans="1:59">
      <c r="A69" s="38"/>
      <c r="B69">
        <v>52</v>
      </c>
      <c r="F69" t="s">
        <v>908</v>
      </c>
      <c r="G69" t="s">
        <v>909</v>
      </c>
      <c r="J69">
        <v>1000</v>
      </c>
      <c r="L69" t="s">
        <v>244</v>
      </c>
      <c r="O69" t="s">
        <v>890</v>
      </c>
      <c r="P69" t="s">
        <v>890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H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W69" t="s">
        <v>900</v>
      </c>
      <c r="AX69" t="s">
        <v>890</v>
      </c>
      <c r="AY69" t="s">
        <v>890</v>
      </c>
      <c r="AZ69">
        <v>0</v>
      </c>
      <c r="BA69">
        <v>0</v>
      </c>
      <c r="BC69">
        <v>1</v>
      </c>
      <c r="BE69">
        <v>0</v>
      </c>
      <c r="BF69">
        <v>0</v>
      </c>
      <c r="BG69" t="s">
        <v>908</v>
      </c>
    </row>
    <row r="70" spans="1:59">
      <c r="A70" s="38"/>
      <c r="B70">
        <v>52</v>
      </c>
      <c r="F70" t="s">
        <v>908</v>
      </c>
      <c r="G70" t="s">
        <v>909</v>
      </c>
      <c r="J70">
        <v>1000</v>
      </c>
      <c r="L70" t="s">
        <v>244</v>
      </c>
      <c r="O70" t="s">
        <v>890</v>
      </c>
      <c r="P70" t="s">
        <v>890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H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W70" t="s">
        <v>900</v>
      </c>
      <c r="AX70" t="s">
        <v>890</v>
      </c>
      <c r="AY70" t="s">
        <v>890</v>
      </c>
      <c r="AZ70">
        <v>0</v>
      </c>
      <c r="BA70">
        <v>0</v>
      </c>
      <c r="BC70">
        <v>1</v>
      </c>
      <c r="BE70">
        <v>0</v>
      </c>
      <c r="BF70">
        <v>0</v>
      </c>
      <c r="BG70" t="s">
        <v>908</v>
      </c>
    </row>
    <row r="71" spans="1:59">
      <c r="A71" s="38"/>
      <c r="B71">
        <v>52</v>
      </c>
      <c r="F71" t="s">
        <v>908</v>
      </c>
      <c r="G71" t="s">
        <v>909</v>
      </c>
      <c r="J71">
        <v>1000</v>
      </c>
      <c r="L71" t="s">
        <v>244</v>
      </c>
      <c r="O71" t="s">
        <v>890</v>
      </c>
      <c r="P71" t="s">
        <v>890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G71">
        <v>0</v>
      </c>
      <c r="AH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W71" t="s">
        <v>900</v>
      </c>
      <c r="AX71" t="s">
        <v>890</v>
      </c>
      <c r="AY71" t="s">
        <v>890</v>
      </c>
      <c r="AZ71">
        <v>0</v>
      </c>
      <c r="BA71">
        <v>0</v>
      </c>
      <c r="BC71">
        <v>1</v>
      </c>
      <c r="BE71">
        <v>0</v>
      </c>
      <c r="BF71">
        <v>0</v>
      </c>
      <c r="BG71" t="s">
        <v>908</v>
      </c>
    </row>
    <row r="72" spans="1:59">
      <c r="A72" s="38"/>
      <c r="B72">
        <v>52</v>
      </c>
      <c r="F72" t="s">
        <v>908</v>
      </c>
      <c r="G72" t="s">
        <v>909</v>
      </c>
      <c r="J72">
        <v>1000</v>
      </c>
      <c r="L72" t="s">
        <v>244</v>
      </c>
      <c r="O72" t="s">
        <v>890</v>
      </c>
      <c r="P72" t="s">
        <v>890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G72">
        <v>0</v>
      </c>
      <c r="AH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W72" t="s">
        <v>900</v>
      </c>
      <c r="AX72" t="s">
        <v>890</v>
      </c>
      <c r="AY72" t="s">
        <v>890</v>
      </c>
      <c r="AZ72">
        <v>0</v>
      </c>
      <c r="BA72">
        <v>0</v>
      </c>
      <c r="BC72">
        <v>1</v>
      </c>
      <c r="BE72">
        <v>0</v>
      </c>
      <c r="BF72">
        <v>0</v>
      </c>
      <c r="BG72" t="s">
        <v>908</v>
      </c>
    </row>
    <row r="73" spans="1:59">
      <c r="A73" s="38"/>
      <c r="B73">
        <v>52</v>
      </c>
      <c r="F73" t="s">
        <v>908</v>
      </c>
      <c r="G73" t="s">
        <v>909</v>
      </c>
      <c r="J73">
        <v>1000</v>
      </c>
      <c r="L73" t="s">
        <v>244</v>
      </c>
      <c r="O73" t="s">
        <v>890</v>
      </c>
      <c r="P73" t="s">
        <v>890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G73">
        <v>0</v>
      </c>
      <c r="AH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W73" t="s">
        <v>900</v>
      </c>
      <c r="AX73" t="s">
        <v>890</v>
      </c>
      <c r="AY73" t="s">
        <v>890</v>
      </c>
      <c r="AZ73">
        <v>0</v>
      </c>
      <c r="BA73">
        <v>0</v>
      </c>
      <c r="BC73">
        <v>1</v>
      </c>
      <c r="BE73">
        <v>0</v>
      </c>
      <c r="BF73">
        <v>0</v>
      </c>
      <c r="BG73" t="s">
        <v>908</v>
      </c>
    </row>
    <row r="74" spans="1:59">
      <c r="A74" s="38"/>
      <c r="B74">
        <v>52</v>
      </c>
      <c r="F74" t="s">
        <v>908</v>
      </c>
      <c r="G74" t="s">
        <v>909</v>
      </c>
      <c r="J74">
        <v>1000</v>
      </c>
      <c r="L74" t="s">
        <v>244</v>
      </c>
      <c r="O74" t="s">
        <v>890</v>
      </c>
      <c r="P74" t="s">
        <v>890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G74">
        <v>0</v>
      </c>
      <c r="AH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W74" t="s">
        <v>900</v>
      </c>
      <c r="AX74" t="s">
        <v>890</v>
      </c>
      <c r="AY74" t="s">
        <v>890</v>
      </c>
      <c r="AZ74">
        <v>0</v>
      </c>
      <c r="BA74">
        <v>0</v>
      </c>
      <c r="BC74">
        <v>1</v>
      </c>
      <c r="BE74">
        <v>0</v>
      </c>
      <c r="BF74">
        <v>0</v>
      </c>
      <c r="BG74" t="s">
        <v>908</v>
      </c>
    </row>
    <row r="75" spans="1:59">
      <c r="A75" s="38"/>
      <c r="B75">
        <v>52</v>
      </c>
      <c r="F75" t="s">
        <v>908</v>
      </c>
      <c r="G75" t="s">
        <v>909</v>
      </c>
      <c r="J75">
        <v>1000</v>
      </c>
      <c r="L75" t="s">
        <v>244</v>
      </c>
      <c r="O75" t="s">
        <v>890</v>
      </c>
      <c r="P75" t="s">
        <v>890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G75">
        <v>0</v>
      </c>
      <c r="AH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W75" t="s">
        <v>900</v>
      </c>
      <c r="AX75" t="s">
        <v>890</v>
      </c>
      <c r="AY75" t="s">
        <v>890</v>
      </c>
      <c r="AZ75">
        <v>0</v>
      </c>
      <c r="BA75">
        <v>0</v>
      </c>
      <c r="BC75">
        <v>1</v>
      </c>
      <c r="BE75">
        <v>0</v>
      </c>
      <c r="BF75">
        <v>0</v>
      </c>
      <c r="BG75" t="s">
        <v>908</v>
      </c>
    </row>
    <row r="76" spans="1:59">
      <c r="A76" s="38"/>
      <c r="B76">
        <v>52</v>
      </c>
      <c r="F76" t="s">
        <v>908</v>
      </c>
      <c r="G76" t="s">
        <v>909</v>
      </c>
      <c r="J76">
        <v>1000</v>
      </c>
      <c r="L76" t="s">
        <v>244</v>
      </c>
      <c r="O76" t="s">
        <v>890</v>
      </c>
      <c r="P76" t="s">
        <v>890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G76">
        <v>0</v>
      </c>
      <c r="AH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W76" t="s">
        <v>900</v>
      </c>
      <c r="AX76" t="s">
        <v>890</v>
      </c>
      <c r="AY76" t="s">
        <v>890</v>
      </c>
      <c r="AZ76">
        <v>0</v>
      </c>
      <c r="BA76">
        <v>0</v>
      </c>
      <c r="BC76">
        <v>1</v>
      </c>
      <c r="BE76">
        <v>0</v>
      </c>
      <c r="BF76">
        <v>0</v>
      </c>
      <c r="BG76" t="s">
        <v>908</v>
      </c>
    </row>
    <row r="77" spans="1:59">
      <c r="A77" s="38"/>
      <c r="B77">
        <v>52</v>
      </c>
      <c r="F77" t="s">
        <v>908</v>
      </c>
      <c r="G77" t="s">
        <v>909</v>
      </c>
      <c r="J77">
        <v>1000</v>
      </c>
      <c r="L77" t="s">
        <v>244</v>
      </c>
      <c r="O77" t="s">
        <v>890</v>
      </c>
      <c r="P77" t="s">
        <v>890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G77">
        <v>0</v>
      </c>
      <c r="AH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W77" t="s">
        <v>900</v>
      </c>
      <c r="AX77" t="s">
        <v>890</v>
      </c>
      <c r="AY77" t="s">
        <v>890</v>
      </c>
      <c r="AZ77">
        <v>0</v>
      </c>
      <c r="BA77">
        <v>0</v>
      </c>
      <c r="BC77">
        <v>1</v>
      </c>
      <c r="BE77">
        <v>0</v>
      </c>
      <c r="BF77">
        <v>0</v>
      </c>
      <c r="BG77" t="s">
        <v>908</v>
      </c>
    </row>
    <row r="78" spans="1:59">
      <c r="A78" s="38"/>
      <c r="B78">
        <v>52</v>
      </c>
      <c r="F78" t="s">
        <v>908</v>
      </c>
      <c r="G78" t="s">
        <v>909</v>
      </c>
      <c r="J78">
        <v>1000</v>
      </c>
      <c r="L78" t="s">
        <v>244</v>
      </c>
      <c r="O78" t="s">
        <v>890</v>
      </c>
      <c r="P78" t="s">
        <v>890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W78" t="s">
        <v>900</v>
      </c>
      <c r="AX78" t="s">
        <v>890</v>
      </c>
      <c r="AY78" t="s">
        <v>890</v>
      </c>
      <c r="AZ78">
        <v>0</v>
      </c>
      <c r="BA78">
        <v>0</v>
      </c>
      <c r="BC78">
        <v>1</v>
      </c>
      <c r="BE78">
        <v>0</v>
      </c>
      <c r="BF78">
        <v>0</v>
      </c>
      <c r="BG78" t="s">
        <v>908</v>
      </c>
    </row>
    <row r="79" spans="1:59">
      <c r="A79" s="38"/>
      <c r="B79">
        <v>52</v>
      </c>
      <c r="F79" t="s">
        <v>908</v>
      </c>
      <c r="G79" t="s">
        <v>909</v>
      </c>
      <c r="J79">
        <v>1000</v>
      </c>
      <c r="L79" t="s">
        <v>244</v>
      </c>
      <c r="O79" t="s">
        <v>890</v>
      </c>
      <c r="P79" t="s">
        <v>890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G79">
        <v>0</v>
      </c>
      <c r="AH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W79" t="s">
        <v>900</v>
      </c>
      <c r="AX79" t="s">
        <v>890</v>
      </c>
      <c r="AY79" t="s">
        <v>890</v>
      </c>
      <c r="AZ79">
        <v>0</v>
      </c>
      <c r="BA79">
        <v>0</v>
      </c>
      <c r="BC79">
        <v>1</v>
      </c>
      <c r="BE79">
        <v>0</v>
      </c>
      <c r="BF79">
        <v>0</v>
      </c>
      <c r="BG79" t="s">
        <v>908</v>
      </c>
    </row>
    <row r="80" spans="1:59">
      <c r="A80" s="38"/>
      <c r="B80">
        <v>52</v>
      </c>
      <c r="F80" t="s">
        <v>908</v>
      </c>
      <c r="G80" t="s">
        <v>909</v>
      </c>
      <c r="J80">
        <v>1000</v>
      </c>
      <c r="L80" t="s">
        <v>244</v>
      </c>
      <c r="O80" t="s">
        <v>890</v>
      </c>
      <c r="P80" t="s">
        <v>890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G80">
        <v>0</v>
      </c>
      <c r="AH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W80" t="s">
        <v>900</v>
      </c>
      <c r="AX80" t="s">
        <v>890</v>
      </c>
      <c r="AY80" t="s">
        <v>890</v>
      </c>
      <c r="AZ80">
        <v>0</v>
      </c>
      <c r="BA80">
        <v>0</v>
      </c>
      <c r="BC80">
        <v>1</v>
      </c>
      <c r="BE80">
        <v>0</v>
      </c>
      <c r="BF80">
        <v>0</v>
      </c>
      <c r="BG80" t="s">
        <v>908</v>
      </c>
    </row>
    <row r="81" spans="1:61">
      <c r="A81" s="38"/>
      <c r="B81">
        <v>52</v>
      </c>
      <c r="F81" t="s">
        <v>908</v>
      </c>
      <c r="G81" t="s">
        <v>909</v>
      </c>
      <c r="J81">
        <v>1000</v>
      </c>
      <c r="L81" t="s">
        <v>244</v>
      </c>
      <c r="O81" t="s">
        <v>890</v>
      </c>
      <c r="P81" t="s">
        <v>890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G81">
        <v>0</v>
      </c>
      <c r="AH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W81" t="s">
        <v>900</v>
      </c>
      <c r="AX81" t="s">
        <v>890</v>
      </c>
      <c r="AY81" t="s">
        <v>890</v>
      </c>
      <c r="AZ81">
        <v>0</v>
      </c>
      <c r="BA81">
        <v>0</v>
      </c>
      <c r="BC81">
        <v>1</v>
      </c>
      <c r="BE81">
        <v>0</v>
      </c>
      <c r="BF81">
        <v>0</v>
      </c>
      <c r="BG81" t="s">
        <v>908</v>
      </c>
    </row>
    <row r="82" spans="1:61">
      <c r="A82" s="38"/>
      <c r="B82">
        <v>52</v>
      </c>
      <c r="F82" t="s">
        <v>908</v>
      </c>
      <c r="G82" t="s">
        <v>909</v>
      </c>
      <c r="J82">
        <v>1000</v>
      </c>
      <c r="L82" t="s">
        <v>244</v>
      </c>
      <c r="O82" t="s">
        <v>890</v>
      </c>
      <c r="P82" t="s">
        <v>890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G82">
        <v>0</v>
      </c>
      <c r="AH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W82" t="s">
        <v>900</v>
      </c>
      <c r="AX82" t="s">
        <v>890</v>
      </c>
      <c r="AY82" t="s">
        <v>890</v>
      </c>
      <c r="AZ82">
        <v>0</v>
      </c>
      <c r="BA82">
        <v>0</v>
      </c>
      <c r="BC82">
        <v>1</v>
      </c>
      <c r="BE82">
        <v>0</v>
      </c>
      <c r="BF82">
        <v>0</v>
      </c>
      <c r="BG82" t="s">
        <v>908</v>
      </c>
    </row>
    <row r="83" spans="1:61">
      <c r="A83" s="38"/>
      <c r="B83">
        <v>52</v>
      </c>
      <c r="F83" t="s">
        <v>908</v>
      </c>
      <c r="G83" t="s">
        <v>909</v>
      </c>
      <c r="J83">
        <v>1000</v>
      </c>
      <c r="L83" t="s">
        <v>244</v>
      </c>
      <c r="O83" t="s">
        <v>890</v>
      </c>
      <c r="P83" t="s">
        <v>890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G83">
        <v>0</v>
      </c>
      <c r="AH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W83" t="s">
        <v>900</v>
      </c>
      <c r="AX83" t="s">
        <v>890</v>
      </c>
      <c r="AY83" t="s">
        <v>890</v>
      </c>
      <c r="AZ83">
        <v>0</v>
      </c>
      <c r="BA83">
        <v>0</v>
      </c>
      <c r="BC83">
        <v>1</v>
      </c>
      <c r="BE83">
        <v>0</v>
      </c>
      <c r="BF83">
        <v>0</v>
      </c>
      <c r="BG83" t="s">
        <v>908</v>
      </c>
    </row>
    <row r="84" spans="1:61">
      <c r="A84" s="38"/>
      <c r="B84">
        <v>52</v>
      </c>
      <c r="F84" t="s">
        <v>908</v>
      </c>
      <c r="G84" t="s">
        <v>909</v>
      </c>
      <c r="J84">
        <v>1000</v>
      </c>
      <c r="L84" t="s">
        <v>244</v>
      </c>
      <c r="O84" t="s">
        <v>890</v>
      </c>
      <c r="P84" t="s">
        <v>890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G84">
        <v>0</v>
      </c>
      <c r="AH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W84" t="s">
        <v>900</v>
      </c>
      <c r="AX84" t="s">
        <v>890</v>
      </c>
      <c r="AY84" t="s">
        <v>890</v>
      </c>
      <c r="AZ84">
        <v>0</v>
      </c>
      <c r="BA84">
        <v>0</v>
      </c>
      <c r="BC84">
        <v>1</v>
      </c>
      <c r="BE84">
        <v>0</v>
      </c>
      <c r="BF84">
        <v>0</v>
      </c>
      <c r="BG84" t="s">
        <v>908</v>
      </c>
    </row>
    <row r="85" spans="1:61">
      <c r="A85" s="38"/>
      <c r="B85">
        <v>52</v>
      </c>
      <c r="F85" t="s">
        <v>908</v>
      </c>
      <c r="G85" t="s">
        <v>909</v>
      </c>
      <c r="J85">
        <v>1000</v>
      </c>
      <c r="L85" t="s">
        <v>244</v>
      </c>
      <c r="O85" t="s">
        <v>890</v>
      </c>
      <c r="P85" t="s">
        <v>890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G85">
        <v>0</v>
      </c>
      <c r="AH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W85" t="s">
        <v>900</v>
      </c>
      <c r="AX85" t="s">
        <v>890</v>
      </c>
      <c r="AY85" t="s">
        <v>890</v>
      </c>
      <c r="AZ85">
        <v>0</v>
      </c>
      <c r="BA85">
        <v>0</v>
      </c>
      <c r="BC85">
        <v>1</v>
      </c>
      <c r="BE85">
        <v>0</v>
      </c>
      <c r="BF85">
        <v>0</v>
      </c>
      <c r="BG85" t="s">
        <v>908</v>
      </c>
    </row>
    <row r="86" spans="1:61">
      <c r="A86" s="38"/>
      <c r="B86">
        <v>52</v>
      </c>
      <c r="F86" t="s">
        <v>908</v>
      </c>
      <c r="G86" t="s">
        <v>909</v>
      </c>
      <c r="J86">
        <v>1000</v>
      </c>
      <c r="L86" t="s">
        <v>244</v>
      </c>
      <c r="O86" t="s">
        <v>890</v>
      </c>
      <c r="P86" t="s">
        <v>890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G86">
        <v>0</v>
      </c>
      <c r="AH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W86" t="s">
        <v>900</v>
      </c>
      <c r="AX86" t="s">
        <v>890</v>
      </c>
      <c r="AY86" t="s">
        <v>890</v>
      </c>
      <c r="AZ86">
        <v>0</v>
      </c>
      <c r="BA86">
        <v>0</v>
      </c>
      <c r="BC86">
        <v>1</v>
      </c>
      <c r="BE86">
        <v>0</v>
      </c>
      <c r="BF86">
        <v>0</v>
      </c>
      <c r="BG86" t="s">
        <v>908</v>
      </c>
    </row>
    <row r="87" spans="1:61">
      <c r="A87" s="38"/>
      <c r="B87">
        <v>52</v>
      </c>
      <c r="F87" t="s">
        <v>908</v>
      </c>
      <c r="G87" t="s">
        <v>909</v>
      </c>
      <c r="J87">
        <v>1000</v>
      </c>
      <c r="L87" t="s">
        <v>244</v>
      </c>
      <c r="O87" t="s">
        <v>890</v>
      </c>
      <c r="P87" t="s">
        <v>890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G87">
        <v>0</v>
      </c>
      <c r="AH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W87" t="s">
        <v>900</v>
      </c>
      <c r="AX87" t="s">
        <v>890</v>
      </c>
      <c r="AY87" t="s">
        <v>890</v>
      </c>
      <c r="AZ87">
        <v>0</v>
      </c>
      <c r="BA87">
        <v>0</v>
      </c>
      <c r="BC87">
        <v>1</v>
      </c>
      <c r="BE87">
        <v>0</v>
      </c>
      <c r="BF87">
        <v>0</v>
      </c>
      <c r="BG87" t="s">
        <v>908</v>
      </c>
    </row>
    <row r="88" spans="1:61">
      <c r="A88" s="38"/>
      <c r="B88">
        <v>52</v>
      </c>
      <c r="F88" t="s">
        <v>908</v>
      </c>
      <c r="G88" t="s">
        <v>909</v>
      </c>
      <c r="J88">
        <v>1000</v>
      </c>
      <c r="L88" t="s">
        <v>244</v>
      </c>
      <c r="O88" t="s">
        <v>890</v>
      </c>
      <c r="P88" t="s">
        <v>890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H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W88" t="s">
        <v>900</v>
      </c>
      <c r="AX88" t="s">
        <v>890</v>
      </c>
      <c r="AY88" t="s">
        <v>890</v>
      </c>
      <c r="AZ88">
        <v>0</v>
      </c>
      <c r="BA88">
        <v>0</v>
      </c>
      <c r="BC88">
        <v>1</v>
      </c>
      <c r="BE88">
        <v>0</v>
      </c>
      <c r="BF88">
        <v>0</v>
      </c>
      <c r="BG88" t="s">
        <v>908</v>
      </c>
    </row>
    <row r="89" spans="1:61">
      <c r="A89" s="38"/>
      <c r="B89">
        <v>52</v>
      </c>
      <c r="F89" t="s">
        <v>908</v>
      </c>
      <c r="G89" t="s">
        <v>909</v>
      </c>
      <c r="J89">
        <v>1000</v>
      </c>
      <c r="L89" t="s">
        <v>244</v>
      </c>
      <c r="O89" t="s">
        <v>890</v>
      </c>
      <c r="P89" t="s">
        <v>890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G89">
        <v>0</v>
      </c>
      <c r="AH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W89" t="s">
        <v>900</v>
      </c>
      <c r="AX89" t="s">
        <v>890</v>
      </c>
      <c r="AY89" t="s">
        <v>890</v>
      </c>
      <c r="AZ89">
        <v>0</v>
      </c>
      <c r="BA89">
        <v>0</v>
      </c>
      <c r="BC89">
        <v>1</v>
      </c>
      <c r="BE89">
        <v>0</v>
      </c>
      <c r="BF89">
        <v>0</v>
      </c>
      <c r="BG89" t="s">
        <v>908</v>
      </c>
    </row>
    <row r="90" spans="1:61">
      <c r="A90" s="38"/>
      <c r="B90">
        <v>52</v>
      </c>
      <c r="F90" t="s">
        <v>908</v>
      </c>
      <c r="G90" t="s">
        <v>909</v>
      </c>
      <c r="J90">
        <v>1000</v>
      </c>
      <c r="L90" t="s">
        <v>244</v>
      </c>
      <c r="O90" t="s">
        <v>890</v>
      </c>
      <c r="P90" t="s">
        <v>890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G90">
        <v>0</v>
      </c>
      <c r="AH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W90" t="s">
        <v>900</v>
      </c>
      <c r="AX90" t="s">
        <v>890</v>
      </c>
      <c r="AY90" t="s">
        <v>890</v>
      </c>
      <c r="AZ90">
        <v>0</v>
      </c>
      <c r="BA90">
        <v>0</v>
      </c>
      <c r="BC90">
        <v>1</v>
      </c>
      <c r="BE90">
        <v>0</v>
      </c>
      <c r="BF90">
        <v>0</v>
      </c>
      <c r="BG90" t="s">
        <v>908</v>
      </c>
    </row>
    <row r="91" spans="1:61">
      <c r="A91" s="38"/>
      <c r="B91">
        <v>52</v>
      </c>
      <c r="F91" t="s">
        <v>908</v>
      </c>
      <c r="G91" t="s">
        <v>909</v>
      </c>
      <c r="J91">
        <v>1000</v>
      </c>
      <c r="L91" t="s">
        <v>244</v>
      </c>
      <c r="O91" t="s">
        <v>890</v>
      </c>
      <c r="P91" t="s">
        <v>890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G91">
        <v>0</v>
      </c>
      <c r="AH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W91" t="s">
        <v>900</v>
      </c>
      <c r="AX91" t="s">
        <v>890</v>
      </c>
      <c r="AY91" t="s">
        <v>890</v>
      </c>
      <c r="AZ91">
        <v>0</v>
      </c>
      <c r="BA91">
        <v>0</v>
      </c>
      <c r="BC91">
        <v>1</v>
      </c>
      <c r="BE91">
        <v>0</v>
      </c>
      <c r="BF91">
        <v>0</v>
      </c>
      <c r="BG91" t="s">
        <v>908</v>
      </c>
    </row>
    <row r="92" spans="1:61">
      <c r="A92" s="38">
        <v>46072</v>
      </c>
      <c r="B92">
        <v>8</v>
      </c>
      <c r="C92">
        <v>2</v>
      </c>
      <c r="D92">
        <v>1</v>
      </c>
      <c r="E92">
        <v>404221000</v>
      </c>
      <c r="F92" t="s">
        <v>827</v>
      </c>
      <c r="G92" t="s">
        <v>910</v>
      </c>
      <c r="H92">
        <v>37472</v>
      </c>
      <c r="I92">
        <v>11681</v>
      </c>
      <c r="J92">
        <v>1000</v>
      </c>
      <c r="K92">
        <v>0.70833333333333337</v>
      </c>
      <c r="L92" t="s">
        <v>244</v>
      </c>
      <c r="M92">
        <v>14163</v>
      </c>
      <c r="N92">
        <v>-14.2</v>
      </c>
      <c r="O92" t="s">
        <v>890</v>
      </c>
      <c r="P92" t="s">
        <v>890</v>
      </c>
      <c r="Q92">
        <v>0.91300000000000003</v>
      </c>
      <c r="R92">
        <v>86</v>
      </c>
      <c r="S92">
        <v>8.5999999999999993E-2</v>
      </c>
      <c r="T92">
        <v>1</v>
      </c>
      <c r="U92">
        <v>1E-3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G92">
        <v>0</v>
      </c>
      <c r="AH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t="s">
        <v>892</v>
      </c>
      <c r="AQ92" t="s">
        <v>892</v>
      </c>
      <c r="AR92" t="s">
        <v>892</v>
      </c>
      <c r="AS92" t="s">
        <v>892</v>
      </c>
      <c r="AT92" t="s">
        <v>892</v>
      </c>
      <c r="AU92" t="s">
        <v>892</v>
      </c>
      <c r="AV92" t="s">
        <v>892</v>
      </c>
      <c r="AW92">
        <v>9.4</v>
      </c>
      <c r="AX92" t="s">
        <v>890</v>
      </c>
      <c r="AY92" t="s">
        <v>890</v>
      </c>
      <c r="AZ92">
        <v>87</v>
      </c>
      <c r="BA92">
        <v>8.6999999999999994E-2</v>
      </c>
      <c r="BB92" t="s">
        <v>903</v>
      </c>
      <c r="BC92">
        <v>0.91300000000000003</v>
      </c>
      <c r="BD92" t="s">
        <v>904</v>
      </c>
      <c r="BE92">
        <v>0</v>
      </c>
      <c r="BF92">
        <v>0</v>
      </c>
      <c r="BG92" t="s">
        <v>827</v>
      </c>
      <c r="BH92">
        <v>11681</v>
      </c>
      <c r="BI92">
        <v>37472</v>
      </c>
    </row>
    <row r="93" spans="1:61">
      <c r="A93" s="38">
        <v>46072</v>
      </c>
      <c r="B93">
        <v>8</v>
      </c>
      <c r="C93">
        <v>2</v>
      </c>
      <c r="D93">
        <v>1</v>
      </c>
      <c r="E93">
        <v>404221000</v>
      </c>
      <c r="F93" t="s">
        <v>827</v>
      </c>
      <c r="G93" t="s">
        <v>910</v>
      </c>
      <c r="H93">
        <v>37473</v>
      </c>
      <c r="I93">
        <v>11681</v>
      </c>
      <c r="J93">
        <v>1000</v>
      </c>
      <c r="K93">
        <v>0.76041666666666663</v>
      </c>
      <c r="L93" t="s">
        <v>244</v>
      </c>
      <c r="M93">
        <v>14162</v>
      </c>
      <c r="N93">
        <v>-13.1</v>
      </c>
      <c r="O93" t="s">
        <v>890</v>
      </c>
      <c r="P93" t="s">
        <v>890</v>
      </c>
      <c r="Q93">
        <v>0.88400000000000001</v>
      </c>
      <c r="R93">
        <v>91</v>
      </c>
      <c r="S93">
        <v>9.0999999999999998E-2</v>
      </c>
      <c r="T93">
        <v>0</v>
      </c>
      <c r="U93">
        <v>0</v>
      </c>
      <c r="V93">
        <v>24</v>
      </c>
      <c r="W93">
        <v>2.4E-2</v>
      </c>
      <c r="X93">
        <v>1</v>
      </c>
      <c r="Y93">
        <v>1E-3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G93">
        <v>0</v>
      </c>
      <c r="AH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892</v>
      </c>
      <c r="AQ93" t="s">
        <v>892</v>
      </c>
      <c r="AR93" t="s">
        <v>892</v>
      </c>
      <c r="AS93" t="s">
        <v>892</v>
      </c>
      <c r="AT93" t="s">
        <v>892</v>
      </c>
      <c r="AU93" t="s">
        <v>892</v>
      </c>
      <c r="AV93" t="s">
        <v>892</v>
      </c>
      <c r="AW93">
        <v>9.6</v>
      </c>
      <c r="AX93" t="s">
        <v>890</v>
      </c>
      <c r="AY93" t="s">
        <v>890</v>
      </c>
      <c r="AZ93">
        <v>116</v>
      </c>
      <c r="BA93">
        <v>0.11599999999999999</v>
      </c>
      <c r="BB93" t="s">
        <v>905</v>
      </c>
      <c r="BC93">
        <v>0.88400000000000001</v>
      </c>
      <c r="BD93" t="s">
        <v>904</v>
      </c>
      <c r="BE93">
        <v>0</v>
      </c>
      <c r="BF93">
        <v>0</v>
      </c>
      <c r="BG93" t="s">
        <v>827</v>
      </c>
      <c r="BH93">
        <v>11681</v>
      </c>
      <c r="BI93">
        <v>37473</v>
      </c>
    </row>
    <row r="94" spans="1:61">
      <c r="A94" s="38">
        <v>46072</v>
      </c>
      <c r="B94">
        <v>8</v>
      </c>
      <c r="C94">
        <v>2</v>
      </c>
      <c r="D94">
        <v>1</v>
      </c>
      <c r="E94">
        <v>404221000</v>
      </c>
      <c r="F94" t="s">
        <v>827</v>
      </c>
      <c r="G94" t="s">
        <v>910</v>
      </c>
      <c r="H94">
        <v>37473</v>
      </c>
      <c r="I94">
        <v>11681</v>
      </c>
      <c r="J94">
        <v>1000</v>
      </c>
      <c r="K94">
        <v>0.79166666666666663</v>
      </c>
      <c r="L94" t="s">
        <v>244</v>
      </c>
      <c r="M94">
        <v>14160</v>
      </c>
      <c r="N94">
        <v>-12.1</v>
      </c>
      <c r="O94" t="s">
        <v>890</v>
      </c>
      <c r="P94" t="s">
        <v>890</v>
      </c>
      <c r="Q94">
        <v>0.91900000000000004</v>
      </c>
      <c r="R94">
        <v>72</v>
      </c>
      <c r="S94">
        <v>7.1999999999999995E-2</v>
      </c>
      <c r="T94">
        <v>5</v>
      </c>
      <c r="U94">
        <v>5.0000000000000001E-3</v>
      </c>
      <c r="V94">
        <v>4</v>
      </c>
      <c r="W94">
        <v>4.0000000000000001E-3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G94">
        <v>0</v>
      </c>
      <c r="AH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t="s">
        <v>892</v>
      </c>
      <c r="AQ94" t="s">
        <v>892</v>
      </c>
      <c r="AR94" t="s">
        <v>892</v>
      </c>
      <c r="AS94" t="s">
        <v>892</v>
      </c>
      <c r="AT94" t="s">
        <v>892</v>
      </c>
      <c r="AU94" t="s">
        <v>892</v>
      </c>
      <c r="AV94" t="s">
        <v>892</v>
      </c>
      <c r="AW94">
        <v>9.6999999999999993</v>
      </c>
      <c r="AX94" t="s">
        <v>890</v>
      </c>
      <c r="AY94" t="s">
        <v>890</v>
      </c>
      <c r="AZ94">
        <v>81</v>
      </c>
      <c r="BA94">
        <v>8.1000000000000003E-2</v>
      </c>
      <c r="BB94" t="s">
        <v>893</v>
      </c>
      <c r="BC94">
        <v>0.91900000000000004</v>
      </c>
      <c r="BD94" t="s">
        <v>904</v>
      </c>
      <c r="BE94">
        <v>0</v>
      </c>
      <c r="BF94">
        <v>0</v>
      </c>
      <c r="BG94" t="s">
        <v>827</v>
      </c>
      <c r="BH94">
        <v>11681</v>
      </c>
      <c r="BI94">
        <v>37473</v>
      </c>
    </row>
    <row r="95" spans="1:61">
      <c r="A95" s="38">
        <v>46072</v>
      </c>
      <c r="B95">
        <v>8</v>
      </c>
      <c r="C95">
        <v>2</v>
      </c>
      <c r="D95">
        <v>1</v>
      </c>
      <c r="E95">
        <v>404221000</v>
      </c>
      <c r="F95" t="s">
        <v>827</v>
      </c>
      <c r="G95" t="s">
        <v>910</v>
      </c>
      <c r="H95">
        <v>37859</v>
      </c>
      <c r="I95">
        <v>11681</v>
      </c>
      <c r="J95">
        <v>1000</v>
      </c>
      <c r="K95">
        <v>0.81458333333333333</v>
      </c>
      <c r="L95" t="s">
        <v>244</v>
      </c>
      <c r="M95">
        <v>14163</v>
      </c>
      <c r="N95">
        <v>-10.5</v>
      </c>
      <c r="O95" t="s">
        <v>890</v>
      </c>
      <c r="P95" t="s">
        <v>890</v>
      </c>
      <c r="Q95">
        <v>0.88600000000000001</v>
      </c>
      <c r="R95">
        <v>81</v>
      </c>
      <c r="S95">
        <v>8.1000000000000003E-2</v>
      </c>
      <c r="T95">
        <v>4</v>
      </c>
      <c r="U95">
        <v>4.0000000000000001E-3</v>
      </c>
      <c r="V95">
        <v>11</v>
      </c>
      <c r="W95">
        <v>1.0999999999999999E-2</v>
      </c>
      <c r="X95">
        <v>18</v>
      </c>
      <c r="Y95">
        <v>1.7999999999999999E-2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5</v>
      </c>
      <c r="AG95">
        <v>0</v>
      </c>
      <c r="AH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s">
        <v>892</v>
      </c>
      <c r="AQ95" t="s">
        <v>892</v>
      </c>
      <c r="AR95" t="s">
        <v>892</v>
      </c>
      <c r="AS95" t="s">
        <v>892</v>
      </c>
      <c r="AT95" t="s">
        <v>892</v>
      </c>
      <c r="AU95" t="s">
        <v>892</v>
      </c>
      <c r="AV95" t="s">
        <v>892</v>
      </c>
      <c r="AW95">
        <v>9.3000000000000007</v>
      </c>
      <c r="AX95" t="s">
        <v>890</v>
      </c>
      <c r="AY95" t="s">
        <v>890</v>
      </c>
      <c r="AZ95">
        <v>114</v>
      </c>
      <c r="BA95">
        <v>0.114</v>
      </c>
      <c r="BB95" t="s">
        <v>893</v>
      </c>
      <c r="BC95">
        <v>0.88600000000000001</v>
      </c>
      <c r="BD95" t="s">
        <v>904</v>
      </c>
      <c r="BE95">
        <v>0</v>
      </c>
      <c r="BF95">
        <v>0</v>
      </c>
      <c r="BG95" t="s">
        <v>827</v>
      </c>
      <c r="BH95">
        <v>11681</v>
      </c>
      <c r="BI95">
        <v>37859</v>
      </c>
    </row>
    <row r="96" spans="1:61">
      <c r="A96" s="38">
        <v>46072</v>
      </c>
      <c r="B96">
        <v>8</v>
      </c>
      <c r="C96">
        <v>2</v>
      </c>
      <c r="D96">
        <v>1</v>
      </c>
      <c r="E96">
        <v>404221000</v>
      </c>
      <c r="F96" t="s">
        <v>827</v>
      </c>
      <c r="G96" t="s">
        <v>910</v>
      </c>
      <c r="H96">
        <v>37859</v>
      </c>
      <c r="I96">
        <v>11681</v>
      </c>
      <c r="J96">
        <v>1000</v>
      </c>
      <c r="K96">
        <v>0.83333333333333337</v>
      </c>
      <c r="L96" t="s">
        <v>244</v>
      </c>
      <c r="M96">
        <v>14161</v>
      </c>
      <c r="N96">
        <v>-14.3</v>
      </c>
      <c r="O96" t="s">
        <v>890</v>
      </c>
      <c r="P96" t="s">
        <v>890</v>
      </c>
      <c r="Q96">
        <v>0.85399999999999998</v>
      </c>
      <c r="R96">
        <v>48</v>
      </c>
      <c r="S96">
        <v>4.8000000000000001E-2</v>
      </c>
      <c r="T96">
        <v>0</v>
      </c>
      <c r="U96">
        <v>0</v>
      </c>
      <c r="V96">
        <v>0</v>
      </c>
      <c r="W96">
        <v>0</v>
      </c>
      <c r="X96">
        <v>98</v>
      </c>
      <c r="Y96">
        <v>9.8000000000000004E-2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G96">
        <v>0</v>
      </c>
      <c r="AH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t="s">
        <v>892</v>
      </c>
      <c r="AQ96" t="s">
        <v>892</v>
      </c>
      <c r="AR96" t="s">
        <v>892</v>
      </c>
      <c r="AS96" t="s">
        <v>892</v>
      </c>
      <c r="AT96" t="s">
        <v>892</v>
      </c>
      <c r="AU96" t="s">
        <v>892</v>
      </c>
      <c r="AV96" t="s">
        <v>892</v>
      </c>
      <c r="AW96">
        <v>10</v>
      </c>
      <c r="AX96" t="s">
        <v>890</v>
      </c>
      <c r="AY96" t="s">
        <v>890</v>
      </c>
      <c r="AZ96">
        <v>146</v>
      </c>
      <c r="BA96">
        <v>0.14600000000000002</v>
      </c>
      <c r="BB96" t="s">
        <v>893</v>
      </c>
      <c r="BC96">
        <v>0.85399999999999998</v>
      </c>
      <c r="BD96" t="s">
        <v>904</v>
      </c>
      <c r="BE96">
        <v>0</v>
      </c>
      <c r="BF96">
        <v>0</v>
      </c>
      <c r="BG96" t="s">
        <v>827</v>
      </c>
      <c r="BH96">
        <v>11681</v>
      </c>
      <c r="BI96">
        <v>37859</v>
      </c>
    </row>
    <row r="97" spans="1:59">
      <c r="A97" s="38"/>
      <c r="B97">
        <v>52</v>
      </c>
      <c r="F97" t="s">
        <v>908</v>
      </c>
      <c r="G97" t="s">
        <v>909</v>
      </c>
      <c r="J97">
        <v>1000</v>
      </c>
      <c r="L97" t="s">
        <v>244</v>
      </c>
      <c r="O97" t="s">
        <v>890</v>
      </c>
      <c r="P97" t="s">
        <v>890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G97">
        <v>0</v>
      </c>
      <c r="AH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W97" t="s">
        <v>900</v>
      </c>
      <c r="AX97" t="s">
        <v>890</v>
      </c>
      <c r="AY97" t="s">
        <v>890</v>
      </c>
      <c r="AZ97">
        <v>0</v>
      </c>
      <c r="BA97">
        <v>0</v>
      </c>
      <c r="BC97">
        <v>1</v>
      </c>
      <c r="BE97">
        <v>0</v>
      </c>
      <c r="BF97">
        <v>0</v>
      </c>
      <c r="BG97" t="s">
        <v>908</v>
      </c>
    </row>
    <row r="98" spans="1:59">
      <c r="A98" s="38"/>
      <c r="B98">
        <v>52</v>
      </c>
      <c r="F98" t="s">
        <v>908</v>
      </c>
      <c r="G98" t="s">
        <v>909</v>
      </c>
      <c r="J98">
        <v>1000</v>
      </c>
      <c r="L98" t="s">
        <v>244</v>
      </c>
      <c r="O98" t="s">
        <v>890</v>
      </c>
      <c r="P98" t="s">
        <v>890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G98">
        <v>0</v>
      </c>
      <c r="AH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W98" t="s">
        <v>900</v>
      </c>
      <c r="AX98" t="s">
        <v>890</v>
      </c>
      <c r="AY98" t="s">
        <v>890</v>
      </c>
      <c r="AZ98">
        <v>0</v>
      </c>
      <c r="BA98">
        <v>0</v>
      </c>
      <c r="BC98">
        <v>1</v>
      </c>
      <c r="BE98">
        <v>0</v>
      </c>
      <c r="BF98">
        <v>0</v>
      </c>
      <c r="BG98" t="s">
        <v>908</v>
      </c>
    </row>
    <row r="99" spans="1:59">
      <c r="A99" s="38"/>
      <c r="B99">
        <v>52</v>
      </c>
      <c r="F99" t="s">
        <v>908</v>
      </c>
      <c r="G99" t="s">
        <v>909</v>
      </c>
      <c r="J99">
        <v>1000</v>
      </c>
      <c r="L99" t="s">
        <v>244</v>
      </c>
      <c r="O99" t="s">
        <v>890</v>
      </c>
      <c r="P99" t="s">
        <v>890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G99">
        <v>0</v>
      </c>
      <c r="AH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W99" t="s">
        <v>900</v>
      </c>
      <c r="AX99" t="s">
        <v>890</v>
      </c>
      <c r="AY99" t="s">
        <v>890</v>
      </c>
      <c r="AZ99">
        <v>0</v>
      </c>
      <c r="BA99">
        <v>0</v>
      </c>
      <c r="BC99">
        <v>1</v>
      </c>
      <c r="BE99">
        <v>0</v>
      </c>
      <c r="BF99">
        <v>0</v>
      </c>
      <c r="BG99" t="s">
        <v>908</v>
      </c>
    </row>
    <row r="100" spans="1:59">
      <c r="A100" s="38"/>
      <c r="B100">
        <v>52</v>
      </c>
      <c r="F100" t="s">
        <v>908</v>
      </c>
      <c r="G100" t="s">
        <v>909</v>
      </c>
      <c r="J100">
        <v>1000</v>
      </c>
      <c r="L100" t="s">
        <v>244</v>
      </c>
      <c r="O100" t="s">
        <v>890</v>
      </c>
      <c r="P100" t="s">
        <v>890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G100">
        <v>0</v>
      </c>
      <c r="AH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W100" t="s">
        <v>900</v>
      </c>
      <c r="AX100" t="s">
        <v>890</v>
      </c>
      <c r="AY100" t="s">
        <v>890</v>
      </c>
      <c r="AZ100">
        <v>0</v>
      </c>
      <c r="BA100">
        <v>0</v>
      </c>
      <c r="BC100">
        <v>1</v>
      </c>
      <c r="BE100">
        <v>0</v>
      </c>
      <c r="BF100">
        <v>0</v>
      </c>
      <c r="BG100" t="s">
        <v>908</v>
      </c>
    </row>
    <row r="101" spans="1:59">
      <c r="A101" s="38"/>
      <c r="B101">
        <v>52</v>
      </c>
      <c r="F101" t="s">
        <v>908</v>
      </c>
      <c r="G101" t="s">
        <v>909</v>
      </c>
      <c r="J101">
        <v>1000</v>
      </c>
      <c r="L101" t="s">
        <v>244</v>
      </c>
      <c r="O101" t="s">
        <v>890</v>
      </c>
      <c r="P101" t="s">
        <v>890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G101">
        <v>0</v>
      </c>
      <c r="AH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W101" t="s">
        <v>900</v>
      </c>
      <c r="AX101" t="s">
        <v>890</v>
      </c>
      <c r="AY101" t="s">
        <v>890</v>
      </c>
      <c r="AZ101">
        <v>0</v>
      </c>
      <c r="BA101">
        <v>0</v>
      </c>
      <c r="BC101">
        <v>1</v>
      </c>
      <c r="BE101">
        <v>0</v>
      </c>
      <c r="BF101">
        <v>0</v>
      </c>
      <c r="BG101" t="s">
        <v>908</v>
      </c>
    </row>
    <row r="102" spans="1:59">
      <c r="A102" s="38"/>
      <c r="B102">
        <v>52</v>
      </c>
      <c r="F102" t="s">
        <v>908</v>
      </c>
      <c r="G102" t="s">
        <v>909</v>
      </c>
      <c r="J102">
        <v>1000</v>
      </c>
      <c r="L102" t="s">
        <v>244</v>
      </c>
      <c r="O102" t="s">
        <v>890</v>
      </c>
      <c r="P102" t="s">
        <v>890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G102">
        <v>0</v>
      </c>
      <c r="AH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W102" t="s">
        <v>900</v>
      </c>
      <c r="AX102" t="s">
        <v>890</v>
      </c>
      <c r="AY102" t="s">
        <v>890</v>
      </c>
      <c r="AZ102">
        <v>0</v>
      </c>
      <c r="BA102">
        <v>0</v>
      </c>
      <c r="BC102">
        <v>1</v>
      </c>
      <c r="BE102">
        <v>0</v>
      </c>
      <c r="BF102">
        <v>0</v>
      </c>
      <c r="BG102" t="s">
        <v>908</v>
      </c>
    </row>
    <row r="103" spans="1:59">
      <c r="A103" s="38"/>
      <c r="B103">
        <v>52</v>
      </c>
      <c r="F103" t="s">
        <v>908</v>
      </c>
      <c r="G103" t="s">
        <v>909</v>
      </c>
      <c r="J103">
        <v>1000</v>
      </c>
      <c r="L103" t="s">
        <v>244</v>
      </c>
      <c r="O103" t="s">
        <v>890</v>
      </c>
      <c r="P103" t="s">
        <v>890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G103">
        <v>0</v>
      </c>
      <c r="AH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W103" t="s">
        <v>900</v>
      </c>
      <c r="AX103" t="s">
        <v>890</v>
      </c>
      <c r="AY103" t="s">
        <v>890</v>
      </c>
      <c r="AZ103">
        <v>0</v>
      </c>
      <c r="BA103">
        <v>0</v>
      </c>
      <c r="BC103">
        <v>1</v>
      </c>
      <c r="BE103">
        <v>0</v>
      </c>
      <c r="BF103">
        <v>0</v>
      </c>
      <c r="BG103" t="s">
        <v>908</v>
      </c>
    </row>
    <row r="104" spans="1:59">
      <c r="A104" s="38"/>
      <c r="B104">
        <v>52</v>
      </c>
      <c r="F104" t="s">
        <v>908</v>
      </c>
      <c r="G104" t="s">
        <v>909</v>
      </c>
      <c r="J104">
        <v>1000</v>
      </c>
      <c r="L104" t="s">
        <v>244</v>
      </c>
      <c r="O104" t="s">
        <v>890</v>
      </c>
      <c r="P104" t="s">
        <v>890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G104">
        <v>0</v>
      </c>
      <c r="AH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W104" t="s">
        <v>900</v>
      </c>
      <c r="AX104" t="s">
        <v>890</v>
      </c>
      <c r="AY104" t="s">
        <v>890</v>
      </c>
      <c r="AZ104">
        <v>0</v>
      </c>
      <c r="BA104">
        <v>0</v>
      </c>
      <c r="BC104">
        <v>1</v>
      </c>
      <c r="BE104">
        <v>0</v>
      </c>
      <c r="BF104">
        <v>0</v>
      </c>
      <c r="BG104" t="s">
        <v>908</v>
      </c>
    </row>
    <row r="105" spans="1:59">
      <c r="A105" s="38"/>
      <c r="B105">
        <v>52</v>
      </c>
      <c r="F105" t="s">
        <v>908</v>
      </c>
      <c r="G105" t="s">
        <v>909</v>
      </c>
      <c r="J105">
        <v>1000</v>
      </c>
      <c r="L105" t="s">
        <v>244</v>
      </c>
      <c r="O105" t="s">
        <v>890</v>
      </c>
      <c r="P105" t="s">
        <v>890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G105">
        <v>0</v>
      </c>
      <c r="AH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W105" t="s">
        <v>900</v>
      </c>
      <c r="AX105" t="s">
        <v>890</v>
      </c>
      <c r="AY105" t="s">
        <v>890</v>
      </c>
      <c r="AZ105">
        <v>0</v>
      </c>
      <c r="BA105">
        <v>0</v>
      </c>
      <c r="BC105">
        <v>1</v>
      </c>
      <c r="BE105">
        <v>0</v>
      </c>
      <c r="BF105">
        <v>0</v>
      </c>
      <c r="BG105" t="s">
        <v>908</v>
      </c>
    </row>
    <row r="106" spans="1:59">
      <c r="A106" s="38"/>
      <c r="B106">
        <v>52</v>
      </c>
      <c r="F106" t="s">
        <v>908</v>
      </c>
      <c r="G106" t="s">
        <v>909</v>
      </c>
      <c r="J106">
        <v>1000</v>
      </c>
      <c r="L106" t="s">
        <v>244</v>
      </c>
      <c r="O106" t="s">
        <v>890</v>
      </c>
      <c r="P106" t="s">
        <v>890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G106">
        <v>0</v>
      </c>
      <c r="AH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W106" t="s">
        <v>900</v>
      </c>
      <c r="AX106" t="s">
        <v>890</v>
      </c>
      <c r="AY106" t="s">
        <v>890</v>
      </c>
      <c r="AZ106">
        <v>0</v>
      </c>
      <c r="BA106">
        <v>0</v>
      </c>
      <c r="BC106">
        <v>1</v>
      </c>
      <c r="BE106">
        <v>0</v>
      </c>
      <c r="BF106">
        <v>0</v>
      </c>
      <c r="BG106" t="s">
        <v>908</v>
      </c>
    </row>
    <row r="107" spans="1:59">
      <c r="A107" s="38"/>
      <c r="B107">
        <v>52</v>
      </c>
      <c r="F107" t="s">
        <v>908</v>
      </c>
      <c r="G107" t="s">
        <v>909</v>
      </c>
      <c r="J107">
        <v>1000</v>
      </c>
      <c r="L107" t="s">
        <v>244</v>
      </c>
      <c r="O107" t="s">
        <v>890</v>
      </c>
      <c r="P107" t="s">
        <v>890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G107">
        <v>0</v>
      </c>
      <c r="AH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W107" t="s">
        <v>900</v>
      </c>
      <c r="AX107" t="s">
        <v>890</v>
      </c>
      <c r="AY107" t="s">
        <v>890</v>
      </c>
      <c r="AZ107">
        <v>0</v>
      </c>
      <c r="BA107">
        <v>0</v>
      </c>
      <c r="BC107">
        <v>1</v>
      </c>
      <c r="BE107">
        <v>0</v>
      </c>
      <c r="BF107">
        <v>0</v>
      </c>
      <c r="BG107" t="s">
        <v>908</v>
      </c>
    </row>
    <row r="108" spans="1:59">
      <c r="A108" s="38"/>
      <c r="B108">
        <v>52</v>
      </c>
      <c r="F108" t="s">
        <v>908</v>
      </c>
      <c r="G108" t="s">
        <v>909</v>
      </c>
      <c r="J108">
        <v>1000</v>
      </c>
      <c r="L108" t="s">
        <v>244</v>
      </c>
      <c r="O108" t="s">
        <v>890</v>
      </c>
      <c r="P108" t="s">
        <v>890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G108">
        <v>0</v>
      </c>
      <c r="AH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W108" t="s">
        <v>900</v>
      </c>
      <c r="AX108" t="s">
        <v>890</v>
      </c>
      <c r="AY108" t="s">
        <v>890</v>
      </c>
      <c r="AZ108">
        <v>0</v>
      </c>
      <c r="BA108">
        <v>0</v>
      </c>
      <c r="BC108">
        <v>1</v>
      </c>
      <c r="BE108">
        <v>0</v>
      </c>
      <c r="BF108">
        <v>0</v>
      </c>
      <c r="BG108" t="s">
        <v>908</v>
      </c>
    </row>
    <row r="109" spans="1:59">
      <c r="A109" s="38"/>
      <c r="B109">
        <v>52</v>
      </c>
      <c r="F109" t="s">
        <v>908</v>
      </c>
      <c r="G109" t="s">
        <v>909</v>
      </c>
      <c r="J109">
        <v>1000</v>
      </c>
      <c r="L109" t="s">
        <v>244</v>
      </c>
      <c r="O109" t="s">
        <v>890</v>
      </c>
      <c r="P109" t="s">
        <v>890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G109">
        <v>0</v>
      </c>
      <c r="AH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W109" t="s">
        <v>900</v>
      </c>
      <c r="AX109" t="s">
        <v>890</v>
      </c>
      <c r="AY109" t="s">
        <v>890</v>
      </c>
      <c r="AZ109">
        <v>0</v>
      </c>
      <c r="BA109">
        <v>0</v>
      </c>
      <c r="BC109">
        <v>1</v>
      </c>
      <c r="BE109">
        <v>0</v>
      </c>
      <c r="BF109">
        <v>0</v>
      </c>
      <c r="BG109" t="s">
        <v>908</v>
      </c>
    </row>
    <row r="110" spans="1:59">
      <c r="A110" s="38"/>
      <c r="B110">
        <v>52</v>
      </c>
      <c r="F110" t="s">
        <v>908</v>
      </c>
      <c r="G110" t="s">
        <v>909</v>
      </c>
      <c r="J110">
        <v>1000</v>
      </c>
      <c r="L110" t="s">
        <v>244</v>
      </c>
      <c r="O110" t="s">
        <v>890</v>
      </c>
      <c r="P110" t="s">
        <v>890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G110">
        <v>0</v>
      </c>
      <c r="AH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W110" t="s">
        <v>900</v>
      </c>
      <c r="AX110" t="s">
        <v>890</v>
      </c>
      <c r="AY110" t="s">
        <v>890</v>
      </c>
      <c r="AZ110">
        <v>0</v>
      </c>
      <c r="BA110">
        <v>0</v>
      </c>
      <c r="BC110">
        <v>1</v>
      </c>
      <c r="BE110">
        <v>0</v>
      </c>
      <c r="BF110">
        <v>0</v>
      </c>
      <c r="BG110" t="s">
        <v>908</v>
      </c>
    </row>
    <row r="111" spans="1:59">
      <c r="A111" s="38"/>
      <c r="B111">
        <v>52</v>
      </c>
      <c r="F111" t="s">
        <v>908</v>
      </c>
      <c r="G111" t="s">
        <v>909</v>
      </c>
      <c r="J111">
        <v>1000</v>
      </c>
      <c r="L111" t="s">
        <v>244</v>
      </c>
      <c r="O111" t="s">
        <v>890</v>
      </c>
      <c r="P111" t="s">
        <v>890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G111">
        <v>0</v>
      </c>
      <c r="AH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W111" t="s">
        <v>900</v>
      </c>
      <c r="AX111" t="s">
        <v>890</v>
      </c>
      <c r="AY111" t="s">
        <v>890</v>
      </c>
      <c r="AZ111">
        <v>0</v>
      </c>
      <c r="BA111">
        <v>0</v>
      </c>
      <c r="BC111">
        <v>1</v>
      </c>
      <c r="BE111">
        <v>0</v>
      </c>
      <c r="BF111">
        <v>0</v>
      </c>
      <c r="BG111" t="s">
        <v>908</v>
      </c>
    </row>
    <row r="112" spans="1:59">
      <c r="A112" s="38"/>
      <c r="B112">
        <v>52</v>
      </c>
      <c r="F112" t="s">
        <v>908</v>
      </c>
      <c r="G112" t="s">
        <v>909</v>
      </c>
      <c r="J112">
        <v>1000</v>
      </c>
      <c r="L112" t="s">
        <v>244</v>
      </c>
      <c r="O112" t="s">
        <v>890</v>
      </c>
      <c r="P112" t="s">
        <v>890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G112">
        <v>0</v>
      </c>
      <c r="AH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W112" t="s">
        <v>900</v>
      </c>
      <c r="AX112" t="s">
        <v>890</v>
      </c>
      <c r="AY112" t="s">
        <v>890</v>
      </c>
      <c r="AZ112">
        <v>0</v>
      </c>
      <c r="BA112">
        <v>0</v>
      </c>
      <c r="BC112">
        <v>1</v>
      </c>
      <c r="BE112">
        <v>0</v>
      </c>
      <c r="BF112">
        <v>0</v>
      </c>
      <c r="BG112" t="s">
        <v>908</v>
      </c>
    </row>
    <row r="113" spans="1:59">
      <c r="A113" s="38"/>
      <c r="B113">
        <v>52</v>
      </c>
      <c r="F113" t="s">
        <v>908</v>
      </c>
      <c r="G113" t="s">
        <v>909</v>
      </c>
      <c r="J113">
        <v>1000</v>
      </c>
      <c r="L113" t="s">
        <v>244</v>
      </c>
      <c r="O113" t="s">
        <v>890</v>
      </c>
      <c r="P113" t="s">
        <v>890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G113">
        <v>0</v>
      </c>
      <c r="AH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W113" t="s">
        <v>900</v>
      </c>
      <c r="AX113" t="s">
        <v>890</v>
      </c>
      <c r="AY113" t="s">
        <v>890</v>
      </c>
      <c r="AZ113">
        <v>0</v>
      </c>
      <c r="BA113">
        <v>0</v>
      </c>
      <c r="BC113">
        <v>1</v>
      </c>
      <c r="BE113">
        <v>0</v>
      </c>
      <c r="BF113">
        <v>0</v>
      </c>
      <c r="BG113" t="s">
        <v>908</v>
      </c>
    </row>
    <row r="114" spans="1:59">
      <c r="A114" s="38"/>
      <c r="B114">
        <v>52</v>
      </c>
      <c r="F114" t="s">
        <v>908</v>
      </c>
      <c r="G114" t="s">
        <v>909</v>
      </c>
      <c r="J114">
        <v>1000</v>
      </c>
      <c r="L114" t="s">
        <v>244</v>
      </c>
      <c r="O114" t="s">
        <v>890</v>
      </c>
      <c r="P114" t="s">
        <v>890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G114">
        <v>0</v>
      </c>
      <c r="AH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W114" t="s">
        <v>900</v>
      </c>
      <c r="AX114" t="s">
        <v>890</v>
      </c>
      <c r="AY114" t="s">
        <v>890</v>
      </c>
      <c r="AZ114">
        <v>0</v>
      </c>
      <c r="BA114">
        <v>0</v>
      </c>
      <c r="BC114">
        <v>1</v>
      </c>
      <c r="BE114">
        <v>0</v>
      </c>
      <c r="BF114">
        <v>0</v>
      </c>
      <c r="BG114" t="s">
        <v>908</v>
      </c>
    </row>
    <row r="115" spans="1:59">
      <c r="A115" s="38"/>
      <c r="B115">
        <v>52</v>
      </c>
      <c r="F115" t="s">
        <v>908</v>
      </c>
      <c r="G115" t="s">
        <v>909</v>
      </c>
      <c r="J115">
        <v>1000</v>
      </c>
      <c r="L115" t="s">
        <v>244</v>
      </c>
      <c r="O115" t="s">
        <v>890</v>
      </c>
      <c r="P115" t="s">
        <v>890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G115">
        <v>0</v>
      </c>
      <c r="AH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W115" t="s">
        <v>900</v>
      </c>
      <c r="AX115" t="s">
        <v>890</v>
      </c>
      <c r="AY115" t="s">
        <v>890</v>
      </c>
      <c r="AZ115">
        <v>0</v>
      </c>
      <c r="BA115">
        <v>0</v>
      </c>
      <c r="BC115">
        <v>1</v>
      </c>
      <c r="BE115">
        <v>0</v>
      </c>
      <c r="BF115">
        <v>0</v>
      </c>
      <c r="BG115" t="s">
        <v>908</v>
      </c>
    </row>
    <row r="116" spans="1:59">
      <c r="A116" s="38"/>
      <c r="B116">
        <v>52</v>
      </c>
      <c r="F116" t="s">
        <v>908</v>
      </c>
      <c r="G116" t="s">
        <v>909</v>
      </c>
      <c r="J116">
        <v>1000</v>
      </c>
      <c r="L116" t="s">
        <v>244</v>
      </c>
      <c r="O116" t="s">
        <v>890</v>
      </c>
      <c r="P116" t="s">
        <v>890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G116">
        <v>0</v>
      </c>
      <c r="AH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W116" t="s">
        <v>900</v>
      </c>
      <c r="AX116" t="s">
        <v>890</v>
      </c>
      <c r="AY116" t="s">
        <v>890</v>
      </c>
      <c r="AZ116">
        <v>0</v>
      </c>
      <c r="BA116">
        <v>0</v>
      </c>
      <c r="BC116">
        <v>1</v>
      </c>
      <c r="BE116">
        <v>0</v>
      </c>
      <c r="BF116">
        <v>0</v>
      </c>
      <c r="BG116" t="s">
        <v>908</v>
      </c>
    </row>
    <row r="117" spans="1:59">
      <c r="A117" s="38"/>
      <c r="B117">
        <v>52</v>
      </c>
      <c r="F117" t="s">
        <v>908</v>
      </c>
      <c r="G117" t="s">
        <v>909</v>
      </c>
      <c r="J117">
        <v>1000</v>
      </c>
      <c r="L117" t="s">
        <v>244</v>
      </c>
      <c r="O117" t="s">
        <v>890</v>
      </c>
      <c r="P117" t="s">
        <v>890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G117">
        <v>0</v>
      </c>
      <c r="AH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W117" t="s">
        <v>900</v>
      </c>
      <c r="AX117" t="s">
        <v>890</v>
      </c>
      <c r="AY117" t="s">
        <v>890</v>
      </c>
      <c r="AZ117">
        <v>0</v>
      </c>
      <c r="BA117">
        <v>0</v>
      </c>
      <c r="BC117">
        <v>1</v>
      </c>
      <c r="BE117">
        <v>0</v>
      </c>
      <c r="BF117">
        <v>0</v>
      </c>
      <c r="BG117" t="s">
        <v>908</v>
      </c>
    </row>
    <row r="118" spans="1:59">
      <c r="A118" s="38"/>
      <c r="B118">
        <v>52</v>
      </c>
      <c r="F118" t="s">
        <v>908</v>
      </c>
      <c r="G118" t="s">
        <v>909</v>
      </c>
      <c r="J118">
        <v>1000</v>
      </c>
      <c r="L118" t="s">
        <v>244</v>
      </c>
      <c r="O118" t="s">
        <v>890</v>
      </c>
      <c r="P118" t="s">
        <v>890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G118">
        <v>0</v>
      </c>
      <c r="AH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W118" t="s">
        <v>900</v>
      </c>
      <c r="AX118" t="s">
        <v>890</v>
      </c>
      <c r="AY118" t="s">
        <v>890</v>
      </c>
      <c r="AZ118">
        <v>0</v>
      </c>
      <c r="BA118">
        <v>0</v>
      </c>
      <c r="BC118">
        <v>1</v>
      </c>
      <c r="BE118">
        <v>0</v>
      </c>
      <c r="BF118">
        <v>0</v>
      </c>
      <c r="BG118" t="s">
        <v>908</v>
      </c>
    </row>
    <row r="119" spans="1:59">
      <c r="A119" s="38"/>
      <c r="B119">
        <v>52</v>
      </c>
      <c r="F119" t="s">
        <v>908</v>
      </c>
      <c r="G119" t="s">
        <v>909</v>
      </c>
      <c r="J119">
        <v>1000</v>
      </c>
      <c r="L119" t="s">
        <v>244</v>
      </c>
      <c r="O119" t="s">
        <v>890</v>
      </c>
      <c r="P119" t="s">
        <v>890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G119">
        <v>0</v>
      </c>
      <c r="AH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W119" t="s">
        <v>900</v>
      </c>
      <c r="AX119" t="s">
        <v>890</v>
      </c>
      <c r="AY119" t="s">
        <v>890</v>
      </c>
      <c r="AZ119">
        <v>0</v>
      </c>
      <c r="BA119">
        <v>0</v>
      </c>
      <c r="BC119">
        <v>1</v>
      </c>
      <c r="BE119">
        <v>0</v>
      </c>
      <c r="BF119">
        <v>0</v>
      </c>
      <c r="BG119" t="s">
        <v>908</v>
      </c>
    </row>
    <row r="120" spans="1:59">
      <c r="A120" s="38"/>
      <c r="B120">
        <v>52</v>
      </c>
      <c r="F120" t="s">
        <v>908</v>
      </c>
      <c r="G120" t="s">
        <v>909</v>
      </c>
      <c r="J120">
        <v>1000</v>
      </c>
      <c r="L120" t="s">
        <v>244</v>
      </c>
      <c r="O120" t="s">
        <v>890</v>
      </c>
      <c r="P120" t="s">
        <v>890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G120">
        <v>0</v>
      </c>
      <c r="AH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W120" t="s">
        <v>900</v>
      </c>
      <c r="AX120" t="s">
        <v>890</v>
      </c>
      <c r="AY120" t="s">
        <v>890</v>
      </c>
      <c r="AZ120">
        <v>0</v>
      </c>
      <c r="BA120">
        <v>0</v>
      </c>
      <c r="BC120">
        <v>1</v>
      </c>
      <c r="BE120">
        <v>0</v>
      </c>
      <c r="BF120">
        <v>0</v>
      </c>
      <c r="BG120" t="s">
        <v>908</v>
      </c>
    </row>
    <row r="121" spans="1:59">
      <c r="A121" s="38"/>
      <c r="B121">
        <v>52</v>
      </c>
      <c r="F121" t="s">
        <v>908</v>
      </c>
      <c r="G121" t="s">
        <v>909</v>
      </c>
      <c r="J121">
        <v>1000</v>
      </c>
      <c r="L121" t="s">
        <v>244</v>
      </c>
      <c r="O121" t="s">
        <v>890</v>
      </c>
      <c r="P121" t="s">
        <v>890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G121">
        <v>0</v>
      </c>
      <c r="AH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W121" t="s">
        <v>900</v>
      </c>
      <c r="AX121" t="s">
        <v>890</v>
      </c>
      <c r="AY121" t="s">
        <v>890</v>
      </c>
      <c r="AZ121">
        <v>0</v>
      </c>
      <c r="BA121">
        <v>0</v>
      </c>
      <c r="BC121">
        <v>1</v>
      </c>
      <c r="BE121">
        <v>0</v>
      </c>
      <c r="BF121">
        <v>0</v>
      </c>
      <c r="BG121" t="s">
        <v>908</v>
      </c>
    </row>
    <row r="122" spans="1:59">
      <c r="A122" s="38"/>
      <c r="B122">
        <v>52</v>
      </c>
      <c r="F122" t="s">
        <v>908</v>
      </c>
      <c r="G122" t="s">
        <v>909</v>
      </c>
      <c r="J122">
        <v>1000</v>
      </c>
      <c r="L122" t="s">
        <v>244</v>
      </c>
      <c r="O122" t="s">
        <v>890</v>
      </c>
      <c r="P122" t="s">
        <v>890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G122">
        <v>0</v>
      </c>
      <c r="AH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W122" t="s">
        <v>900</v>
      </c>
      <c r="AX122" t="s">
        <v>890</v>
      </c>
      <c r="AY122" t="s">
        <v>890</v>
      </c>
      <c r="AZ122">
        <v>0</v>
      </c>
      <c r="BA122">
        <v>0</v>
      </c>
      <c r="BC122">
        <v>1</v>
      </c>
      <c r="BE122">
        <v>0</v>
      </c>
      <c r="BF122">
        <v>0</v>
      </c>
      <c r="BG122" t="s">
        <v>908</v>
      </c>
    </row>
    <row r="123" spans="1:59">
      <c r="A123" s="38"/>
      <c r="B123">
        <v>52</v>
      </c>
      <c r="F123" t="s">
        <v>908</v>
      </c>
      <c r="G123" t="s">
        <v>909</v>
      </c>
      <c r="J123">
        <v>1000</v>
      </c>
      <c r="L123" t="s">
        <v>244</v>
      </c>
      <c r="O123" t="s">
        <v>890</v>
      </c>
      <c r="P123" t="s">
        <v>890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G123">
        <v>0</v>
      </c>
      <c r="AH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W123" t="s">
        <v>900</v>
      </c>
      <c r="AX123" t="s">
        <v>890</v>
      </c>
      <c r="AY123" t="s">
        <v>890</v>
      </c>
      <c r="AZ123">
        <v>0</v>
      </c>
      <c r="BA123">
        <v>0</v>
      </c>
      <c r="BC123">
        <v>1</v>
      </c>
      <c r="BE123">
        <v>0</v>
      </c>
      <c r="BF123">
        <v>0</v>
      </c>
      <c r="BG123" t="s">
        <v>908</v>
      </c>
    </row>
    <row r="124" spans="1:59">
      <c r="A124" s="38"/>
      <c r="B124">
        <v>52</v>
      </c>
      <c r="F124" t="s">
        <v>908</v>
      </c>
      <c r="G124" t="s">
        <v>909</v>
      </c>
      <c r="J124">
        <v>1000</v>
      </c>
      <c r="L124" t="s">
        <v>244</v>
      </c>
      <c r="O124" t="s">
        <v>890</v>
      </c>
      <c r="P124" t="s">
        <v>890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G124">
        <v>0</v>
      </c>
      <c r="AH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W124" t="s">
        <v>900</v>
      </c>
      <c r="AX124" t="s">
        <v>890</v>
      </c>
      <c r="AY124" t="s">
        <v>890</v>
      </c>
      <c r="AZ124">
        <v>0</v>
      </c>
      <c r="BA124">
        <v>0</v>
      </c>
      <c r="BC124">
        <v>1</v>
      </c>
      <c r="BE124">
        <v>0</v>
      </c>
      <c r="BF124">
        <v>0</v>
      </c>
      <c r="BG124" t="s">
        <v>908</v>
      </c>
    </row>
    <row r="125" spans="1:59">
      <c r="A125" s="38"/>
      <c r="B125">
        <v>52</v>
      </c>
      <c r="F125" t="s">
        <v>908</v>
      </c>
      <c r="G125" t="s">
        <v>909</v>
      </c>
      <c r="J125">
        <v>1000</v>
      </c>
      <c r="L125" t="s">
        <v>244</v>
      </c>
      <c r="O125" t="s">
        <v>890</v>
      </c>
      <c r="P125" t="s">
        <v>890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G125">
        <v>0</v>
      </c>
      <c r="AH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W125" t="s">
        <v>900</v>
      </c>
      <c r="AX125" t="s">
        <v>890</v>
      </c>
      <c r="AY125" t="s">
        <v>890</v>
      </c>
      <c r="AZ125">
        <v>0</v>
      </c>
      <c r="BA125">
        <v>0</v>
      </c>
      <c r="BC125">
        <v>1</v>
      </c>
      <c r="BE125">
        <v>0</v>
      </c>
      <c r="BF125">
        <v>0</v>
      </c>
      <c r="BG125" t="s">
        <v>908</v>
      </c>
    </row>
    <row r="126" spans="1:59">
      <c r="A126" s="38"/>
      <c r="B126">
        <v>52</v>
      </c>
      <c r="F126" t="s">
        <v>908</v>
      </c>
      <c r="G126" t="s">
        <v>909</v>
      </c>
      <c r="J126">
        <v>1000</v>
      </c>
      <c r="L126" t="s">
        <v>244</v>
      </c>
      <c r="O126" t="s">
        <v>890</v>
      </c>
      <c r="P126" t="s">
        <v>890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G126">
        <v>0</v>
      </c>
      <c r="AH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W126" t="s">
        <v>900</v>
      </c>
      <c r="AX126" t="s">
        <v>890</v>
      </c>
      <c r="AY126" t="s">
        <v>890</v>
      </c>
      <c r="AZ126">
        <v>0</v>
      </c>
      <c r="BA126">
        <v>0</v>
      </c>
      <c r="BC126">
        <v>1</v>
      </c>
      <c r="BE126">
        <v>0</v>
      </c>
      <c r="BF126">
        <v>0</v>
      </c>
      <c r="BG126" t="s">
        <v>908</v>
      </c>
    </row>
    <row r="127" spans="1:59">
      <c r="A127" s="38"/>
      <c r="B127">
        <v>52</v>
      </c>
      <c r="F127" t="s">
        <v>908</v>
      </c>
      <c r="G127" t="s">
        <v>909</v>
      </c>
      <c r="J127">
        <v>1000</v>
      </c>
      <c r="L127" t="s">
        <v>244</v>
      </c>
      <c r="O127" t="s">
        <v>890</v>
      </c>
      <c r="P127" t="s">
        <v>890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G127">
        <v>0</v>
      </c>
      <c r="AH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W127" t="s">
        <v>900</v>
      </c>
      <c r="AX127" t="s">
        <v>890</v>
      </c>
      <c r="AY127" t="s">
        <v>890</v>
      </c>
      <c r="AZ127">
        <v>0</v>
      </c>
      <c r="BA127">
        <v>0</v>
      </c>
      <c r="BC127">
        <v>1</v>
      </c>
      <c r="BE127">
        <v>0</v>
      </c>
      <c r="BF127">
        <v>0</v>
      </c>
      <c r="BG127" t="s">
        <v>908</v>
      </c>
    </row>
    <row r="128" spans="1:59">
      <c r="A128" s="38"/>
      <c r="B128">
        <v>52</v>
      </c>
      <c r="F128" t="s">
        <v>908</v>
      </c>
      <c r="G128" t="s">
        <v>909</v>
      </c>
      <c r="J128">
        <v>1000</v>
      </c>
      <c r="L128" t="s">
        <v>244</v>
      </c>
      <c r="O128" t="s">
        <v>890</v>
      </c>
      <c r="P128" t="s">
        <v>890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G128">
        <v>0</v>
      </c>
      <c r="AH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W128" t="s">
        <v>900</v>
      </c>
      <c r="AX128" t="s">
        <v>890</v>
      </c>
      <c r="AY128" t="s">
        <v>890</v>
      </c>
      <c r="AZ128">
        <v>0</v>
      </c>
      <c r="BA128">
        <v>0</v>
      </c>
      <c r="BC128">
        <v>1</v>
      </c>
      <c r="BE128">
        <v>0</v>
      </c>
      <c r="BF128">
        <v>0</v>
      </c>
      <c r="BG128" t="s">
        <v>908</v>
      </c>
    </row>
    <row r="129" spans="1:59">
      <c r="A129" s="38"/>
      <c r="B129">
        <v>52</v>
      </c>
      <c r="F129" t="s">
        <v>908</v>
      </c>
      <c r="G129" t="s">
        <v>909</v>
      </c>
      <c r="J129">
        <v>1000</v>
      </c>
      <c r="L129" t="s">
        <v>244</v>
      </c>
      <c r="O129" t="s">
        <v>890</v>
      </c>
      <c r="P129" t="s">
        <v>890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G129">
        <v>0</v>
      </c>
      <c r="AH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W129" t="s">
        <v>900</v>
      </c>
      <c r="AX129" t="s">
        <v>890</v>
      </c>
      <c r="AY129" t="s">
        <v>890</v>
      </c>
      <c r="AZ129">
        <v>0</v>
      </c>
      <c r="BA129">
        <v>0</v>
      </c>
      <c r="BC129">
        <v>1</v>
      </c>
      <c r="BE129">
        <v>0</v>
      </c>
      <c r="BF129">
        <v>0</v>
      </c>
      <c r="BG129" t="s">
        <v>908</v>
      </c>
    </row>
    <row r="130" spans="1:59">
      <c r="A130" s="38"/>
      <c r="B130">
        <v>52</v>
      </c>
      <c r="F130" t="s">
        <v>908</v>
      </c>
      <c r="G130" t="s">
        <v>909</v>
      </c>
      <c r="J130">
        <v>1000</v>
      </c>
      <c r="L130" t="s">
        <v>244</v>
      </c>
      <c r="O130" t="s">
        <v>890</v>
      </c>
      <c r="P130" t="s">
        <v>890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G130">
        <v>0</v>
      </c>
      <c r="AH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W130" t="s">
        <v>900</v>
      </c>
      <c r="AX130" t="s">
        <v>890</v>
      </c>
      <c r="AY130" t="s">
        <v>890</v>
      </c>
      <c r="AZ130">
        <v>0</v>
      </c>
      <c r="BA130">
        <v>0</v>
      </c>
      <c r="BC130">
        <v>1</v>
      </c>
      <c r="BE130">
        <v>0</v>
      </c>
      <c r="BF130">
        <v>0</v>
      </c>
      <c r="BG130" t="s">
        <v>908</v>
      </c>
    </row>
    <row r="131" spans="1:59">
      <c r="A131" s="38"/>
      <c r="B131">
        <v>52</v>
      </c>
      <c r="F131" t="s">
        <v>908</v>
      </c>
      <c r="G131" t="s">
        <v>909</v>
      </c>
      <c r="J131">
        <v>1000</v>
      </c>
      <c r="L131" t="s">
        <v>244</v>
      </c>
      <c r="O131" t="s">
        <v>890</v>
      </c>
      <c r="P131" t="s">
        <v>890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G131">
        <v>0</v>
      </c>
      <c r="AH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W131" t="s">
        <v>900</v>
      </c>
      <c r="AX131" t="s">
        <v>890</v>
      </c>
      <c r="AY131" t="s">
        <v>890</v>
      </c>
      <c r="AZ131">
        <v>0</v>
      </c>
      <c r="BA131">
        <v>0</v>
      </c>
      <c r="BC131">
        <v>1</v>
      </c>
      <c r="BE131">
        <v>0</v>
      </c>
      <c r="BF131">
        <v>0</v>
      </c>
      <c r="BG131" t="s">
        <v>908</v>
      </c>
    </row>
    <row r="132" spans="1:59">
      <c r="A132" s="38"/>
      <c r="B132">
        <v>52</v>
      </c>
      <c r="F132" t="s">
        <v>908</v>
      </c>
      <c r="G132" t="s">
        <v>909</v>
      </c>
      <c r="J132">
        <v>1000</v>
      </c>
      <c r="L132" t="s">
        <v>244</v>
      </c>
      <c r="O132" t="s">
        <v>890</v>
      </c>
      <c r="P132" t="s">
        <v>890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G132">
        <v>0</v>
      </c>
      <c r="AH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W132" t="s">
        <v>900</v>
      </c>
      <c r="AX132" t="s">
        <v>890</v>
      </c>
      <c r="AY132" t="s">
        <v>890</v>
      </c>
      <c r="AZ132">
        <v>0</v>
      </c>
      <c r="BA132">
        <v>0</v>
      </c>
      <c r="BC132">
        <v>1</v>
      </c>
      <c r="BE132">
        <v>0</v>
      </c>
      <c r="BF132">
        <v>0</v>
      </c>
      <c r="BG132" t="s">
        <v>908</v>
      </c>
    </row>
    <row r="133" spans="1:59">
      <c r="A133" s="38"/>
      <c r="B133">
        <v>52</v>
      </c>
      <c r="F133" t="s">
        <v>908</v>
      </c>
      <c r="G133" t="s">
        <v>909</v>
      </c>
      <c r="J133">
        <v>1000</v>
      </c>
      <c r="L133" t="s">
        <v>244</v>
      </c>
      <c r="O133" t="s">
        <v>890</v>
      </c>
      <c r="P133" t="s">
        <v>890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G133">
        <v>0</v>
      </c>
      <c r="AH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W133" t="s">
        <v>900</v>
      </c>
      <c r="AX133" t="s">
        <v>890</v>
      </c>
      <c r="AY133" t="s">
        <v>890</v>
      </c>
      <c r="AZ133">
        <v>0</v>
      </c>
      <c r="BA133">
        <v>0</v>
      </c>
      <c r="BC133">
        <v>1</v>
      </c>
      <c r="BE133">
        <v>0</v>
      </c>
      <c r="BF133">
        <v>0</v>
      </c>
      <c r="BG133" t="s">
        <v>908</v>
      </c>
    </row>
    <row r="134" spans="1:59">
      <c r="A134" s="38"/>
      <c r="B134">
        <v>52</v>
      </c>
      <c r="F134" t="s">
        <v>908</v>
      </c>
      <c r="G134" t="s">
        <v>909</v>
      </c>
      <c r="J134">
        <v>1000</v>
      </c>
      <c r="L134" t="s">
        <v>244</v>
      </c>
      <c r="O134" t="s">
        <v>890</v>
      </c>
      <c r="P134" t="s">
        <v>890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G134">
        <v>0</v>
      </c>
      <c r="AH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W134" t="s">
        <v>900</v>
      </c>
      <c r="AX134" t="s">
        <v>890</v>
      </c>
      <c r="AY134" t="s">
        <v>890</v>
      </c>
      <c r="AZ134">
        <v>0</v>
      </c>
      <c r="BA134">
        <v>0</v>
      </c>
      <c r="BC134">
        <v>1</v>
      </c>
      <c r="BE134">
        <v>0</v>
      </c>
      <c r="BF134">
        <v>0</v>
      </c>
      <c r="BG134" t="s">
        <v>908</v>
      </c>
    </row>
    <row r="135" spans="1:59">
      <c r="A135" s="38"/>
      <c r="B135">
        <v>52</v>
      </c>
      <c r="F135" t="s">
        <v>908</v>
      </c>
      <c r="G135" t="s">
        <v>909</v>
      </c>
      <c r="J135">
        <v>1000</v>
      </c>
      <c r="L135" t="s">
        <v>244</v>
      </c>
      <c r="O135" t="s">
        <v>890</v>
      </c>
      <c r="P135" t="s">
        <v>890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G135">
        <v>0</v>
      </c>
      <c r="AH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W135" t="s">
        <v>900</v>
      </c>
      <c r="AX135" t="s">
        <v>890</v>
      </c>
      <c r="AY135" t="s">
        <v>890</v>
      </c>
      <c r="AZ135">
        <v>0</v>
      </c>
      <c r="BA135">
        <v>0</v>
      </c>
      <c r="BC135">
        <v>1</v>
      </c>
      <c r="BE135">
        <v>0</v>
      </c>
      <c r="BF135">
        <v>0</v>
      </c>
      <c r="BG135" t="s">
        <v>908</v>
      </c>
    </row>
    <row r="136" spans="1:59">
      <c r="A136" s="38"/>
      <c r="B136">
        <v>52</v>
      </c>
      <c r="F136" t="s">
        <v>908</v>
      </c>
      <c r="G136" t="s">
        <v>909</v>
      </c>
      <c r="J136">
        <v>1000</v>
      </c>
      <c r="L136" t="s">
        <v>244</v>
      </c>
      <c r="O136" t="s">
        <v>890</v>
      </c>
      <c r="P136" t="s">
        <v>890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G136">
        <v>0</v>
      </c>
      <c r="AH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W136" t="s">
        <v>900</v>
      </c>
      <c r="AX136" t="s">
        <v>890</v>
      </c>
      <c r="AY136" t="s">
        <v>890</v>
      </c>
      <c r="AZ136">
        <v>0</v>
      </c>
      <c r="BA136">
        <v>0</v>
      </c>
      <c r="BC136">
        <v>1</v>
      </c>
      <c r="BE136">
        <v>0</v>
      </c>
      <c r="BF136">
        <v>0</v>
      </c>
      <c r="BG136" t="s">
        <v>908</v>
      </c>
    </row>
    <row r="137" spans="1:59">
      <c r="A137" s="38"/>
      <c r="B137">
        <v>52</v>
      </c>
      <c r="F137" t="s">
        <v>908</v>
      </c>
      <c r="G137" t="s">
        <v>909</v>
      </c>
      <c r="J137">
        <v>1000</v>
      </c>
      <c r="L137" t="s">
        <v>244</v>
      </c>
      <c r="O137" t="s">
        <v>890</v>
      </c>
      <c r="P137" t="s">
        <v>890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G137">
        <v>0</v>
      </c>
      <c r="AH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W137" t="s">
        <v>900</v>
      </c>
      <c r="AX137" t="s">
        <v>890</v>
      </c>
      <c r="AY137" t="s">
        <v>890</v>
      </c>
      <c r="AZ137">
        <v>0</v>
      </c>
      <c r="BA137">
        <v>0</v>
      </c>
      <c r="BC137">
        <v>1</v>
      </c>
      <c r="BE137">
        <v>0</v>
      </c>
      <c r="BF137">
        <v>0</v>
      </c>
      <c r="BG137" t="s">
        <v>908</v>
      </c>
    </row>
    <row r="138" spans="1:59">
      <c r="A138" s="38"/>
      <c r="B138">
        <v>52</v>
      </c>
      <c r="F138" t="s">
        <v>908</v>
      </c>
      <c r="G138" t="s">
        <v>909</v>
      </c>
      <c r="J138">
        <v>1000</v>
      </c>
      <c r="L138" t="s">
        <v>244</v>
      </c>
      <c r="O138" t="s">
        <v>890</v>
      </c>
      <c r="P138" t="s">
        <v>890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G138">
        <v>0</v>
      </c>
      <c r="AH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W138" t="s">
        <v>900</v>
      </c>
      <c r="AX138" t="s">
        <v>890</v>
      </c>
      <c r="AY138" t="s">
        <v>890</v>
      </c>
      <c r="AZ138">
        <v>0</v>
      </c>
      <c r="BA138">
        <v>0</v>
      </c>
      <c r="BC138">
        <v>1</v>
      </c>
      <c r="BE138">
        <v>0</v>
      </c>
      <c r="BF138">
        <v>0</v>
      </c>
      <c r="BG138" t="s">
        <v>908</v>
      </c>
    </row>
    <row r="139" spans="1:59">
      <c r="A139" s="38"/>
      <c r="B139">
        <v>52</v>
      </c>
      <c r="F139" t="s">
        <v>908</v>
      </c>
      <c r="G139" t="s">
        <v>909</v>
      </c>
      <c r="J139">
        <v>1000</v>
      </c>
      <c r="L139" t="s">
        <v>244</v>
      </c>
      <c r="O139" t="s">
        <v>890</v>
      </c>
      <c r="P139" t="s">
        <v>890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G139">
        <v>0</v>
      </c>
      <c r="AH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W139" t="s">
        <v>900</v>
      </c>
      <c r="AX139" t="s">
        <v>890</v>
      </c>
      <c r="AY139" t="s">
        <v>890</v>
      </c>
      <c r="AZ139">
        <v>0</v>
      </c>
      <c r="BA139">
        <v>0</v>
      </c>
      <c r="BC139">
        <v>1</v>
      </c>
      <c r="BE139">
        <v>0</v>
      </c>
      <c r="BF139">
        <v>0</v>
      </c>
      <c r="BG139" t="s">
        <v>908</v>
      </c>
    </row>
    <row r="140" spans="1:59">
      <c r="A140" s="38"/>
      <c r="B140">
        <v>52</v>
      </c>
      <c r="F140" t="s">
        <v>908</v>
      </c>
      <c r="G140" t="s">
        <v>909</v>
      </c>
      <c r="J140">
        <v>1000</v>
      </c>
      <c r="L140" t="s">
        <v>244</v>
      </c>
      <c r="O140" t="s">
        <v>890</v>
      </c>
      <c r="P140" t="s">
        <v>890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G140">
        <v>0</v>
      </c>
      <c r="AH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W140" t="s">
        <v>900</v>
      </c>
      <c r="AX140" t="s">
        <v>890</v>
      </c>
      <c r="AY140" t="s">
        <v>890</v>
      </c>
      <c r="AZ140">
        <v>0</v>
      </c>
      <c r="BA140">
        <v>0</v>
      </c>
      <c r="BC140">
        <v>1</v>
      </c>
      <c r="BE140">
        <v>0</v>
      </c>
      <c r="BF140">
        <v>0</v>
      </c>
      <c r="BG140" t="s">
        <v>908</v>
      </c>
    </row>
    <row r="141" spans="1:59">
      <c r="A141" s="38"/>
      <c r="B141">
        <v>52</v>
      </c>
      <c r="F141" t="s">
        <v>908</v>
      </c>
      <c r="G141" t="s">
        <v>909</v>
      </c>
      <c r="J141">
        <v>1000</v>
      </c>
      <c r="L141" t="s">
        <v>244</v>
      </c>
      <c r="O141" t="s">
        <v>890</v>
      </c>
      <c r="P141" t="s">
        <v>890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G141">
        <v>0</v>
      </c>
      <c r="AH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W141" t="s">
        <v>900</v>
      </c>
      <c r="AX141" t="s">
        <v>890</v>
      </c>
      <c r="AY141" t="s">
        <v>890</v>
      </c>
      <c r="AZ141">
        <v>0</v>
      </c>
      <c r="BA141">
        <v>0</v>
      </c>
      <c r="BC141">
        <v>1</v>
      </c>
      <c r="BE141">
        <v>0</v>
      </c>
      <c r="BF141">
        <v>0</v>
      </c>
      <c r="BG141" t="s">
        <v>908</v>
      </c>
    </row>
    <row r="142" spans="1:59">
      <c r="A142" s="38"/>
      <c r="B142">
        <v>52</v>
      </c>
      <c r="F142" t="s">
        <v>908</v>
      </c>
      <c r="G142" t="s">
        <v>909</v>
      </c>
      <c r="J142">
        <v>1000</v>
      </c>
      <c r="L142" t="s">
        <v>244</v>
      </c>
      <c r="O142" t="s">
        <v>890</v>
      </c>
      <c r="P142" t="s">
        <v>890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G142">
        <v>0</v>
      </c>
      <c r="AH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W142" t="s">
        <v>900</v>
      </c>
      <c r="AX142" t="s">
        <v>890</v>
      </c>
      <c r="AY142" t="s">
        <v>890</v>
      </c>
      <c r="AZ142">
        <v>0</v>
      </c>
      <c r="BA142">
        <v>0</v>
      </c>
      <c r="BC142">
        <v>1</v>
      </c>
      <c r="BE142">
        <v>0</v>
      </c>
      <c r="BF142">
        <v>0</v>
      </c>
      <c r="BG142" t="s">
        <v>908</v>
      </c>
    </row>
    <row r="143" spans="1:59">
      <c r="A143" s="38"/>
      <c r="B143">
        <v>52</v>
      </c>
      <c r="F143" t="s">
        <v>908</v>
      </c>
      <c r="G143" t="s">
        <v>909</v>
      </c>
      <c r="J143">
        <v>1000</v>
      </c>
      <c r="L143" t="s">
        <v>244</v>
      </c>
      <c r="O143" t="s">
        <v>890</v>
      </c>
      <c r="P143" t="s">
        <v>890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G143">
        <v>0</v>
      </c>
      <c r="AH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W143" t="s">
        <v>900</v>
      </c>
      <c r="AX143" t="s">
        <v>890</v>
      </c>
      <c r="AY143" t="s">
        <v>890</v>
      </c>
      <c r="AZ143">
        <v>0</v>
      </c>
      <c r="BA143">
        <v>0</v>
      </c>
      <c r="BC143">
        <v>1</v>
      </c>
      <c r="BE143">
        <v>0</v>
      </c>
      <c r="BF143">
        <v>0</v>
      </c>
      <c r="BG143" t="s">
        <v>908</v>
      </c>
    </row>
    <row r="144" spans="1:59">
      <c r="A144" s="38"/>
      <c r="B144">
        <v>52</v>
      </c>
      <c r="F144" t="s">
        <v>908</v>
      </c>
      <c r="G144" t="s">
        <v>909</v>
      </c>
      <c r="J144">
        <v>1000</v>
      </c>
      <c r="L144" t="s">
        <v>244</v>
      </c>
      <c r="O144" t="s">
        <v>890</v>
      </c>
      <c r="P144" t="s">
        <v>890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G144">
        <v>0</v>
      </c>
      <c r="AH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W144" t="s">
        <v>900</v>
      </c>
      <c r="AX144" t="s">
        <v>890</v>
      </c>
      <c r="AY144" t="s">
        <v>890</v>
      </c>
      <c r="AZ144">
        <v>0</v>
      </c>
      <c r="BA144">
        <v>0</v>
      </c>
      <c r="BC144">
        <v>1</v>
      </c>
      <c r="BE144">
        <v>0</v>
      </c>
      <c r="BF144">
        <v>0</v>
      </c>
      <c r="BG144" t="s">
        <v>908</v>
      </c>
    </row>
    <row r="145" spans="1:59">
      <c r="A145" s="38"/>
      <c r="B145">
        <v>52</v>
      </c>
      <c r="F145" t="s">
        <v>908</v>
      </c>
      <c r="G145" t="s">
        <v>909</v>
      </c>
      <c r="J145">
        <v>1000</v>
      </c>
      <c r="L145" t="s">
        <v>244</v>
      </c>
      <c r="O145" t="s">
        <v>890</v>
      </c>
      <c r="P145" t="s">
        <v>890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G145">
        <v>0</v>
      </c>
      <c r="AH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W145" t="s">
        <v>900</v>
      </c>
      <c r="AX145" t="s">
        <v>890</v>
      </c>
      <c r="AY145" t="s">
        <v>890</v>
      </c>
      <c r="AZ145">
        <v>0</v>
      </c>
      <c r="BA145">
        <v>0</v>
      </c>
      <c r="BC145">
        <v>1</v>
      </c>
      <c r="BE145">
        <v>0</v>
      </c>
      <c r="BF145">
        <v>0</v>
      </c>
      <c r="BG145" t="s">
        <v>908</v>
      </c>
    </row>
    <row r="146" spans="1:59">
      <c r="A146" s="38"/>
      <c r="B146">
        <v>52</v>
      </c>
      <c r="F146" t="s">
        <v>908</v>
      </c>
      <c r="G146" t="s">
        <v>909</v>
      </c>
      <c r="J146">
        <v>1000</v>
      </c>
      <c r="L146" t="s">
        <v>244</v>
      </c>
      <c r="O146" t="s">
        <v>890</v>
      </c>
      <c r="P146" t="s">
        <v>890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G146">
        <v>0</v>
      </c>
      <c r="AH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W146" t="s">
        <v>900</v>
      </c>
      <c r="AX146" t="s">
        <v>890</v>
      </c>
      <c r="AY146" t="s">
        <v>890</v>
      </c>
      <c r="AZ146">
        <v>0</v>
      </c>
      <c r="BA146">
        <v>0</v>
      </c>
      <c r="BC146">
        <v>1</v>
      </c>
      <c r="BE146">
        <v>0</v>
      </c>
      <c r="BF146">
        <v>0</v>
      </c>
      <c r="BG146" t="s">
        <v>908</v>
      </c>
    </row>
    <row r="147" spans="1:59">
      <c r="A147" s="38"/>
      <c r="B147">
        <v>52</v>
      </c>
      <c r="F147" t="s">
        <v>908</v>
      </c>
      <c r="G147" t="s">
        <v>909</v>
      </c>
      <c r="J147">
        <v>1000</v>
      </c>
      <c r="L147" t="s">
        <v>244</v>
      </c>
      <c r="O147" t="s">
        <v>890</v>
      </c>
      <c r="P147" t="s">
        <v>890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G147">
        <v>0</v>
      </c>
      <c r="AH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W147" t="s">
        <v>900</v>
      </c>
      <c r="AX147" t="s">
        <v>890</v>
      </c>
      <c r="AY147" t="s">
        <v>890</v>
      </c>
      <c r="AZ147">
        <v>0</v>
      </c>
      <c r="BA147">
        <v>0</v>
      </c>
      <c r="BC147">
        <v>1</v>
      </c>
      <c r="BE147">
        <v>0</v>
      </c>
      <c r="BF147">
        <v>0</v>
      </c>
      <c r="BG147" t="s">
        <v>908</v>
      </c>
    </row>
    <row r="148" spans="1:59">
      <c r="A148" s="38"/>
      <c r="B148">
        <v>52</v>
      </c>
      <c r="F148" t="s">
        <v>908</v>
      </c>
      <c r="G148" t="s">
        <v>909</v>
      </c>
      <c r="J148">
        <v>1000</v>
      </c>
      <c r="L148" t="s">
        <v>244</v>
      </c>
      <c r="O148" t="s">
        <v>890</v>
      </c>
      <c r="P148" t="s">
        <v>890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G148">
        <v>0</v>
      </c>
      <c r="AH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W148" t="s">
        <v>900</v>
      </c>
      <c r="AX148" t="s">
        <v>890</v>
      </c>
      <c r="AY148" t="s">
        <v>890</v>
      </c>
      <c r="AZ148">
        <v>0</v>
      </c>
      <c r="BA148">
        <v>0</v>
      </c>
      <c r="BC148">
        <v>1</v>
      </c>
      <c r="BE148">
        <v>0</v>
      </c>
      <c r="BF148">
        <v>0</v>
      </c>
      <c r="BG148" t="s">
        <v>908</v>
      </c>
    </row>
    <row r="149" spans="1:59">
      <c r="A149" s="38"/>
      <c r="B149">
        <v>52</v>
      </c>
      <c r="F149" t="s">
        <v>908</v>
      </c>
      <c r="G149" t="s">
        <v>909</v>
      </c>
      <c r="J149">
        <v>1000</v>
      </c>
      <c r="L149" t="s">
        <v>244</v>
      </c>
      <c r="O149" t="s">
        <v>890</v>
      </c>
      <c r="P149" t="s">
        <v>890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G149">
        <v>0</v>
      </c>
      <c r="AH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W149" t="s">
        <v>900</v>
      </c>
      <c r="AX149" t="s">
        <v>890</v>
      </c>
      <c r="AY149" t="s">
        <v>890</v>
      </c>
      <c r="AZ149">
        <v>0</v>
      </c>
      <c r="BA149">
        <v>0</v>
      </c>
      <c r="BC149">
        <v>1</v>
      </c>
      <c r="BE149">
        <v>0</v>
      </c>
      <c r="BF149">
        <v>0</v>
      </c>
      <c r="BG149" t="s">
        <v>908</v>
      </c>
    </row>
    <row r="150" spans="1:59">
      <c r="A150" s="38"/>
      <c r="B150">
        <v>52</v>
      </c>
      <c r="F150" t="s">
        <v>908</v>
      </c>
      <c r="G150" t="s">
        <v>909</v>
      </c>
      <c r="J150">
        <v>1000</v>
      </c>
      <c r="L150" t="s">
        <v>244</v>
      </c>
      <c r="O150" t="s">
        <v>890</v>
      </c>
      <c r="P150" t="s">
        <v>890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G150">
        <v>0</v>
      </c>
      <c r="AH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W150" t="s">
        <v>900</v>
      </c>
      <c r="AX150" t="s">
        <v>890</v>
      </c>
      <c r="AY150" t="s">
        <v>890</v>
      </c>
      <c r="AZ150">
        <v>0</v>
      </c>
      <c r="BA150">
        <v>0</v>
      </c>
      <c r="BC150">
        <v>1</v>
      </c>
      <c r="BE150">
        <v>0</v>
      </c>
      <c r="BF150">
        <v>0</v>
      </c>
      <c r="BG150" t="s">
        <v>908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48D7-AF69-4F3F-BEBD-25E680DA3C1B}">
  <dimension ref="A9:O51"/>
  <sheetViews>
    <sheetView workbookViewId="0">
      <selection activeCell="B18" sqref="B18"/>
    </sheetView>
  </sheetViews>
  <sheetFormatPr defaultColWidth="11.42578125" defaultRowHeight="14.45"/>
  <cols>
    <col min="1" max="1" width="16.5703125" bestFit="1" customWidth="1"/>
    <col min="2" max="2" width="30.85546875" bestFit="1" customWidth="1"/>
    <col min="3" max="3" width="11.5703125" bestFit="1" customWidth="1"/>
    <col min="4" max="4" width="10.140625" bestFit="1" customWidth="1"/>
    <col min="5" max="5" width="19.140625" bestFit="1" customWidth="1"/>
    <col min="6" max="6" width="28.5703125" bestFit="1" customWidth="1"/>
    <col min="7" max="7" width="30.5703125" bestFit="1" customWidth="1"/>
    <col min="8" max="8" width="32" bestFit="1" customWidth="1"/>
    <col min="9" max="9" width="27.85546875" style="14" bestFit="1" customWidth="1"/>
    <col min="10" max="10" width="23.85546875" style="14" bestFit="1" customWidth="1"/>
    <col min="11" max="11" width="23.5703125" style="14" bestFit="1" customWidth="1"/>
    <col min="12" max="12" width="25.5703125" style="14" bestFit="1" customWidth="1"/>
    <col min="13" max="13" width="23" bestFit="1" customWidth="1"/>
    <col min="14" max="14" width="24.85546875" bestFit="1" customWidth="1"/>
    <col min="15" max="15" width="23.5703125" bestFit="1" customWidth="1"/>
  </cols>
  <sheetData>
    <row r="9" spans="1:15">
      <c r="A9" s="10" t="s">
        <v>886</v>
      </c>
      <c r="B9" t="s">
        <v>911</v>
      </c>
    </row>
    <row r="10" spans="1:15">
      <c r="A10" s="10" t="s">
        <v>887</v>
      </c>
      <c r="B10" t="s">
        <v>911</v>
      </c>
    </row>
    <row r="11" spans="1:15">
      <c r="A11" s="10" t="s">
        <v>888</v>
      </c>
      <c r="B11" t="s">
        <v>911</v>
      </c>
    </row>
    <row r="13" spans="1:15">
      <c r="A13" s="13" t="s">
        <v>912</v>
      </c>
      <c r="B13" s="10" t="s">
        <v>835</v>
      </c>
      <c r="C13" s="10" t="s">
        <v>837</v>
      </c>
      <c r="D13" s="10" t="s">
        <v>836</v>
      </c>
      <c r="E13" s="12" t="s">
        <v>913</v>
      </c>
      <c r="F13" s="12" t="s">
        <v>914</v>
      </c>
      <c r="G13" s="12" t="s">
        <v>915</v>
      </c>
      <c r="H13" s="12" t="s">
        <v>916</v>
      </c>
      <c r="I13" s="12" t="s">
        <v>917</v>
      </c>
      <c r="J13" s="12" t="s">
        <v>918</v>
      </c>
      <c r="K13" s="12" t="s">
        <v>919</v>
      </c>
      <c r="L13" s="15" t="s">
        <v>920</v>
      </c>
      <c r="M13" s="15" t="s">
        <v>921</v>
      </c>
      <c r="N13" s="15" t="s">
        <v>922</v>
      </c>
      <c r="O13" s="15" t="s">
        <v>923</v>
      </c>
    </row>
    <row r="14" spans="1:15">
      <c r="A14" s="16">
        <v>46037</v>
      </c>
      <c r="B14" t="s">
        <v>811</v>
      </c>
      <c r="C14">
        <v>7830</v>
      </c>
      <c r="D14">
        <v>21219</v>
      </c>
      <c r="E14" s="17">
        <v>0.88549999999999995</v>
      </c>
      <c r="F14" s="11">
        <v>5.3999999999999999E-2</v>
      </c>
      <c r="G14" s="11">
        <v>0</v>
      </c>
      <c r="H14" s="11">
        <v>0</v>
      </c>
      <c r="I14" s="11">
        <v>4.1499999999999995E-2</v>
      </c>
      <c r="J14" s="11">
        <v>1.6E-2</v>
      </c>
      <c r="K14" s="11">
        <v>3.0000000000000001E-3</v>
      </c>
      <c r="L14" s="14">
        <v>0.5</v>
      </c>
      <c r="M14" s="14">
        <v>0</v>
      </c>
      <c r="N14" s="14">
        <v>0</v>
      </c>
      <c r="O14" s="14">
        <v>0</v>
      </c>
    </row>
    <row r="15" spans="1:15">
      <c r="D15">
        <v>21220</v>
      </c>
      <c r="E15" s="17">
        <v>0.69899999999999995</v>
      </c>
      <c r="F15" s="11">
        <v>7.8E-2</v>
      </c>
      <c r="G15" s="11">
        <v>0</v>
      </c>
      <c r="H15" s="11">
        <v>2.1999999999999999E-2</v>
      </c>
      <c r="I15" s="11">
        <v>6.3E-2</v>
      </c>
      <c r="J15" s="11">
        <v>0.13300000000000001</v>
      </c>
      <c r="K15" s="11">
        <v>5.0000000000000001E-3</v>
      </c>
      <c r="L15" s="14">
        <v>4</v>
      </c>
      <c r="M15" s="14">
        <v>0</v>
      </c>
      <c r="N15" s="14">
        <v>0</v>
      </c>
      <c r="O15" s="14">
        <v>0</v>
      </c>
    </row>
    <row r="16" spans="1:15">
      <c r="D16">
        <v>21221</v>
      </c>
      <c r="E16" s="17">
        <v>0.88149999999999995</v>
      </c>
      <c r="F16" s="11">
        <v>2.0999999999999998E-2</v>
      </c>
      <c r="G16" s="11">
        <v>0</v>
      </c>
      <c r="H16" s="11">
        <v>1.0999999999999999E-2</v>
      </c>
      <c r="I16" s="11">
        <v>4.8000000000000001E-2</v>
      </c>
      <c r="J16" s="11">
        <v>1.6E-2</v>
      </c>
      <c r="K16" s="11">
        <v>2.2499999999999999E-2</v>
      </c>
      <c r="L16" s="14">
        <v>3</v>
      </c>
      <c r="M16" s="14">
        <v>0</v>
      </c>
      <c r="N16" s="14">
        <v>0</v>
      </c>
      <c r="O16" s="14">
        <v>0</v>
      </c>
    </row>
    <row r="17" spans="1:15">
      <c r="D17">
        <v>21222</v>
      </c>
      <c r="E17" s="17">
        <v>0.87</v>
      </c>
      <c r="F17" s="11">
        <v>5.8000000000000003E-2</v>
      </c>
      <c r="G17" s="11">
        <v>0</v>
      </c>
      <c r="H17" s="11">
        <v>4.4999999999999997E-3</v>
      </c>
      <c r="I17" s="11">
        <v>5.0500000000000003E-2</v>
      </c>
      <c r="J17" s="11">
        <v>1.7000000000000001E-2</v>
      </c>
      <c r="K17" s="11">
        <v>0</v>
      </c>
      <c r="L17" s="14">
        <v>1.5</v>
      </c>
      <c r="M17" s="14">
        <v>0</v>
      </c>
      <c r="N17" s="14">
        <v>0</v>
      </c>
      <c r="O17" s="14">
        <v>0</v>
      </c>
    </row>
    <row r="18" spans="1:15">
      <c r="D18">
        <v>21223</v>
      </c>
      <c r="E18" s="17">
        <v>0.91300000000000003</v>
      </c>
      <c r="F18" s="11">
        <v>3.4000000000000002E-2</v>
      </c>
      <c r="G18" s="11">
        <v>0</v>
      </c>
      <c r="H18" s="11">
        <v>0</v>
      </c>
      <c r="I18" s="11">
        <v>4.9000000000000002E-2</v>
      </c>
      <c r="J18" s="11">
        <v>0</v>
      </c>
      <c r="K18" s="11">
        <v>4.0000000000000001E-3</v>
      </c>
      <c r="L18" s="14">
        <v>6</v>
      </c>
      <c r="M18" s="14">
        <v>0</v>
      </c>
      <c r="N18" s="14">
        <v>0</v>
      </c>
      <c r="O18" s="14">
        <v>0</v>
      </c>
    </row>
    <row r="19" spans="1:15">
      <c r="D19">
        <v>21250</v>
      </c>
      <c r="E19" s="17">
        <v>0.89400000000000002</v>
      </c>
      <c r="F19" s="11">
        <v>4.3499999999999997E-2</v>
      </c>
      <c r="G19" s="11">
        <v>0</v>
      </c>
      <c r="H19" s="11">
        <v>0</v>
      </c>
      <c r="I19" s="11">
        <v>5.5500000000000001E-2</v>
      </c>
      <c r="J19" s="11">
        <v>7.0000000000000001E-3</v>
      </c>
      <c r="K19" s="11">
        <v>0</v>
      </c>
      <c r="L19" s="14">
        <v>0.5</v>
      </c>
      <c r="M19" s="14">
        <v>0</v>
      </c>
      <c r="N19" s="14">
        <v>0</v>
      </c>
      <c r="O19" s="14">
        <v>0</v>
      </c>
    </row>
    <row r="20" spans="1:15">
      <c r="D20">
        <v>21251</v>
      </c>
      <c r="E20" s="17">
        <v>0.92300000000000004</v>
      </c>
      <c r="F20" s="11">
        <v>7.0000000000000007E-2</v>
      </c>
      <c r="G20" s="11">
        <v>0</v>
      </c>
      <c r="H20" s="11">
        <v>0</v>
      </c>
      <c r="I20" s="11">
        <v>7.0000000000000001E-3</v>
      </c>
      <c r="J20" s="11">
        <v>0</v>
      </c>
      <c r="K20" s="11">
        <v>0</v>
      </c>
      <c r="L20" s="14">
        <v>0</v>
      </c>
      <c r="M20" s="14">
        <v>0</v>
      </c>
      <c r="N20" s="14">
        <v>0</v>
      </c>
      <c r="O20" s="14">
        <v>0</v>
      </c>
    </row>
    <row r="21" spans="1:15">
      <c r="D21">
        <v>21252</v>
      </c>
      <c r="E21" s="17">
        <v>0.93399999999999994</v>
      </c>
      <c r="F21" s="11">
        <v>6.0000000000000001E-3</v>
      </c>
      <c r="G21" s="11">
        <v>0</v>
      </c>
      <c r="H21" s="11">
        <v>0</v>
      </c>
      <c r="I21" s="11">
        <v>0.06</v>
      </c>
      <c r="J21" s="11">
        <v>0</v>
      </c>
      <c r="K21" s="11">
        <v>0</v>
      </c>
      <c r="L21" s="14">
        <v>2</v>
      </c>
      <c r="M21" s="14">
        <v>0</v>
      </c>
      <c r="N21" s="14">
        <v>0</v>
      </c>
      <c r="O21" s="14">
        <v>0</v>
      </c>
    </row>
    <row r="22" spans="1:15">
      <c r="D22">
        <v>21253</v>
      </c>
      <c r="E22" s="17">
        <v>0.9</v>
      </c>
      <c r="F22" s="11">
        <v>1.2E-2</v>
      </c>
      <c r="G22" s="11">
        <v>0</v>
      </c>
      <c r="H22" s="11">
        <v>0</v>
      </c>
      <c r="I22" s="11">
        <v>8.7999999999999995E-2</v>
      </c>
      <c r="J22" s="11">
        <v>0</v>
      </c>
      <c r="K22" s="11">
        <v>0</v>
      </c>
      <c r="L22" s="14">
        <v>3</v>
      </c>
      <c r="M22" s="14">
        <v>0</v>
      </c>
      <c r="N22" s="14">
        <v>0</v>
      </c>
      <c r="O22" s="14">
        <v>0</v>
      </c>
    </row>
    <row r="23" spans="1:15">
      <c r="D23">
        <v>21254</v>
      </c>
      <c r="E23" s="17">
        <v>0.88300000000000001</v>
      </c>
      <c r="F23" s="11">
        <v>2.5999999999999999E-2</v>
      </c>
      <c r="G23" s="11">
        <v>0</v>
      </c>
      <c r="H23" s="11">
        <v>0</v>
      </c>
      <c r="I23" s="11">
        <v>6.2E-2</v>
      </c>
      <c r="J23" s="11">
        <v>2.3E-2</v>
      </c>
      <c r="K23" s="11">
        <v>6.0000000000000001E-3</v>
      </c>
      <c r="L23" s="14">
        <v>0</v>
      </c>
      <c r="M23" s="14">
        <v>0</v>
      </c>
      <c r="N23" s="14">
        <v>0</v>
      </c>
      <c r="O23" s="14">
        <v>0</v>
      </c>
    </row>
    <row r="24" spans="1:15">
      <c r="D24">
        <v>21255</v>
      </c>
      <c r="E24" s="17">
        <v>0.83099999999999996</v>
      </c>
      <c r="F24" s="11">
        <v>2.5999999999999999E-2</v>
      </c>
      <c r="G24" s="11">
        <v>0</v>
      </c>
      <c r="H24" s="11">
        <v>0</v>
      </c>
      <c r="I24" s="11">
        <v>0.14299999999999999</v>
      </c>
      <c r="J24" s="11">
        <v>0</v>
      </c>
      <c r="K24" s="11">
        <v>0</v>
      </c>
      <c r="L24" s="14">
        <v>0</v>
      </c>
      <c r="M24" s="14">
        <v>0</v>
      </c>
      <c r="N24" s="14">
        <v>0</v>
      </c>
      <c r="O24" s="14">
        <v>0</v>
      </c>
    </row>
    <row r="25" spans="1:15">
      <c r="D25">
        <v>21519</v>
      </c>
      <c r="E25" s="17">
        <v>0.86599999999999999</v>
      </c>
      <c r="F25" s="11">
        <v>4.0000000000000001E-3</v>
      </c>
      <c r="G25" s="11">
        <v>0</v>
      </c>
      <c r="H25" s="11">
        <v>8.9999999999999993E-3</v>
      </c>
      <c r="I25" s="11">
        <v>0.121</v>
      </c>
      <c r="J25" s="11">
        <v>0</v>
      </c>
      <c r="K25" s="11">
        <v>0</v>
      </c>
      <c r="L25" s="14">
        <v>0</v>
      </c>
      <c r="M25" s="14">
        <v>0</v>
      </c>
      <c r="N25" s="14">
        <v>0</v>
      </c>
      <c r="O25" s="14">
        <v>0</v>
      </c>
    </row>
    <row r="26" spans="1:15">
      <c r="D26">
        <v>21520</v>
      </c>
      <c r="E26" s="17">
        <v>0.89700000000000002</v>
      </c>
      <c r="F26" s="11">
        <v>5.0999999999999997E-2</v>
      </c>
      <c r="G26" s="11">
        <v>0</v>
      </c>
      <c r="H26" s="11">
        <v>1E-3</v>
      </c>
      <c r="I26" s="11">
        <v>4.3999999999999997E-2</v>
      </c>
      <c r="J26" s="11">
        <v>5.4999999999999997E-3</v>
      </c>
      <c r="K26" s="11">
        <v>1.5E-3</v>
      </c>
      <c r="L26" s="14">
        <v>1.5</v>
      </c>
      <c r="M26" s="14">
        <v>0</v>
      </c>
      <c r="N26" s="14">
        <v>0</v>
      </c>
      <c r="O26" s="14">
        <v>0</v>
      </c>
    </row>
    <row r="27" spans="1:15">
      <c r="D27">
        <v>21522</v>
      </c>
      <c r="E27" s="17">
        <v>0.80400000000000005</v>
      </c>
      <c r="F27" s="11">
        <v>5.3999999999999999E-2</v>
      </c>
      <c r="G27" s="11">
        <v>0</v>
      </c>
      <c r="H27" s="11">
        <v>1.2999999999999999E-2</v>
      </c>
      <c r="I27" s="11">
        <v>9.5000000000000001E-2</v>
      </c>
      <c r="J27" s="11">
        <v>3.4000000000000002E-2</v>
      </c>
      <c r="K27" s="11">
        <v>0</v>
      </c>
      <c r="L27" s="14">
        <v>4</v>
      </c>
      <c r="M27" s="14">
        <v>0</v>
      </c>
      <c r="N27" s="14">
        <v>0</v>
      </c>
      <c r="O27" s="14">
        <v>0</v>
      </c>
    </row>
    <row r="28" spans="1:15">
      <c r="D28">
        <v>21523</v>
      </c>
      <c r="E28" s="17">
        <v>0.91700000000000004</v>
      </c>
      <c r="F28" s="11">
        <v>1.6E-2</v>
      </c>
      <c r="G28" s="11">
        <v>0</v>
      </c>
      <c r="H28" s="11">
        <v>2.1999999999999999E-2</v>
      </c>
      <c r="I28" s="11">
        <v>0.04</v>
      </c>
      <c r="J28" s="11">
        <v>3.0000000000000001E-3</v>
      </c>
      <c r="K28" s="11">
        <v>2E-3</v>
      </c>
      <c r="L28" s="14">
        <v>0</v>
      </c>
      <c r="M28" s="14">
        <v>0</v>
      </c>
      <c r="N28" s="14">
        <v>0</v>
      </c>
      <c r="O28" s="14">
        <v>0</v>
      </c>
    </row>
    <row r="29" spans="1:15">
      <c r="D29">
        <v>21524</v>
      </c>
      <c r="E29" s="17">
        <v>0.84899999999999998</v>
      </c>
      <c r="F29" s="11">
        <v>0.01</v>
      </c>
      <c r="G29" s="11">
        <v>0</v>
      </c>
      <c r="H29" s="11">
        <v>0</v>
      </c>
      <c r="I29" s="11">
        <v>0.13900000000000001</v>
      </c>
      <c r="J29" s="11">
        <v>0</v>
      </c>
      <c r="K29" s="11">
        <v>2E-3</v>
      </c>
      <c r="L29" s="14">
        <v>1</v>
      </c>
      <c r="M29" s="14">
        <v>0</v>
      </c>
      <c r="N29" s="14">
        <v>0</v>
      </c>
      <c r="O29" s="14">
        <v>0</v>
      </c>
    </row>
    <row r="30" spans="1:15">
      <c r="D30">
        <v>21560</v>
      </c>
      <c r="E30" s="17">
        <v>0.90200000000000002</v>
      </c>
      <c r="F30" s="11">
        <v>2.1999999999999999E-2</v>
      </c>
      <c r="G30" s="11">
        <v>0</v>
      </c>
      <c r="H30" s="11">
        <v>0</v>
      </c>
      <c r="I30" s="11">
        <v>7.5999999999999998E-2</v>
      </c>
      <c r="J30" s="11">
        <v>0</v>
      </c>
      <c r="K30" s="11">
        <v>0</v>
      </c>
      <c r="L30" s="14">
        <v>1</v>
      </c>
      <c r="M30" s="14">
        <v>0</v>
      </c>
      <c r="N30" s="14">
        <v>0</v>
      </c>
      <c r="O30" s="14">
        <v>0</v>
      </c>
    </row>
    <row r="31" spans="1:15">
      <c r="A31" s="16">
        <v>46039</v>
      </c>
      <c r="B31" t="s">
        <v>811</v>
      </c>
      <c r="C31">
        <v>7830</v>
      </c>
      <c r="D31">
        <v>21561</v>
      </c>
      <c r="E31" s="17">
        <v>0.88500000000000001</v>
      </c>
      <c r="F31" s="11">
        <v>0.03</v>
      </c>
      <c r="G31" s="11">
        <v>0</v>
      </c>
      <c r="H31" s="11">
        <v>0</v>
      </c>
      <c r="I31" s="11">
        <v>7.0000000000000007E-2</v>
      </c>
      <c r="J31" s="11">
        <v>1.4999999999999999E-2</v>
      </c>
      <c r="K31" s="11">
        <v>0</v>
      </c>
      <c r="L31" s="14">
        <v>0</v>
      </c>
      <c r="M31" s="14">
        <v>0</v>
      </c>
      <c r="N31" s="14">
        <v>0</v>
      </c>
      <c r="O31" s="14">
        <v>0</v>
      </c>
    </row>
    <row r="32" spans="1:15">
      <c r="C32">
        <v>304903</v>
      </c>
      <c r="D32">
        <v>49434</v>
      </c>
      <c r="E32" s="17">
        <v>0.91</v>
      </c>
      <c r="F32" s="11">
        <v>7.0000000000000007E-2</v>
      </c>
      <c r="G32" s="11">
        <v>0</v>
      </c>
      <c r="H32" s="11">
        <v>0</v>
      </c>
      <c r="I32" s="11">
        <v>0.02</v>
      </c>
      <c r="J32" s="11">
        <v>0</v>
      </c>
      <c r="K32" s="11">
        <v>0</v>
      </c>
      <c r="L32" s="14">
        <v>0</v>
      </c>
      <c r="M32" s="14">
        <v>0</v>
      </c>
      <c r="N32" s="14">
        <v>0</v>
      </c>
      <c r="O32" s="14">
        <v>0</v>
      </c>
    </row>
    <row r="33" spans="1:15">
      <c r="D33">
        <v>49435</v>
      </c>
      <c r="E33" s="17">
        <v>0.87</v>
      </c>
      <c r="F33" s="11">
        <v>0.04</v>
      </c>
      <c r="G33" s="11">
        <v>0</v>
      </c>
      <c r="H33" s="11">
        <v>0</v>
      </c>
      <c r="I33" s="11">
        <v>0.09</v>
      </c>
      <c r="J33" s="11">
        <v>0</v>
      </c>
      <c r="K33" s="11">
        <v>0</v>
      </c>
      <c r="L33" s="14">
        <v>0</v>
      </c>
      <c r="M33" s="14">
        <v>0</v>
      </c>
      <c r="N33" s="14">
        <v>0</v>
      </c>
      <c r="O33" s="14">
        <v>0</v>
      </c>
    </row>
    <row r="34" spans="1:15">
      <c r="D34">
        <v>49436</v>
      </c>
      <c r="E34" s="17">
        <v>0.84</v>
      </c>
      <c r="F34" s="11">
        <v>0.09</v>
      </c>
      <c r="G34" s="11">
        <v>0</v>
      </c>
      <c r="H34" s="11">
        <v>0.01</v>
      </c>
      <c r="I34" s="11">
        <v>0.05</v>
      </c>
      <c r="J34" s="11">
        <v>0.01</v>
      </c>
      <c r="K34" s="11">
        <v>0</v>
      </c>
      <c r="L34" s="14">
        <v>0</v>
      </c>
      <c r="M34" s="14">
        <v>0</v>
      </c>
      <c r="N34" s="14">
        <v>0</v>
      </c>
      <c r="O34" s="14">
        <v>0</v>
      </c>
    </row>
    <row r="35" spans="1:15">
      <c r="D35">
        <v>49437</v>
      </c>
      <c r="E35" s="17">
        <v>0.94899999999999995</v>
      </c>
      <c r="F35" s="11">
        <v>0</v>
      </c>
      <c r="G35" s="11">
        <v>0</v>
      </c>
      <c r="H35" s="11">
        <v>0</v>
      </c>
      <c r="I35" s="11">
        <v>0.05</v>
      </c>
      <c r="J35" s="11">
        <v>0</v>
      </c>
      <c r="K35" s="11">
        <v>1E-3</v>
      </c>
      <c r="L35" s="14">
        <v>0</v>
      </c>
      <c r="M35" s="14">
        <v>0</v>
      </c>
      <c r="N35" s="14">
        <v>0</v>
      </c>
      <c r="O35" s="14">
        <v>0</v>
      </c>
    </row>
    <row r="36" spans="1:15">
      <c r="D36">
        <v>49438</v>
      </c>
      <c r="E36" s="17">
        <v>0.88</v>
      </c>
      <c r="F36" s="11">
        <v>0.06</v>
      </c>
      <c r="G36" s="11">
        <v>0</v>
      </c>
      <c r="H36" s="11">
        <v>0</v>
      </c>
      <c r="I36" s="11">
        <v>0.06</v>
      </c>
      <c r="J36" s="11">
        <v>0</v>
      </c>
      <c r="K36" s="11">
        <v>0</v>
      </c>
      <c r="L36" s="14">
        <v>1</v>
      </c>
      <c r="M36" s="14">
        <v>0</v>
      </c>
      <c r="N36" s="14">
        <v>0</v>
      </c>
      <c r="O36" s="14">
        <v>0</v>
      </c>
    </row>
    <row r="37" spans="1:15">
      <c r="D37">
        <v>49439</v>
      </c>
      <c r="E37" s="17">
        <v>0.85899999999999999</v>
      </c>
      <c r="F37" s="11">
        <v>7.0000000000000007E-2</v>
      </c>
      <c r="G37" s="11">
        <v>0</v>
      </c>
      <c r="H37" s="11">
        <v>0</v>
      </c>
      <c r="I37" s="11">
        <v>7.0000000000000007E-2</v>
      </c>
      <c r="J37" s="11">
        <v>0</v>
      </c>
      <c r="K37" s="11">
        <v>1E-3</v>
      </c>
      <c r="L37" s="14">
        <v>8</v>
      </c>
      <c r="M37" s="14">
        <v>0</v>
      </c>
      <c r="N37" s="14">
        <v>0</v>
      </c>
      <c r="O37" s="14">
        <v>0</v>
      </c>
    </row>
    <row r="38" spans="1:15">
      <c r="D38">
        <v>49440</v>
      </c>
      <c r="E38" s="17">
        <v>0.80999999999999994</v>
      </c>
      <c r="F38" s="11">
        <v>0.08</v>
      </c>
      <c r="G38" s="11">
        <v>0</v>
      </c>
      <c r="H38" s="11">
        <v>0</v>
      </c>
      <c r="I38" s="11">
        <v>7.0000000000000007E-2</v>
      </c>
      <c r="J38" s="11">
        <v>0.04</v>
      </c>
      <c r="K38" s="11">
        <v>0</v>
      </c>
      <c r="L38" s="14">
        <v>0</v>
      </c>
      <c r="M38" s="14">
        <v>0</v>
      </c>
      <c r="N38" s="14">
        <v>0</v>
      </c>
      <c r="O38" s="14">
        <v>0</v>
      </c>
    </row>
    <row r="39" spans="1:15">
      <c r="D39">
        <v>49441</v>
      </c>
      <c r="E39" s="17">
        <v>0.81499999999999995</v>
      </c>
      <c r="F39" s="11">
        <v>0.05</v>
      </c>
      <c r="G39" s="11">
        <v>0</v>
      </c>
      <c r="H39" s="11">
        <v>0</v>
      </c>
      <c r="I39" s="11">
        <v>0.105</v>
      </c>
      <c r="J39" s="11">
        <v>0.03</v>
      </c>
      <c r="K39" s="11">
        <v>0</v>
      </c>
      <c r="L39" s="14">
        <v>0</v>
      </c>
      <c r="M39" s="14">
        <v>0</v>
      </c>
      <c r="N39" s="14">
        <v>0</v>
      </c>
      <c r="O39" s="14">
        <v>0</v>
      </c>
    </row>
    <row r="40" spans="1:15">
      <c r="A40" t="s">
        <v>924</v>
      </c>
      <c r="B40" t="s">
        <v>908</v>
      </c>
      <c r="C40" t="s">
        <v>924</v>
      </c>
      <c r="D40" t="s">
        <v>924</v>
      </c>
      <c r="E40" s="17">
        <v>1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4">
        <v>0</v>
      </c>
      <c r="M40" s="14">
        <v>0</v>
      </c>
      <c r="N40" s="14">
        <v>0</v>
      </c>
      <c r="O40" s="14">
        <v>0</v>
      </c>
    </row>
    <row r="41" spans="1:15">
      <c r="A41" t="s">
        <v>925</v>
      </c>
      <c r="E41" s="17">
        <v>0.95661111111111108</v>
      </c>
      <c r="F41" s="11">
        <v>1.4477777777777784E-2</v>
      </c>
      <c r="G41" s="11">
        <v>0</v>
      </c>
      <c r="H41" s="11">
        <v>1.2111111111111112E-3</v>
      </c>
      <c r="I41" s="11">
        <v>2.23E-2</v>
      </c>
      <c r="J41" s="11">
        <v>4.5666666666666668E-3</v>
      </c>
      <c r="K41" s="11">
        <v>8.333333333333335E-4</v>
      </c>
      <c r="L41" s="14">
        <v>0.48888888888888887</v>
      </c>
      <c r="M41" s="14">
        <v>0</v>
      </c>
      <c r="N41" s="14">
        <v>0</v>
      </c>
      <c r="O41" s="14">
        <v>0</v>
      </c>
    </row>
    <row r="42" spans="1:15">
      <c r="I42"/>
      <c r="J42"/>
      <c r="K42"/>
      <c r="L42"/>
    </row>
    <row r="43" spans="1:15">
      <c r="I43"/>
      <c r="J43"/>
      <c r="K43"/>
      <c r="L43"/>
    </row>
    <row r="44" spans="1:15">
      <c r="I44"/>
      <c r="J44"/>
      <c r="K44"/>
      <c r="L44"/>
    </row>
    <row r="45" spans="1:15">
      <c r="I45"/>
      <c r="J45"/>
      <c r="K45"/>
      <c r="L45"/>
    </row>
    <row r="46" spans="1:15">
      <c r="I46"/>
      <c r="J46"/>
      <c r="K46"/>
      <c r="L46"/>
    </row>
    <row r="47" spans="1:15">
      <c r="I47"/>
      <c r="J47"/>
      <c r="K47"/>
      <c r="L47"/>
    </row>
    <row r="48" spans="1:15">
      <c r="I48"/>
      <c r="J48"/>
      <c r="K48"/>
      <c r="L48"/>
    </row>
    <row r="49" customFormat="1"/>
    <row r="50" customFormat="1"/>
    <row r="51" customFormat="1"/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4F2A-F2BE-4B98-A72C-3376801479D2}">
  <dimension ref="A9:O18"/>
  <sheetViews>
    <sheetView workbookViewId="0">
      <selection activeCell="E23" sqref="E23"/>
    </sheetView>
  </sheetViews>
  <sheetFormatPr defaultColWidth="11.42578125" defaultRowHeight="14.45"/>
  <cols>
    <col min="1" max="1" width="15.85546875" bestFit="1" customWidth="1"/>
    <col min="2" max="2" width="30.42578125" bestFit="1" customWidth="1"/>
    <col min="3" max="3" width="11.5703125" bestFit="1" customWidth="1"/>
    <col min="4" max="4" width="10.140625" bestFit="1" customWidth="1"/>
    <col min="5" max="5" width="18.5703125" bestFit="1" customWidth="1"/>
    <col min="6" max="6" width="24.42578125" bestFit="1" customWidth="1"/>
    <col min="7" max="7" width="26.42578125" bestFit="1" customWidth="1"/>
    <col min="8" max="8" width="27.85546875" bestFit="1" customWidth="1"/>
    <col min="9" max="9" width="23.85546875" bestFit="1" customWidth="1"/>
    <col min="10" max="11" width="19.5703125" bestFit="1" customWidth="1"/>
    <col min="12" max="12" width="20.85546875" bestFit="1" customWidth="1"/>
    <col min="13" max="13" width="18.85546875" bestFit="1" customWidth="1"/>
    <col min="14" max="14" width="20.5703125" bestFit="1" customWidth="1"/>
    <col min="15" max="15" width="19.42578125" bestFit="1" customWidth="1"/>
  </cols>
  <sheetData>
    <row r="9" spans="1:15">
      <c r="A9" s="10" t="s">
        <v>886</v>
      </c>
      <c r="B9" t="s">
        <v>911</v>
      </c>
    </row>
    <row r="10" spans="1:15">
      <c r="A10" s="10" t="s">
        <v>887</v>
      </c>
      <c r="B10" t="s">
        <v>911</v>
      </c>
    </row>
    <row r="11" spans="1:15">
      <c r="A11" s="10" t="s">
        <v>888</v>
      </c>
      <c r="B11" t="s">
        <v>911</v>
      </c>
    </row>
    <row r="13" spans="1:15">
      <c r="A13" s="10" t="s">
        <v>912</v>
      </c>
      <c r="B13" s="10" t="s">
        <v>835</v>
      </c>
      <c r="C13" s="10" t="s">
        <v>837</v>
      </c>
      <c r="D13" s="10" t="s">
        <v>836</v>
      </c>
      <c r="E13" t="s">
        <v>913</v>
      </c>
      <c r="F13" t="s">
        <v>926</v>
      </c>
      <c r="G13" t="s">
        <v>927</v>
      </c>
      <c r="H13" t="s">
        <v>928</v>
      </c>
      <c r="I13" t="s">
        <v>929</v>
      </c>
      <c r="J13" t="s">
        <v>930</v>
      </c>
      <c r="K13" t="s">
        <v>931</v>
      </c>
      <c r="L13" t="s">
        <v>932</v>
      </c>
      <c r="M13" t="s">
        <v>933</v>
      </c>
      <c r="N13" t="s">
        <v>934</v>
      </c>
      <c r="O13" t="s">
        <v>935</v>
      </c>
    </row>
    <row r="14" spans="1:15">
      <c r="A14" s="39">
        <v>46072</v>
      </c>
      <c r="B14" s="40" t="s">
        <v>827</v>
      </c>
      <c r="C14" s="40">
        <v>11681</v>
      </c>
      <c r="D14" s="40">
        <v>37472</v>
      </c>
      <c r="E14" s="11">
        <v>0.91300000000000003</v>
      </c>
      <c r="F14" s="11">
        <v>8.5999999999999993E-2</v>
      </c>
      <c r="G14" s="11">
        <v>1E-3</v>
      </c>
      <c r="H14" s="11">
        <v>0</v>
      </c>
      <c r="I14" s="11">
        <v>0</v>
      </c>
      <c r="J14" s="11">
        <v>0</v>
      </c>
      <c r="K14" s="11">
        <v>0</v>
      </c>
      <c r="L14" s="42">
        <v>0</v>
      </c>
      <c r="M14" s="42">
        <v>0</v>
      </c>
      <c r="N14">
        <v>0</v>
      </c>
      <c r="O14">
        <v>0</v>
      </c>
    </row>
    <row r="15" spans="1:15">
      <c r="D15" s="40">
        <v>37473</v>
      </c>
      <c r="E15" s="11">
        <v>0.90149999999999997</v>
      </c>
      <c r="F15" s="11">
        <v>0.16299999999999998</v>
      </c>
      <c r="G15" s="11">
        <v>5.0000000000000001E-3</v>
      </c>
      <c r="H15" s="11">
        <v>2.8000000000000001E-2</v>
      </c>
      <c r="I15" s="11">
        <v>1E-3</v>
      </c>
      <c r="J15" s="11">
        <v>0</v>
      </c>
      <c r="K15" s="11">
        <v>0</v>
      </c>
      <c r="L15" s="42">
        <v>0</v>
      </c>
      <c r="M15" s="42">
        <v>0</v>
      </c>
      <c r="N15">
        <v>0</v>
      </c>
      <c r="O15">
        <v>0</v>
      </c>
    </row>
    <row r="16" spans="1:15">
      <c r="D16" s="40">
        <v>37859</v>
      </c>
      <c r="E16" s="11">
        <v>0.87</v>
      </c>
      <c r="F16" s="11">
        <v>0.129</v>
      </c>
      <c r="G16" s="11">
        <v>4.0000000000000001E-3</v>
      </c>
      <c r="H16" s="11">
        <v>1.0999999999999999E-2</v>
      </c>
      <c r="I16" s="11">
        <v>0.11600000000000001</v>
      </c>
      <c r="J16" s="11">
        <v>0</v>
      </c>
      <c r="K16" s="11">
        <v>0</v>
      </c>
      <c r="L16" s="42">
        <v>0</v>
      </c>
      <c r="M16" s="42">
        <v>5</v>
      </c>
      <c r="N16">
        <v>0</v>
      </c>
      <c r="O16">
        <v>0</v>
      </c>
    </row>
    <row r="17" spans="1:15">
      <c r="A17" s="40" t="s">
        <v>924</v>
      </c>
      <c r="B17" s="40" t="s">
        <v>908</v>
      </c>
      <c r="C17" s="40" t="s">
        <v>924</v>
      </c>
      <c r="D17" s="40" t="s">
        <v>924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42">
        <v>0</v>
      </c>
      <c r="M17" s="42">
        <v>0</v>
      </c>
      <c r="N17">
        <v>0</v>
      </c>
      <c r="O17">
        <v>0</v>
      </c>
    </row>
    <row r="18" spans="1:15">
      <c r="A18" s="40" t="s">
        <v>925</v>
      </c>
      <c r="E18" s="11">
        <v>0.99077966101694925</v>
      </c>
      <c r="F18" s="11">
        <v>0.378</v>
      </c>
      <c r="G18" s="11">
        <v>0.01</v>
      </c>
      <c r="H18" s="11">
        <v>3.9E-2</v>
      </c>
      <c r="I18" s="11">
        <v>0.11700000000000001</v>
      </c>
      <c r="J18" s="11">
        <v>0</v>
      </c>
      <c r="K18" s="11">
        <v>0</v>
      </c>
      <c r="L18" s="42">
        <v>0</v>
      </c>
      <c r="M18" s="42">
        <v>5</v>
      </c>
      <c r="N18">
        <v>0</v>
      </c>
      <c r="O18">
        <v>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2F94-A487-4848-A1FA-D670AE75FF3B}">
  <dimension ref="A9:O44"/>
  <sheetViews>
    <sheetView workbookViewId="0">
      <selection activeCell="E5" sqref="E5"/>
    </sheetView>
  </sheetViews>
  <sheetFormatPr defaultColWidth="11.42578125" defaultRowHeight="14.45"/>
  <cols>
    <col min="1" max="1" width="16.5703125" bestFit="1" customWidth="1"/>
    <col min="2" max="2" width="30.85546875" bestFit="1" customWidth="1"/>
    <col min="3" max="3" width="11.5703125" bestFit="1" customWidth="1"/>
    <col min="4" max="4" width="10.5703125" bestFit="1" customWidth="1"/>
    <col min="5" max="5" width="19.140625" style="41" bestFit="1" customWidth="1"/>
    <col min="6" max="6" width="28.5703125" style="41" bestFit="1" customWidth="1"/>
    <col min="7" max="7" width="30.5703125" style="41" bestFit="1" customWidth="1"/>
    <col min="8" max="8" width="32" style="41" bestFit="1" customWidth="1"/>
    <col min="9" max="9" width="27.85546875" style="41" bestFit="1" customWidth="1"/>
    <col min="10" max="10" width="23.85546875" style="41" bestFit="1" customWidth="1"/>
    <col min="11" max="11" width="23.5703125" style="41" bestFit="1" customWidth="1"/>
    <col min="12" max="12" width="25.5703125" style="14" bestFit="1" customWidth="1"/>
    <col min="13" max="13" width="23" style="14" bestFit="1" customWidth="1"/>
    <col min="14" max="14" width="24.85546875" style="14" bestFit="1" customWidth="1"/>
    <col min="15" max="15" width="23.5703125" style="14" bestFit="1" customWidth="1"/>
  </cols>
  <sheetData>
    <row r="9" spans="1:15">
      <c r="A9" s="10" t="s">
        <v>886</v>
      </c>
      <c r="B9" t="s">
        <v>911</v>
      </c>
    </row>
    <row r="10" spans="1:15">
      <c r="A10" s="10" t="s">
        <v>887</v>
      </c>
      <c r="B10" t="s">
        <v>911</v>
      </c>
    </row>
    <row r="11" spans="1:15">
      <c r="A11" s="10" t="s">
        <v>888</v>
      </c>
      <c r="B11" t="s">
        <v>911</v>
      </c>
    </row>
    <row r="13" spans="1:15">
      <c r="A13" s="10" t="s">
        <v>912</v>
      </c>
      <c r="B13" s="10" t="s">
        <v>835</v>
      </c>
      <c r="C13" s="10" t="s">
        <v>837</v>
      </c>
      <c r="D13" s="10" t="s">
        <v>836</v>
      </c>
      <c r="E13" s="11" t="s">
        <v>913</v>
      </c>
      <c r="F13" s="11" t="s">
        <v>914</v>
      </c>
      <c r="G13" s="11" t="s">
        <v>915</v>
      </c>
      <c r="H13" s="11" t="s">
        <v>916</v>
      </c>
      <c r="I13" s="11" t="s">
        <v>917</v>
      </c>
      <c r="J13" s="11" t="s">
        <v>918</v>
      </c>
      <c r="K13" s="11" t="s">
        <v>919</v>
      </c>
      <c r="L13" s="14" t="s">
        <v>920</v>
      </c>
      <c r="M13" s="14" t="s">
        <v>921</v>
      </c>
      <c r="N13" s="14" t="s">
        <v>922</v>
      </c>
      <c r="O13" s="14" t="s">
        <v>923</v>
      </c>
    </row>
    <row r="14" spans="1:15">
      <c r="A14" s="39">
        <v>46037</v>
      </c>
      <c r="B14" s="40" t="s">
        <v>811</v>
      </c>
      <c r="C14" s="40">
        <v>7830</v>
      </c>
      <c r="D14" s="40">
        <v>21219</v>
      </c>
      <c r="E14" s="17">
        <v>0.88549999999999995</v>
      </c>
      <c r="F14" s="11">
        <v>5.3999999999999999E-2</v>
      </c>
      <c r="G14" s="11">
        <v>0</v>
      </c>
      <c r="H14" s="11">
        <v>0</v>
      </c>
      <c r="I14" s="11">
        <v>4.1499999999999995E-2</v>
      </c>
      <c r="J14" s="11">
        <v>1.6E-2</v>
      </c>
      <c r="K14" s="11">
        <v>3.0000000000000001E-3</v>
      </c>
      <c r="L14" s="14">
        <v>0.5</v>
      </c>
      <c r="M14" s="14">
        <v>0</v>
      </c>
      <c r="N14" s="14">
        <v>0</v>
      </c>
      <c r="O14" s="14">
        <v>0</v>
      </c>
    </row>
    <row r="15" spans="1:15">
      <c r="A15" s="39">
        <v>46037</v>
      </c>
      <c r="B15" s="40" t="s">
        <v>811</v>
      </c>
      <c r="C15" s="40">
        <v>7830</v>
      </c>
      <c r="D15" s="40">
        <v>21220</v>
      </c>
      <c r="E15" s="17">
        <v>0.69899999999999995</v>
      </c>
      <c r="F15" s="11">
        <v>7.8E-2</v>
      </c>
      <c r="G15" s="11">
        <v>0</v>
      </c>
      <c r="H15" s="11">
        <v>2.1999999999999999E-2</v>
      </c>
      <c r="I15" s="11">
        <v>6.3E-2</v>
      </c>
      <c r="J15" s="11">
        <v>0.13300000000000001</v>
      </c>
      <c r="K15" s="11">
        <v>5.0000000000000001E-3</v>
      </c>
      <c r="L15" s="14">
        <v>4</v>
      </c>
      <c r="M15" s="14">
        <v>0</v>
      </c>
      <c r="N15" s="14">
        <v>0</v>
      </c>
      <c r="O15" s="14">
        <v>0</v>
      </c>
    </row>
    <row r="16" spans="1:15">
      <c r="A16" s="39">
        <v>46037</v>
      </c>
      <c r="B16" s="40" t="s">
        <v>811</v>
      </c>
      <c r="C16" s="40">
        <v>7830</v>
      </c>
      <c r="D16" s="40">
        <v>21221</v>
      </c>
      <c r="E16" s="17">
        <v>0.88149999999999995</v>
      </c>
      <c r="F16" s="11">
        <v>2.0999999999999998E-2</v>
      </c>
      <c r="G16" s="11">
        <v>0</v>
      </c>
      <c r="H16" s="11">
        <v>1.0999999999999999E-2</v>
      </c>
      <c r="I16" s="11">
        <v>4.8000000000000001E-2</v>
      </c>
      <c r="J16" s="11">
        <v>1.6E-2</v>
      </c>
      <c r="K16" s="11">
        <v>2.2499999999999999E-2</v>
      </c>
      <c r="L16" s="14">
        <v>3</v>
      </c>
      <c r="M16" s="14">
        <v>0</v>
      </c>
      <c r="N16" s="14">
        <v>0</v>
      </c>
      <c r="O16" s="14">
        <v>0</v>
      </c>
    </row>
    <row r="17" spans="1:15">
      <c r="A17" s="39">
        <v>46037</v>
      </c>
      <c r="B17" s="40" t="s">
        <v>811</v>
      </c>
      <c r="C17" s="40">
        <v>7830</v>
      </c>
      <c r="D17" s="40">
        <v>21222</v>
      </c>
      <c r="E17" s="17">
        <v>0.87</v>
      </c>
      <c r="F17" s="11">
        <v>5.8000000000000003E-2</v>
      </c>
      <c r="G17" s="11">
        <v>0</v>
      </c>
      <c r="H17" s="11">
        <v>4.4999999999999997E-3</v>
      </c>
      <c r="I17" s="11">
        <v>5.0500000000000003E-2</v>
      </c>
      <c r="J17" s="11">
        <v>1.7000000000000001E-2</v>
      </c>
      <c r="K17" s="11">
        <v>0</v>
      </c>
      <c r="L17" s="14">
        <v>1.5</v>
      </c>
      <c r="M17" s="14">
        <v>0</v>
      </c>
      <c r="N17" s="14">
        <v>0</v>
      </c>
      <c r="O17" s="14">
        <v>0</v>
      </c>
    </row>
    <row r="18" spans="1:15">
      <c r="A18" s="39">
        <v>46037</v>
      </c>
      <c r="B18" s="40" t="s">
        <v>811</v>
      </c>
      <c r="C18" s="40">
        <v>7830</v>
      </c>
      <c r="D18" s="40">
        <v>21223</v>
      </c>
      <c r="E18" s="17">
        <v>0.91300000000000003</v>
      </c>
      <c r="F18" s="11">
        <v>3.4000000000000002E-2</v>
      </c>
      <c r="G18" s="11">
        <v>0</v>
      </c>
      <c r="H18" s="11">
        <v>0</v>
      </c>
      <c r="I18" s="11">
        <v>4.9000000000000002E-2</v>
      </c>
      <c r="J18" s="11">
        <v>0</v>
      </c>
      <c r="K18" s="11">
        <v>4.0000000000000001E-3</v>
      </c>
      <c r="L18" s="14">
        <v>6</v>
      </c>
      <c r="M18" s="14">
        <v>0</v>
      </c>
      <c r="N18" s="14">
        <v>0</v>
      </c>
      <c r="O18" s="14">
        <v>0</v>
      </c>
    </row>
    <row r="19" spans="1:15">
      <c r="A19" s="39">
        <v>46037</v>
      </c>
      <c r="B19" s="40" t="s">
        <v>811</v>
      </c>
      <c r="C19" s="40">
        <v>7830</v>
      </c>
      <c r="D19" s="40">
        <v>21250</v>
      </c>
      <c r="E19" s="17">
        <v>0.89400000000000002</v>
      </c>
      <c r="F19" s="11">
        <v>4.3499999999999997E-2</v>
      </c>
      <c r="G19" s="11">
        <v>0</v>
      </c>
      <c r="H19" s="11">
        <v>0</v>
      </c>
      <c r="I19" s="11">
        <v>5.5500000000000001E-2</v>
      </c>
      <c r="J19" s="11">
        <v>7.0000000000000001E-3</v>
      </c>
      <c r="K19" s="11">
        <v>0</v>
      </c>
      <c r="L19" s="14">
        <v>0.5</v>
      </c>
      <c r="M19" s="14">
        <v>0</v>
      </c>
      <c r="N19" s="14">
        <v>0</v>
      </c>
      <c r="O19" s="14">
        <v>0</v>
      </c>
    </row>
    <row r="20" spans="1:15">
      <c r="A20" s="39">
        <v>46037</v>
      </c>
      <c r="B20" s="40" t="s">
        <v>811</v>
      </c>
      <c r="C20" s="40">
        <v>7830</v>
      </c>
      <c r="D20" s="40">
        <v>21251</v>
      </c>
      <c r="E20" s="17">
        <v>0.92300000000000004</v>
      </c>
      <c r="F20" s="11">
        <v>7.0000000000000007E-2</v>
      </c>
      <c r="G20" s="11">
        <v>0</v>
      </c>
      <c r="H20" s="11">
        <v>0</v>
      </c>
      <c r="I20" s="11">
        <v>7.0000000000000001E-3</v>
      </c>
      <c r="J20" s="11">
        <v>0</v>
      </c>
      <c r="K20" s="11">
        <v>0</v>
      </c>
      <c r="L20" s="14">
        <v>0</v>
      </c>
      <c r="M20" s="14">
        <v>0</v>
      </c>
      <c r="N20" s="14">
        <v>0</v>
      </c>
      <c r="O20" s="14">
        <v>0</v>
      </c>
    </row>
    <row r="21" spans="1:15">
      <c r="A21" s="39">
        <v>46037</v>
      </c>
      <c r="B21" s="40" t="s">
        <v>811</v>
      </c>
      <c r="C21" s="40">
        <v>7830</v>
      </c>
      <c r="D21" s="40">
        <v>21252</v>
      </c>
      <c r="E21" s="17">
        <v>0.93399999999999994</v>
      </c>
      <c r="F21" s="11">
        <v>6.0000000000000001E-3</v>
      </c>
      <c r="G21" s="11">
        <v>0</v>
      </c>
      <c r="H21" s="11">
        <v>0</v>
      </c>
      <c r="I21" s="11">
        <v>0.06</v>
      </c>
      <c r="J21" s="11">
        <v>0</v>
      </c>
      <c r="K21" s="11">
        <v>0</v>
      </c>
      <c r="L21" s="14">
        <v>2</v>
      </c>
      <c r="M21" s="14">
        <v>0</v>
      </c>
      <c r="N21" s="14">
        <v>0</v>
      </c>
      <c r="O21" s="14">
        <v>0</v>
      </c>
    </row>
    <row r="22" spans="1:15">
      <c r="A22" s="39">
        <v>46037</v>
      </c>
      <c r="B22" s="40" t="s">
        <v>811</v>
      </c>
      <c r="C22" s="40">
        <v>7830</v>
      </c>
      <c r="D22" s="40">
        <v>21253</v>
      </c>
      <c r="E22" s="17">
        <v>0.9</v>
      </c>
      <c r="F22" s="11">
        <v>1.2E-2</v>
      </c>
      <c r="G22" s="11">
        <v>0</v>
      </c>
      <c r="H22" s="11">
        <v>0</v>
      </c>
      <c r="I22" s="11">
        <v>8.7999999999999995E-2</v>
      </c>
      <c r="J22" s="11">
        <v>0</v>
      </c>
      <c r="K22" s="11">
        <v>0</v>
      </c>
      <c r="L22" s="14">
        <v>3</v>
      </c>
      <c r="M22" s="14">
        <v>0</v>
      </c>
      <c r="N22" s="14">
        <v>0</v>
      </c>
      <c r="O22" s="14">
        <v>0</v>
      </c>
    </row>
    <row r="23" spans="1:15">
      <c r="A23" s="39">
        <v>46037</v>
      </c>
      <c r="B23" s="40" t="s">
        <v>811</v>
      </c>
      <c r="C23" s="40">
        <v>7830</v>
      </c>
      <c r="D23" s="40">
        <v>21254</v>
      </c>
      <c r="E23" s="17">
        <v>0.88300000000000001</v>
      </c>
      <c r="F23" s="11">
        <v>2.5999999999999999E-2</v>
      </c>
      <c r="G23" s="11">
        <v>0</v>
      </c>
      <c r="H23" s="11">
        <v>0</v>
      </c>
      <c r="I23" s="11">
        <v>6.2E-2</v>
      </c>
      <c r="J23" s="11">
        <v>2.3E-2</v>
      </c>
      <c r="K23" s="11">
        <v>6.0000000000000001E-3</v>
      </c>
      <c r="L23" s="14">
        <v>0</v>
      </c>
      <c r="M23" s="14">
        <v>0</v>
      </c>
      <c r="N23" s="14">
        <v>0</v>
      </c>
      <c r="O23" s="14">
        <v>0</v>
      </c>
    </row>
    <row r="24" spans="1:15">
      <c r="A24" s="39">
        <v>46037</v>
      </c>
      <c r="B24" s="40" t="s">
        <v>811</v>
      </c>
      <c r="C24" s="40">
        <v>7830</v>
      </c>
      <c r="D24" s="40">
        <v>21255</v>
      </c>
      <c r="E24" s="17">
        <v>0.83099999999999996</v>
      </c>
      <c r="F24" s="11">
        <v>2.5999999999999999E-2</v>
      </c>
      <c r="G24" s="11">
        <v>0</v>
      </c>
      <c r="H24" s="11">
        <v>0</v>
      </c>
      <c r="I24" s="11">
        <v>0.14299999999999999</v>
      </c>
      <c r="J24" s="11">
        <v>0</v>
      </c>
      <c r="K24" s="11">
        <v>0</v>
      </c>
      <c r="L24" s="14">
        <v>0</v>
      </c>
      <c r="M24" s="14">
        <v>0</v>
      </c>
      <c r="N24" s="14">
        <v>0</v>
      </c>
      <c r="O24" s="14">
        <v>0</v>
      </c>
    </row>
    <row r="25" spans="1:15">
      <c r="A25" s="39">
        <v>46037</v>
      </c>
      <c r="B25" s="40" t="s">
        <v>811</v>
      </c>
      <c r="C25" s="40">
        <v>7830</v>
      </c>
      <c r="D25" s="40">
        <v>21519</v>
      </c>
      <c r="E25" s="17">
        <v>0.86599999999999999</v>
      </c>
      <c r="F25" s="11">
        <v>4.0000000000000001E-3</v>
      </c>
      <c r="G25" s="11">
        <v>0</v>
      </c>
      <c r="H25" s="11">
        <v>8.9999999999999993E-3</v>
      </c>
      <c r="I25" s="11">
        <v>0.121</v>
      </c>
      <c r="J25" s="11">
        <v>0</v>
      </c>
      <c r="K25" s="11">
        <v>0</v>
      </c>
      <c r="L25" s="14">
        <v>0</v>
      </c>
      <c r="M25" s="14">
        <v>0</v>
      </c>
      <c r="N25" s="14">
        <v>0</v>
      </c>
      <c r="O25" s="14">
        <v>0</v>
      </c>
    </row>
    <row r="26" spans="1:15">
      <c r="A26" s="39">
        <v>46037</v>
      </c>
      <c r="B26" s="40" t="s">
        <v>811</v>
      </c>
      <c r="C26" s="40">
        <v>7830</v>
      </c>
      <c r="D26" s="40">
        <v>21520</v>
      </c>
      <c r="E26" s="17">
        <v>0.89700000000000002</v>
      </c>
      <c r="F26" s="11">
        <v>5.0999999999999997E-2</v>
      </c>
      <c r="G26" s="11">
        <v>0</v>
      </c>
      <c r="H26" s="11">
        <v>1E-3</v>
      </c>
      <c r="I26" s="11">
        <v>4.3999999999999997E-2</v>
      </c>
      <c r="J26" s="11">
        <v>5.4999999999999997E-3</v>
      </c>
      <c r="K26" s="11">
        <v>1.5E-3</v>
      </c>
      <c r="L26" s="14">
        <v>1.5</v>
      </c>
      <c r="M26" s="14">
        <v>0</v>
      </c>
      <c r="N26" s="14">
        <v>0</v>
      </c>
      <c r="O26" s="14">
        <v>0</v>
      </c>
    </row>
    <row r="27" spans="1:15">
      <c r="A27" s="39">
        <v>46037</v>
      </c>
      <c r="B27" s="40" t="s">
        <v>811</v>
      </c>
      <c r="C27" s="40">
        <v>7830</v>
      </c>
      <c r="D27" s="40">
        <v>21522</v>
      </c>
      <c r="E27" s="17">
        <v>0.80400000000000005</v>
      </c>
      <c r="F27" s="11">
        <v>5.3999999999999999E-2</v>
      </c>
      <c r="G27" s="11">
        <v>0</v>
      </c>
      <c r="H27" s="11">
        <v>1.2999999999999999E-2</v>
      </c>
      <c r="I27" s="11">
        <v>9.5000000000000001E-2</v>
      </c>
      <c r="J27" s="11">
        <v>3.4000000000000002E-2</v>
      </c>
      <c r="K27" s="11">
        <v>0</v>
      </c>
      <c r="L27" s="14">
        <v>4</v>
      </c>
      <c r="M27" s="14">
        <v>0</v>
      </c>
      <c r="N27" s="14">
        <v>0</v>
      </c>
      <c r="O27" s="14">
        <v>0</v>
      </c>
    </row>
    <row r="28" spans="1:15">
      <c r="A28" s="39">
        <v>46037</v>
      </c>
      <c r="B28" s="40" t="s">
        <v>811</v>
      </c>
      <c r="C28" s="40">
        <v>7830</v>
      </c>
      <c r="D28" s="40">
        <v>21523</v>
      </c>
      <c r="E28" s="17">
        <v>0.91700000000000004</v>
      </c>
      <c r="F28" s="11">
        <v>1.6E-2</v>
      </c>
      <c r="G28" s="11">
        <v>0</v>
      </c>
      <c r="H28" s="11">
        <v>2.1999999999999999E-2</v>
      </c>
      <c r="I28" s="11">
        <v>0.04</v>
      </c>
      <c r="J28" s="11">
        <v>3.0000000000000001E-3</v>
      </c>
      <c r="K28" s="11">
        <v>2E-3</v>
      </c>
      <c r="L28" s="14">
        <v>0</v>
      </c>
      <c r="M28" s="14">
        <v>0</v>
      </c>
      <c r="N28" s="14">
        <v>0</v>
      </c>
      <c r="O28" s="14">
        <v>0</v>
      </c>
    </row>
    <row r="29" spans="1:15">
      <c r="A29" s="39">
        <v>46037</v>
      </c>
      <c r="B29" s="40" t="s">
        <v>811</v>
      </c>
      <c r="C29" s="40">
        <v>7830</v>
      </c>
      <c r="D29" s="40">
        <v>21524</v>
      </c>
      <c r="E29" s="17">
        <v>0.84899999999999998</v>
      </c>
      <c r="F29" s="11">
        <v>0.01</v>
      </c>
      <c r="G29" s="11">
        <v>0</v>
      </c>
      <c r="H29" s="11">
        <v>0</v>
      </c>
      <c r="I29" s="11">
        <v>0.13900000000000001</v>
      </c>
      <c r="J29" s="11">
        <v>0</v>
      </c>
      <c r="K29" s="11">
        <v>2E-3</v>
      </c>
      <c r="L29" s="14">
        <v>1</v>
      </c>
      <c r="M29" s="14">
        <v>0</v>
      </c>
      <c r="N29" s="14">
        <v>0</v>
      </c>
      <c r="O29" s="14">
        <v>0</v>
      </c>
    </row>
    <row r="30" spans="1:15">
      <c r="A30" s="39">
        <v>46037</v>
      </c>
      <c r="B30" s="40" t="s">
        <v>811</v>
      </c>
      <c r="C30" s="40">
        <v>7830</v>
      </c>
      <c r="D30" s="40">
        <v>21560</v>
      </c>
      <c r="E30" s="17">
        <v>0.90200000000000002</v>
      </c>
      <c r="F30" s="11">
        <v>2.1999999999999999E-2</v>
      </c>
      <c r="G30" s="11">
        <v>0</v>
      </c>
      <c r="H30" s="11">
        <v>0</v>
      </c>
      <c r="I30" s="11">
        <v>7.5999999999999998E-2</v>
      </c>
      <c r="J30" s="11">
        <v>0</v>
      </c>
      <c r="K30" s="11">
        <v>0</v>
      </c>
      <c r="L30" s="14">
        <v>1</v>
      </c>
      <c r="M30" s="14">
        <v>0</v>
      </c>
      <c r="N30" s="14">
        <v>0</v>
      </c>
      <c r="O30" s="14">
        <v>0</v>
      </c>
    </row>
    <row r="31" spans="1:15">
      <c r="A31" s="39">
        <v>46039</v>
      </c>
      <c r="B31" s="40" t="s">
        <v>811</v>
      </c>
      <c r="C31" s="40">
        <v>7830</v>
      </c>
      <c r="D31" s="40">
        <v>21561</v>
      </c>
      <c r="E31" s="17">
        <v>0.88500000000000001</v>
      </c>
      <c r="F31" s="11">
        <v>0.03</v>
      </c>
      <c r="G31" s="11">
        <v>0</v>
      </c>
      <c r="H31" s="11">
        <v>0</v>
      </c>
      <c r="I31" s="11">
        <v>7.0000000000000007E-2</v>
      </c>
      <c r="J31" s="11">
        <v>1.4999999999999999E-2</v>
      </c>
      <c r="K31" s="11">
        <v>0</v>
      </c>
      <c r="L31" s="14">
        <v>0</v>
      </c>
      <c r="M31" s="14">
        <v>0</v>
      </c>
      <c r="N31" s="14">
        <v>0</v>
      </c>
      <c r="O31" s="14">
        <v>0</v>
      </c>
    </row>
    <row r="32" spans="1:15">
      <c r="A32" s="39">
        <v>46039</v>
      </c>
      <c r="B32" s="40" t="s">
        <v>811</v>
      </c>
      <c r="C32" s="40">
        <v>304903</v>
      </c>
      <c r="D32" s="40">
        <v>49434</v>
      </c>
      <c r="E32" s="17">
        <v>0.91</v>
      </c>
      <c r="F32" s="11">
        <v>7.0000000000000007E-2</v>
      </c>
      <c r="G32" s="11">
        <v>0</v>
      </c>
      <c r="H32" s="11">
        <v>0</v>
      </c>
      <c r="I32" s="11">
        <v>0.02</v>
      </c>
      <c r="J32" s="11">
        <v>0</v>
      </c>
      <c r="K32" s="11">
        <v>0</v>
      </c>
      <c r="L32" s="14">
        <v>0</v>
      </c>
      <c r="M32" s="14">
        <v>0</v>
      </c>
      <c r="N32" s="14">
        <v>0</v>
      </c>
      <c r="O32" s="14">
        <v>0</v>
      </c>
    </row>
    <row r="33" spans="1:15">
      <c r="A33" s="39">
        <v>46039</v>
      </c>
      <c r="B33" s="40" t="s">
        <v>811</v>
      </c>
      <c r="C33" s="40">
        <v>304903</v>
      </c>
      <c r="D33" s="40">
        <v>49435</v>
      </c>
      <c r="E33" s="17">
        <v>0.87</v>
      </c>
      <c r="F33" s="11">
        <v>0.04</v>
      </c>
      <c r="G33" s="11">
        <v>0</v>
      </c>
      <c r="H33" s="11">
        <v>0</v>
      </c>
      <c r="I33" s="11">
        <v>0.09</v>
      </c>
      <c r="J33" s="11">
        <v>0</v>
      </c>
      <c r="K33" s="11">
        <v>0</v>
      </c>
      <c r="L33" s="14">
        <v>0</v>
      </c>
      <c r="M33" s="14">
        <v>0</v>
      </c>
      <c r="N33" s="14">
        <v>0</v>
      </c>
      <c r="O33" s="14">
        <v>0</v>
      </c>
    </row>
    <row r="34" spans="1:15">
      <c r="A34" s="39">
        <v>46039</v>
      </c>
      <c r="B34" s="40" t="s">
        <v>811</v>
      </c>
      <c r="C34" s="40">
        <v>304903</v>
      </c>
      <c r="D34" s="40">
        <v>49436</v>
      </c>
      <c r="E34" s="17">
        <v>0.84</v>
      </c>
      <c r="F34" s="11">
        <v>0.09</v>
      </c>
      <c r="G34" s="11">
        <v>0</v>
      </c>
      <c r="H34" s="11">
        <v>0.01</v>
      </c>
      <c r="I34" s="11">
        <v>0.05</v>
      </c>
      <c r="J34" s="11">
        <v>0.01</v>
      </c>
      <c r="K34" s="11">
        <v>0</v>
      </c>
      <c r="L34" s="14">
        <v>0</v>
      </c>
      <c r="M34" s="14">
        <v>0</v>
      </c>
      <c r="N34" s="14">
        <v>0</v>
      </c>
      <c r="O34" s="14">
        <v>0</v>
      </c>
    </row>
    <row r="35" spans="1:15">
      <c r="A35" s="39">
        <v>46039</v>
      </c>
      <c r="B35" s="40" t="s">
        <v>811</v>
      </c>
      <c r="C35" s="40">
        <v>304903</v>
      </c>
      <c r="D35" s="40">
        <v>49437</v>
      </c>
      <c r="E35" s="17">
        <v>0.94899999999999995</v>
      </c>
      <c r="F35" s="11">
        <v>0</v>
      </c>
      <c r="G35" s="11">
        <v>0</v>
      </c>
      <c r="H35" s="11">
        <v>0</v>
      </c>
      <c r="I35" s="11">
        <v>0.05</v>
      </c>
      <c r="J35" s="11">
        <v>0</v>
      </c>
      <c r="K35" s="11">
        <v>1E-3</v>
      </c>
      <c r="L35" s="14">
        <v>0</v>
      </c>
      <c r="M35" s="14">
        <v>0</v>
      </c>
      <c r="N35" s="14">
        <v>0</v>
      </c>
      <c r="O35" s="14">
        <v>0</v>
      </c>
    </row>
    <row r="36" spans="1:15">
      <c r="A36" s="39">
        <v>46039</v>
      </c>
      <c r="B36" s="40" t="s">
        <v>811</v>
      </c>
      <c r="C36" s="40">
        <v>304903</v>
      </c>
      <c r="D36" s="40">
        <v>49438</v>
      </c>
      <c r="E36" s="17">
        <v>0.88</v>
      </c>
      <c r="F36" s="11">
        <v>0.06</v>
      </c>
      <c r="G36" s="11">
        <v>0</v>
      </c>
      <c r="H36" s="11">
        <v>0</v>
      </c>
      <c r="I36" s="11">
        <v>0.06</v>
      </c>
      <c r="J36" s="11">
        <v>0</v>
      </c>
      <c r="K36" s="11">
        <v>0</v>
      </c>
      <c r="L36" s="14">
        <v>1</v>
      </c>
      <c r="M36" s="14">
        <v>0</v>
      </c>
      <c r="N36" s="14">
        <v>0</v>
      </c>
      <c r="O36" s="14">
        <v>0</v>
      </c>
    </row>
    <row r="37" spans="1:15">
      <c r="A37" s="39">
        <v>46039</v>
      </c>
      <c r="B37" s="40" t="s">
        <v>811</v>
      </c>
      <c r="C37" s="40">
        <v>304903</v>
      </c>
      <c r="D37" s="40">
        <v>49439</v>
      </c>
      <c r="E37" s="17">
        <v>0.85899999999999999</v>
      </c>
      <c r="F37" s="11">
        <v>7.0000000000000007E-2</v>
      </c>
      <c r="G37" s="11">
        <v>0</v>
      </c>
      <c r="H37" s="11">
        <v>0</v>
      </c>
      <c r="I37" s="11">
        <v>7.0000000000000007E-2</v>
      </c>
      <c r="J37" s="11">
        <v>0</v>
      </c>
      <c r="K37" s="11">
        <v>1E-3</v>
      </c>
      <c r="L37" s="14">
        <v>8</v>
      </c>
      <c r="M37" s="14">
        <v>0</v>
      </c>
      <c r="N37" s="14">
        <v>0</v>
      </c>
      <c r="O37" s="14">
        <v>0</v>
      </c>
    </row>
    <row r="38" spans="1:15">
      <c r="A38" s="39">
        <v>46039</v>
      </c>
      <c r="B38" s="40" t="s">
        <v>811</v>
      </c>
      <c r="C38" s="40">
        <v>304903</v>
      </c>
      <c r="D38" s="40">
        <v>49440</v>
      </c>
      <c r="E38" s="17">
        <v>0.80999999999999994</v>
      </c>
      <c r="F38" s="11">
        <v>0.08</v>
      </c>
      <c r="G38" s="11">
        <v>0</v>
      </c>
      <c r="H38" s="11">
        <v>0</v>
      </c>
      <c r="I38" s="11">
        <v>7.0000000000000007E-2</v>
      </c>
      <c r="J38" s="11">
        <v>0.04</v>
      </c>
      <c r="K38" s="11">
        <v>0</v>
      </c>
      <c r="L38" s="14">
        <v>0</v>
      </c>
      <c r="M38" s="14">
        <v>0</v>
      </c>
      <c r="N38" s="14">
        <v>0</v>
      </c>
      <c r="O38" s="14">
        <v>0</v>
      </c>
    </row>
    <row r="39" spans="1:15">
      <c r="A39" s="39">
        <v>46039</v>
      </c>
      <c r="B39" s="40" t="s">
        <v>811</v>
      </c>
      <c r="C39" s="40">
        <v>304903</v>
      </c>
      <c r="D39" s="40">
        <v>49441</v>
      </c>
      <c r="E39" s="17">
        <v>0.81499999999999995</v>
      </c>
      <c r="F39" s="11">
        <v>0.05</v>
      </c>
      <c r="G39" s="11">
        <v>0</v>
      </c>
      <c r="H39" s="11">
        <v>0</v>
      </c>
      <c r="I39" s="11">
        <v>0.105</v>
      </c>
      <c r="J39" s="11">
        <v>0.03</v>
      </c>
      <c r="K39" s="11">
        <v>0</v>
      </c>
      <c r="L39" s="14">
        <v>0</v>
      </c>
      <c r="M39" s="14">
        <v>0</v>
      </c>
      <c r="N39" s="14">
        <v>0</v>
      </c>
      <c r="O39" s="14">
        <v>0</v>
      </c>
    </row>
    <row r="40" spans="1:15">
      <c r="A40" s="39">
        <v>46072</v>
      </c>
      <c r="B40" s="40" t="s">
        <v>827</v>
      </c>
      <c r="C40" s="40">
        <v>11681</v>
      </c>
      <c r="D40" s="40">
        <v>37472</v>
      </c>
      <c r="E40" s="17">
        <v>0.91300000000000003</v>
      </c>
      <c r="F40" s="11">
        <v>8.5999999999999993E-2</v>
      </c>
      <c r="G40" s="11">
        <v>1E-3</v>
      </c>
      <c r="H40" s="11">
        <v>0</v>
      </c>
      <c r="I40" s="11">
        <v>0</v>
      </c>
      <c r="J40" s="11">
        <v>0</v>
      </c>
      <c r="K40" s="11">
        <v>0</v>
      </c>
      <c r="L40" s="14">
        <v>0</v>
      </c>
      <c r="M40" s="14">
        <v>0</v>
      </c>
      <c r="N40" s="14">
        <v>0</v>
      </c>
      <c r="O40" s="14">
        <v>0</v>
      </c>
    </row>
    <row r="41" spans="1:15">
      <c r="A41" s="39">
        <v>46072</v>
      </c>
      <c r="B41" s="40" t="s">
        <v>827</v>
      </c>
      <c r="C41" s="40">
        <v>11681</v>
      </c>
      <c r="D41" s="40">
        <v>37473</v>
      </c>
      <c r="E41" s="17">
        <v>0.90149999999999997</v>
      </c>
      <c r="F41" s="11">
        <v>8.1499999999999989E-2</v>
      </c>
      <c r="G41" s="11">
        <v>2.5000000000000001E-3</v>
      </c>
      <c r="H41" s="11">
        <v>1.4E-2</v>
      </c>
      <c r="I41" s="11">
        <v>5.0000000000000001E-4</v>
      </c>
      <c r="J41" s="11">
        <v>0</v>
      </c>
      <c r="K41" s="11">
        <v>0</v>
      </c>
      <c r="L41" s="14">
        <v>0</v>
      </c>
      <c r="M41" s="14">
        <v>0</v>
      </c>
      <c r="N41" s="14">
        <v>0</v>
      </c>
      <c r="O41" s="14">
        <v>0</v>
      </c>
    </row>
    <row r="42" spans="1:15">
      <c r="A42" s="39">
        <v>46072</v>
      </c>
      <c r="B42" s="40" t="s">
        <v>827</v>
      </c>
      <c r="C42" s="40">
        <v>11681</v>
      </c>
      <c r="D42" s="40">
        <v>37859</v>
      </c>
      <c r="E42" s="17">
        <v>0.87</v>
      </c>
      <c r="F42" s="11">
        <v>6.4500000000000002E-2</v>
      </c>
      <c r="G42" s="11">
        <v>2E-3</v>
      </c>
      <c r="H42" s="11">
        <v>5.4999999999999997E-3</v>
      </c>
      <c r="I42" s="11">
        <v>5.8000000000000003E-2</v>
      </c>
      <c r="J42" s="11">
        <v>0</v>
      </c>
      <c r="K42" s="11">
        <v>0</v>
      </c>
      <c r="L42" s="14">
        <v>0</v>
      </c>
      <c r="M42" s="14">
        <v>2.5</v>
      </c>
      <c r="N42" s="14">
        <v>0</v>
      </c>
      <c r="O42" s="14">
        <v>0</v>
      </c>
    </row>
    <row r="43" spans="1:15">
      <c r="A43" s="40" t="s">
        <v>924</v>
      </c>
      <c r="B43" s="40" t="s">
        <v>908</v>
      </c>
      <c r="C43" s="40" t="s">
        <v>924</v>
      </c>
      <c r="D43" s="40" t="s">
        <v>924</v>
      </c>
      <c r="E43" s="17">
        <v>1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4">
        <v>0</v>
      </c>
      <c r="M43" s="14">
        <v>0</v>
      </c>
      <c r="N43" s="14">
        <v>0</v>
      </c>
      <c r="O43" s="14">
        <v>0</v>
      </c>
    </row>
    <row r="44" spans="1:15">
      <c r="A44" s="40" t="s">
        <v>925</v>
      </c>
      <c r="E44" s="17">
        <v>0.9701409395973154</v>
      </c>
      <c r="F44" s="11">
        <v>1.1281879194630877E-2</v>
      </c>
      <c r="G44" s="11">
        <v>6.7114093959731551E-5</v>
      </c>
      <c r="H44" s="11">
        <v>9.93288590604027E-4</v>
      </c>
      <c r="I44" s="11">
        <v>1.4255033557046978E-2</v>
      </c>
      <c r="J44" s="11">
        <v>2.7583892617449668E-3</v>
      </c>
      <c r="K44" s="11">
        <v>5.0335570469798663E-4</v>
      </c>
      <c r="L44" s="14">
        <v>0.29530201342281881</v>
      </c>
      <c r="M44" s="14">
        <v>3.3557046979865772E-2</v>
      </c>
      <c r="N44" s="14">
        <v>0</v>
      </c>
      <c r="O44" s="14">
        <v>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3456889F3886469666434AE5367AA4" ma:contentTypeVersion="14" ma:contentTypeDescription="Crear nuevo documento." ma:contentTypeScope="" ma:versionID="6f3e0b006b293f6469a70f935fded74e">
  <xsd:schema xmlns:xsd="http://www.w3.org/2001/XMLSchema" xmlns:xs="http://www.w3.org/2001/XMLSchema" xmlns:p="http://schemas.microsoft.com/office/2006/metadata/properties" xmlns:ns2="63dd53c7-b2a6-46a3-81da-118e4c23ebaa" xmlns:ns3="ca40514b-7fe3-4caf-ae8e-b13b571a681c" targetNamespace="http://schemas.microsoft.com/office/2006/metadata/properties" ma:root="true" ma:fieldsID="e9966995d1d29ec0bcf14cadc985a560" ns2:_="" ns3:_="">
    <xsd:import namespace="63dd53c7-b2a6-46a3-81da-118e4c23ebaa"/>
    <xsd:import namespace="ca40514b-7fe3-4caf-ae8e-b13b571a68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d53c7-b2a6-46a3-81da-118e4c23eb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6502e3b5-b228-4fea-a8d9-98f28e47cd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0514b-7fe3-4caf-ae8e-b13b571a681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dd53c7-b2a6-46a3-81da-118e4c23ebaa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5BA5CB1D-98F0-4698-86A6-EB384A224908}"/>
</file>

<file path=customXml/itemProps2.xml><?xml version="1.0" encoding="utf-8"?>
<ds:datastoreItem xmlns:ds="http://schemas.openxmlformats.org/officeDocument/2006/customXml" ds:itemID="{30509041-00B4-482E-91EC-D321DA1F3FF2}"/>
</file>

<file path=customXml/itemProps3.xml><?xml version="1.0" encoding="utf-8"?>
<ds:datastoreItem xmlns:ds="http://schemas.openxmlformats.org/officeDocument/2006/customXml" ds:itemID="{2841A92A-5AD2-4DAC-8399-E9807EDB99FD}"/>
</file>

<file path=customXml/itemProps4.xml><?xml version="1.0" encoding="utf-8"?>
<ds:datastoreItem xmlns:ds="http://schemas.openxmlformats.org/officeDocument/2006/customXml" ds:itemID="{D98843AC-E4D7-44C7-8DAF-0A6662E9C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Boock</dc:creator>
  <cp:keywords/>
  <dc:description/>
  <cp:lastModifiedBy/>
  <cp:revision/>
  <dcterms:created xsi:type="dcterms:W3CDTF">2026-02-07T11:57:22Z</dcterms:created>
  <dcterms:modified xsi:type="dcterms:W3CDTF">2026-02-23T16:15:27Z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0x010100623456889F3886469666434AE5367AA4</vt:lpwstr>
  </property>
  <property fmtid="{D5CDD505-2E9C-101B-9397-08002B2CF9AE}" pid="3" name="MediaServiceImageTags">
    <vt:lpwstr/>
  </property>
</Properties>
</file>
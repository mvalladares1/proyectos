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\RIO FUTURO\DASHBOARD\proyectos\data\"/>
    </mc:Choice>
  </mc:AlternateContent>
  <xr:revisionPtr revIDLastSave="0" documentId="13_ncr:1_{D8ECC395-7FC1-4AE1-859F-0815F9591C16}" xr6:coauthVersionLast="47" xr6:coauthVersionMax="47" xr10:uidLastSave="{00000000-0000-0000-0000-000000000000}"/>
  <bookViews>
    <workbookView xWindow="-108" yWindow="-108" windowWidth="23256" windowHeight="12456" firstSheet="4" activeTab="4" xr2:uid="{9461A4CA-B01F-48B2-8F75-C6873CC98CE3}"/>
  </bookViews>
  <sheets>
    <sheet name="frambuesa" sheetId="1" state="hidden" r:id="rId1"/>
    <sheet name="arandano" sheetId="2" state="hidden" r:id="rId2"/>
    <sheet name="frutilla" sheetId="3" state="hidden" r:id="rId3"/>
    <sheet name="mora" sheetId="4" state="hidden" r:id="rId4"/>
    <sheet name="CONSOLIDADO" sheetId="6" r:id="rId5"/>
    <sheet name="ULTIMA VERSION COMERCIAL" sheetId="7" r:id="rId6"/>
    <sheet name="Capacidades" sheetId="8" r:id="rId7"/>
    <sheet name="Capacidades II (SF)" sheetId="9" r:id="rId8"/>
    <sheet name="Capacidades III" sheetId="10" r:id="rId9"/>
    <sheet name="CAP 4" sheetId="11" r:id="rId10"/>
  </sheets>
  <definedNames>
    <definedName name="_xlnm._FilterDatabase" localSheetId="1" hidden="1">arandano!$A$1:$Y$58</definedName>
    <definedName name="_xlnm._FilterDatabase" localSheetId="4" hidden="1">CONSOLIDADO!$A$2:$AB$227</definedName>
    <definedName name="_xlnm._FilterDatabase" localSheetId="0" hidden="1">frambuesa!$A$1:$BO$154</definedName>
    <definedName name="_xlnm._FilterDatabase" localSheetId="2" hidden="1">frutilla!$A$1:$Z$8</definedName>
    <definedName name="_xlnm._FilterDatabase" localSheetId="5" hidden="1">'ULTIMA VERSION COMERCIAL'!$A$2:$L$19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0" i="11" l="1"/>
  <c r="R100" i="11"/>
  <c r="P100" i="11"/>
  <c r="M100" i="11"/>
  <c r="F100" i="11"/>
  <c r="AA94" i="11"/>
  <c r="AA100" i="11" s="1"/>
  <c r="Z94" i="11"/>
  <c r="Z100" i="11" s="1"/>
  <c r="Y94" i="11"/>
  <c r="Y100" i="11" s="1"/>
  <c r="X94" i="11"/>
  <c r="X100" i="11" s="1"/>
  <c r="W94" i="11"/>
  <c r="W100" i="11" s="1"/>
  <c r="V94" i="11"/>
  <c r="V100" i="11" s="1"/>
  <c r="U94" i="11"/>
  <c r="U100" i="11" s="1"/>
  <c r="T94" i="11"/>
  <c r="S94" i="11"/>
  <c r="S100" i="11" s="1"/>
  <c r="R94" i="11"/>
  <c r="Q94" i="11"/>
  <c r="Q100" i="11" s="1"/>
  <c r="P94" i="11"/>
  <c r="O94" i="11"/>
  <c r="O100" i="11" s="1"/>
  <c r="N94" i="11"/>
  <c r="N100" i="11" s="1"/>
  <c r="M94" i="11"/>
  <c r="L94" i="11"/>
  <c r="L100" i="11" s="1"/>
  <c r="K94" i="11"/>
  <c r="K100" i="11" s="1"/>
  <c r="J94" i="11"/>
  <c r="J100" i="11" s="1"/>
  <c r="I94" i="11"/>
  <c r="I100" i="11" s="1"/>
  <c r="H94" i="11"/>
  <c r="H100" i="11" s="1"/>
  <c r="G94" i="11"/>
  <c r="G100" i="11" s="1"/>
  <c r="F94" i="11"/>
  <c r="E94" i="11"/>
  <c r="E100" i="11" s="1"/>
  <c r="D94" i="11"/>
  <c r="D100" i="11" s="1"/>
  <c r="Z82" i="11"/>
  <c r="Z84" i="11" s="1"/>
  <c r="AA79" i="11"/>
  <c r="Z79" i="11"/>
  <c r="Y79" i="11"/>
  <c r="X79" i="11"/>
  <c r="X82" i="11" s="1"/>
  <c r="X84" i="11" s="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F82" i="11" s="1"/>
  <c r="E79" i="11"/>
  <c r="D79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AB73" i="11"/>
  <c r="AB72" i="11"/>
  <c r="AB71" i="11"/>
  <c r="AC74" i="11" s="1"/>
  <c r="AA62" i="11"/>
  <c r="AA63" i="11" s="1"/>
  <c r="AA65" i="11" s="1"/>
  <c r="Z62" i="11"/>
  <c r="Z63" i="11" s="1"/>
  <c r="Z65" i="11" s="1"/>
  <c r="Y62" i="11"/>
  <c r="Y63" i="11" s="1"/>
  <c r="Y65" i="11" s="1"/>
  <c r="X62" i="11"/>
  <c r="X63" i="11" s="1"/>
  <c r="X65" i="11" s="1"/>
  <c r="W62" i="11"/>
  <c r="W63" i="11" s="1"/>
  <c r="W65" i="11" s="1"/>
  <c r="V62" i="11"/>
  <c r="V63" i="11" s="1"/>
  <c r="V65" i="11" s="1"/>
  <c r="U62" i="11"/>
  <c r="U63" i="11" s="1"/>
  <c r="U65" i="11" s="1"/>
  <c r="T62" i="11"/>
  <c r="T63" i="11" s="1"/>
  <c r="T65" i="11" s="1"/>
  <c r="S62" i="11"/>
  <c r="S63" i="11" s="1"/>
  <c r="S65" i="11" s="1"/>
  <c r="R62" i="11"/>
  <c r="R63" i="11" s="1"/>
  <c r="R65" i="11" s="1"/>
  <c r="Q62" i="11"/>
  <c r="Q63" i="11" s="1"/>
  <c r="Q65" i="11" s="1"/>
  <c r="P62" i="11"/>
  <c r="P63" i="11" s="1"/>
  <c r="P65" i="11" s="1"/>
  <c r="O62" i="11"/>
  <c r="O63" i="11" s="1"/>
  <c r="O65" i="11" s="1"/>
  <c r="N62" i="11"/>
  <c r="N63" i="11" s="1"/>
  <c r="N65" i="11" s="1"/>
  <c r="M62" i="11"/>
  <c r="M63" i="11" s="1"/>
  <c r="M65" i="11" s="1"/>
  <c r="L62" i="11"/>
  <c r="L63" i="11" s="1"/>
  <c r="L65" i="11" s="1"/>
  <c r="K62" i="11"/>
  <c r="K63" i="11" s="1"/>
  <c r="K65" i="11" s="1"/>
  <c r="J62" i="11"/>
  <c r="J63" i="11" s="1"/>
  <c r="J65" i="11" s="1"/>
  <c r="I62" i="11"/>
  <c r="I63" i="11" s="1"/>
  <c r="I65" i="11" s="1"/>
  <c r="H62" i="11"/>
  <c r="H63" i="11" s="1"/>
  <c r="H65" i="11" s="1"/>
  <c r="G62" i="11"/>
  <c r="G63" i="11" s="1"/>
  <c r="G65" i="11" s="1"/>
  <c r="F62" i="11"/>
  <c r="F63" i="11" s="1"/>
  <c r="F65" i="11" s="1"/>
  <c r="E62" i="11"/>
  <c r="E63" i="11" s="1"/>
  <c r="E65" i="11" s="1"/>
  <c r="D62" i="11"/>
  <c r="D63" i="11" s="1"/>
  <c r="D65" i="11" s="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AB36" i="11" s="1"/>
  <c r="K36" i="11"/>
  <c r="J36" i="11"/>
  <c r="I36" i="11"/>
  <c r="H36" i="11"/>
  <c r="G36" i="11"/>
  <c r="F36" i="11"/>
  <c r="E36" i="11"/>
  <c r="D36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AB30" i="11"/>
  <c r="AB5" i="11" s="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AB23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AB16" i="11" s="1"/>
  <c r="N16" i="11"/>
  <c r="M16" i="11"/>
  <c r="L16" i="11"/>
  <c r="K16" i="11"/>
  <c r="J16" i="11"/>
  <c r="I16" i="11"/>
  <c r="H16" i="11"/>
  <c r="G16" i="11"/>
  <c r="F16" i="11"/>
  <c r="E16" i="11"/>
  <c r="D16" i="11"/>
  <c r="AB14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AB8" i="11"/>
  <c r="AB4" i="10"/>
  <c r="AB14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AB8" i="10"/>
  <c r="X10" i="10"/>
  <c r="Y10" i="10"/>
  <c r="Z10" i="10"/>
  <c r="AA10" i="10"/>
  <c r="AB10" i="10"/>
  <c r="AA94" i="10"/>
  <c r="AA100" i="10" s="1"/>
  <c r="Z94" i="10"/>
  <c r="Z100" i="10" s="1"/>
  <c r="Y94" i="10"/>
  <c r="Y100" i="10" s="1"/>
  <c r="X94" i="10"/>
  <c r="X100" i="10" s="1"/>
  <c r="W94" i="10"/>
  <c r="W100" i="10" s="1"/>
  <c r="V94" i="10"/>
  <c r="V100" i="10" s="1"/>
  <c r="U94" i="10"/>
  <c r="U100" i="10" s="1"/>
  <c r="T94" i="10"/>
  <c r="T100" i="10" s="1"/>
  <c r="S94" i="10"/>
  <c r="S100" i="10" s="1"/>
  <c r="R94" i="10"/>
  <c r="R100" i="10" s="1"/>
  <c r="Q94" i="10"/>
  <c r="Q100" i="10" s="1"/>
  <c r="P94" i="10"/>
  <c r="P100" i="10" s="1"/>
  <c r="O94" i="10"/>
  <c r="O100" i="10" s="1"/>
  <c r="N94" i="10"/>
  <c r="N100" i="10" s="1"/>
  <c r="M94" i="10"/>
  <c r="M100" i="10" s="1"/>
  <c r="L94" i="10"/>
  <c r="L100" i="10" s="1"/>
  <c r="K94" i="10"/>
  <c r="K100" i="10" s="1"/>
  <c r="J94" i="10"/>
  <c r="J100" i="10" s="1"/>
  <c r="I94" i="10"/>
  <c r="I100" i="10" s="1"/>
  <c r="H94" i="10"/>
  <c r="H100" i="10" s="1"/>
  <c r="G94" i="10"/>
  <c r="G100" i="10" s="1"/>
  <c r="F94" i="10"/>
  <c r="F100" i="10" s="1"/>
  <c r="E94" i="10"/>
  <c r="E100" i="10" s="1"/>
  <c r="D94" i="10"/>
  <c r="D100" i="10" s="1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AB73" i="10"/>
  <c r="AB72" i="10"/>
  <c r="AB71" i="10"/>
  <c r="AC74" i="10" s="1"/>
  <c r="I63" i="10"/>
  <c r="I65" i="10" s="1"/>
  <c r="AA62" i="10"/>
  <c r="AA63" i="10" s="1"/>
  <c r="AA65" i="10" s="1"/>
  <c r="Z62" i="10"/>
  <c r="Z63" i="10" s="1"/>
  <c r="Z65" i="10" s="1"/>
  <c r="Y62" i="10"/>
  <c r="Y63" i="10" s="1"/>
  <c r="Y65" i="10" s="1"/>
  <c r="X62" i="10"/>
  <c r="X63" i="10" s="1"/>
  <c r="X65" i="10" s="1"/>
  <c r="W62" i="10"/>
  <c r="W63" i="10" s="1"/>
  <c r="W65" i="10" s="1"/>
  <c r="V62" i="10"/>
  <c r="V63" i="10" s="1"/>
  <c r="V65" i="10" s="1"/>
  <c r="U62" i="10"/>
  <c r="U63" i="10" s="1"/>
  <c r="U65" i="10" s="1"/>
  <c r="T62" i="10"/>
  <c r="T63" i="10" s="1"/>
  <c r="T65" i="10" s="1"/>
  <c r="S62" i="10"/>
  <c r="S63" i="10" s="1"/>
  <c r="S65" i="10" s="1"/>
  <c r="R62" i="10"/>
  <c r="R63" i="10" s="1"/>
  <c r="R65" i="10" s="1"/>
  <c r="Q62" i="10"/>
  <c r="Q63" i="10" s="1"/>
  <c r="Q65" i="10" s="1"/>
  <c r="P62" i="10"/>
  <c r="P63" i="10" s="1"/>
  <c r="P65" i="10" s="1"/>
  <c r="O62" i="10"/>
  <c r="O63" i="10" s="1"/>
  <c r="O65" i="10" s="1"/>
  <c r="N62" i="10"/>
  <c r="N63" i="10" s="1"/>
  <c r="N65" i="10" s="1"/>
  <c r="M62" i="10"/>
  <c r="M63" i="10" s="1"/>
  <c r="M65" i="10" s="1"/>
  <c r="L62" i="10"/>
  <c r="L63" i="10" s="1"/>
  <c r="L65" i="10" s="1"/>
  <c r="K62" i="10"/>
  <c r="K63" i="10" s="1"/>
  <c r="K65" i="10" s="1"/>
  <c r="J62" i="10"/>
  <c r="J63" i="10" s="1"/>
  <c r="J65" i="10" s="1"/>
  <c r="I62" i="10"/>
  <c r="H62" i="10"/>
  <c r="H63" i="10" s="1"/>
  <c r="H65" i="10" s="1"/>
  <c r="G62" i="10"/>
  <c r="G63" i="10" s="1"/>
  <c r="G65" i="10" s="1"/>
  <c r="F62" i="10"/>
  <c r="F63" i="10" s="1"/>
  <c r="F65" i="10" s="1"/>
  <c r="E62" i="10"/>
  <c r="E63" i="10" s="1"/>
  <c r="E65" i="10" s="1"/>
  <c r="D62" i="10"/>
  <c r="D63" i="10" s="1"/>
  <c r="D65" i="10" s="1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AB36" i="10" s="1"/>
  <c r="K36" i="10"/>
  <c r="J36" i="10"/>
  <c r="I36" i="10"/>
  <c r="H36" i="10"/>
  <c r="G36" i="10"/>
  <c r="F36" i="10"/>
  <c r="E36" i="10"/>
  <c r="D36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AB30" i="10"/>
  <c r="AB5" i="10" s="1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AB23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AB22" i="9"/>
  <c r="AB5" i="9" s="1"/>
  <c r="AB15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D28" i="9"/>
  <c r="D17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D24" i="9"/>
  <c r="AA86" i="9"/>
  <c r="AA92" i="9" s="1"/>
  <c r="Z86" i="9"/>
  <c r="Z92" i="9" s="1"/>
  <c r="Y86" i="9"/>
  <c r="Y92" i="9" s="1"/>
  <c r="X86" i="9"/>
  <c r="X92" i="9" s="1"/>
  <c r="W86" i="9"/>
  <c r="W92" i="9" s="1"/>
  <c r="V86" i="9"/>
  <c r="V92" i="9" s="1"/>
  <c r="U86" i="9"/>
  <c r="U92" i="9" s="1"/>
  <c r="T86" i="9"/>
  <c r="T92" i="9" s="1"/>
  <c r="S86" i="9"/>
  <c r="S92" i="9" s="1"/>
  <c r="R86" i="9"/>
  <c r="R92" i="9" s="1"/>
  <c r="Q86" i="9"/>
  <c r="Q92" i="9" s="1"/>
  <c r="P86" i="9"/>
  <c r="P92" i="9" s="1"/>
  <c r="O86" i="9"/>
  <c r="O92" i="9" s="1"/>
  <c r="N86" i="9"/>
  <c r="N92" i="9" s="1"/>
  <c r="M86" i="9"/>
  <c r="M92" i="9" s="1"/>
  <c r="L86" i="9"/>
  <c r="L92" i="9" s="1"/>
  <c r="K86" i="9"/>
  <c r="K92" i="9" s="1"/>
  <c r="J86" i="9"/>
  <c r="J92" i="9" s="1"/>
  <c r="I86" i="9"/>
  <c r="I92" i="9" s="1"/>
  <c r="H86" i="9"/>
  <c r="H92" i="9" s="1"/>
  <c r="G86" i="9"/>
  <c r="G92" i="9" s="1"/>
  <c r="F86" i="9"/>
  <c r="F92" i="9" s="1"/>
  <c r="E86" i="9"/>
  <c r="E92" i="9" s="1"/>
  <c r="D86" i="9"/>
  <c r="D92" i="9" s="1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AB65" i="9"/>
  <c r="AB64" i="9"/>
  <c r="AB63" i="9"/>
  <c r="AA54" i="9"/>
  <c r="AA55" i="9" s="1"/>
  <c r="AA57" i="9" s="1"/>
  <c r="Z54" i="9"/>
  <c r="Z55" i="9" s="1"/>
  <c r="Z57" i="9" s="1"/>
  <c r="Y54" i="9"/>
  <c r="Y55" i="9" s="1"/>
  <c r="Y57" i="9" s="1"/>
  <c r="X54" i="9"/>
  <c r="X55" i="9" s="1"/>
  <c r="X57" i="9" s="1"/>
  <c r="W54" i="9"/>
  <c r="W55" i="9" s="1"/>
  <c r="W57" i="9" s="1"/>
  <c r="V54" i="9"/>
  <c r="V55" i="9" s="1"/>
  <c r="V57" i="9" s="1"/>
  <c r="U54" i="9"/>
  <c r="U55" i="9" s="1"/>
  <c r="U57" i="9" s="1"/>
  <c r="T54" i="9"/>
  <c r="T55" i="9" s="1"/>
  <c r="T57" i="9" s="1"/>
  <c r="S54" i="9"/>
  <c r="S55" i="9" s="1"/>
  <c r="S57" i="9" s="1"/>
  <c r="R54" i="9"/>
  <c r="R55" i="9" s="1"/>
  <c r="R57" i="9" s="1"/>
  <c r="Q54" i="9"/>
  <c r="Q55" i="9" s="1"/>
  <c r="Q57" i="9" s="1"/>
  <c r="P54" i="9"/>
  <c r="P55" i="9" s="1"/>
  <c r="P57" i="9" s="1"/>
  <c r="O54" i="9"/>
  <c r="O55" i="9" s="1"/>
  <c r="O57" i="9" s="1"/>
  <c r="N54" i="9"/>
  <c r="N55" i="9" s="1"/>
  <c r="N57" i="9" s="1"/>
  <c r="M54" i="9"/>
  <c r="M55" i="9" s="1"/>
  <c r="M57" i="9" s="1"/>
  <c r="L54" i="9"/>
  <c r="L55" i="9" s="1"/>
  <c r="L57" i="9" s="1"/>
  <c r="K54" i="9"/>
  <c r="K55" i="9" s="1"/>
  <c r="K57" i="9" s="1"/>
  <c r="J54" i="9"/>
  <c r="J55" i="9" s="1"/>
  <c r="J57" i="9" s="1"/>
  <c r="I54" i="9"/>
  <c r="I55" i="9" s="1"/>
  <c r="I57" i="9" s="1"/>
  <c r="H54" i="9"/>
  <c r="H55" i="9" s="1"/>
  <c r="H57" i="9" s="1"/>
  <c r="G54" i="9"/>
  <c r="G55" i="9" s="1"/>
  <c r="G57" i="9" s="1"/>
  <c r="F54" i="9"/>
  <c r="F55" i="9" s="1"/>
  <c r="F57" i="9" s="1"/>
  <c r="E54" i="9"/>
  <c r="E55" i="9" s="1"/>
  <c r="E57" i="9" s="1"/>
  <c r="D54" i="9"/>
  <c r="D55" i="9" s="1"/>
  <c r="D57" i="9" s="1"/>
  <c r="AB8" i="9"/>
  <c r="AB71" i="8"/>
  <c r="AB67" i="8"/>
  <c r="AB51" i="8"/>
  <c r="AB49" i="8"/>
  <c r="AB2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E21" i="8"/>
  <c r="F21" i="8"/>
  <c r="G21" i="8"/>
  <c r="H21" i="8"/>
  <c r="I21" i="8"/>
  <c r="J21" i="8"/>
  <c r="K21" i="8"/>
  <c r="T61" i="8"/>
  <c r="V61" i="8"/>
  <c r="AB41" i="8"/>
  <c r="AB4" i="8" s="1"/>
  <c r="D49" i="8"/>
  <c r="AC41" i="8"/>
  <c r="AB39" i="8"/>
  <c r="AB40" i="8"/>
  <c r="AB38" i="8"/>
  <c r="D31" i="8"/>
  <c r="D21" i="8"/>
  <c r="AB9" i="8"/>
  <c r="AB10" i="8" s="1"/>
  <c r="AB8" i="8"/>
  <c r="Z10" i="8"/>
  <c r="Y10" i="8"/>
  <c r="P10" i="8"/>
  <c r="O10" i="8"/>
  <c r="N10" i="8"/>
  <c r="M10" i="8"/>
  <c r="AA61" i="8"/>
  <c r="Z61" i="8"/>
  <c r="Y61" i="8"/>
  <c r="X61" i="8"/>
  <c r="W61" i="8"/>
  <c r="U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D67" i="8" s="1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AA28" i="8"/>
  <c r="AA29" i="8" s="1"/>
  <c r="AA31" i="8" s="1"/>
  <c r="Z28" i="8"/>
  <c r="Z29" i="8" s="1"/>
  <c r="Z31" i="8" s="1"/>
  <c r="Y28" i="8"/>
  <c r="Y29" i="8" s="1"/>
  <c r="Y31" i="8" s="1"/>
  <c r="X28" i="8"/>
  <c r="X29" i="8" s="1"/>
  <c r="X31" i="8" s="1"/>
  <c r="W28" i="8"/>
  <c r="W29" i="8" s="1"/>
  <c r="W31" i="8" s="1"/>
  <c r="V28" i="8"/>
  <c r="V29" i="8" s="1"/>
  <c r="V31" i="8" s="1"/>
  <c r="U28" i="8"/>
  <c r="U29" i="8" s="1"/>
  <c r="U31" i="8" s="1"/>
  <c r="T28" i="8"/>
  <c r="T29" i="8" s="1"/>
  <c r="T31" i="8" s="1"/>
  <c r="S28" i="8"/>
  <c r="S29" i="8" s="1"/>
  <c r="S31" i="8" s="1"/>
  <c r="R28" i="8"/>
  <c r="R29" i="8" s="1"/>
  <c r="Q28" i="8"/>
  <c r="Q29" i="8" s="1"/>
  <c r="P28" i="8"/>
  <c r="P29" i="8" s="1"/>
  <c r="O28" i="8"/>
  <c r="O29" i="8" s="1"/>
  <c r="N28" i="8"/>
  <c r="N29" i="8" s="1"/>
  <c r="M28" i="8"/>
  <c r="M29" i="8" s="1"/>
  <c r="L28" i="8"/>
  <c r="L29" i="8" s="1"/>
  <c r="K28" i="8"/>
  <c r="K29" i="8" s="1"/>
  <c r="J28" i="8"/>
  <c r="J29" i="8" s="1"/>
  <c r="I28" i="8"/>
  <c r="I29" i="8" s="1"/>
  <c r="I31" i="8" s="1"/>
  <c r="H28" i="8"/>
  <c r="H29" i="8" s="1"/>
  <c r="H31" i="8" s="1"/>
  <c r="G28" i="8"/>
  <c r="G29" i="8" s="1"/>
  <c r="G31" i="8" s="1"/>
  <c r="F28" i="8"/>
  <c r="F29" i="8" s="1"/>
  <c r="F31" i="8" s="1"/>
  <c r="E28" i="8"/>
  <c r="E29" i="8" s="1"/>
  <c r="E31" i="8" s="1"/>
  <c r="D28" i="8"/>
  <c r="D29" i="8" s="1"/>
  <c r="AA18" i="8"/>
  <c r="AA19" i="8" s="1"/>
  <c r="Z18" i="8"/>
  <c r="Z19" i="8" s="1"/>
  <c r="Y18" i="8"/>
  <c r="Y19" i="8" s="1"/>
  <c r="X18" i="8"/>
  <c r="X19" i="8" s="1"/>
  <c r="W18" i="8"/>
  <c r="W19" i="8" s="1"/>
  <c r="V18" i="8"/>
  <c r="V19" i="8" s="1"/>
  <c r="U18" i="8"/>
  <c r="U19" i="8" s="1"/>
  <c r="T18" i="8"/>
  <c r="T19" i="8" s="1"/>
  <c r="S18" i="8"/>
  <c r="S19" i="8" s="1"/>
  <c r="R18" i="8"/>
  <c r="R19" i="8" s="1"/>
  <c r="Q18" i="8"/>
  <c r="Q19" i="8" s="1"/>
  <c r="P18" i="8"/>
  <c r="P19" i="8" s="1"/>
  <c r="O18" i="8"/>
  <c r="O19" i="8" s="1"/>
  <c r="N18" i="8"/>
  <c r="N19" i="8" s="1"/>
  <c r="M18" i="8"/>
  <c r="M19" i="8" s="1"/>
  <c r="L18" i="8"/>
  <c r="L19" i="8" s="1"/>
  <c r="K18" i="8"/>
  <c r="K19" i="8" s="1"/>
  <c r="J18" i="8"/>
  <c r="J19" i="8" s="1"/>
  <c r="I18" i="8"/>
  <c r="I19" i="8" s="1"/>
  <c r="H18" i="8"/>
  <c r="H19" i="8" s="1"/>
  <c r="G18" i="8"/>
  <c r="G19" i="8" s="1"/>
  <c r="F18" i="8"/>
  <c r="F19" i="8" s="1"/>
  <c r="E18" i="8"/>
  <c r="E19" i="8" s="1"/>
  <c r="D18" i="8"/>
  <c r="D19" i="8" s="1"/>
  <c r="AA10" i="8"/>
  <c r="X10" i="8"/>
  <c r="W10" i="8"/>
  <c r="V10" i="8"/>
  <c r="U10" i="8"/>
  <c r="T10" i="8"/>
  <c r="S10" i="8"/>
  <c r="R10" i="8"/>
  <c r="Q10" i="8"/>
  <c r="L10" i="8"/>
  <c r="K10" i="8"/>
  <c r="J10" i="8"/>
  <c r="I10" i="8"/>
  <c r="H10" i="8"/>
  <c r="G10" i="8"/>
  <c r="F10" i="8"/>
  <c r="E10" i="8"/>
  <c r="D10" i="8"/>
  <c r="L82" i="11" l="1"/>
  <c r="L84" i="11" s="1"/>
  <c r="L104" i="11" s="1"/>
  <c r="N82" i="11"/>
  <c r="N84" i="11" s="1"/>
  <c r="O82" i="11"/>
  <c r="O84" i="11" s="1"/>
  <c r="AA82" i="11"/>
  <c r="AA84" i="11" s="1"/>
  <c r="N104" i="11"/>
  <c r="Z104" i="11"/>
  <c r="AB32" i="11"/>
  <c r="P82" i="11"/>
  <c r="P84" i="11" s="1"/>
  <c r="P104" i="11" s="1"/>
  <c r="E82" i="11"/>
  <c r="E84" i="11" s="1"/>
  <c r="E104" i="11" s="1"/>
  <c r="Q82" i="11"/>
  <c r="Q84" i="11" s="1"/>
  <c r="Q104" i="11" s="1"/>
  <c r="G82" i="11"/>
  <c r="G84" i="11" s="1"/>
  <c r="G104" i="11" s="1"/>
  <c r="S82" i="11"/>
  <c r="AB74" i="11"/>
  <c r="D82" i="11"/>
  <c r="D84" i="11" s="1"/>
  <c r="AB94" i="11"/>
  <c r="R82" i="11"/>
  <c r="R84" i="11" s="1"/>
  <c r="R104" i="11" s="1"/>
  <c r="AB25" i="11"/>
  <c r="H82" i="11"/>
  <c r="T82" i="11"/>
  <c r="I82" i="11"/>
  <c r="U82" i="11"/>
  <c r="J82" i="11"/>
  <c r="J84" i="11" s="1"/>
  <c r="V82" i="11"/>
  <c r="V84" i="11" s="1"/>
  <c r="V104" i="11" s="1"/>
  <c r="AB4" i="11"/>
  <c r="AB3" i="11" s="1"/>
  <c r="K82" i="11"/>
  <c r="AB82" i="11" s="1"/>
  <c r="W82" i="11"/>
  <c r="M82" i="11"/>
  <c r="M84" i="11" s="1"/>
  <c r="M104" i="11" s="1"/>
  <c r="Y82" i="11"/>
  <c r="Y84" i="11" s="1"/>
  <c r="Y104" i="11" s="1"/>
  <c r="AA104" i="11"/>
  <c r="D104" i="11"/>
  <c r="O104" i="11"/>
  <c r="AB65" i="11"/>
  <c r="S84" i="11"/>
  <c r="S104" i="11" s="1"/>
  <c r="H84" i="11"/>
  <c r="H104" i="11" s="1"/>
  <c r="T84" i="11"/>
  <c r="T104" i="11" s="1"/>
  <c r="F84" i="11"/>
  <c r="F104" i="11"/>
  <c r="I84" i="11"/>
  <c r="U84" i="11"/>
  <c r="U104" i="11" s="1"/>
  <c r="AB100" i="11"/>
  <c r="W84" i="11"/>
  <c r="J104" i="11"/>
  <c r="X104" i="11"/>
  <c r="W104" i="11"/>
  <c r="AB16" i="10"/>
  <c r="AB3" i="10"/>
  <c r="W82" i="10"/>
  <c r="W84" i="10" s="1"/>
  <c r="W104" i="10" s="1"/>
  <c r="AB32" i="10"/>
  <c r="Z82" i="10"/>
  <c r="J82" i="10"/>
  <c r="AB74" i="10"/>
  <c r="K82" i="10"/>
  <c r="L82" i="10"/>
  <c r="L84" i="10" s="1"/>
  <c r="L104" i="10" s="1"/>
  <c r="M82" i="10"/>
  <c r="M84" i="10" s="1"/>
  <c r="M104" i="10" s="1"/>
  <c r="Y82" i="10"/>
  <c r="Y84" i="10" s="1"/>
  <c r="Y104" i="10" s="1"/>
  <c r="N82" i="10"/>
  <c r="N84" i="10" s="1"/>
  <c r="N104" i="10" s="1"/>
  <c r="O82" i="10"/>
  <c r="O84" i="10" s="1"/>
  <c r="O104" i="10" s="1"/>
  <c r="AA82" i="10"/>
  <c r="AA84" i="10" s="1"/>
  <c r="AA104" i="10" s="1"/>
  <c r="AB25" i="10"/>
  <c r="D82" i="10"/>
  <c r="D84" i="10" s="1"/>
  <c r="D104" i="10" s="1"/>
  <c r="P82" i="10"/>
  <c r="AB65" i="10"/>
  <c r="E82" i="10"/>
  <c r="E84" i="10" s="1"/>
  <c r="E104" i="10" s="1"/>
  <c r="Q82" i="10"/>
  <c r="Q84" i="10" s="1"/>
  <c r="Q104" i="10" s="1"/>
  <c r="H82" i="10"/>
  <c r="T82" i="10"/>
  <c r="T84" i="10" s="1"/>
  <c r="I82" i="10"/>
  <c r="I84" i="10" s="1"/>
  <c r="U82" i="10"/>
  <c r="U84" i="10" s="1"/>
  <c r="V82" i="10"/>
  <c r="V84" i="10" s="1"/>
  <c r="V104" i="10" s="1"/>
  <c r="X82" i="10"/>
  <c r="X84" i="10" s="1"/>
  <c r="X104" i="10" s="1"/>
  <c r="F82" i="10"/>
  <c r="F84" i="10" s="1"/>
  <c r="F104" i="10" s="1"/>
  <c r="R82" i="10"/>
  <c r="R84" i="10" s="1"/>
  <c r="R104" i="10" s="1"/>
  <c r="G82" i="10"/>
  <c r="G84" i="10" s="1"/>
  <c r="S82" i="10"/>
  <c r="S84" i="10" s="1"/>
  <c r="T104" i="10"/>
  <c r="AB100" i="10"/>
  <c r="I104" i="10"/>
  <c r="U104" i="10"/>
  <c r="J84" i="10"/>
  <c r="J104" i="10"/>
  <c r="K84" i="10"/>
  <c r="K104" i="10" s="1"/>
  <c r="Z84" i="10"/>
  <c r="Z104" i="10"/>
  <c r="P84" i="10"/>
  <c r="P104" i="10" s="1"/>
  <c r="G104" i="10"/>
  <c r="S104" i="10"/>
  <c r="AB94" i="10"/>
  <c r="AB10" i="9"/>
  <c r="AB28" i="9"/>
  <c r="AB4" i="9"/>
  <c r="AB17" i="9"/>
  <c r="AB24" i="9"/>
  <c r="AB57" i="9"/>
  <c r="V74" i="9"/>
  <c r="V76" i="9" s="1"/>
  <c r="V96" i="9" s="1"/>
  <c r="K74" i="9"/>
  <c r="K76" i="9" s="1"/>
  <c r="K96" i="9" s="1"/>
  <c r="X74" i="9"/>
  <c r="X76" i="9" s="1"/>
  <c r="X96" i="9" s="1"/>
  <c r="AC66" i="9"/>
  <c r="O74" i="9"/>
  <c r="O76" i="9" s="1"/>
  <c r="O96" i="9" s="1"/>
  <c r="AA74" i="9"/>
  <c r="AA76" i="9" s="1"/>
  <c r="AA96" i="9" s="1"/>
  <c r="J74" i="9"/>
  <c r="J76" i="9" s="1"/>
  <c r="J96" i="9" s="1"/>
  <c r="L74" i="9"/>
  <c r="L76" i="9" s="1"/>
  <c r="L96" i="9" s="1"/>
  <c r="M74" i="9"/>
  <c r="M76" i="9" s="1"/>
  <c r="M96" i="9" s="1"/>
  <c r="Y74" i="9"/>
  <c r="Y76" i="9" s="1"/>
  <c r="Y96" i="9" s="1"/>
  <c r="AB66" i="9"/>
  <c r="D74" i="9"/>
  <c r="D76" i="9" s="1"/>
  <c r="D96" i="9" s="1"/>
  <c r="P74" i="9"/>
  <c r="P76" i="9" s="1"/>
  <c r="P96" i="9" s="1"/>
  <c r="W74" i="9"/>
  <c r="W76" i="9" s="1"/>
  <c r="W96" i="9" s="1"/>
  <c r="N74" i="9"/>
  <c r="N76" i="9" s="1"/>
  <c r="N96" i="9" s="1"/>
  <c r="Z74" i="9"/>
  <c r="Z76" i="9" s="1"/>
  <c r="Z96" i="9" s="1"/>
  <c r="E74" i="9"/>
  <c r="E76" i="9" s="1"/>
  <c r="E96" i="9" s="1"/>
  <c r="Q74" i="9"/>
  <c r="Q76" i="9" s="1"/>
  <c r="Q96" i="9" s="1"/>
  <c r="AB92" i="9"/>
  <c r="G74" i="9"/>
  <c r="G76" i="9" s="1"/>
  <c r="G96" i="9" s="1"/>
  <c r="S74" i="9"/>
  <c r="S76" i="9" s="1"/>
  <c r="S96" i="9" s="1"/>
  <c r="H74" i="9"/>
  <c r="H76" i="9" s="1"/>
  <c r="H96" i="9" s="1"/>
  <c r="T74" i="9"/>
  <c r="T76" i="9" s="1"/>
  <c r="T96" i="9" s="1"/>
  <c r="F74" i="9"/>
  <c r="F76" i="9" s="1"/>
  <c r="F96" i="9" s="1"/>
  <c r="R74" i="9"/>
  <c r="R76" i="9" s="1"/>
  <c r="R96" i="9" s="1"/>
  <c r="I74" i="9"/>
  <c r="I76" i="9" s="1"/>
  <c r="U74" i="9"/>
  <c r="U76" i="9" s="1"/>
  <c r="U96" i="9" s="1"/>
  <c r="AB86" i="9"/>
  <c r="AB61" i="8"/>
  <c r="D51" i="8"/>
  <c r="D71" i="8" s="1"/>
  <c r="AB5" i="8"/>
  <c r="K84" i="11" l="1"/>
  <c r="K104" i="11" s="1"/>
  <c r="AB84" i="11"/>
  <c r="I104" i="11"/>
  <c r="AB104" i="11" s="1"/>
  <c r="AB82" i="10"/>
  <c r="H84" i="10"/>
  <c r="H104" i="10" s="1"/>
  <c r="AB84" i="10"/>
  <c r="AB104" i="10"/>
  <c r="AB76" i="9"/>
  <c r="AB3" i="9"/>
  <c r="AB74" i="9"/>
  <c r="I96" i="9"/>
  <c r="AB96" i="9"/>
  <c r="AB3" i="8"/>
  <c r="M11" i="7" l="1"/>
  <c r="M3" i="7"/>
  <c r="U227" i="6"/>
  <c r="U228" i="6" s="1"/>
  <c r="J227" i="6"/>
  <c r="J228" i="6" s="1"/>
  <c r="L19" i="7"/>
  <c r="F19" i="7"/>
  <c r="G19" i="7"/>
  <c r="H19" i="7"/>
  <c r="I19" i="7"/>
  <c r="J19" i="7"/>
  <c r="K19" i="7"/>
  <c r="E19" i="7"/>
  <c r="F227" i="6" l="1"/>
  <c r="F228" i="6" s="1"/>
  <c r="G227" i="6"/>
  <c r="G228" i="6" s="1"/>
  <c r="H227" i="6"/>
  <c r="H228" i="6" s="1"/>
  <c r="I227" i="6"/>
  <c r="I228" i="6" s="1"/>
  <c r="K227" i="6"/>
  <c r="K228" i="6" s="1"/>
  <c r="L227" i="6"/>
  <c r="L228" i="6" s="1"/>
  <c r="M227" i="6"/>
  <c r="M228" i="6" s="1"/>
  <c r="N227" i="6"/>
  <c r="N228" i="6" s="1"/>
  <c r="O227" i="6"/>
  <c r="O228" i="6" s="1"/>
  <c r="P227" i="6"/>
  <c r="P228" i="6" s="1"/>
  <c r="Q227" i="6"/>
  <c r="Q228" i="6" s="1"/>
  <c r="R227" i="6"/>
  <c r="R228" i="6" s="1"/>
  <c r="S227" i="6"/>
  <c r="S228" i="6" s="1"/>
  <c r="T227" i="6"/>
  <c r="T228" i="6" s="1"/>
  <c r="Z227" i="6"/>
  <c r="Z228" i="6" s="1"/>
  <c r="AA227" i="6"/>
  <c r="AA228" i="6" s="1"/>
  <c r="E227" i="6"/>
  <c r="E228" i="6" s="1"/>
  <c r="Y227" i="6"/>
  <c r="Y228" i="6" s="1"/>
  <c r="X227" i="6"/>
  <c r="X228" i="6" s="1"/>
  <c r="W227" i="6"/>
  <c r="W228" i="6" s="1"/>
  <c r="V227" i="6"/>
  <c r="V228" i="6" s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C154" i="1"/>
  <c r="R28" i="1"/>
  <c r="S28" i="1"/>
  <c r="T28" i="1"/>
  <c r="T154" i="1" s="1"/>
  <c r="U28" i="1"/>
  <c r="U154" i="1" s="1"/>
  <c r="Q28" i="1"/>
  <c r="AB226" i="6" l="1"/>
  <c r="AB228" i="6" s="1"/>
</calcChain>
</file>

<file path=xl/sharedStrings.xml><?xml version="1.0" encoding="utf-8"?>
<sst xmlns="http://schemas.openxmlformats.org/spreadsheetml/2006/main" count="2025" uniqueCount="317">
  <si>
    <t>Etiquetas de fila</t>
  </si>
  <si>
    <t>ADAN PARADA</t>
  </si>
  <si>
    <t>AGRICOLA ASTURIAS LIMITADA</t>
  </si>
  <si>
    <t>AGRICOLA COX LTDA</t>
  </si>
  <si>
    <t>AGRICOLA LAS MERCEDES DEL SUR SPA</t>
  </si>
  <si>
    <t>AGRICOLA LOS JUANES SPA</t>
  </si>
  <si>
    <t>AGRICOLA SANTA CARMEN S.A.</t>
  </si>
  <si>
    <t>AGRICOLA Y GANADERA NISCON LIMITADA</t>
  </si>
  <si>
    <t>AGROFRUT LONCOCHE SPA</t>
  </si>
  <si>
    <t>ALEXIS CANIULLAN</t>
  </si>
  <si>
    <t>ANGELICA TRIVIÑO</t>
  </si>
  <si>
    <t>ANSELMO CURIHUENTRO</t>
  </si>
  <si>
    <t>ANTONIETA TRANGOL</t>
  </si>
  <si>
    <t>ANTONIO TRANGOL</t>
  </si>
  <si>
    <t>BERNARDITA COLILAF</t>
  </si>
  <si>
    <t>CARLOS EPUÑIR</t>
  </si>
  <si>
    <t>CARLOS VIDAL FUENTES</t>
  </si>
  <si>
    <t>CARMEN MARTA BARRIENTOS SILVA</t>
  </si>
  <si>
    <t>CAROLINA PIRCE MILLAN</t>
  </si>
  <si>
    <t>CATRINAHUEL PAILLACAR JUAN ISAIAS</t>
  </si>
  <si>
    <t>CECILIA DEL CARMEN RETAMAL VARGAS</t>
  </si>
  <si>
    <t>CLAUDIA RANTUL</t>
  </si>
  <si>
    <t>CLAUDIO ÑANCULAF</t>
  </si>
  <si>
    <t>CLEMAN QUINTRELEO</t>
  </si>
  <si>
    <t>COMERCIAL ZENIZ LIMITADA</t>
  </si>
  <si>
    <t>COOPERATIVA AGRICOLA ITINENTO FRUT LIMITADA</t>
  </si>
  <si>
    <t>COOPERATIVA AGRICOLA NEWEN AL SUR DE LA ARAUCANIA LIMITADA</t>
  </si>
  <si>
    <t>COOPERATIVA AGRICOLA NEWEN BERRIES PITRUFQUEN</t>
  </si>
  <si>
    <t>COOPERATIVA DE PRODUCTORES DE BERRIES CHOROICO, COOPROBECH</t>
  </si>
  <si>
    <t>DANIEL MELIN PAILLAL</t>
  </si>
  <si>
    <t>DANIEL MELIN QUILAPE</t>
  </si>
  <si>
    <t>DAVID LAGOS QUINTRELEO</t>
  </si>
  <si>
    <t>DORIS HUICHAMIL</t>
  </si>
  <si>
    <t>EDGARDO RAIN</t>
  </si>
  <si>
    <t>EDUARDO MELIVILU MARTINEZ</t>
  </si>
  <si>
    <t>EDUARDO SOLIS</t>
  </si>
  <si>
    <t>ELENA ROSA PUSTELA GARCES</t>
  </si>
  <si>
    <t>ELIZABETH FLORES CEBALLOS</t>
  </si>
  <si>
    <t>EMILIO SOTO OLAVE (AGREGAR A ODOO)</t>
  </si>
  <si>
    <t>EMPRESA GERMANY</t>
  </si>
  <si>
    <t>ERCIRA LARA</t>
  </si>
  <si>
    <t>ERIKA ELIANA CONTRERAS GATICA</t>
  </si>
  <si>
    <t>ERMINDA ANCÁN COLICHEO</t>
  </si>
  <si>
    <t>ERWIN DELGADO BOCK</t>
  </si>
  <si>
    <t>FELICIANA LEAL VIDAL</t>
  </si>
  <si>
    <t>FIERRO DIAZ DANIEL ISAAC</t>
  </si>
  <si>
    <t>FLOR GARRIDO</t>
  </si>
  <si>
    <t>FLORENTINO VELASQUEZ</t>
  </si>
  <si>
    <t>FRANCISCO PICHUN</t>
  </si>
  <si>
    <t>FRANCISCO SALAZAR</t>
  </si>
  <si>
    <t>GALLARDO FLORES MINERVA EUDOCIA</t>
  </si>
  <si>
    <t>GLORIA PERALTA</t>
  </si>
  <si>
    <t>HALDA LUCI PATRICIA PACHECO CARRILLO</t>
  </si>
  <si>
    <t>HECTOR EDGARDO SILVA</t>
  </si>
  <si>
    <t>HERMANN MARQUEZ</t>
  </si>
  <si>
    <t>HERNAN VILLARROEL</t>
  </si>
  <si>
    <t>HIPOLITO CANIULLAN</t>
  </si>
  <si>
    <t>HUGO OSVALDO VERA VERA</t>
  </si>
  <si>
    <t>IGNACIO LLANQUIMAN</t>
  </si>
  <si>
    <t>IGNACIO MARINAO</t>
  </si>
  <si>
    <t>INVERSIONES Y SERVICIOS GUNEY SPA</t>
  </si>
  <si>
    <t>ISABEL GUTIERREZ VARELA</t>
  </si>
  <si>
    <t>ISAIAS ORTIZ</t>
  </si>
  <si>
    <t xml:space="preserve">ISMAEL SEGUNTO ORTIZ MARTINEZ </t>
  </si>
  <si>
    <t>IVETTE GUTIERREZ</t>
  </si>
  <si>
    <t>JAIME CATRIFOL</t>
  </si>
  <si>
    <t>JORGE EDUARDO SOTO</t>
  </si>
  <si>
    <t>JORGE GONZALO VERA ROA</t>
  </si>
  <si>
    <t>JORGE LLANCAPICHUN RAMIREZ</t>
  </si>
  <si>
    <t>JOSE CAVALLIERI</t>
  </si>
  <si>
    <t>JOSE LUIS CUMINAO</t>
  </si>
  <si>
    <t>JOSE MANUEL SOTO</t>
  </si>
  <si>
    <t>JOSE OLIVARES</t>
  </si>
  <si>
    <t>JOSE PEREZ</t>
  </si>
  <si>
    <t>JOSE QUINTULEM</t>
  </si>
  <si>
    <t xml:space="preserve">JUAN ANTONIO MELILLAN NAHUEL  </t>
  </si>
  <si>
    <t>JUAN BERNARDO TRANGULAO CHUREO</t>
  </si>
  <si>
    <t>JUAN BRAVO</t>
  </si>
  <si>
    <t>JUAN CARLOS STAUB</t>
  </si>
  <si>
    <t>JUAN COLICOY MANQUI</t>
  </si>
  <si>
    <t>JUAN DANIEL QUILAPI PAILLAL</t>
  </si>
  <si>
    <t>JUAN GUTIERREZ</t>
  </si>
  <si>
    <t>JUAN ISIDRO BARRIENTOS SILVA</t>
  </si>
  <si>
    <t>JUAN MILLA</t>
  </si>
  <si>
    <t>JUAN NAHUELPAN</t>
  </si>
  <si>
    <t>JUAN PABLO HUENTIAN</t>
  </si>
  <si>
    <t>JUANA MARTIN</t>
  </si>
  <si>
    <t>JUANA RAMIREZ</t>
  </si>
  <si>
    <t>JUANA VARELA</t>
  </si>
  <si>
    <t>JULIA FLORES</t>
  </si>
  <si>
    <t>JULIO MAURICIO ALMONACID VASQUEZ</t>
  </si>
  <si>
    <t>KEVIN MELIN</t>
  </si>
  <si>
    <t>LUCIA JAQUELIN TRANGULAO GUINEZ</t>
  </si>
  <si>
    <t>LUCINDA HUAQUIÑIR LINCOLEO</t>
  </si>
  <si>
    <t>LUIS ALBERTO ADAMA  SOLIS</t>
  </si>
  <si>
    <t>LUIS ALBERTO HUENTEMIL COLIPI</t>
  </si>
  <si>
    <t xml:space="preserve">LUIS ALBERTO PRIETO RIOS </t>
  </si>
  <si>
    <t>LUIS ALVAREZ</t>
  </si>
  <si>
    <t>LUIS FERNANDEZ</t>
  </si>
  <si>
    <t>LUIS LEVIN</t>
  </si>
  <si>
    <t>LUIS PEREZ</t>
  </si>
  <si>
    <t>LUIS SEGUNDO HERMOGENES AGUILERA VERA</t>
  </si>
  <si>
    <t>LUISA VERA</t>
  </si>
  <si>
    <t xml:space="preserve">LUZ MARINA PERALTA </t>
  </si>
  <si>
    <t>LUZ VILLALOBOS</t>
  </si>
  <si>
    <t>MAGALY DEL CARMEN GONZALEZ ROMERO</t>
  </si>
  <si>
    <t>MAGDALENA RUPAYAN</t>
  </si>
  <si>
    <t>MARCELA VARGAS AGUILERA</t>
  </si>
  <si>
    <t>MARCELA ZUÑIGA</t>
  </si>
  <si>
    <t>MARCELO QUIROZ</t>
  </si>
  <si>
    <t>MARIA ANGELICA HERNANDEZ UNION</t>
  </si>
  <si>
    <t>MARIA CALDERON</t>
  </si>
  <si>
    <t>MARIA CAÑOLAF</t>
  </si>
  <si>
    <t>MARIA CATRIAN</t>
  </si>
  <si>
    <t>MARIA FLORES</t>
  </si>
  <si>
    <t xml:space="preserve">MARÍA HUENUPI HUENUPI </t>
  </si>
  <si>
    <t>MARÍA MUÑOZ CARO</t>
  </si>
  <si>
    <t>MARÍA QUILAPE LINCOLEO</t>
  </si>
  <si>
    <t>MARIA SOLANGE MELIN PAILLAL</t>
  </si>
  <si>
    <t>MARIANELA SEGUEL</t>
  </si>
  <si>
    <t xml:space="preserve">MARIO FUENTEALBA </t>
  </si>
  <si>
    <t>MARIO LLANQUILEO</t>
  </si>
  <si>
    <t>MIGUEL ALEJANDRO TRONCOSO ESPINOZA</t>
  </si>
  <si>
    <t>MOISES RUPAYAN</t>
  </si>
  <si>
    <t>MYRIAM CANIULLAN MARINAO</t>
  </si>
  <si>
    <t>NELLY CASTRO</t>
  </si>
  <si>
    <t>NORMA RIQUELME</t>
  </si>
  <si>
    <t>ORLANDO HERNAN URIBE ARROYO</t>
  </si>
  <si>
    <t>ORTEGA DURAN JOSE</t>
  </si>
  <si>
    <t>OSCAR MUÑOZ SAEZ</t>
  </si>
  <si>
    <t>PAOLO VENEGAS</t>
  </si>
  <si>
    <t>PATRICIO MARILLAN VENEGAS</t>
  </si>
  <si>
    <t>PATRICIO OPAZO</t>
  </si>
  <si>
    <t>PEDRO FLORES</t>
  </si>
  <si>
    <t>PEDRO MELIPIL</t>
  </si>
  <si>
    <t>RAMON CURIHUIL</t>
  </si>
  <si>
    <t>RAUL URIBE ARROYO</t>
  </si>
  <si>
    <t>ROSA ELIZABETH BUSTOS CONTRERAS</t>
  </si>
  <si>
    <t>RUBEN ANELIO ZUÑIGA VASQUEZ</t>
  </si>
  <si>
    <t>Samuel Fermin Antimilla Calfuman</t>
  </si>
  <si>
    <t>SANDRA CASTRO</t>
  </si>
  <si>
    <t>SANDRA HAYDEE OVANDO HERNANDEZ</t>
  </si>
  <si>
    <t>SILVIA PARADA</t>
  </si>
  <si>
    <t>SOCIEDAD AGRICOLA DEL HUERTO LIMITADA</t>
  </si>
  <si>
    <t xml:space="preserve">SOLEDAD BAHAMONDEZ </t>
  </si>
  <si>
    <t>VERONICA RAMIREZ</t>
  </si>
  <si>
    <t>VICTOR RAPIMAN</t>
  </si>
  <si>
    <t>YANET DEL CARMEN ALVAREZ ARAVENA</t>
  </si>
  <si>
    <t>YANETTE VERONICA MELIN PAILLALÍ</t>
  </si>
  <si>
    <t>FRAM MEEKER</t>
  </si>
  <si>
    <t>FRAM HERITAGE</t>
  </si>
  <si>
    <t>PRODUCTOR WAKEFIELD</t>
  </si>
  <si>
    <t>WAKEFIELD</t>
  </si>
  <si>
    <t>PRODUCTOR WAKEFIELD 2</t>
  </si>
  <si>
    <t>PRODIUCTOR ORGANICO  ZONA NORTE</t>
  </si>
  <si>
    <t>Especiue</t>
  </si>
  <si>
    <t>AGRÍCOLA SANTA ELENA LIMITADA</t>
  </si>
  <si>
    <t>AGRICOLA TRES ROBLES SPA</t>
  </si>
  <si>
    <t>AGRICOLA Y FORESTAL EL MANZANO LIMITADA</t>
  </si>
  <si>
    <t>AGRICOLA Y FORESTAL SAN ALEJANDRO LTDA</t>
  </si>
  <si>
    <t>ASESORIAS E INVERSIONES MONSERRAT SPA</t>
  </si>
  <si>
    <t>BLUE FOX LIMITADA</t>
  </si>
  <si>
    <t xml:space="preserve">BLUE FOX LIMITADA </t>
  </si>
  <si>
    <t>CARLOS KLEIN KOCH</t>
  </si>
  <si>
    <t>DONGUIL BERRIES S.A</t>
  </si>
  <si>
    <t>JACQUELINE MOURGUET BESOAIN</t>
  </si>
  <si>
    <t>PAOLA CATHERINA DE LOURDES BUSTOS BURGOS</t>
  </si>
  <si>
    <t>PATAGONIA FOOD S.A</t>
  </si>
  <si>
    <t>SHINE CHILE PROYECTOS E INVERSIONES LIMITADA</t>
  </si>
  <si>
    <t>SOC AGRICOLA RIO CHEPU LTDA</t>
  </si>
  <si>
    <t>SOCIEDAD AGRICOLA Y COMERCIAL ARANTRUF LIMITADA</t>
  </si>
  <si>
    <t>SOCIEDAD AGRÍCOLA Y FORESTAL EL PORVENIR SPA</t>
  </si>
  <si>
    <t>VICTOR OSVALDO FROHLICH MOHR</t>
  </si>
  <si>
    <t>especie</t>
  </si>
  <si>
    <t>arandano organico</t>
  </si>
  <si>
    <t>PRODUCTOR ZONA NORTE</t>
  </si>
  <si>
    <t>AGRICOLA AVILES LIMITADA</t>
  </si>
  <si>
    <t>AGRICOLA LOS ROBLES LIMITADA</t>
  </si>
  <si>
    <t>AGRICOLA LOS ZORRILLOS LIMITADA</t>
  </si>
  <si>
    <t>AGRICOLA LOVENGREEN REUS LIMITADA</t>
  </si>
  <si>
    <t>AGRICOLA OROMO LTDA.</t>
  </si>
  <si>
    <t>AGRICOLA Y FORESTAL MAURICIO GONZALO RIVAS SCHAUB.</t>
  </si>
  <si>
    <t>AGRICOLA Y GANADERA LOS CORRALES S.A.</t>
  </si>
  <si>
    <t>AGROPECUARIA SANTA SABINA LTDA</t>
  </si>
  <si>
    <t>BSL BERRIES ARAUCANIA SA</t>
  </si>
  <si>
    <t>CARLOS MAURICIO FERNANDEZ HERRERA</t>
  </si>
  <si>
    <t>EDUARDO ALEJANDRO MONTENEGRO SIDAN</t>
  </si>
  <si>
    <t>EDUARDO SANTAMARIA PUENTES</t>
  </si>
  <si>
    <t>ETAMPO CHILE SPA</t>
  </si>
  <si>
    <t>EXP E INVERSIONES TEMPO FRUT LTDA</t>
  </si>
  <si>
    <t>HUBERRY EXPORT SPA</t>
  </si>
  <si>
    <t>INTEGRITY S.A.</t>
  </si>
  <si>
    <t>INVERSIONES CUNCUMEN LTDA</t>
  </si>
  <si>
    <t>LAKEBLUE SPA</t>
  </si>
  <si>
    <t xml:space="preserve">RED AND BLUE BERRIES LIMITADA </t>
  </si>
  <si>
    <t>RIO FRIO SERVICE SPA</t>
  </si>
  <si>
    <t>SERVICIOS AGRICOLAS SAN AGUSTIN DE MARIA SPA</t>
  </si>
  <si>
    <t>SOCIEDAD AGRÍCOLA COMERCIAL INVERSIONES Y ASESORÍAS PATRON LIMITADA</t>
  </si>
  <si>
    <t>SOCIEDAD AGRICOLA QUILAMUTA SPA</t>
  </si>
  <si>
    <t>SOCIEDAD EXPORTADORA AGRICOLA MEREX LIMITADA</t>
  </si>
  <si>
    <t>arandano convencional</t>
  </si>
  <si>
    <t>AGRICOLA LITRE</t>
  </si>
  <si>
    <t>NOVIEMBRE</t>
  </si>
  <si>
    <t>DICIEMBRE</t>
  </si>
  <si>
    <t>ENERO</t>
  </si>
  <si>
    <t>FEBRERO</t>
  </si>
  <si>
    <t>MARZO</t>
  </si>
  <si>
    <t>ABRIL</t>
  </si>
  <si>
    <t>MAYO</t>
  </si>
  <si>
    <t>TOTAL</t>
  </si>
  <si>
    <t>PEDRO SALAZAR</t>
  </si>
  <si>
    <t>AGRICOLA DEL HUERTO</t>
  </si>
  <si>
    <t>ZENIZ</t>
  </si>
  <si>
    <t>FRUTILLA ORGANICA</t>
  </si>
  <si>
    <t>COOPERATIVA LITUECHE</t>
  </si>
  <si>
    <t>PRODUCTOR ZONA SUR</t>
  </si>
  <si>
    <t>FRUTILLA CONVENCIONAL</t>
  </si>
  <si>
    <t>MORA ORGANICA</t>
  </si>
  <si>
    <t>MORA CONVENCIONAL</t>
  </si>
  <si>
    <t>PRODUCTOR ZONA NORTE HERITAGE CONVENCIONAL</t>
  </si>
  <si>
    <t>ARANDANO ORGANICO</t>
  </si>
  <si>
    <t>ARANDANO CONVENCIONAL</t>
  </si>
  <si>
    <t>PLANTA</t>
  </si>
  <si>
    <t>VILKUN</t>
  </si>
  <si>
    <t>RFP</t>
  </si>
  <si>
    <t>TIPO FRUTA</t>
  </si>
  <si>
    <t>MANEJO</t>
  </si>
  <si>
    <t>FRUTA NUEVA</t>
  </si>
  <si>
    <t xml:space="preserve">FRAMBUESA </t>
  </si>
  <si>
    <t>CONVENCIONAL</t>
  </si>
  <si>
    <t>FRAMBUESA</t>
  </si>
  <si>
    <t>ORGANICO</t>
  </si>
  <si>
    <t xml:space="preserve">ARANDANO </t>
  </si>
  <si>
    <t>MORA</t>
  </si>
  <si>
    <t>FRUTILLA</t>
  </si>
  <si>
    <t>COOPERATIVA 3 PIEDRAS</t>
  </si>
  <si>
    <t>MP</t>
  </si>
  <si>
    <t>,</t>
  </si>
  <si>
    <t>PRODUCTORES ZONA SUR</t>
  </si>
  <si>
    <t>EPPLE</t>
  </si>
  <si>
    <t>PRODUCTOR ZONA NORTE ORGANICO</t>
  </si>
  <si>
    <t>KILOS POR PLANTA</t>
  </si>
  <si>
    <t>RFP SPA</t>
  </si>
  <si>
    <t xml:space="preserve"> Planificacion Capacidades 2024 -2025</t>
  </si>
  <si>
    <t>Rio Fruturo Procesos</t>
  </si>
  <si>
    <t>Planta Rio Futuro</t>
  </si>
  <si>
    <t xml:space="preserve">Vilcun </t>
  </si>
  <si>
    <t>Abastecimiento</t>
  </si>
  <si>
    <t>17/11-23/11</t>
  </si>
  <si>
    <t>24/11-30/11</t>
  </si>
  <si>
    <t>01/12 - 07/12</t>
  </si>
  <si>
    <t>08/12- 14/12</t>
  </si>
  <si>
    <t>15/12-21/12</t>
  </si>
  <si>
    <t>22/12-28/12</t>
  </si>
  <si>
    <t>29/12-04/12</t>
  </si>
  <si>
    <t>05/01-11/01</t>
  </si>
  <si>
    <t>12/01-18/01</t>
  </si>
  <si>
    <t>19/01-25/01-</t>
  </si>
  <si>
    <t>26/01-31/01</t>
  </si>
  <si>
    <t>02/02-08/02</t>
  </si>
  <si>
    <t>09/02-15/02</t>
  </si>
  <si>
    <t>16/02-22/02</t>
  </si>
  <si>
    <t>23/02-28/02</t>
  </si>
  <si>
    <t>02/03-08/03</t>
  </si>
  <si>
    <t>09/03-15/03</t>
  </si>
  <si>
    <t>16/03-22/03</t>
  </si>
  <si>
    <t>23/03-29/03</t>
  </si>
  <si>
    <t>30/03-05/04</t>
  </si>
  <si>
    <t>06/04-12/04</t>
  </si>
  <si>
    <t>13/04-19/04</t>
  </si>
  <si>
    <t>20/04-26/04</t>
  </si>
  <si>
    <t>27/04-03/05</t>
  </si>
  <si>
    <t>Tipo Tunel</t>
  </si>
  <si>
    <t>Planta</t>
  </si>
  <si>
    <t>Especie</t>
  </si>
  <si>
    <t>Continuo</t>
  </si>
  <si>
    <t xml:space="preserve">Arandano </t>
  </si>
  <si>
    <t>Frutilla</t>
  </si>
  <si>
    <t>Produccion</t>
  </si>
  <si>
    <t>Rendimiento/Promedio</t>
  </si>
  <si>
    <t>Horas</t>
  </si>
  <si>
    <t>Dias</t>
  </si>
  <si>
    <t>Tunel</t>
  </si>
  <si>
    <t>Turnos</t>
  </si>
  <si>
    <t>Arandano</t>
  </si>
  <si>
    <t>Cap. Disponible / Tunel Continuo</t>
  </si>
  <si>
    <t>PSP</t>
  </si>
  <si>
    <t>Tunel Estatico</t>
  </si>
  <si>
    <t>Estatico</t>
  </si>
  <si>
    <t>Frambuesa</t>
  </si>
  <si>
    <t>Mora Convencional</t>
  </si>
  <si>
    <t>Mora Organica</t>
  </si>
  <si>
    <t>Capacidades</t>
  </si>
  <si>
    <t>Frambuesa / Mora</t>
  </si>
  <si>
    <t>Cap Disponible / Tunel Estatico</t>
  </si>
  <si>
    <t>Disponibilidad Total Planta RFP SPA</t>
  </si>
  <si>
    <t>Planta Vilcun</t>
  </si>
  <si>
    <t>Vilcun</t>
  </si>
  <si>
    <t>Cap Disponible Total Planta Vilcun</t>
  </si>
  <si>
    <t>Cap Disponible Total  PRF SPA</t>
  </si>
  <si>
    <t>Arandano Convencional</t>
  </si>
  <si>
    <t>Capacidad</t>
  </si>
  <si>
    <t>Tipo Tunel Continuo</t>
  </si>
  <si>
    <t>Tipo Tunel  Estatico</t>
  </si>
  <si>
    <t>RPF</t>
  </si>
  <si>
    <t>Fram / Mora / Arand</t>
  </si>
  <si>
    <t>Total Capacidad Grupo RFP</t>
  </si>
  <si>
    <t>RFP/ Vilcun</t>
  </si>
  <si>
    <t>Varias</t>
  </si>
  <si>
    <t>Tunel Estaticos</t>
  </si>
  <si>
    <t>FRAMBUESA WAKEFIELD</t>
  </si>
  <si>
    <t>FRAMBUESA WAKEFIELD ORGANICA</t>
  </si>
  <si>
    <t>FRAMBUESA HERITAGE CONVENCIONAL</t>
  </si>
  <si>
    <t>FRAMBUESA HERITAGE ORGANICA</t>
  </si>
  <si>
    <t>FRAMBUESA MEEKER</t>
  </si>
  <si>
    <t>FRAMBUESA MEEKER ORGANICA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</si>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</sst>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* #,##0_);_(* \(#,##0\);_(* &quot;-&quot;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rgb="FFFF0000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6">
    <xf numFmtId="0" fontId="0" fillId="0" borderId="0" xfId="0"/>
    <xf numFmtId="0" fontId="3" fillId="2" borderId="1" xfId="0" applyFont="1" applyFill="1" applyBorder="1"/>
    <xf numFmtId="0" fontId="0" fillId="0" borderId="0" xfId="0" applyAlignment="1">
      <alignment horizontal="left"/>
    </xf>
    <xf numFmtId="164" fontId="0" fillId="0" borderId="0" xfId="0" applyNumberForma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/>
    <xf numFmtId="41" fontId="0" fillId="0" borderId="0" xfId="1" applyFont="1"/>
    <xf numFmtId="164" fontId="0" fillId="0" borderId="2" xfId="0" applyNumberFormat="1" applyBorder="1"/>
    <xf numFmtId="14" fontId="0" fillId="0" borderId="0" xfId="0" applyNumberFormat="1"/>
    <xf numFmtId="0" fontId="5" fillId="6" borderId="0" xfId="0" applyFont="1" applyFill="1"/>
    <xf numFmtId="164" fontId="2" fillId="6" borderId="0" xfId="0" applyNumberFormat="1" applyFont="1" applyFill="1"/>
    <xf numFmtId="0" fontId="4" fillId="6" borderId="0" xfId="0" applyFont="1" applyFill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/>
    <xf numFmtId="41" fontId="0" fillId="0" borderId="2" xfId="1" applyFont="1" applyBorder="1"/>
    <xf numFmtId="0" fontId="4" fillId="6" borderId="2" xfId="0" applyFont="1" applyFill="1" applyBorder="1"/>
    <xf numFmtId="41" fontId="6" fillId="6" borderId="2" xfId="1" applyFont="1" applyFill="1" applyBorder="1"/>
    <xf numFmtId="41" fontId="0" fillId="0" borderId="0" xfId="1" applyFont="1" applyBorder="1"/>
    <xf numFmtId="0" fontId="0" fillId="0" borderId="2" xfId="0" applyBorder="1" applyAlignment="1">
      <alignment horizontal="center"/>
    </xf>
    <xf numFmtId="41" fontId="3" fillId="0" borderId="2" xfId="1" applyFont="1" applyBorder="1"/>
    <xf numFmtId="0" fontId="3" fillId="7" borderId="2" xfId="0" applyFont="1" applyFill="1" applyBorder="1" applyAlignment="1">
      <alignment horizontal="center" vertical="center"/>
    </xf>
    <xf numFmtId="0" fontId="3" fillId="0" borderId="2" xfId="0" applyFont="1" applyBorder="1"/>
    <xf numFmtId="0" fontId="4" fillId="6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0" fillId="10" borderId="2" xfId="0" applyFill="1" applyBorder="1"/>
    <xf numFmtId="41" fontId="0" fillId="10" borderId="2" xfId="1" applyFont="1" applyFill="1" applyBorder="1"/>
    <xf numFmtId="0" fontId="0" fillId="4" borderId="2" xfId="0" applyFill="1" applyBorder="1"/>
    <xf numFmtId="41" fontId="0" fillId="4" borderId="2" xfId="1" applyFont="1" applyFill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0" fillId="3" borderId="0" xfId="0" applyNumberFormat="1" applyFill="1" applyAlignment="1">
      <alignment horizontal="center"/>
    </xf>
    <xf numFmtId="0" fontId="7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8" fillId="0" borderId="0" xfId="0" applyFont="1"/>
    <xf numFmtId="0" fontId="9" fillId="0" borderId="4" xfId="0" applyFont="1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3" fontId="0" fillId="0" borderId="4" xfId="0" applyNumberFormat="1" applyBorder="1" applyAlignment="1">
      <alignment horizontal="center"/>
    </xf>
    <xf numFmtId="3" fontId="0" fillId="0" borderId="0" xfId="0" applyNumberFormat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4" xfId="0" applyNumberFormat="1" applyBorder="1" applyAlignment="1">
      <alignment horizontal="center" vertical="center"/>
    </xf>
    <xf numFmtId="3" fontId="0" fillId="11" borderId="4" xfId="0" applyNumberForma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4" xfId="0" applyFont="1" applyBorder="1"/>
    <xf numFmtId="3" fontId="0" fillId="11" borderId="0" xfId="0" applyNumberFormat="1" applyFill="1" applyAlignment="1">
      <alignment horizontal="center"/>
    </xf>
    <xf numFmtId="3" fontId="0" fillId="0" borderId="0" xfId="0" applyNumberFormat="1"/>
    <xf numFmtId="0" fontId="0" fillId="11" borderId="4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3" fillId="0" borderId="4" xfId="0" applyFont="1" applyBorder="1"/>
    <xf numFmtId="1" fontId="3" fillId="2" borderId="2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right"/>
    </xf>
    <xf numFmtId="41" fontId="6" fillId="5" borderId="3" xfId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41" fontId="3" fillId="10" borderId="2" xfId="0" applyNumberFormat="1" applyFont="1" applyFill="1" applyBorder="1" applyAlignment="1">
      <alignment horizontal="center" vertical="center" wrapText="1"/>
    </xf>
    <xf numFmtId="41" fontId="3" fillId="4" borderId="2" xfId="0" applyNumberFormat="1" applyFont="1" applyFill="1" applyBorder="1" applyAlignment="1">
      <alignment horizontal="center" wrapText="1"/>
    </xf>
  </cellXfs>
  <cellStyles count="2">
    <cellStyle name="Millares [0]" xfId="1" builtinId="6"/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4064-4AC6-4D31-AA75-84E43BE7B707}">
  <sheetPr>
    <tabColor rgb="FFFF0000"/>
  </sheetPr>
  <dimension ref="A1:BO154"/>
  <sheetViews>
    <sheetView topLeftCell="A6" workbookViewId="0">
      <selection activeCell="A2" sqref="A2:W153"/>
    </sheetView>
  </sheetViews>
  <sheetFormatPr baseColWidth="10" defaultRowHeight="14.4" x14ac:dyDescent="0.3"/>
  <cols>
    <col min="1" max="1" width="61.5546875" bestFit="1" customWidth="1"/>
    <col min="2" max="2" width="61.5546875" customWidth="1"/>
  </cols>
  <sheetData>
    <row r="1" spans="1:23" ht="25.2" customHeight="1" x14ac:dyDescent="0.3">
      <c r="A1" s="4" t="s">
        <v>0</v>
      </c>
      <c r="B1" s="4" t="s">
        <v>155</v>
      </c>
      <c r="C1" s="4">
        <v>50</v>
      </c>
      <c r="D1" s="4">
        <v>51</v>
      </c>
      <c r="E1" s="4">
        <v>52</v>
      </c>
      <c r="F1" s="4">
        <v>53</v>
      </c>
      <c r="G1" s="4">
        <v>1</v>
      </c>
      <c r="H1" s="4">
        <v>2</v>
      </c>
      <c r="I1" s="4">
        <v>3</v>
      </c>
      <c r="J1" s="4">
        <v>4</v>
      </c>
      <c r="K1" s="4">
        <v>5</v>
      </c>
      <c r="L1" s="4">
        <v>6</v>
      </c>
      <c r="M1" s="4">
        <v>7</v>
      </c>
      <c r="N1" s="4">
        <v>8</v>
      </c>
      <c r="O1" s="4">
        <v>9</v>
      </c>
      <c r="P1" s="4">
        <v>10</v>
      </c>
      <c r="Q1" s="4">
        <v>11</v>
      </c>
      <c r="R1" s="4">
        <v>12</v>
      </c>
      <c r="S1" s="4">
        <v>13</v>
      </c>
      <c r="T1" s="4">
        <v>14</v>
      </c>
      <c r="U1" s="4">
        <v>16</v>
      </c>
      <c r="V1" s="4">
        <v>17</v>
      </c>
      <c r="W1" s="4">
        <v>19</v>
      </c>
    </row>
    <row r="2" spans="1:23" x14ac:dyDescent="0.3">
      <c r="A2" s="2" t="s">
        <v>1</v>
      </c>
      <c r="B2" s="2" t="s">
        <v>149</v>
      </c>
      <c r="C2" s="3"/>
      <c r="D2" s="3"/>
      <c r="E2" s="3">
        <v>875.54</v>
      </c>
      <c r="F2" s="3">
        <v>348.34000000000003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3">
      <c r="A3" s="2" t="s">
        <v>2</v>
      </c>
      <c r="B3" s="2" t="s">
        <v>149</v>
      </c>
      <c r="C3" s="3"/>
      <c r="D3" s="3"/>
      <c r="E3" s="3"/>
      <c r="F3" s="3"/>
      <c r="G3" s="3"/>
      <c r="H3" s="3"/>
      <c r="I3" s="3">
        <v>2380.31</v>
      </c>
      <c r="J3" s="3"/>
      <c r="K3" s="3">
        <v>56.8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3">
      <c r="A4" s="2" t="s">
        <v>3</v>
      </c>
      <c r="B4" s="2" t="s">
        <v>149</v>
      </c>
      <c r="C4" s="3">
        <v>445.62</v>
      </c>
      <c r="D4" s="3">
        <v>1993.3400000000001</v>
      </c>
      <c r="E4" s="3">
        <v>8656.8199999999979</v>
      </c>
      <c r="F4" s="3">
        <v>3371.1600000000003</v>
      </c>
      <c r="G4" s="3">
        <v>6675.9999999999991</v>
      </c>
      <c r="H4" s="3">
        <v>8221.7599999999984</v>
      </c>
      <c r="I4" s="3">
        <v>7820.3799999999974</v>
      </c>
      <c r="J4" s="3">
        <v>6133.6399999999985</v>
      </c>
      <c r="K4" s="3">
        <v>2556.6999999999998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3">
      <c r="A5" s="2" t="s">
        <v>219</v>
      </c>
      <c r="B5" s="2" t="s">
        <v>150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v>66000</v>
      </c>
      <c r="Q5" s="3">
        <v>66000</v>
      </c>
      <c r="R5" s="3">
        <v>85000</v>
      </c>
      <c r="S5" s="3">
        <v>66000</v>
      </c>
      <c r="T5" s="3">
        <v>66000</v>
      </c>
      <c r="U5" s="3">
        <v>62000</v>
      </c>
      <c r="V5" s="3"/>
      <c r="W5" s="3"/>
    </row>
    <row r="6" spans="1:23" x14ac:dyDescent="0.3">
      <c r="A6" s="2" t="s">
        <v>4</v>
      </c>
      <c r="B6" s="2" t="s">
        <v>149</v>
      </c>
      <c r="C6" s="3"/>
      <c r="D6" s="3"/>
      <c r="E6" s="3"/>
      <c r="F6" s="3"/>
      <c r="G6" s="3"/>
      <c r="H6" s="3">
        <v>1541.3600000000001</v>
      </c>
      <c r="I6" s="3">
        <v>5636.9</v>
      </c>
      <c r="J6" s="3">
        <v>6975.4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3">
      <c r="A7" s="2" t="s">
        <v>5</v>
      </c>
      <c r="B7" s="2" t="s">
        <v>149</v>
      </c>
      <c r="C7" s="3"/>
      <c r="D7" s="3"/>
      <c r="E7" s="3">
        <v>2518.14</v>
      </c>
      <c r="F7" s="3">
        <v>658.74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3">
      <c r="A8" s="2" t="s">
        <v>6</v>
      </c>
      <c r="B8" s="2" t="s">
        <v>149</v>
      </c>
      <c r="C8" s="3"/>
      <c r="D8" s="3"/>
      <c r="E8" s="3"/>
      <c r="F8" s="3"/>
      <c r="G8" s="3"/>
      <c r="H8" s="3">
        <v>4291.5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x14ac:dyDescent="0.3">
      <c r="A9" s="2" t="s">
        <v>7</v>
      </c>
      <c r="B9" s="2" t="s">
        <v>149</v>
      </c>
      <c r="C9" s="3"/>
      <c r="D9" s="3"/>
      <c r="E9" s="3"/>
      <c r="F9" s="3"/>
      <c r="G9" s="3">
        <v>3676.8800000000006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3">
      <c r="A10" s="2" t="s">
        <v>8</v>
      </c>
      <c r="B10" s="2" t="s">
        <v>149</v>
      </c>
      <c r="C10" s="3">
        <v>1222.2</v>
      </c>
      <c r="D10" s="3">
        <v>6887.3799999999992</v>
      </c>
      <c r="E10" s="3">
        <v>11512.62</v>
      </c>
      <c r="F10" s="3">
        <v>5033.7999999999993</v>
      </c>
      <c r="G10" s="3">
        <v>6450.1599999999989</v>
      </c>
      <c r="H10" s="3">
        <v>11011.44</v>
      </c>
      <c r="I10" s="3">
        <v>4599.72</v>
      </c>
      <c r="J10" s="3">
        <v>2388.7800000000002</v>
      </c>
      <c r="K10" s="3">
        <v>3507.9999999999995</v>
      </c>
      <c r="L10" s="3">
        <v>243.4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3">
      <c r="A11" s="2" t="s">
        <v>151</v>
      </c>
      <c r="B11" s="2" t="s">
        <v>152</v>
      </c>
      <c r="C11" s="3"/>
      <c r="D11" s="3">
        <v>25000</v>
      </c>
      <c r="E11" s="3">
        <v>45000</v>
      </c>
      <c r="F11" s="3">
        <v>45000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3">
      <c r="A12" s="2" t="s">
        <v>153</v>
      </c>
      <c r="B12" s="2" t="s">
        <v>152</v>
      </c>
      <c r="C12" s="3"/>
      <c r="D12" s="3"/>
      <c r="E12" s="3"/>
      <c r="F12" s="3"/>
      <c r="G12" s="3">
        <v>55000</v>
      </c>
      <c r="H12" s="3">
        <v>55000</v>
      </c>
      <c r="I12" s="3">
        <v>55000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3">
      <c r="A13" s="2" t="s">
        <v>9</v>
      </c>
      <c r="B13" s="2" t="s">
        <v>149</v>
      </c>
      <c r="C13" s="3"/>
      <c r="D13" s="3"/>
      <c r="E13" s="3">
        <v>1609.06</v>
      </c>
      <c r="F13" s="3">
        <v>812.22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2" t="s">
        <v>10</v>
      </c>
      <c r="B14" s="2" t="s">
        <v>149</v>
      </c>
      <c r="C14" s="3"/>
      <c r="D14" s="3"/>
      <c r="E14" s="3">
        <v>56.680000000000007</v>
      </c>
      <c r="F14" s="3">
        <v>40.92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3">
      <c r="A15" s="2" t="s">
        <v>11</v>
      </c>
      <c r="B15" s="2" t="s">
        <v>149</v>
      </c>
      <c r="C15" s="3"/>
      <c r="D15" s="3"/>
      <c r="E15" s="3">
        <v>224.97999999999996</v>
      </c>
      <c r="F15" s="3">
        <v>67.44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3">
      <c r="A16" s="2" t="s">
        <v>12</v>
      </c>
      <c r="B16" s="2" t="s">
        <v>149</v>
      </c>
      <c r="C16" s="3"/>
      <c r="D16" s="3">
        <v>37.200000000000003</v>
      </c>
      <c r="E16" s="3">
        <v>175.28</v>
      </c>
      <c r="F16" s="3">
        <v>90.97999999999999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3">
      <c r="A17" s="2" t="s">
        <v>13</v>
      </c>
      <c r="B17" s="2" t="s">
        <v>149</v>
      </c>
      <c r="C17" s="3"/>
      <c r="D17" s="3">
        <v>31.16</v>
      </c>
      <c r="E17" s="3">
        <v>702.19999999999993</v>
      </c>
      <c r="F17" s="3">
        <v>156.80000000000001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3">
      <c r="A18" s="2" t="s">
        <v>14</v>
      </c>
      <c r="B18" s="2" t="s">
        <v>149</v>
      </c>
      <c r="C18" s="3"/>
      <c r="D18" s="3"/>
      <c r="E18" s="3">
        <v>101.08</v>
      </c>
      <c r="F18" s="3">
        <v>91.2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3">
      <c r="A19" s="2" t="s">
        <v>15</v>
      </c>
      <c r="B19" s="2" t="s">
        <v>149</v>
      </c>
      <c r="C19" s="3"/>
      <c r="D19" s="3">
        <v>701.86</v>
      </c>
      <c r="E19" s="3">
        <v>2893.86</v>
      </c>
      <c r="F19" s="3">
        <v>1108.94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3">
      <c r="A20" s="2" t="s">
        <v>16</v>
      </c>
      <c r="B20" s="2" t="s">
        <v>149</v>
      </c>
      <c r="C20" s="3"/>
      <c r="D20" s="3">
        <v>69.3</v>
      </c>
      <c r="E20" s="3">
        <v>196.7</v>
      </c>
      <c r="F20" s="3">
        <v>106.82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3">
      <c r="A21" s="2" t="s">
        <v>17</v>
      </c>
      <c r="B21" s="2" t="s">
        <v>149</v>
      </c>
      <c r="C21" s="3"/>
      <c r="D21" s="3">
        <v>717.7</v>
      </c>
      <c r="E21" s="3">
        <v>1284</v>
      </c>
      <c r="F21" s="3">
        <v>577.76</v>
      </c>
      <c r="G21" s="3">
        <v>1064.0999999999999</v>
      </c>
      <c r="H21" s="3">
        <v>2297.1000000000004</v>
      </c>
      <c r="I21" s="3">
        <v>1804.1000000000001</v>
      </c>
      <c r="J21" s="3">
        <v>705.5</v>
      </c>
      <c r="K21" s="3">
        <v>236.3</v>
      </c>
      <c r="L21" s="3">
        <v>17.600000000000001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3">
      <c r="A22" s="2" t="s">
        <v>18</v>
      </c>
      <c r="B22" s="2" t="s">
        <v>149</v>
      </c>
      <c r="C22" s="3"/>
      <c r="D22" s="3">
        <v>73.09</v>
      </c>
      <c r="E22" s="3">
        <v>113.48</v>
      </c>
      <c r="F22" s="3">
        <v>43.74</v>
      </c>
      <c r="G22" s="3">
        <v>44.17</v>
      </c>
      <c r="H22" s="3"/>
      <c r="I22" s="3">
        <v>37.71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3">
      <c r="A23" s="2" t="s">
        <v>19</v>
      </c>
      <c r="B23" s="2" t="s">
        <v>149</v>
      </c>
      <c r="C23" s="3"/>
      <c r="D23" s="3"/>
      <c r="E23" s="3"/>
      <c r="F23" s="3"/>
      <c r="G23" s="3"/>
      <c r="H23" s="3">
        <v>89.64</v>
      </c>
      <c r="I23" s="3">
        <v>117.08</v>
      </c>
      <c r="J23" s="3">
        <v>65.7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3">
      <c r="A24" s="2" t="s">
        <v>20</v>
      </c>
      <c r="B24" s="2" t="s">
        <v>149</v>
      </c>
      <c r="C24" s="3"/>
      <c r="D24" s="3">
        <v>66.3</v>
      </c>
      <c r="E24" s="3">
        <v>348.29999999999995</v>
      </c>
      <c r="F24" s="3">
        <v>214.4</v>
      </c>
      <c r="G24" s="3">
        <v>414.9</v>
      </c>
      <c r="H24" s="3">
        <v>820.69999999999993</v>
      </c>
      <c r="I24" s="3">
        <v>713.2</v>
      </c>
      <c r="J24" s="3">
        <v>531.5</v>
      </c>
      <c r="K24" s="3">
        <v>138.79999999999998</v>
      </c>
      <c r="L24" s="3">
        <v>90.5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3">
      <c r="A25" s="2" t="s">
        <v>21</v>
      </c>
      <c r="B25" s="2" t="s">
        <v>149</v>
      </c>
      <c r="C25" s="3"/>
      <c r="D25" s="3">
        <v>98.92</v>
      </c>
      <c r="E25" s="3">
        <v>469.00000000000006</v>
      </c>
      <c r="F25" s="3">
        <v>178.18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3">
      <c r="A26" s="2" t="s">
        <v>22</v>
      </c>
      <c r="B26" s="2" t="s">
        <v>149</v>
      </c>
      <c r="C26" s="3"/>
      <c r="D26" s="3">
        <v>95.06</v>
      </c>
      <c r="E26" s="3">
        <v>658.83999999999992</v>
      </c>
      <c r="F26" s="3">
        <v>411.76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x14ac:dyDescent="0.3">
      <c r="A27" s="2" t="s">
        <v>23</v>
      </c>
      <c r="B27" s="2" t="s">
        <v>149</v>
      </c>
      <c r="C27" s="3"/>
      <c r="D27" s="3">
        <v>118.26</v>
      </c>
      <c r="E27" s="3">
        <v>719.22</v>
      </c>
      <c r="F27" s="3">
        <v>199.6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x14ac:dyDescent="0.3">
      <c r="A28" s="2" t="s">
        <v>24</v>
      </c>
      <c r="B28" s="2" t="s">
        <v>150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v>59262</v>
      </c>
      <c r="Q28" s="3">
        <f>19754.02*3</f>
        <v>59262.06</v>
      </c>
      <c r="R28" s="3">
        <f t="shared" ref="R28:U28" si="0">19754.02*3</f>
        <v>59262.06</v>
      </c>
      <c r="S28" s="3">
        <f t="shared" si="0"/>
        <v>59262.06</v>
      </c>
      <c r="T28" s="3">
        <f t="shared" si="0"/>
        <v>59262.06</v>
      </c>
      <c r="U28" s="3">
        <f t="shared" si="0"/>
        <v>59262.06</v>
      </c>
      <c r="V28" s="3"/>
      <c r="W28" s="3"/>
    </row>
    <row r="29" spans="1:23" x14ac:dyDescent="0.3">
      <c r="A29" s="2" t="s">
        <v>25</v>
      </c>
      <c r="B29" s="2" t="s">
        <v>149</v>
      </c>
      <c r="C29" s="3"/>
      <c r="D29" s="3"/>
      <c r="E29" s="3">
        <v>11853.050000000001</v>
      </c>
      <c r="F29" s="3">
        <v>11395.240000000002</v>
      </c>
      <c r="G29" s="3">
        <v>10581.440000000002</v>
      </c>
      <c r="H29" s="3">
        <v>10684.820000000002</v>
      </c>
      <c r="I29" s="3">
        <v>6445.7599999999993</v>
      </c>
      <c r="J29" s="3">
        <v>1913.3400000000001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x14ac:dyDescent="0.3">
      <c r="A30" s="2" t="s">
        <v>26</v>
      </c>
      <c r="B30" s="2" t="s">
        <v>149</v>
      </c>
      <c r="C30" s="3">
        <v>8321.619999999999</v>
      </c>
      <c r="D30" s="3">
        <v>29935.90000000002</v>
      </c>
      <c r="E30" s="3"/>
      <c r="F30" s="3"/>
      <c r="G30" s="3">
        <v>41366.799999999988</v>
      </c>
      <c r="H30" s="3">
        <v>73120.059999999823</v>
      </c>
      <c r="I30" s="3">
        <v>58175.639999999898</v>
      </c>
      <c r="J30" s="3">
        <v>35635.580000000009</v>
      </c>
      <c r="K30" s="3">
        <v>16121.440000000008</v>
      </c>
      <c r="L30" s="3">
        <v>4009.68</v>
      </c>
      <c r="M30" s="3">
        <v>498.77</v>
      </c>
      <c r="N30" s="3">
        <v>432.18</v>
      </c>
      <c r="O30" s="3"/>
      <c r="P30" s="3"/>
      <c r="Q30" s="3"/>
      <c r="R30" s="3"/>
      <c r="S30" s="3"/>
      <c r="T30" s="3"/>
      <c r="U30" s="3"/>
      <c r="V30" s="3"/>
      <c r="W30" s="3"/>
    </row>
    <row r="31" spans="1:23" x14ac:dyDescent="0.3">
      <c r="A31" s="2" t="s">
        <v>27</v>
      </c>
      <c r="B31" s="2" t="s">
        <v>149</v>
      </c>
      <c r="C31" s="3"/>
      <c r="D31" s="3">
        <v>2745.6800000000003</v>
      </c>
      <c r="E31" s="3">
        <v>6928.5000000000009</v>
      </c>
      <c r="F31" s="3">
        <v>2610.7000000000003</v>
      </c>
      <c r="G31" s="3">
        <v>4259.8600000000006</v>
      </c>
      <c r="H31" s="3">
        <v>7162.7799999999988</v>
      </c>
      <c r="I31" s="3">
        <v>4145.7</v>
      </c>
      <c r="J31" s="3">
        <v>2731.1</v>
      </c>
      <c r="K31" s="3">
        <v>577.22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x14ac:dyDescent="0.3">
      <c r="A32" s="2" t="s">
        <v>28</v>
      </c>
      <c r="B32" s="2" t="s">
        <v>149</v>
      </c>
      <c r="C32" s="3"/>
      <c r="D32" s="3"/>
      <c r="E32" s="3">
        <v>280.36</v>
      </c>
      <c r="F32" s="3">
        <v>163.99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x14ac:dyDescent="0.3">
      <c r="A33" s="2" t="s">
        <v>29</v>
      </c>
      <c r="B33" s="2" t="s">
        <v>149</v>
      </c>
      <c r="C33" s="3"/>
      <c r="D33" s="3"/>
      <c r="E33" s="3">
        <v>51.03</v>
      </c>
      <c r="F33" s="3"/>
      <c r="G33" s="3">
        <v>29.48</v>
      </c>
      <c r="H33" s="3">
        <v>118.75</v>
      </c>
      <c r="I33" s="3">
        <v>50.25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x14ac:dyDescent="0.3">
      <c r="A34" s="2" t="s">
        <v>154</v>
      </c>
      <c r="B34" s="2" t="s">
        <v>150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v>45000</v>
      </c>
      <c r="Q34" s="3">
        <v>45000</v>
      </c>
      <c r="R34" s="3">
        <v>45000</v>
      </c>
      <c r="S34" s="3">
        <v>45000</v>
      </c>
      <c r="T34" s="3">
        <v>45000</v>
      </c>
      <c r="U34" s="3">
        <v>45000</v>
      </c>
      <c r="V34" s="3">
        <v>45000</v>
      </c>
      <c r="W34" s="3"/>
    </row>
    <row r="35" spans="1:23" x14ac:dyDescent="0.3">
      <c r="A35" s="2" t="s">
        <v>30</v>
      </c>
      <c r="B35" s="2" t="s">
        <v>149</v>
      </c>
      <c r="C35" s="3"/>
      <c r="D35" s="3">
        <v>19.060000000000002</v>
      </c>
      <c r="E35" s="3">
        <v>105.01000000000002</v>
      </c>
      <c r="F35" s="3">
        <v>37.659999999999997</v>
      </c>
      <c r="G35" s="3">
        <v>97.12</v>
      </c>
      <c r="H35" s="3">
        <v>148.79000000000002</v>
      </c>
      <c r="I35" s="3">
        <v>88.53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3">
      <c r="A36" s="2" t="s">
        <v>31</v>
      </c>
      <c r="B36" s="2" t="s">
        <v>149</v>
      </c>
      <c r="C36" s="3"/>
      <c r="D36" s="3"/>
      <c r="E36" s="3">
        <v>884.22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3">
      <c r="A37" s="2" t="s">
        <v>32</v>
      </c>
      <c r="B37" s="2" t="s">
        <v>149</v>
      </c>
      <c r="C37" s="3"/>
      <c r="D37" s="3">
        <v>110.24</v>
      </c>
      <c r="E37" s="3">
        <v>1180.98</v>
      </c>
      <c r="F37" s="3">
        <v>352.52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3">
      <c r="A38" s="2" t="s">
        <v>33</v>
      </c>
      <c r="B38" s="2" t="s">
        <v>149</v>
      </c>
      <c r="C38" s="3"/>
      <c r="D38" s="3">
        <v>36.24</v>
      </c>
      <c r="E38" s="3">
        <v>229.84</v>
      </c>
      <c r="F38" s="3">
        <v>118.48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3">
      <c r="A39" s="2" t="s">
        <v>34</v>
      </c>
      <c r="B39" s="2" t="s">
        <v>149</v>
      </c>
      <c r="C39" s="3"/>
      <c r="D39" s="3">
        <v>73.72</v>
      </c>
      <c r="E39" s="3">
        <v>146.94</v>
      </c>
      <c r="F39" s="3">
        <v>101.2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3">
      <c r="A40" s="2" t="s">
        <v>35</v>
      </c>
      <c r="B40" s="2" t="s">
        <v>149</v>
      </c>
      <c r="C40" s="3"/>
      <c r="D40" s="3"/>
      <c r="E40" s="3">
        <v>367.8</v>
      </c>
      <c r="F40" s="3">
        <v>260.10000000000002</v>
      </c>
      <c r="G40" s="3">
        <v>429.2</v>
      </c>
      <c r="H40" s="3">
        <v>288.5</v>
      </c>
      <c r="I40" s="3">
        <v>107.1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3">
      <c r="A41" s="2" t="s">
        <v>36</v>
      </c>
      <c r="B41" s="2" t="s">
        <v>149</v>
      </c>
      <c r="C41" s="3"/>
      <c r="D41" s="3">
        <v>207.12</v>
      </c>
      <c r="E41" s="3">
        <v>487.06</v>
      </c>
      <c r="F41" s="3">
        <v>186.57999999999998</v>
      </c>
      <c r="G41" s="3">
        <v>432.08</v>
      </c>
      <c r="H41" s="3">
        <v>551.4</v>
      </c>
      <c r="I41" s="3">
        <v>387.24</v>
      </c>
      <c r="J41" s="3">
        <v>347.58</v>
      </c>
      <c r="K41" s="3">
        <v>101.68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3">
      <c r="A42" s="2" t="s">
        <v>37</v>
      </c>
      <c r="B42" s="2" t="s">
        <v>149</v>
      </c>
      <c r="C42" s="3"/>
      <c r="D42" s="3">
        <v>300.72000000000003</v>
      </c>
      <c r="E42" s="3">
        <v>1090.4000000000001</v>
      </c>
      <c r="F42" s="3">
        <v>1491.06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3">
      <c r="A43" s="2" t="s">
        <v>38</v>
      </c>
      <c r="B43" s="2" t="s">
        <v>149</v>
      </c>
      <c r="C43" s="3"/>
      <c r="D43" s="3"/>
      <c r="E43" s="3"/>
      <c r="F43" s="3">
        <v>47.78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x14ac:dyDescent="0.3">
      <c r="A44" s="2" t="s">
        <v>39</v>
      </c>
      <c r="B44" s="2" t="s">
        <v>149</v>
      </c>
      <c r="C44" s="3"/>
      <c r="D44" s="3">
        <v>212.27666666666673</v>
      </c>
      <c r="E44" s="3">
        <v>973.61999999999989</v>
      </c>
      <c r="F44" s="3">
        <v>668.2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x14ac:dyDescent="0.3">
      <c r="A45" s="2" t="s">
        <v>40</v>
      </c>
      <c r="B45" s="2" t="s">
        <v>149</v>
      </c>
      <c r="C45" s="3"/>
      <c r="D45" s="3">
        <v>265.60000000000002</v>
      </c>
      <c r="E45" s="3">
        <v>1086.0999999999999</v>
      </c>
      <c r="F45" s="3">
        <v>330.14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x14ac:dyDescent="0.3">
      <c r="A46" s="2" t="s">
        <v>41</v>
      </c>
      <c r="B46" s="2" t="s">
        <v>149</v>
      </c>
      <c r="C46" s="3"/>
      <c r="D46" s="3"/>
      <c r="E46" s="3">
        <v>136.9</v>
      </c>
      <c r="F46" s="3">
        <v>284.39999999999998</v>
      </c>
      <c r="G46" s="3">
        <v>733.3</v>
      </c>
      <c r="H46" s="3">
        <v>1184.2</v>
      </c>
      <c r="I46" s="3">
        <v>1320.9</v>
      </c>
      <c r="J46" s="3">
        <v>867</v>
      </c>
      <c r="K46" s="3">
        <v>195.7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x14ac:dyDescent="0.3">
      <c r="A47" s="2" t="s">
        <v>42</v>
      </c>
      <c r="B47" s="2" t="s">
        <v>149</v>
      </c>
      <c r="C47" s="3"/>
      <c r="D47" s="3">
        <v>337.74</v>
      </c>
      <c r="E47" s="3">
        <v>1664.52</v>
      </c>
      <c r="F47" s="3">
        <v>645.7600000000001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x14ac:dyDescent="0.3">
      <c r="A48" s="2" t="s">
        <v>43</v>
      </c>
      <c r="B48" s="2" t="s">
        <v>149</v>
      </c>
      <c r="C48" s="3"/>
      <c r="D48" s="3"/>
      <c r="E48" s="3"/>
      <c r="F48" s="3"/>
      <c r="G48" s="3"/>
      <c r="H48" s="3"/>
      <c r="I48" s="3"/>
      <c r="J48" s="3">
        <v>269.08999999999997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x14ac:dyDescent="0.3">
      <c r="A49" s="2" t="s">
        <v>44</v>
      </c>
      <c r="B49" s="2" t="s">
        <v>149</v>
      </c>
      <c r="C49" s="3"/>
      <c r="D49" s="3"/>
      <c r="E49" s="3">
        <v>550.81999999999994</v>
      </c>
      <c r="F49" s="3">
        <v>338.38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x14ac:dyDescent="0.3">
      <c r="A50" s="2" t="s">
        <v>45</v>
      </c>
      <c r="B50" s="2" t="s">
        <v>149</v>
      </c>
      <c r="C50" s="3"/>
      <c r="D50" s="3"/>
      <c r="E50" s="3"/>
      <c r="F50" s="3"/>
      <c r="G50" s="3"/>
      <c r="H50" s="3">
        <v>2284.1</v>
      </c>
      <c r="I50" s="3">
        <v>2274.88</v>
      </c>
      <c r="J50" s="3">
        <v>966.68000000000006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x14ac:dyDescent="0.3">
      <c r="A51" s="2" t="s">
        <v>46</v>
      </c>
      <c r="B51" s="2" t="s">
        <v>149</v>
      </c>
      <c r="C51" s="3"/>
      <c r="D51" s="3"/>
      <c r="E51" s="3">
        <v>1941.1399999999999</v>
      </c>
      <c r="F51" s="3">
        <v>685.22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x14ac:dyDescent="0.3">
      <c r="A52" s="2" t="s">
        <v>47</v>
      </c>
      <c r="B52" s="2" t="s">
        <v>149</v>
      </c>
      <c r="C52" s="3"/>
      <c r="D52" s="3">
        <v>106.22</v>
      </c>
      <c r="E52" s="3">
        <v>1373.4600000000003</v>
      </c>
      <c r="F52" s="3">
        <v>612.46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x14ac:dyDescent="0.3">
      <c r="A53" s="2" t="s">
        <v>48</v>
      </c>
      <c r="B53" s="2" t="s">
        <v>149</v>
      </c>
      <c r="C53" s="3"/>
      <c r="D53" s="3">
        <v>60</v>
      </c>
      <c r="E53" s="3">
        <v>300</v>
      </c>
      <c r="F53" s="3">
        <v>120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x14ac:dyDescent="0.3">
      <c r="A54" s="2" t="s">
        <v>49</v>
      </c>
      <c r="B54" s="2" t="s">
        <v>149</v>
      </c>
      <c r="C54" s="3"/>
      <c r="D54" s="3">
        <v>88.34</v>
      </c>
      <c r="E54" s="3">
        <v>232.68</v>
      </c>
      <c r="F54" s="3">
        <v>35.380000000000003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x14ac:dyDescent="0.3">
      <c r="A55" s="2" t="s">
        <v>50</v>
      </c>
      <c r="B55" s="2" t="s">
        <v>149</v>
      </c>
      <c r="C55" s="3"/>
      <c r="D55" s="3"/>
      <c r="E55" s="3">
        <v>166.32</v>
      </c>
      <c r="F55" s="3">
        <v>83.3</v>
      </c>
      <c r="G55" s="3">
        <v>146.74</v>
      </c>
      <c r="H55" s="3">
        <v>242.43999999999997</v>
      </c>
      <c r="I55" s="3">
        <v>204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x14ac:dyDescent="0.3">
      <c r="A56" s="2" t="s">
        <v>51</v>
      </c>
      <c r="B56" s="2" t="s">
        <v>149</v>
      </c>
      <c r="C56" s="3"/>
      <c r="D56" s="3"/>
      <c r="E56" s="3">
        <v>277.71999999999997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x14ac:dyDescent="0.3">
      <c r="A57" s="2" t="s">
        <v>52</v>
      </c>
      <c r="B57" s="2" t="s">
        <v>149</v>
      </c>
      <c r="C57" s="3"/>
      <c r="D57" s="3">
        <v>39.92</v>
      </c>
      <c r="E57" s="3">
        <v>509.40000000000003</v>
      </c>
      <c r="F57" s="3">
        <v>217.5</v>
      </c>
      <c r="G57" s="3">
        <v>629.66000000000008</v>
      </c>
      <c r="H57" s="3">
        <v>1033.6100000000001</v>
      </c>
      <c r="I57" s="3">
        <v>981.16</v>
      </c>
      <c r="J57" s="3">
        <v>402.34000000000003</v>
      </c>
      <c r="K57" s="3">
        <v>51.36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x14ac:dyDescent="0.3">
      <c r="A58" s="2" t="s">
        <v>53</v>
      </c>
      <c r="B58" s="2" t="s">
        <v>149</v>
      </c>
      <c r="C58" s="3"/>
      <c r="D58" s="3">
        <v>697.2</v>
      </c>
      <c r="E58" s="3">
        <v>3780.6800000000003</v>
      </c>
      <c r="F58" s="3">
        <v>1397.2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x14ac:dyDescent="0.3">
      <c r="A59" s="2" t="s">
        <v>54</v>
      </c>
      <c r="B59" s="2" t="s">
        <v>149</v>
      </c>
      <c r="C59" s="3"/>
      <c r="D59" s="3"/>
      <c r="E59" s="3">
        <v>517.28</v>
      </c>
      <c r="F59" s="3">
        <v>259.95999999999998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x14ac:dyDescent="0.3">
      <c r="A60" s="2" t="s">
        <v>55</v>
      </c>
      <c r="B60" s="2" t="s">
        <v>149</v>
      </c>
      <c r="C60" s="3"/>
      <c r="D60" s="3">
        <v>68.72</v>
      </c>
      <c r="E60" s="3">
        <v>231.4</v>
      </c>
      <c r="F60" s="3">
        <v>126.62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x14ac:dyDescent="0.3">
      <c r="A61" s="2" t="s">
        <v>56</v>
      </c>
      <c r="B61" s="2" t="s">
        <v>149</v>
      </c>
      <c r="C61" s="3"/>
      <c r="D61" s="3"/>
      <c r="E61" s="3">
        <v>2394.92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x14ac:dyDescent="0.3">
      <c r="A62" s="2" t="s">
        <v>57</v>
      </c>
      <c r="B62" s="2" t="s">
        <v>149</v>
      </c>
      <c r="C62" s="3"/>
      <c r="D62" s="3"/>
      <c r="E62" s="3">
        <v>470.5</v>
      </c>
      <c r="F62" s="3">
        <v>433.8</v>
      </c>
      <c r="G62" s="3">
        <v>794.39</v>
      </c>
      <c r="H62" s="3">
        <v>1573.5800000000002</v>
      </c>
      <c r="I62" s="3">
        <v>1481.58</v>
      </c>
      <c r="J62" s="3">
        <v>956.51</v>
      </c>
      <c r="K62" s="3">
        <v>424.74</v>
      </c>
      <c r="L62" s="3">
        <v>62.1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x14ac:dyDescent="0.3">
      <c r="A63" s="2" t="s">
        <v>58</v>
      </c>
      <c r="B63" s="2" t="s">
        <v>149</v>
      </c>
      <c r="C63" s="3"/>
      <c r="D63" s="3">
        <v>182.08</v>
      </c>
      <c r="E63" s="3">
        <v>834.64</v>
      </c>
      <c r="F63" s="3">
        <v>289.03999999999996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x14ac:dyDescent="0.3">
      <c r="A64" s="2" t="s">
        <v>59</v>
      </c>
      <c r="B64" s="2" t="s">
        <v>149</v>
      </c>
      <c r="C64" s="3"/>
      <c r="D64" s="3"/>
      <c r="E64" s="3">
        <v>2081.2800000000002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x14ac:dyDescent="0.3">
      <c r="A65" s="2" t="s">
        <v>60</v>
      </c>
      <c r="B65" s="2" t="s">
        <v>149</v>
      </c>
      <c r="C65" s="3"/>
      <c r="D65" s="3">
        <v>117.48</v>
      </c>
      <c r="E65" s="3">
        <v>493.72000000000008</v>
      </c>
      <c r="F65" s="3">
        <v>198.36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x14ac:dyDescent="0.3">
      <c r="A66" s="2" t="s">
        <v>61</v>
      </c>
      <c r="B66" s="2" t="s">
        <v>149</v>
      </c>
      <c r="C66" s="3"/>
      <c r="D66" s="3"/>
      <c r="E66" s="3">
        <v>54.86</v>
      </c>
      <c r="F66" s="3">
        <v>35.700000000000003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x14ac:dyDescent="0.3">
      <c r="A67" s="2" t="s">
        <v>62</v>
      </c>
      <c r="B67" s="2" t="s">
        <v>149</v>
      </c>
      <c r="C67" s="3"/>
      <c r="D67" s="3"/>
      <c r="E67" s="3">
        <v>634.1</v>
      </c>
      <c r="F67" s="3">
        <v>633.62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x14ac:dyDescent="0.3">
      <c r="A68" s="2" t="s">
        <v>63</v>
      </c>
      <c r="B68" s="2" t="s">
        <v>149</v>
      </c>
      <c r="C68" s="3"/>
      <c r="D68" s="3"/>
      <c r="E68" s="3">
        <v>98.800000000000011</v>
      </c>
      <c r="F68" s="3">
        <v>37.1</v>
      </c>
      <c r="G68" s="3">
        <v>102.19999999999999</v>
      </c>
      <c r="H68" s="3">
        <v>103.6</v>
      </c>
      <c r="I68" s="3">
        <v>110.8</v>
      </c>
      <c r="J68" s="3">
        <v>48.2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x14ac:dyDescent="0.3">
      <c r="A69" s="2" t="s">
        <v>64</v>
      </c>
      <c r="B69" s="2" t="s">
        <v>149</v>
      </c>
      <c r="C69" s="3"/>
      <c r="D69" s="3">
        <v>265.36</v>
      </c>
      <c r="E69" s="3">
        <v>3158.6599999999994</v>
      </c>
      <c r="F69" s="3">
        <v>800.43999999999994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x14ac:dyDescent="0.3">
      <c r="A70" s="2" t="s">
        <v>65</v>
      </c>
      <c r="B70" s="2" t="s">
        <v>149</v>
      </c>
      <c r="C70" s="3"/>
      <c r="D70" s="3">
        <v>259.27999999999997</v>
      </c>
      <c r="E70" s="3">
        <v>1862.46</v>
      </c>
      <c r="F70" s="3">
        <v>1293.42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x14ac:dyDescent="0.3">
      <c r="A71" s="2" t="s">
        <v>66</v>
      </c>
      <c r="B71" s="2" t="s">
        <v>149</v>
      </c>
      <c r="C71" s="3"/>
      <c r="D71" s="3"/>
      <c r="E71" s="3">
        <v>1201.74</v>
      </c>
      <c r="F71" s="3">
        <v>1634.72</v>
      </c>
      <c r="G71" s="3">
        <v>2774.2999999999997</v>
      </c>
      <c r="H71" s="3">
        <v>6224.58</v>
      </c>
      <c r="I71" s="3">
        <v>4234.3999999999996</v>
      </c>
      <c r="J71" s="3">
        <v>1761.02</v>
      </c>
      <c r="K71" s="3">
        <v>1031.54</v>
      </c>
      <c r="L71" s="3">
        <v>22.18</v>
      </c>
      <c r="M71" s="3">
        <v>11.9</v>
      </c>
      <c r="N71" s="3">
        <v>97.4</v>
      </c>
      <c r="O71" s="3">
        <v>124.4</v>
      </c>
      <c r="P71" s="3">
        <v>121.8</v>
      </c>
      <c r="Q71" s="3">
        <v>112.82000000000001</v>
      </c>
      <c r="R71" s="3">
        <v>122.14</v>
      </c>
      <c r="S71" s="3">
        <v>41.92</v>
      </c>
      <c r="T71" s="3">
        <v>26.84</v>
      </c>
      <c r="U71" s="3"/>
      <c r="V71" s="3"/>
      <c r="W71" s="3"/>
    </row>
    <row r="72" spans="1:23" x14ac:dyDescent="0.3">
      <c r="A72" s="2" t="s">
        <v>67</v>
      </c>
      <c r="B72" s="2" t="s">
        <v>149</v>
      </c>
      <c r="C72" s="3"/>
      <c r="D72" s="3"/>
      <c r="E72" s="3">
        <v>34.1</v>
      </c>
      <c r="F72" s="3">
        <v>72.34</v>
      </c>
      <c r="G72" s="3">
        <v>308.32</v>
      </c>
      <c r="H72" s="3">
        <v>774.54</v>
      </c>
      <c r="I72" s="3">
        <v>1282.1199999999999</v>
      </c>
      <c r="J72" s="3">
        <v>638.66000000000008</v>
      </c>
      <c r="K72" s="3">
        <v>168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x14ac:dyDescent="0.3">
      <c r="A73" s="2" t="s">
        <v>68</v>
      </c>
      <c r="B73" s="2" t="s">
        <v>149</v>
      </c>
      <c r="C73" s="3"/>
      <c r="D73" s="3">
        <v>89.84</v>
      </c>
      <c r="E73" s="3">
        <v>271.5</v>
      </c>
      <c r="F73" s="3">
        <v>106.1</v>
      </c>
      <c r="G73" s="3">
        <v>130.5</v>
      </c>
      <c r="H73" s="3">
        <v>81.099999999999994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x14ac:dyDescent="0.3">
      <c r="A74" s="2" t="s">
        <v>69</v>
      </c>
      <c r="B74" s="2" t="s">
        <v>149</v>
      </c>
      <c r="C74" s="3"/>
      <c r="D74" s="3"/>
      <c r="E74" s="3">
        <v>135.5</v>
      </c>
      <c r="F74" s="3">
        <v>130.09</v>
      </c>
      <c r="G74" s="3">
        <v>306.59000000000003</v>
      </c>
      <c r="H74" s="3">
        <v>261.55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x14ac:dyDescent="0.3">
      <c r="A75" s="2" t="s">
        <v>70</v>
      </c>
      <c r="B75" s="2" t="s">
        <v>149</v>
      </c>
      <c r="C75" s="3"/>
      <c r="D75" s="3">
        <v>198.48</v>
      </c>
      <c r="E75" s="3">
        <v>881.66</v>
      </c>
      <c r="F75" s="3">
        <v>197.12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x14ac:dyDescent="0.3">
      <c r="A76" s="2" t="s">
        <v>71</v>
      </c>
      <c r="B76" s="2" t="s">
        <v>149</v>
      </c>
      <c r="C76" s="3"/>
      <c r="D76" s="3"/>
      <c r="E76" s="3">
        <v>160.10000000000002</v>
      </c>
      <c r="F76" s="3">
        <v>39.56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x14ac:dyDescent="0.3">
      <c r="A77" s="2" t="s">
        <v>72</v>
      </c>
      <c r="B77" s="2" t="s">
        <v>149</v>
      </c>
      <c r="C77" s="3"/>
      <c r="D77" s="3"/>
      <c r="E77" s="3">
        <v>803.03999999999985</v>
      </c>
      <c r="F77" s="3">
        <v>172.32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x14ac:dyDescent="0.3">
      <c r="A78" s="2" t="s">
        <v>73</v>
      </c>
      <c r="B78" s="2" t="s">
        <v>149</v>
      </c>
      <c r="C78" s="3"/>
      <c r="D78" s="3"/>
      <c r="E78" s="3">
        <v>206.7</v>
      </c>
      <c r="F78" s="3">
        <v>108</v>
      </c>
      <c r="G78" s="3">
        <v>192.6</v>
      </c>
      <c r="H78" s="3">
        <v>127.3</v>
      </c>
      <c r="I78" s="3">
        <v>32.299999999999997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x14ac:dyDescent="0.3">
      <c r="A79" s="2" t="s">
        <v>74</v>
      </c>
      <c r="B79" s="2" t="s">
        <v>149</v>
      </c>
      <c r="C79" s="3"/>
      <c r="D79" s="3"/>
      <c r="E79" s="3">
        <v>213.56</v>
      </c>
      <c r="F79" s="3">
        <v>165.82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x14ac:dyDescent="0.3">
      <c r="A80" s="2" t="s">
        <v>75</v>
      </c>
      <c r="B80" s="2" t="s">
        <v>149</v>
      </c>
      <c r="C80" s="3"/>
      <c r="D80" s="3"/>
      <c r="E80" s="3">
        <v>76.88</v>
      </c>
      <c r="F80" s="3">
        <v>26.02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x14ac:dyDescent="0.3">
      <c r="A81" s="2" t="s">
        <v>76</v>
      </c>
      <c r="B81" s="2" t="s">
        <v>149</v>
      </c>
      <c r="C81" s="3">
        <v>37.22</v>
      </c>
      <c r="D81" s="3">
        <v>200.05</v>
      </c>
      <c r="E81" s="3">
        <v>232.69</v>
      </c>
      <c r="F81" s="3">
        <v>97.95</v>
      </c>
      <c r="G81" s="3">
        <v>121.61000000000001</v>
      </c>
      <c r="H81" s="3">
        <v>254.93</v>
      </c>
      <c r="I81" s="3">
        <v>117.42</v>
      </c>
      <c r="J81" s="3">
        <v>38.94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x14ac:dyDescent="0.3">
      <c r="A82" s="2" t="s">
        <v>77</v>
      </c>
      <c r="B82" s="2" t="s">
        <v>149</v>
      </c>
      <c r="C82" s="3"/>
      <c r="D82" s="3"/>
      <c r="E82" s="3"/>
      <c r="F82" s="3">
        <v>147.72999999999999</v>
      </c>
      <c r="G82" s="3">
        <v>833.36999999999989</v>
      </c>
      <c r="H82" s="3">
        <v>1384.0699999999997</v>
      </c>
      <c r="I82" s="3">
        <v>1259.665</v>
      </c>
      <c r="J82" s="3">
        <v>716.30500000000006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x14ac:dyDescent="0.3">
      <c r="A83" s="2" t="s">
        <v>78</v>
      </c>
      <c r="B83" s="2" t="s">
        <v>149</v>
      </c>
      <c r="C83" s="3"/>
      <c r="D83" s="3"/>
      <c r="E83" s="3">
        <v>275.94</v>
      </c>
      <c r="F83" s="3">
        <v>84.56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x14ac:dyDescent="0.3">
      <c r="A84" s="2" t="s">
        <v>79</v>
      </c>
      <c r="B84" s="2" t="s">
        <v>149</v>
      </c>
      <c r="C84" s="3"/>
      <c r="D84" s="3"/>
      <c r="E84" s="3">
        <v>100.42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x14ac:dyDescent="0.3">
      <c r="A85" s="2" t="s">
        <v>80</v>
      </c>
      <c r="B85" s="2" t="s">
        <v>149</v>
      </c>
      <c r="C85" s="3"/>
      <c r="D85" s="3">
        <v>10.55</v>
      </c>
      <c r="E85" s="3">
        <v>59.099999999999994</v>
      </c>
      <c r="F85" s="3">
        <v>18.809999999999999</v>
      </c>
      <c r="G85" s="3">
        <v>29.05</v>
      </c>
      <c r="H85" s="3">
        <v>66.2</v>
      </c>
      <c r="I85" s="3">
        <v>24.39</v>
      </c>
      <c r="J85" s="3">
        <v>9.42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x14ac:dyDescent="0.3">
      <c r="A86" s="2" t="s">
        <v>81</v>
      </c>
      <c r="B86" s="2" t="s">
        <v>149</v>
      </c>
      <c r="C86" s="3"/>
      <c r="D86" s="3">
        <v>110.22</v>
      </c>
      <c r="E86" s="3">
        <v>204.04</v>
      </c>
      <c r="F86" s="3">
        <v>102.18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x14ac:dyDescent="0.3">
      <c r="A87" s="2" t="s">
        <v>82</v>
      </c>
      <c r="B87" s="2" t="s">
        <v>149</v>
      </c>
      <c r="C87" s="3"/>
      <c r="D87" s="3">
        <v>1314.9</v>
      </c>
      <c r="E87" s="3">
        <v>5657.2899999999991</v>
      </c>
      <c r="F87" s="3">
        <v>1862.2500000000002</v>
      </c>
      <c r="G87" s="3">
        <v>2582.2999999999997</v>
      </c>
      <c r="H87" s="3">
        <v>8168.6750000000002</v>
      </c>
      <c r="I87" s="3">
        <v>5230.9399999999996</v>
      </c>
      <c r="J87" s="3">
        <v>1676.3</v>
      </c>
      <c r="K87" s="3">
        <v>451.7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x14ac:dyDescent="0.3">
      <c r="A88" s="2" t="s">
        <v>83</v>
      </c>
      <c r="B88" s="2" t="s">
        <v>149</v>
      </c>
      <c r="C88" s="3"/>
      <c r="D88" s="3">
        <v>91.82</v>
      </c>
      <c r="E88" s="3">
        <v>240.35999999999999</v>
      </c>
      <c r="F88" s="3">
        <v>51.68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x14ac:dyDescent="0.3">
      <c r="A89" s="2" t="s">
        <v>84</v>
      </c>
      <c r="B89" s="2" t="s">
        <v>149</v>
      </c>
      <c r="C89" s="3"/>
      <c r="D89" s="3">
        <v>73.760000000000005</v>
      </c>
      <c r="E89" s="3">
        <v>304.98</v>
      </c>
      <c r="F89" s="3">
        <v>263.32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x14ac:dyDescent="0.3">
      <c r="A90" s="2" t="s">
        <v>85</v>
      </c>
      <c r="B90" s="2" t="s">
        <v>149</v>
      </c>
      <c r="C90" s="3"/>
      <c r="D90" s="3"/>
      <c r="E90" s="3">
        <v>1453.7</v>
      </c>
      <c r="F90" s="3">
        <v>410.98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x14ac:dyDescent="0.3">
      <c r="A91" s="2" t="s">
        <v>86</v>
      </c>
      <c r="B91" s="2" t="s">
        <v>149</v>
      </c>
      <c r="C91" s="3"/>
      <c r="D91" s="3"/>
      <c r="E91" s="3">
        <v>1162.5</v>
      </c>
      <c r="F91" s="3">
        <v>483.8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x14ac:dyDescent="0.3">
      <c r="A92" s="2" t="s">
        <v>87</v>
      </c>
      <c r="B92" s="2" t="s">
        <v>149</v>
      </c>
      <c r="C92" s="3"/>
      <c r="D92" s="3"/>
      <c r="E92" s="3">
        <v>322.89999999999998</v>
      </c>
      <c r="F92" s="3">
        <v>238.72000000000003</v>
      </c>
      <c r="G92" s="3">
        <v>267.2</v>
      </c>
      <c r="H92" s="3">
        <v>347.3</v>
      </c>
      <c r="I92" s="3">
        <v>404.1</v>
      </c>
      <c r="J92" s="3">
        <v>139.09</v>
      </c>
      <c r="K92" s="3">
        <v>37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x14ac:dyDescent="0.3">
      <c r="A93" s="2" t="s">
        <v>88</v>
      </c>
      <c r="B93" s="2" t="s">
        <v>149</v>
      </c>
      <c r="C93" s="3"/>
      <c r="D93" s="3">
        <v>143.91999999999999</v>
      </c>
      <c r="E93" s="3">
        <v>568.91999999999996</v>
      </c>
      <c r="F93" s="3">
        <v>111.68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x14ac:dyDescent="0.3">
      <c r="A94" s="2" t="s">
        <v>89</v>
      </c>
      <c r="B94" s="2" t="s">
        <v>149</v>
      </c>
      <c r="C94" s="3"/>
      <c r="D94" s="3"/>
      <c r="E94" s="3">
        <v>474.99999999999994</v>
      </c>
      <c r="F94" s="3">
        <v>272.98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x14ac:dyDescent="0.3">
      <c r="A95" s="2" t="s">
        <v>90</v>
      </c>
      <c r="B95" s="2" t="s">
        <v>149</v>
      </c>
      <c r="C95" s="3"/>
      <c r="D95" s="3">
        <v>613.16000000000008</v>
      </c>
      <c r="E95" s="3">
        <v>1273.3799999999999</v>
      </c>
      <c r="F95" s="3">
        <v>179.78</v>
      </c>
      <c r="G95" s="3">
        <v>1208.9099999999999</v>
      </c>
      <c r="H95" s="3">
        <v>1495.92</v>
      </c>
      <c r="I95" s="3">
        <v>707.41000000000008</v>
      </c>
      <c r="J95" s="3">
        <v>459.4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x14ac:dyDescent="0.3">
      <c r="A96" s="2" t="s">
        <v>91</v>
      </c>
      <c r="B96" s="2" t="s">
        <v>149</v>
      </c>
      <c r="C96" s="3"/>
      <c r="D96" s="3">
        <v>86.2</v>
      </c>
      <c r="E96" s="3">
        <v>607.86</v>
      </c>
      <c r="F96" s="3">
        <v>196.51999999999998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x14ac:dyDescent="0.3">
      <c r="A97" s="2" t="s">
        <v>92</v>
      </c>
      <c r="B97" s="2" t="s">
        <v>149</v>
      </c>
      <c r="C97" s="3">
        <v>21.86</v>
      </c>
      <c r="D97" s="3">
        <v>64.830000000000013</v>
      </c>
      <c r="E97" s="3">
        <v>112.02000000000001</v>
      </c>
      <c r="F97" s="3">
        <v>21.72</v>
      </c>
      <c r="G97" s="3">
        <v>26.1</v>
      </c>
      <c r="H97" s="3">
        <v>80.040000000000006</v>
      </c>
      <c r="I97" s="3">
        <v>37.370000000000005</v>
      </c>
      <c r="J97" s="3">
        <v>10.5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x14ac:dyDescent="0.3">
      <c r="A98" s="2" t="s">
        <v>93</v>
      </c>
      <c r="B98" s="2" t="s">
        <v>149</v>
      </c>
      <c r="C98" s="3">
        <v>46.38</v>
      </c>
      <c r="D98" s="3">
        <v>293.03999999999996</v>
      </c>
      <c r="E98" s="3">
        <v>316.24</v>
      </c>
      <c r="F98" s="3">
        <v>143.44999999999999</v>
      </c>
      <c r="G98" s="3">
        <v>130.19999999999999</v>
      </c>
      <c r="H98" s="3">
        <v>596.82000000000005</v>
      </c>
      <c r="I98" s="3">
        <v>173.73000000000002</v>
      </c>
      <c r="J98" s="3">
        <v>56.865000000000002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x14ac:dyDescent="0.3">
      <c r="A99" s="2" t="s">
        <v>94</v>
      </c>
      <c r="B99" s="2" t="s">
        <v>149</v>
      </c>
      <c r="C99" s="3"/>
      <c r="D99" s="3"/>
      <c r="E99" s="3"/>
      <c r="F99" s="3">
        <v>21.6</v>
      </c>
      <c r="G99" s="3">
        <v>90.1</v>
      </c>
      <c r="H99" s="3">
        <v>76.3</v>
      </c>
      <c r="I99" s="3">
        <v>61</v>
      </c>
      <c r="J99" s="3">
        <v>7.8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x14ac:dyDescent="0.3">
      <c r="A100" s="2" t="s">
        <v>95</v>
      </c>
      <c r="B100" s="2" t="s">
        <v>149</v>
      </c>
      <c r="C100" s="3"/>
      <c r="D100" s="3">
        <v>85.5</v>
      </c>
      <c r="E100" s="3">
        <v>132.01999999999998</v>
      </c>
      <c r="F100" s="3">
        <v>49.96</v>
      </c>
      <c r="G100" s="3">
        <v>32.97</v>
      </c>
      <c r="H100" s="3">
        <v>158.49</v>
      </c>
      <c r="I100" s="3">
        <v>38.42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x14ac:dyDescent="0.3">
      <c r="A101" s="2" t="s">
        <v>96</v>
      </c>
      <c r="B101" s="2" t="s">
        <v>149</v>
      </c>
      <c r="C101" s="3"/>
      <c r="D101" s="3"/>
      <c r="E101" s="3">
        <v>38.68</v>
      </c>
      <c r="F101" s="3"/>
      <c r="G101" s="3">
        <v>258.84000000000003</v>
      </c>
      <c r="H101" s="3">
        <v>552.51</v>
      </c>
      <c r="I101" s="3">
        <v>707.02</v>
      </c>
      <c r="J101" s="3">
        <v>384.52</v>
      </c>
      <c r="K101" s="3">
        <v>234.73000000000002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x14ac:dyDescent="0.3">
      <c r="A102" s="2" t="s">
        <v>97</v>
      </c>
      <c r="B102" s="2" t="s">
        <v>149</v>
      </c>
      <c r="C102" s="3"/>
      <c r="D102" s="3"/>
      <c r="E102" s="3">
        <v>152.74</v>
      </c>
      <c r="F102" s="3">
        <v>121.58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x14ac:dyDescent="0.3">
      <c r="A103" s="2" t="s">
        <v>98</v>
      </c>
      <c r="B103" s="2" t="s">
        <v>149</v>
      </c>
      <c r="C103" s="3"/>
      <c r="D103" s="3">
        <v>118.68</v>
      </c>
      <c r="E103" s="3">
        <v>286.76</v>
      </c>
      <c r="F103" s="3">
        <v>70.08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x14ac:dyDescent="0.3">
      <c r="A104" s="2" t="s">
        <v>99</v>
      </c>
      <c r="B104" s="2" t="s">
        <v>149</v>
      </c>
      <c r="C104" s="3"/>
      <c r="D104" s="3">
        <v>84.12</v>
      </c>
      <c r="E104" s="3">
        <v>371.32</v>
      </c>
      <c r="F104" s="3">
        <v>185.88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x14ac:dyDescent="0.3">
      <c r="A105" s="2" t="s">
        <v>100</v>
      </c>
      <c r="B105" s="2" t="s">
        <v>149</v>
      </c>
      <c r="C105" s="3"/>
      <c r="D105" s="3"/>
      <c r="E105" s="3">
        <v>79</v>
      </c>
      <c r="F105" s="3">
        <v>97.4</v>
      </c>
      <c r="G105" s="3"/>
      <c r="H105" s="3">
        <v>43.5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x14ac:dyDescent="0.3">
      <c r="A106" s="2" t="s">
        <v>101</v>
      </c>
      <c r="B106" s="2" t="s">
        <v>149</v>
      </c>
      <c r="C106" s="3"/>
      <c r="D106" s="3"/>
      <c r="E106" s="3"/>
      <c r="F106" s="3">
        <v>246.636</v>
      </c>
      <c r="G106" s="3">
        <v>421.18</v>
      </c>
      <c r="H106" s="3">
        <v>688.74</v>
      </c>
      <c r="I106" s="3">
        <v>1289.97</v>
      </c>
      <c r="J106" s="3">
        <v>734.4</v>
      </c>
      <c r="K106" s="3">
        <v>281.08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x14ac:dyDescent="0.3">
      <c r="A107" s="2" t="s">
        <v>102</v>
      </c>
      <c r="B107" s="2" t="s">
        <v>149</v>
      </c>
      <c r="C107" s="3"/>
      <c r="D107" s="3"/>
      <c r="E107" s="3">
        <v>119</v>
      </c>
      <c r="F107" s="3">
        <v>109.9</v>
      </c>
      <c r="G107" s="3">
        <v>241.10000000000002</v>
      </c>
      <c r="H107" s="3">
        <v>602.99999999999989</v>
      </c>
      <c r="I107" s="3">
        <v>410.70000000000005</v>
      </c>
      <c r="J107" s="3">
        <v>107.8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x14ac:dyDescent="0.3">
      <c r="A108" s="2" t="s">
        <v>103</v>
      </c>
      <c r="B108" s="2" t="s">
        <v>149</v>
      </c>
      <c r="C108" s="3"/>
      <c r="D108" s="3"/>
      <c r="E108" s="3">
        <v>11.5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x14ac:dyDescent="0.3">
      <c r="A109" s="2" t="s">
        <v>104</v>
      </c>
      <c r="B109" s="2" t="s">
        <v>149</v>
      </c>
      <c r="C109" s="3"/>
      <c r="D109" s="3">
        <v>50.96</v>
      </c>
      <c r="E109" s="3">
        <v>346.86</v>
      </c>
      <c r="F109" s="3">
        <v>59.68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x14ac:dyDescent="0.3">
      <c r="A110" s="2" t="s">
        <v>105</v>
      </c>
      <c r="B110" s="2" t="s">
        <v>149</v>
      </c>
      <c r="C110" s="3"/>
      <c r="D110" s="3">
        <v>34.4</v>
      </c>
      <c r="E110" s="3">
        <v>153.20000000000002</v>
      </c>
      <c r="F110" s="3">
        <v>59.1</v>
      </c>
      <c r="G110" s="3">
        <v>60.5</v>
      </c>
      <c r="H110" s="3">
        <v>183.3</v>
      </c>
      <c r="I110" s="3">
        <v>56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x14ac:dyDescent="0.3">
      <c r="A111" s="2" t="s">
        <v>106</v>
      </c>
      <c r="B111" s="2" t="s">
        <v>149</v>
      </c>
      <c r="C111" s="3"/>
      <c r="D111" s="3"/>
      <c r="E111" s="3">
        <v>353.03999999999996</v>
      </c>
      <c r="F111" s="3">
        <v>227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x14ac:dyDescent="0.3">
      <c r="A112" s="2" t="s">
        <v>107</v>
      </c>
      <c r="B112" s="2" t="s">
        <v>149</v>
      </c>
      <c r="C112" s="3">
        <v>117.06</v>
      </c>
      <c r="D112" s="3">
        <v>651.91</v>
      </c>
      <c r="E112" s="3">
        <v>1224.51</v>
      </c>
      <c r="F112" s="3">
        <v>412.31</v>
      </c>
      <c r="G112" s="3"/>
      <c r="H112" s="3"/>
      <c r="I112" s="3"/>
      <c r="J112" s="3"/>
      <c r="K112" s="3">
        <v>137.97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x14ac:dyDescent="0.3">
      <c r="A113" s="2" t="s">
        <v>108</v>
      </c>
      <c r="B113" s="2" t="s">
        <v>149</v>
      </c>
      <c r="C113" s="3"/>
      <c r="D113" s="3">
        <v>34.380000000000003</v>
      </c>
      <c r="E113" s="3">
        <v>71.260000000000005</v>
      </c>
      <c r="F113" s="3">
        <v>47.1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x14ac:dyDescent="0.3">
      <c r="A114" s="2" t="s">
        <v>109</v>
      </c>
      <c r="B114" s="2" t="s">
        <v>149</v>
      </c>
      <c r="C114" s="3"/>
      <c r="D114" s="3"/>
      <c r="E114" s="3">
        <v>87.88</v>
      </c>
      <c r="F114" s="3">
        <v>100.92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x14ac:dyDescent="0.3">
      <c r="A115" s="2" t="s">
        <v>110</v>
      </c>
      <c r="B115" s="2" t="s">
        <v>149</v>
      </c>
      <c r="C115" s="3"/>
      <c r="D115" s="3"/>
      <c r="E115" s="3"/>
      <c r="F115" s="3"/>
      <c r="G115" s="3"/>
      <c r="H115" s="3">
        <v>40.5</v>
      </c>
      <c r="I115" s="3">
        <v>83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x14ac:dyDescent="0.3">
      <c r="A116" s="2" t="s">
        <v>111</v>
      </c>
      <c r="B116" s="2" t="s">
        <v>149</v>
      </c>
      <c r="C116" s="3"/>
      <c r="D116" s="3">
        <v>23.8</v>
      </c>
      <c r="E116" s="3">
        <v>141.44</v>
      </c>
      <c r="F116" s="3">
        <v>59.32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x14ac:dyDescent="0.3">
      <c r="A117" s="2" t="s">
        <v>112</v>
      </c>
      <c r="B117" s="2" t="s">
        <v>149</v>
      </c>
      <c r="C117" s="3"/>
      <c r="D117" s="3"/>
      <c r="E117" s="3">
        <v>40.96</v>
      </c>
      <c r="F117" s="3">
        <v>49.18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x14ac:dyDescent="0.3">
      <c r="A118" s="2" t="s">
        <v>113</v>
      </c>
      <c r="B118" s="2" t="s">
        <v>149</v>
      </c>
      <c r="C118" s="3"/>
      <c r="D118" s="3"/>
      <c r="E118" s="3">
        <v>1107.6199999999999</v>
      </c>
      <c r="F118" s="3">
        <v>526.16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x14ac:dyDescent="0.3">
      <c r="A119" s="2" t="s">
        <v>114</v>
      </c>
      <c r="B119" s="2" t="s">
        <v>149</v>
      </c>
      <c r="C119" s="3"/>
      <c r="D119" s="3">
        <v>218.74</v>
      </c>
      <c r="E119" s="3">
        <v>880.74</v>
      </c>
      <c r="F119" s="3">
        <v>212.7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x14ac:dyDescent="0.3">
      <c r="A120" s="2" t="s">
        <v>115</v>
      </c>
      <c r="B120" s="2" t="s">
        <v>149</v>
      </c>
      <c r="C120" s="3"/>
      <c r="D120" s="3">
        <v>37.42</v>
      </c>
      <c r="E120" s="3">
        <v>194.99</v>
      </c>
      <c r="F120" s="3"/>
      <c r="G120" s="3">
        <v>76.150000000000006</v>
      </c>
      <c r="H120" s="3">
        <v>98.929999999999993</v>
      </c>
      <c r="I120" s="3">
        <v>284.06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x14ac:dyDescent="0.3">
      <c r="A121" s="2" t="s">
        <v>116</v>
      </c>
      <c r="B121" s="2" t="s">
        <v>149</v>
      </c>
      <c r="C121" s="3"/>
      <c r="D121" s="3">
        <v>226.3</v>
      </c>
      <c r="E121" s="3">
        <v>362.98</v>
      </c>
      <c r="F121" s="3">
        <v>155.73000000000002</v>
      </c>
      <c r="G121" s="3">
        <v>326.11</v>
      </c>
      <c r="H121" s="3">
        <v>647.91000000000008</v>
      </c>
      <c r="I121" s="3">
        <v>274.71000000000004</v>
      </c>
      <c r="J121" s="3">
        <v>321.98599999999999</v>
      </c>
      <c r="K121" s="3">
        <v>50.68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x14ac:dyDescent="0.3">
      <c r="A122" s="2" t="s">
        <v>117</v>
      </c>
      <c r="B122" s="2" t="s">
        <v>149</v>
      </c>
      <c r="C122" s="3"/>
      <c r="D122" s="3">
        <v>153.38</v>
      </c>
      <c r="E122" s="3">
        <v>337.18</v>
      </c>
      <c r="F122" s="3">
        <v>159.32</v>
      </c>
      <c r="G122" s="3">
        <v>230.03</v>
      </c>
      <c r="H122" s="3">
        <v>565.39</v>
      </c>
      <c r="I122" s="3">
        <v>157.91</v>
      </c>
      <c r="J122" s="3">
        <v>102.1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x14ac:dyDescent="0.3">
      <c r="A123" s="2" t="s">
        <v>118</v>
      </c>
      <c r="B123" s="2" t="s">
        <v>149</v>
      </c>
      <c r="C123" s="3"/>
      <c r="D123" s="3">
        <v>148.87</v>
      </c>
      <c r="E123" s="3">
        <v>250.11</v>
      </c>
      <c r="F123" s="3">
        <v>145.47999999999999</v>
      </c>
      <c r="G123" s="3">
        <v>103.19</v>
      </c>
      <c r="H123" s="3">
        <v>403.59999999999997</v>
      </c>
      <c r="I123" s="3">
        <v>61.38</v>
      </c>
      <c r="J123" s="3">
        <v>50.835000000000001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x14ac:dyDescent="0.3">
      <c r="A124" s="2" t="s">
        <v>119</v>
      </c>
      <c r="B124" s="2" t="s">
        <v>149</v>
      </c>
      <c r="C124" s="3"/>
      <c r="D124" s="3"/>
      <c r="E124" s="3">
        <v>495.96</v>
      </c>
      <c r="F124" s="3">
        <v>702.72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x14ac:dyDescent="0.3">
      <c r="A125" s="2" t="s">
        <v>120</v>
      </c>
      <c r="B125" s="2" t="s">
        <v>149</v>
      </c>
      <c r="C125" s="3"/>
      <c r="D125" s="3"/>
      <c r="E125" s="3"/>
      <c r="F125" s="3"/>
      <c r="G125" s="3">
        <v>19.3</v>
      </c>
      <c r="H125" s="3">
        <v>91.3</v>
      </c>
      <c r="I125" s="3">
        <v>45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x14ac:dyDescent="0.3">
      <c r="A126" s="2" t="s">
        <v>121</v>
      </c>
      <c r="B126" s="2" t="s">
        <v>149</v>
      </c>
      <c r="C126" s="3"/>
      <c r="D126" s="3">
        <v>16.579999999999998</v>
      </c>
      <c r="E126" s="3">
        <v>1001.9200000000001</v>
      </c>
      <c r="F126" s="3">
        <v>244.28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x14ac:dyDescent="0.3">
      <c r="A127" s="2" t="s">
        <v>122</v>
      </c>
      <c r="B127" s="2" t="s">
        <v>149</v>
      </c>
      <c r="C127" s="3"/>
      <c r="D127" s="3"/>
      <c r="E127" s="3">
        <v>203.6</v>
      </c>
      <c r="F127" s="3">
        <v>111.7</v>
      </c>
      <c r="G127" s="3">
        <v>244.8</v>
      </c>
      <c r="H127" s="3">
        <v>362.59999999999997</v>
      </c>
      <c r="I127" s="3">
        <v>346.1</v>
      </c>
      <c r="J127" s="3">
        <v>189.5</v>
      </c>
      <c r="K127" s="3">
        <v>54.199999999999996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x14ac:dyDescent="0.3">
      <c r="A128" s="2" t="s">
        <v>123</v>
      </c>
      <c r="B128" s="2" t="s">
        <v>149</v>
      </c>
      <c r="C128" s="3"/>
      <c r="D128" s="3">
        <v>157.82</v>
      </c>
      <c r="E128" s="3">
        <v>1037.26</v>
      </c>
      <c r="F128" s="3">
        <v>224.68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x14ac:dyDescent="0.3">
      <c r="A129" s="2" t="s">
        <v>124</v>
      </c>
      <c r="B129" s="2" t="s">
        <v>149</v>
      </c>
      <c r="C129" s="3"/>
      <c r="D129" s="3"/>
      <c r="E129" s="3">
        <v>1865.44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x14ac:dyDescent="0.3">
      <c r="A130" s="2" t="s">
        <v>125</v>
      </c>
      <c r="B130" s="2" t="s">
        <v>149</v>
      </c>
      <c r="C130" s="3"/>
      <c r="D130" s="3">
        <v>102.42</v>
      </c>
      <c r="E130" s="3">
        <v>563.24</v>
      </c>
      <c r="F130" s="3">
        <v>183.45999999999998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x14ac:dyDescent="0.3">
      <c r="A131" s="2" t="s">
        <v>126</v>
      </c>
      <c r="B131" s="2" t="s">
        <v>149</v>
      </c>
      <c r="C131" s="3"/>
      <c r="D131" s="3"/>
      <c r="E131" s="3">
        <v>412.05999999999995</v>
      </c>
      <c r="F131" s="3">
        <v>127.44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x14ac:dyDescent="0.3">
      <c r="A132" s="2" t="s">
        <v>127</v>
      </c>
      <c r="B132" s="2" t="s">
        <v>149</v>
      </c>
      <c r="C132" s="3"/>
      <c r="D132" s="3"/>
      <c r="E132" s="3">
        <v>940.16</v>
      </c>
      <c r="F132" s="3">
        <v>836.52</v>
      </c>
      <c r="G132" s="3">
        <v>1113.78</v>
      </c>
      <c r="H132" s="3">
        <v>5249.7399999999989</v>
      </c>
      <c r="I132" s="3">
        <v>6971.0999999999995</v>
      </c>
      <c r="J132" s="3">
        <v>5797.1399999999994</v>
      </c>
      <c r="K132" s="3">
        <v>3687.77</v>
      </c>
      <c r="L132" s="3">
        <v>1378.8799999999999</v>
      </c>
      <c r="M132" s="3">
        <v>604.1400000000001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x14ac:dyDescent="0.3">
      <c r="A133" s="2" t="s">
        <v>128</v>
      </c>
      <c r="B133" s="2" t="s">
        <v>149</v>
      </c>
      <c r="C133" s="3"/>
      <c r="D133" s="3"/>
      <c r="E133" s="3">
        <v>463.55999999999995</v>
      </c>
      <c r="F133" s="3">
        <v>284.93</v>
      </c>
      <c r="G133" s="3">
        <v>633.26</v>
      </c>
      <c r="H133" s="3">
        <v>1504.8400000000001</v>
      </c>
      <c r="I133" s="3">
        <v>1001.72</v>
      </c>
      <c r="J133" s="3">
        <v>521.20000000000005</v>
      </c>
      <c r="K133" s="3">
        <v>212.92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x14ac:dyDescent="0.3">
      <c r="A134" s="2" t="s">
        <v>129</v>
      </c>
      <c r="B134" s="2" t="s">
        <v>149</v>
      </c>
      <c r="C134" s="3"/>
      <c r="D134" s="3"/>
      <c r="E134" s="3">
        <v>842.56</v>
      </c>
      <c r="F134" s="3">
        <v>202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x14ac:dyDescent="0.3">
      <c r="A135" s="2" t="s">
        <v>130</v>
      </c>
      <c r="B135" s="2" t="s">
        <v>149</v>
      </c>
      <c r="C135" s="3"/>
      <c r="D135" s="3"/>
      <c r="E135" s="3">
        <v>233.05999999999997</v>
      </c>
      <c r="F135" s="3">
        <v>62.62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x14ac:dyDescent="0.3">
      <c r="A136" s="2" t="s">
        <v>131</v>
      </c>
      <c r="B136" s="2" t="s">
        <v>149</v>
      </c>
      <c r="C136" s="3">
        <v>79.330000000000013</v>
      </c>
      <c r="D136" s="3">
        <v>509.69</v>
      </c>
      <c r="E136" s="3">
        <v>1007.4100000000001</v>
      </c>
      <c r="F136" s="3">
        <v>394.93</v>
      </c>
      <c r="G136" s="3">
        <v>591.23</v>
      </c>
      <c r="H136" s="3">
        <v>1772.4100000000003</v>
      </c>
      <c r="I136" s="3">
        <v>941.11999999999989</v>
      </c>
      <c r="J136" s="3">
        <v>727.71800000000007</v>
      </c>
      <c r="K136" s="3">
        <v>226.37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x14ac:dyDescent="0.3">
      <c r="A137" s="2" t="s">
        <v>132</v>
      </c>
      <c r="B137" s="2" t="s">
        <v>149</v>
      </c>
      <c r="C137" s="3"/>
      <c r="D137" s="3"/>
      <c r="E137" s="3">
        <v>1030.52</v>
      </c>
      <c r="F137" s="3">
        <v>782.5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x14ac:dyDescent="0.3">
      <c r="A138" s="2" t="s">
        <v>133</v>
      </c>
      <c r="B138" s="2" t="s">
        <v>149</v>
      </c>
      <c r="C138" s="3"/>
      <c r="D138" s="3"/>
      <c r="E138" s="3">
        <v>547</v>
      </c>
      <c r="F138" s="3">
        <v>190.56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x14ac:dyDescent="0.3">
      <c r="A139" s="2" t="s">
        <v>134</v>
      </c>
      <c r="B139" s="2" t="s">
        <v>149</v>
      </c>
      <c r="C139" s="3"/>
      <c r="D139" s="3">
        <v>231.38</v>
      </c>
      <c r="E139" s="3">
        <v>2315.1999999999998</v>
      </c>
      <c r="F139" s="3">
        <v>839.46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x14ac:dyDescent="0.3">
      <c r="A140" s="2" t="s">
        <v>135</v>
      </c>
      <c r="B140" s="2" t="s">
        <v>149</v>
      </c>
      <c r="C140" s="3"/>
      <c r="D140" s="3">
        <v>1142.32</v>
      </c>
      <c r="E140" s="3">
        <v>7141.8399999999992</v>
      </c>
      <c r="F140" s="3">
        <v>2497.54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x14ac:dyDescent="0.3">
      <c r="A141" s="2" t="s">
        <v>136</v>
      </c>
      <c r="B141" s="2" t="s">
        <v>149</v>
      </c>
      <c r="C141" s="3"/>
      <c r="D141" s="3">
        <v>45</v>
      </c>
      <c r="E141" s="3">
        <v>382</v>
      </c>
      <c r="F141" s="3">
        <v>219.70999999999998</v>
      </c>
      <c r="G141" s="3">
        <v>568.74</v>
      </c>
      <c r="H141" s="3">
        <v>889.62</v>
      </c>
      <c r="I141" s="3">
        <v>835.22</v>
      </c>
      <c r="J141" s="3">
        <v>474.97999999999996</v>
      </c>
      <c r="K141" s="3">
        <v>175.84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x14ac:dyDescent="0.3">
      <c r="A142" s="2" t="s">
        <v>137</v>
      </c>
      <c r="B142" s="2" t="s">
        <v>149</v>
      </c>
      <c r="C142" s="3"/>
      <c r="D142" s="3"/>
      <c r="E142" s="3">
        <v>1299.4189999999999</v>
      </c>
      <c r="F142" s="3">
        <v>1184.71</v>
      </c>
      <c r="G142" s="3">
        <v>1022.0300000000001</v>
      </c>
      <c r="H142" s="3">
        <v>9195.15</v>
      </c>
      <c r="I142" s="3">
        <v>7227.5199999999986</v>
      </c>
      <c r="J142" s="3">
        <v>2203.5100000000002</v>
      </c>
      <c r="K142" s="3">
        <v>330.68</v>
      </c>
      <c r="L142" s="3">
        <v>30.33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x14ac:dyDescent="0.3">
      <c r="A143" s="2" t="s">
        <v>138</v>
      </c>
      <c r="B143" s="2" t="s">
        <v>149</v>
      </c>
      <c r="C143" s="3"/>
      <c r="D143" s="3"/>
      <c r="E143" s="3">
        <v>489.6</v>
      </c>
      <c r="F143" s="3">
        <v>286.89999999999998</v>
      </c>
      <c r="G143" s="3">
        <v>686.69999999999993</v>
      </c>
      <c r="H143" s="3">
        <v>1252.9000000000001</v>
      </c>
      <c r="I143" s="3">
        <v>1130.0999999999999</v>
      </c>
      <c r="J143" s="3">
        <v>590.89</v>
      </c>
      <c r="K143" s="3">
        <v>322.7</v>
      </c>
      <c r="L143" s="3">
        <v>157.6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x14ac:dyDescent="0.3">
      <c r="A144" s="2" t="s">
        <v>139</v>
      </c>
      <c r="B144" s="2" t="s">
        <v>149</v>
      </c>
      <c r="C144" s="3"/>
      <c r="D144" s="3"/>
      <c r="E144" s="3"/>
      <c r="F144" s="3"/>
      <c r="G144" s="3">
        <v>2108.5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67" x14ac:dyDescent="0.3">
      <c r="A145" s="2" t="s">
        <v>140</v>
      </c>
      <c r="B145" s="2" t="s">
        <v>149</v>
      </c>
      <c r="C145" s="3"/>
      <c r="D145" s="3">
        <v>22.12</v>
      </c>
      <c r="E145" s="3">
        <v>100.38000000000001</v>
      </c>
      <c r="F145" s="3">
        <v>34.340000000000003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67" x14ac:dyDescent="0.3">
      <c r="A146" s="2" t="s">
        <v>141</v>
      </c>
      <c r="B146" s="2" t="s">
        <v>149</v>
      </c>
      <c r="C146" s="3"/>
      <c r="D146" s="3"/>
      <c r="E146" s="3">
        <v>481.56</v>
      </c>
      <c r="F146" s="3">
        <v>126.48</v>
      </c>
      <c r="G146" s="3">
        <v>369.24</v>
      </c>
      <c r="H146" s="3">
        <v>869.49999999999989</v>
      </c>
      <c r="I146" s="3">
        <v>492.56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67" x14ac:dyDescent="0.3">
      <c r="A147" s="2" t="s">
        <v>142</v>
      </c>
      <c r="B147" s="2" t="s">
        <v>149</v>
      </c>
      <c r="C147" s="3"/>
      <c r="D147" s="3">
        <v>112.24</v>
      </c>
      <c r="E147" s="3">
        <v>561.66</v>
      </c>
      <c r="F147" s="3">
        <v>250.92000000000002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67" x14ac:dyDescent="0.3">
      <c r="A148" s="2" t="s">
        <v>143</v>
      </c>
      <c r="B148" s="2" t="s">
        <v>150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>
        <v>45000</v>
      </c>
      <c r="Q148" s="3">
        <v>45000</v>
      </c>
      <c r="R148" s="3">
        <v>48209.720000000008</v>
      </c>
      <c r="S148" s="3">
        <v>48217.019999999968</v>
      </c>
      <c r="T148" s="3">
        <v>0</v>
      </c>
      <c r="U148" s="3"/>
      <c r="V148" s="3"/>
      <c r="W148" s="3"/>
    </row>
    <row r="149" spans="1:67" x14ac:dyDescent="0.3">
      <c r="A149" s="2" t="s">
        <v>144</v>
      </c>
      <c r="B149" s="2" t="s">
        <v>149</v>
      </c>
      <c r="C149" s="3"/>
      <c r="D149" s="3"/>
      <c r="E149" s="3">
        <v>152.30000000000001</v>
      </c>
      <c r="F149" s="3">
        <v>99.6</v>
      </c>
      <c r="G149" s="3">
        <v>107.6</v>
      </c>
      <c r="H149" s="3">
        <v>185.3</v>
      </c>
      <c r="I149" s="3">
        <v>79.099999999999994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67" x14ac:dyDescent="0.3">
      <c r="A150" s="2" t="s">
        <v>145</v>
      </c>
      <c r="B150" s="2" t="s">
        <v>149</v>
      </c>
      <c r="C150" s="3"/>
      <c r="D150" s="3"/>
      <c r="E150" s="3"/>
      <c r="F150" s="3"/>
      <c r="G150" s="3"/>
      <c r="H150" s="3">
        <v>25.6</v>
      </c>
      <c r="I150" s="3">
        <v>19.899999999999999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67" x14ac:dyDescent="0.3">
      <c r="A151" s="2" t="s">
        <v>146</v>
      </c>
      <c r="B151" s="2" t="s">
        <v>149</v>
      </c>
      <c r="C151" s="3"/>
      <c r="D151" s="3">
        <v>83.62</v>
      </c>
      <c r="E151" s="3">
        <v>693.19999999999993</v>
      </c>
      <c r="F151" s="3">
        <v>260.3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67" x14ac:dyDescent="0.3">
      <c r="A152" s="2" t="s">
        <v>147</v>
      </c>
      <c r="B152" s="2" t="s">
        <v>149</v>
      </c>
      <c r="C152" s="3"/>
      <c r="D152" s="3">
        <v>33.4</v>
      </c>
      <c r="E152" s="3">
        <v>314.29999999999995</v>
      </c>
      <c r="F152" s="3">
        <v>184.20000000000002</v>
      </c>
      <c r="G152" s="3">
        <v>420.1</v>
      </c>
      <c r="H152" s="3">
        <v>421.20000000000005</v>
      </c>
      <c r="I152" s="3">
        <v>429.3</v>
      </c>
      <c r="J152" s="3">
        <v>75.2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67" x14ac:dyDescent="0.3">
      <c r="A153" s="2" t="s">
        <v>148</v>
      </c>
      <c r="B153" s="2" t="s">
        <v>149</v>
      </c>
      <c r="C153" s="3">
        <v>117.39</v>
      </c>
      <c r="D153" s="3">
        <v>367.77</v>
      </c>
      <c r="E153" s="3">
        <v>559.21</v>
      </c>
      <c r="F153" s="3">
        <v>222.22</v>
      </c>
      <c r="G153" s="3">
        <v>314.89</v>
      </c>
      <c r="H153" s="3">
        <v>946.29</v>
      </c>
      <c r="I153" s="3">
        <v>632.34</v>
      </c>
      <c r="J153" s="3">
        <v>289.25</v>
      </c>
      <c r="K153" s="3">
        <v>46.94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67" s="9" customFormat="1" x14ac:dyDescent="0.3">
      <c r="C154" s="10">
        <f>SUM(C2:C153)</f>
        <v>10408.679999999997</v>
      </c>
      <c r="D154" s="10">
        <f t="shared" ref="D154:BO154" si="1">SUM(D2:D153)</f>
        <v>80002.056666666715</v>
      </c>
      <c r="E154" s="10">
        <f t="shared" si="1"/>
        <v>176777.299</v>
      </c>
      <c r="F154" s="10">
        <f t="shared" si="1"/>
        <v>105816.06599999999</v>
      </c>
      <c r="G154" s="10">
        <f t="shared" si="1"/>
        <v>151879.86999999997</v>
      </c>
      <c r="H154" s="10">
        <f t="shared" si="1"/>
        <v>228461.77499999979</v>
      </c>
      <c r="I154" s="10">
        <f t="shared" si="1"/>
        <v>190962.03499999992</v>
      </c>
      <c r="J154" s="10">
        <f t="shared" si="1"/>
        <v>79023.268999999986</v>
      </c>
      <c r="K154" s="10">
        <f t="shared" si="1"/>
        <v>31418.860000000015</v>
      </c>
      <c r="L154" s="10">
        <f t="shared" si="1"/>
        <v>6012.2700000000013</v>
      </c>
      <c r="M154" s="10">
        <f t="shared" si="1"/>
        <v>1114.81</v>
      </c>
      <c r="N154" s="10">
        <f t="shared" si="1"/>
        <v>529.58000000000004</v>
      </c>
      <c r="O154" s="10">
        <f t="shared" si="1"/>
        <v>124.4</v>
      </c>
      <c r="P154" s="10">
        <f t="shared" si="1"/>
        <v>215383.8</v>
      </c>
      <c r="Q154" s="10">
        <f t="shared" si="1"/>
        <v>215374.88</v>
      </c>
      <c r="R154" s="10">
        <f t="shared" si="1"/>
        <v>237593.92</v>
      </c>
      <c r="S154" s="10">
        <f t="shared" si="1"/>
        <v>218520.99999999997</v>
      </c>
      <c r="T154" s="10">
        <f t="shared" si="1"/>
        <v>170288.9</v>
      </c>
      <c r="U154" s="10">
        <f t="shared" si="1"/>
        <v>166262.06</v>
      </c>
      <c r="V154" s="10">
        <f t="shared" si="1"/>
        <v>45000</v>
      </c>
      <c r="W154" s="10">
        <f t="shared" si="1"/>
        <v>0</v>
      </c>
      <c r="X154" s="10">
        <f t="shared" si="1"/>
        <v>0</v>
      </c>
      <c r="Y154" s="10">
        <f t="shared" si="1"/>
        <v>0</v>
      </c>
      <c r="Z154" s="10">
        <f t="shared" si="1"/>
        <v>0</v>
      </c>
      <c r="AA154" s="10">
        <f t="shared" si="1"/>
        <v>0</v>
      </c>
      <c r="AB154" s="10">
        <f t="shared" si="1"/>
        <v>0</v>
      </c>
      <c r="AC154" s="10">
        <f t="shared" si="1"/>
        <v>0</v>
      </c>
      <c r="AD154" s="10">
        <f t="shared" si="1"/>
        <v>0</v>
      </c>
      <c r="AE154" s="10">
        <f t="shared" si="1"/>
        <v>0</v>
      </c>
      <c r="AF154" s="10">
        <f t="shared" si="1"/>
        <v>0</v>
      </c>
      <c r="AG154" s="10">
        <f t="shared" si="1"/>
        <v>0</v>
      </c>
      <c r="AH154" s="10">
        <f t="shared" si="1"/>
        <v>0</v>
      </c>
      <c r="AI154" s="10">
        <f t="shared" si="1"/>
        <v>0</v>
      </c>
      <c r="AJ154" s="10">
        <f t="shared" si="1"/>
        <v>0</v>
      </c>
      <c r="AK154" s="10">
        <f t="shared" si="1"/>
        <v>0</v>
      </c>
      <c r="AL154" s="10">
        <f t="shared" si="1"/>
        <v>0</v>
      </c>
      <c r="AM154" s="10">
        <f t="shared" si="1"/>
        <v>0</v>
      </c>
      <c r="AN154" s="10">
        <f t="shared" si="1"/>
        <v>0</v>
      </c>
      <c r="AO154" s="10">
        <f t="shared" si="1"/>
        <v>0</v>
      </c>
      <c r="AP154" s="10">
        <f t="shared" si="1"/>
        <v>0</v>
      </c>
      <c r="AQ154" s="10">
        <f t="shared" si="1"/>
        <v>0</v>
      </c>
      <c r="AR154" s="10">
        <f t="shared" si="1"/>
        <v>0</v>
      </c>
      <c r="AS154" s="10">
        <f t="shared" si="1"/>
        <v>0</v>
      </c>
      <c r="AT154" s="10">
        <f t="shared" si="1"/>
        <v>0</v>
      </c>
      <c r="AU154" s="10">
        <f t="shared" si="1"/>
        <v>0</v>
      </c>
      <c r="AV154" s="10">
        <f t="shared" si="1"/>
        <v>0</v>
      </c>
      <c r="AW154" s="10">
        <f t="shared" si="1"/>
        <v>0</v>
      </c>
      <c r="AX154" s="10">
        <f t="shared" si="1"/>
        <v>0</v>
      </c>
      <c r="AY154" s="10">
        <f t="shared" si="1"/>
        <v>0</v>
      </c>
      <c r="AZ154" s="10">
        <f t="shared" si="1"/>
        <v>0</v>
      </c>
      <c r="BA154" s="10">
        <f t="shared" si="1"/>
        <v>0</v>
      </c>
      <c r="BB154" s="10">
        <f t="shared" si="1"/>
        <v>0</v>
      </c>
      <c r="BC154" s="10">
        <f t="shared" si="1"/>
        <v>0</v>
      </c>
      <c r="BD154" s="10">
        <f t="shared" si="1"/>
        <v>0</v>
      </c>
      <c r="BE154" s="10">
        <f t="shared" si="1"/>
        <v>0</v>
      </c>
      <c r="BF154" s="10">
        <f t="shared" si="1"/>
        <v>0</v>
      </c>
      <c r="BG154" s="10">
        <f t="shared" si="1"/>
        <v>0</v>
      </c>
      <c r="BH154" s="10">
        <f t="shared" si="1"/>
        <v>0</v>
      </c>
      <c r="BI154" s="10">
        <f t="shared" si="1"/>
        <v>0</v>
      </c>
      <c r="BJ154" s="10">
        <f t="shared" si="1"/>
        <v>0</v>
      </c>
      <c r="BK154" s="10">
        <f t="shared" si="1"/>
        <v>0</v>
      </c>
      <c r="BL154" s="10">
        <f t="shared" si="1"/>
        <v>0</v>
      </c>
      <c r="BM154" s="10">
        <f t="shared" si="1"/>
        <v>0</v>
      </c>
      <c r="BN154" s="10">
        <f t="shared" si="1"/>
        <v>0</v>
      </c>
      <c r="BO154" s="10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98A67-11D0-4EA3-8E0A-B076E2215607}">
  <sheetPr>
    <tabColor theme="3" tint="0.249977111117893"/>
  </sheetPr>
  <dimension ref="A1:Y58"/>
  <sheetViews>
    <sheetView workbookViewId="0">
      <selection activeCell="B14" sqref="B14"/>
    </sheetView>
  </sheetViews>
  <sheetFormatPr baseColWidth="10" defaultRowHeight="14.4" x14ac:dyDescent="0.3"/>
  <cols>
    <col min="1" max="1" width="47.77734375" bestFit="1" customWidth="1"/>
    <col min="2" max="4" width="47.77734375" customWidth="1"/>
  </cols>
  <sheetData>
    <row r="1" spans="1:25" x14ac:dyDescent="0.3">
      <c r="A1" s="1" t="s">
        <v>0</v>
      </c>
      <c r="B1" s="1" t="s">
        <v>173</v>
      </c>
      <c r="C1" s="1">
        <v>48</v>
      </c>
      <c r="D1" s="1">
        <v>49</v>
      </c>
      <c r="E1" s="1">
        <v>50</v>
      </c>
      <c r="F1" s="1">
        <v>51</v>
      </c>
      <c r="G1" s="1">
        <v>52</v>
      </c>
      <c r="H1" s="1">
        <v>53</v>
      </c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</row>
    <row r="2" spans="1:25" x14ac:dyDescent="0.3">
      <c r="A2" s="2" t="s">
        <v>3</v>
      </c>
      <c r="B2" s="2" t="s">
        <v>174</v>
      </c>
      <c r="C2" s="2"/>
      <c r="D2" s="2"/>
      <c r="E2" s="3"/>
      <c r="F2" s="3"/>
      <c r="G2" s="3"/>
      <c r="H2" s="3"/>
      <c r="I2" s="3"/>
      <c r="J2" s="3"/>
      <c r="K2" s="3">
        <v>19459.599999999999</v>
      </c>
      <c r="L2" s="3">
        <v>73294.000000000029</v>
      </c>
      <c r="M2" s="3">
        <v>57949.050000000025</v>
      </c>
      <c r="N2" s="3">
        <v>63103.390000000014</v>
      </c>
      <c r="O2" s="3">
        <v>50794.960000000006</v>
      </c>
      <c r="P2" s="3">
        <v>15963.539999999999</v>
      </c>
      <c r="Q2" s="3">
        <v>2318.06</v>
      </c>
      <c r="R2" s="3">
        <v>768.34</v>
      </c>
      <c r="S2" s="3"/>
      <c r="T2" s="3"/>
      <c r="U2" s="3"/>
      <c r="V2" s="3"/>
      <c r="W2" s="3"/>
    </row>
    <row r="3" spans="1:25" x14ac:dyDescent="0.3">
      <c r="A3" s="2" t="s">
        <v>175</v>
      </c>
      <c r="B3" s="2" t="s">
        <v>174</v>
      </c>
      <c r="C3" s="2"/>
      <c r="D3" s="2"/>
      <c r="E3" s="3">
        <v>25000</v>
      </c>
      <c r="F3" s="3">
        <v>35000</v>
      </c>
      <c r="G3" s="3">
        <v>45000</v>
      </c>
      <c r="H3" s="3">
        <v>43000</v>
      </c>
      <c r="I3" s="3"/>
      <c r="J3" s="3"/>
      <c r="K3" s="3"/>
      <c r="L3" s="3"/>
      <c r="M3" s="3"/>
      <c r="N3" s="3"/>
      <c r="O3" s="3"/>
      <c r="P3" s="3">
        <v>35000</v>
      </c>
      <c r="Q3" s="3">
        <v>45000</v>
      </c>
      <c r="R3" s="3">
        <v>65000</v>
      </c>
      <c r="S3" s="3"/>
      <c r="T3" s="3"/>
      <c r="U3" s="3"/>
      <c r="V3" s="3"/>
      <c r="W3" s="3"/>
    </row>
    <row r="4" spans="1:25" x14ac:dyDescent="0.3">
      <c r="A4" s="2" t="s">
        <v>175</v>
      </c>
      <c r="B4" s="2" t="s">
        <v>174</v>
      </c>
      <c r="C4" s="2"/>
      <c r="D4" s="2"/>
      <c r="E4" s="3"/>
      <c r="F4" s="3"/>
      <c r="G4" s="3"/>
      <c r="H4" s="3"/>
      <c r="I4" s="3">
        <v>45000</v>
      </c>
      <c r="J4" s="3">
        <v>55000</v>
      </c>
      <c r="K4" s="3"/>
      <c r="L4" s="3"/>
      <c r="M4" s="3"/>
      <c r="N4" s="3"/>
      <c r="O4" s="3"/>
      <c r="P4" s="3"/>
      <c r="Q4" s="3">
        <v>55000</v>
      </c>
      <c r="R4" s="3">
        <v>85000</v>
      </c>
      <c r="S4" s="3">
        <v>45000</v>
      </c>
      <c r="T4" s="3"/>
      <c r="U4" s="3"/>
      <c r="V4" s="3"/>
      <c r="W4" s="3"/>
    </row>
    <row r="5" spans="1:25" x14ac:dyDescent="0.3">
      <c r="A5" s="2" t="s">
        <v>156</v>
      </c>
      <c r="B5" s="2" t="s">
        <v>174</v>
      </c>
      <c r="C5" s="2"/>
      <c r="D5" s="2"/>
      <c r="E5" s="3"/>
      <c r="F5" s="3"/>
      <c r="G5" s="3">
        <v>1295.04</v>
      </c>
      <c r="H5" s="3">
        <v>3607.3199999999997</v>
      </c>
      <c r="I5" s="3">
        <v>5837.5399999999991</v>
      </c>
      <c r="J5" s="3">
        <v>26154.5</v>
      </c>
      <c r="K5" s="3">
        <v>3906.42</v>
      </c>
      <c r="L5" s="3">
        <v>22646.359999999997</v>
      </c>
      <c r="M5" s="3">
        <v>45762.239999999998</v>
      </c>
      <c r="N5" s="3">
        <v>20395.110000000004</v>
      </c>
      <c r="O5" s="3">
        <v>16958.800000000003</v>
      </c>
      <c r="P5" s="3">
        <v>18043.599999999999</v>
      </c>
      <c r="Q5" s="3">
        <v>9857.1399999999976</v>
      </c>
      <c r="R5" s="3">
        <v>2945.3399999999997</v>
      </c>
      <c r="S5" s="3">
        <v>3206.58</v>
      </c>
      <c r="T5" s="3"/>
      <c r="U5" s="3"/>
      <c r="V5" s="3"/>
      <c r="W5" s="3"/>
    </row>
    <row r="6" spans="1:25" x14ac:dyDescent="0.3">
      <c r="A6" s="2" t="s">
        <v>157</v>
      </c>
      <c r="B6" s="2" t="s">
        <v>174</v>
      </c>
      <c r="C6" s="2"/>
      <c r="D6" s="2"/>
      <c r="E6" s="3"/>
      <c r="F6" s="3"/>
      <c r="G6" s="3"/>
      <c r="H6" s="3"/>
      <c r="I6" s="3"/>
      <c r="J6" s="3"/>
      <c r="K6" s="3">
        <v>15540</v>
      </c>
      <c r="L6" s="3">
        <v>42097.09</v>
      </c>
      <c r="M6" s="3">
        <v>1790</v>
      </c>
      <c r="N6" s="3">
        <v>3265.35</v>
      </c>
      <c r="O6" s="3">
        <v>18913.050000000003</v>
      </c>
      <c r="P6" s="3">
        <v>1410.6399999999999</v>
      </c>
      <c r="Q6" s="3">
        <v>8410.7999999999993</v>
      </c>
      <c r="R6" s="3"/>
      <c r="S6" s="3"/>
      <c r="T6" s="3"/>
      <c r="U6" s="3"/>
      <c r="V6" s="3"/>
      <c r="W6" s="3"/>
    </row>
    <row r="7" spans="1:25" x14ac:dyDescent="0.3">
      <c r="A7" s="2" t="s">
        <v>158</v>
      </c>
      <c r="B7" s="2" t="s">
        <v>174</v>
      </c>
      <c r="C7" s="2"/>
      <c r="D7" s="2"/>
      <c r="E7" s="3">
        <v>3000.7000000000003</v>
      </c>
      <c r="F7" s="3">
        <v>438.3</v>
      </c>
      <c r="G7" s="3">
        <v>2840.86</v>
      </c>
      <c r="H7" s="3"/>
      <c r="I7" s="3">
        <v>3272.1400000000003</v>
      </c>
      <c r="J7" s="3">
        <v>3135.42</v>
      </c>
      <c r="K7" s="3">
        <v>2357.56</v>
      </c>
      <c r="L7" s="3">
        <v>2769.16</v>
      </c>
      <c r="M7" s="3">
        <v>1457.08</v>
      </c>
      <c r="N7" s="3">
        <v>1622.92</v>
      </c>
      <c r="O7" s="3">
        <v>3121.7200000000003</v>
      </c>
      <c r="P7" s="3">
        <v>1651.38</v>
      </c>
      <c r="Q7" s="3"/>
      <c r="R7" s="3"/>
      <c r="S7" s="3">
        <v>2712.5449999999996</v>
      </c>
      <c r="T7" s="3">
        <v>2119.5</v>
      </c>
      <c r="U7" s="3"/>
      <c r="V7" s="3"/>
      <c r="W7" s="3"/>
    </row>
    <row r="8" spans="1:25" x14ac:dyDescent="0.3">
      <c r="A8" s="2" t="s">
        <v>159</v>
      </c>
      <c r="B8" s="2" t="s">
        <v>174</v>
      </c>
      <c r="C8" s="2"/>
      <c r="D8" s="2"/>
      <c r="E8" s="3"/>
      <c r="F8" s="3"/>
      <c r="G8" s="3"/>
      <c r="H8" s="3"/>
      <c r="I8" s="3"/>
      <c r="J8" s="3"/>
      <c r="K8" s="3"/>
      <c r="L8" s="3"/>
      <c r="M8" s="3">
        <v>28775.99</v>
      </c>
      <c r="N8" s="3">
        <v>39310.5</v>
      </c>
      <c r="O8" s="3">
        <v>15533.599999999999</v>
      </c>
      <c r="P8" s="3">
        <v>13097.25</v>
      </c>
      <c r="Q8" s="3">
        <v>10928.25</v>
      </c>
      <c r="R8" s="3">
        <v>6858.4</v>
      </c>
      <c r="S8" s="3">
        <v>9138.9000000000015</v>
      </c>
      <c r="T8" s="3">
        <v>5064.8999999999996</v>
      </c>
      <c r="U8" s="3">
        <v>1035</v>
      </c>
      <c r="V8" s="3"/>
      <c r="W8" s="3"/>
    </row>
    <row r="9" spans="1:25" x14ac:dyDescent="0.3">
      <c r="A9" s="2" t="s">
        <v>160</v>
      </c>
      <c r="B9" s="2" t="s">
        <v>174</v>
      </c>
      <c r="C9" s="2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>
        <v>78763.5</v>
      </c>
      <c r="U9" s="3">
        <v>39444.75</v>
      </c>
      <c r="V9" s="3"/>
      <c r="W9" s="3"/>
    </row>
    <row r="10" spans="1:25" x14ac:dyDescent="0.3">
      <c r="A10" s="2" t="s">
        <v>161</v>
      </c>
      <c r="B10" s="2" t="s">
        <v>174</v>
      </c>
      <c r="C10" s="2"/>
      <c r="D10" s="2"/>
      <c r="E10" s="3"/>
      <c r="F10" s="3"/>
      <c r="G10" s="3"/>
      <c r="H10" s="3"/>
      <c r="I10" s="3"/>
      <c r="J10" s="3"/>
      <c r="K10" s="3">
        <v>21979.449999999997</v>
      </c>
      <c r="L10" s="3">
        <v>32329.600000000002</v>
      </c>
      <c r="M10" s="3">
        <v>51199.15</v>
      </c>
      <c r="N10" s="3">
        <v>2291.5</v>
      </c>
      <c r="O10" s="3"/>
      <c r="P10" s="3"/>
      <c r="Q10" s="3"/>
      <c r="R10" s="3"/>
      <c r="S10" s="3"/>
      <c r="T10" s="3"/>
      <c r="U10" s="3"/>
      <c r="V10" s="3"/>
      <c r="W10" s="3"/>
    </row>
    <row r="11" spans="1:25" x14ac:dyDescent="0.3">
      <c r="A11" s="2" t="s">
        <v>162</v>
      </c>
      <c r="B11" s="2" t="s">
        <v>174</v>
      </c>
      <c r="C11" s="2"/>
      <c r="D11" s="2"/>
      <c r="E11" s="3"/>
      <c r="F11" s="3"/>
      <c r="G11" s="3"/>
      <c r="H11" s="3"/>
      <c r="I11" s="3"/>
      <c r="J11" s="3"/>
      <c r="K11" s="3"/>
      <c r="L11" s="3"/>
      <c r="M11" s="3"/>
      <c r="N11" s="3">
        <v>2610.12</v>
      </c>
      <c r="O11" s="3">
        <v>11435.4</v>
      </c>
      <c r="P11" s="3">
        <v>1787.1</v>
      </c>
      <c r="Q11" s="3">
        <v>1737.24</v>
      </c>
      <c r="R11" s="3"/>
      <c r="S11" s="3"/>
      <c r="T11" s="3"/>
      <c r="U11" s="3"/>
      <c r="V11" s="3"/>
      <c r="W11" s="3"/>
    </row>
    <row r="12" spans="1:25" x14ac:dyDescent="0.3">
      <c r="A12" s="2" t="s">
        <v>163</v>
      </c>
      <c r="B12" s="2" t="s">
        <v>174</v>
      </c>
      <c r="C12" s="2"/>
      <c r="D12" s="2"/>
      <c r="E12" s="3"/>
      <c r="F12" s="3"/>
      <c r="G12" s="3"/>
      <c r="H12" s="3"/>
      <c r="I12" s="3"/>
      <c r="J12" s="3"/>
      <c r="K12" s="3"/>
      <c r="L12" s="3"/>
      <c r="M12" s="3">
        <v>12553.660000000002</v>
      </c>
      <c r="N12" s="3">
        <v>37345.120000000003</v>
      </c>
      <c r="O12" s="3">
        <v>17126.739999999998</v>
      </c>
      <c r="P12" s="3">
        <v>14775.099999999999</v>
      </c>
      <c r="Q12" s="3"/>
      <c r="R12" s="3"/>
      <c r="S12" s="3"/>
      <c r="T12" s="3"/>
      <c r="U12" s="3"/>
      <c r="V12" s="3"/>
      <c r="W12" s="3"/>
    </row>
    <row r="13" spans="1:25" x14ac:dyDescent="0.3">
      <c r="A13" s="2" t="s">
        <v>24</v>
      </c>
      <c r="B13" s="2" t="s">
        <v>174</v>
      </c>
      <c r="C13" s="2"/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>
        <v>23299.1</v>
      </c>
      <c r="T13" s="3">
        <v>21643.440000000002</v>
      </c>
      <c r="U13" s="3">
        <v>11759.64</v>
      </c>
      <c r="V13" s="3"/>
      <c r="W13" s="3"/>
    </row>
    <row r="14" spans="1:25" x14ac:dyDescent="0.3">
      <c r="A14" s="2" t="s">
        <v>164</v>
      </c>
      <c r="B14" s="2" t="s">
        <v>174</v>
      </c>
      <c r="C14" s="2"/>
      <c r="D14" s="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v>1673.45</v>
      </c>
      <c r="S14" s="3">
        <v>1714.55</v>
      </c>
      <c r="T14" s="3">
        <v>597</v>
      </c>
      <c r="U14" s="3">
        <v>86</v>
      </c>
      <c r="V14" s="3"/>
      <c r="W14" s="3"/>
    </row>
    <row r="15" spans="1:25" x14ac:dyDescent="0.3">
      <c r="A15" s="2" t="s">
        <v>165</v>
      </c>
      <c r="B15" s="2" t="s">
        <v>174</v>
      </c>
      <c r="C15" s="2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>
        <v>16710.5</v>
      </c>
      <c r="T15" s="3"/>
      <c r="U15" s="3"/>
      <c r="V15" s="3"/>
      <c r="W15" s="3"/>
    </row>
    <row r="16" spans="1:25" x14ac:dyDescent="0.3">
      <c r="A16" s="2" t="s">
        <v>166</v>
      </c>
      <c r="B16" s="2" t="s">
        <v>174</v>
      </c>
      <c r="C16" s="2"/>
      <c r="D16" s="2"/>
      <c r="E16" s="3"/>
      <c r="F16" s="3">
        <v>1983.5300000000002</v>
      </c>
      <c r="G16" s="3">
        <v>4114.8599999999997</v>
      </c>
      <c r="H16" s="3"/>
      <c r="I16" s="3">
        <v>2108.44</v>
      </c>
      <c r="J16" s="3">
        <v>2604.54</v>
      </c>
      <c r="K16" s="3">
        <v>1202.1600000000001</v>
      </c>
      <c r="L16" s="3">
        <v>6297.1</v>
      </c>
      <c r="M16" s="3">
        <v>2221.92</v>
      </c>
      <c r="N16" s="3">
        <v>718.66</v>
      </c>
      <c r="O16" s="3">
        <v>678.28</v>
      </c>
      <c r="P16" s="3"/>
      <c r="Q16" s="3"/>
      <c r="R16" s="3"/>
      <c r="S16" s="3"/>
      <c r="T16" s="3"/>
      <c r="U16" s="3">
        <v>601.52</v>
      </c>
      <c r="V16" s="3"/>
      <c r="W16" s="3"/>
    </row>
    <row r="17" spans="1:25" x14ac:dyDescent="0.3">
      <c r="A17" s="2" t="s">
        <v>167</v>
      </c>
      <c r="B17" s="2" t="s">
        <v>174</v>
      </c>
      <c r="C17" s="2"/>
      <c r="D17" s="2"/>
      <c r="E17" s="3"/>
      <c r="F17" s="3"/>
      <c r="G17" s="3"/>
      <c r="H17" s="3"/>
      <c r="I17" s="3"/>
      <c r="J17" s="3"/>
      <c r="K17" s="3"/>
      <c r="L17" s="3"/>
      <c r="M17" s="3">
        <v>28348.400000000012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5" x14ac:dyDescent="0.3">
      <c r="A18" s="2" t="s">
        <v>168</v>
      </c>
      <c r="B18" s="2" t="s">
        <v>174</v>
      </c>
      <c r="C18" s="2"/>
      <c r="D18" s="2"/>
      <c r="E18" s="3"/>
      <c r="F18" s="3"/>
      <c r="G18" s="3"/>
      <c r="H18" s="3"/>
      <c r="I18" s="3"/>
      <c r="J18" s="3"/>
      <c r="K18" s="3"/>
      <c r="L18" s="3">
        <v>1281.25</v>
      </c>
      <c r="M18" s="3">
        <v>2209</v>
      </c>
      <c r="N18" s="3">
        <v>5806.12</v>
      </c>
      <c r="O18" s="3">
        <v>5576.5</v>
      </c>
      <c r="P18" s="3">
        <v>4994.5</v>
      </c>
      <c r="Q18" s="3">
        <v>2413.4499999999998</v>
      </c>
      <c r="R18" s="3">
        <v>3010.65</v>
      </c>
      <c r="S18" s="3">
        <v>3019</v>
      </c>
      <c r="T18" s="3">
        <v>620.85</v>
      </c>
      <c r="U18" s="3"/>
      <c r="V18" s="3"/>
      <c r="W18" s="3"/>
    </row>
    <row r="19" spans="1:25" x14ac:dyDescent="0.3">
      <c r="A19" s="2" t="s">
        <v>169</v>
      </c>
      <c r="B19" s="2" t="s">
        <v>174</v>
      </c>
      <c r="C19" s="2"/>
      <c r="D19" s="2"/>
      <c r="E19" s="3"/>
      <c r="F19" s="3"/>
      <c r="G19" s="3"/>
      <c r="H19" s="3"/>
      <c r="I19" s="3"/>
      <c r="J19" s="3"/>
      <c r="K19" s="3"/>
      <c r="L19" s="3">
        <v>18324.559999999998</v>
      </c>
      <c r="M19" s="3">
        <v>7238.02</v>
      </c>
      <c r="N19" s="3">
        <v>13334.65</v>
      </c>
      <c r="O19" s="3">
        <v>15300.430000000002</v>
      </c>
      <c r="P19" s="3">
        <v>16276.92</v>
      </c>
      <c r="Q19" s="3">
        <v>7707.4400000000014</v>
      </c>
      <c r="R19" s="3"/>
      <c r="S19" s="3"/>
      <c r="T19" s="3">
        <v>5199.0499999999993</v>
      </c>
      <c r="U19" s="3">
        <v>506.2</v>
      </c>
      <c r="V19" s="3"/>
      <c r="W19" s="3"/>
    </row>
    <row r="20" spans="1:25" x14ac:dyDescent="0.3">
      <c r="A20" s="2" t="s">
        <v>170</v>
      </c>
      <c r="B20" s="2" t="s">
        <v>174</v>
      </c>
      <c r="C20" s="2"/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v>1856.7</v>
      </c>
      <c r="S20" s="3"/>
      <c r="T20" s="3"/>
      <c r="U20" s="3"/>
      <c r="V20" s="3"/>
      <c r="W20" s="3"/>
    </row>
    <row r="21" spans="1:25" x14ac:dyDescent="0.3">
      <c r="A21" s="2" t="s">
        <v>171</v>
      </c>
      <c r="B21" s="2" t="s">
        <v>174</v>
      </c>
      <c r="C21" s="2"/>
      <c r="D21" s="2"/>
      <c r="E21" s="3"/>
      <c r="F21" s="3"/>
      <c r="G21" s="3"/>
      <c r="H21" s="3"/>
      <c r="I21" s="3"/>
      <c r="J21" s="3"/>
      <c r="K21" s="3"/>
      <c r="L21" s="3">
        <v>6833.5</v>
      </c>
      <c r="M21" s="3">
        <v>15024.699999999999</v>
      </c>
      <c r="N21" s="3"/>
      <c r="O21" s="3">
        <v>3368.5</v>
      </c>
      <c r="P21" s="3">
        <v>5003.1000000000004</v>
      </c>
      <c r="Q21" s="3">
        <v>25507.200000000001</v>
      </c>
      <c r="R21" s="3">
        <v>7472.7499999999991</v>
      </c>
      <c r="S21" s="3"/>
      <c r="T21" s="3"/>
      <c r="U21" s="3"/>
      <c r="V21" s="3"/>
      <c r="W21" s="3"/>
    </row>
    <row r="22" spans="1:25" x14ac:dyDescent="0.3">
      <c r="A22" s="2" t="s">
        <v>172</v>
      </c>
      <c r="B22" s="2" t="s">
        <v>174</v>
      </c>
      <c r="C22" s="2"/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v>5762</v>
      </c>
      <c r="S22" s="3">
        <v>35120.074999999997</v>
      </c>
      <c r="T22" s="3"/>
      <c r="U22" s="3">
        <v>9509.8000000000011</v>
      </c>
      <c r="V22" s="3"/>
      <c r="W22" s="3"/>
    </row>
    <row r="23" spans="1:25" x14ac:dyDescent="0.3">
      <c r="A23" s="2" t="s">
        <v>2</v>
      </c>
      <c r="B23" s="2" t="s">
        <v>200</v>
      </c>
      <c r="C23" s="3"/>
      <c r="D23" s="3"/>
      <c r="E23" s="3"/>
      <c r="F23" s="3"/>
      <c r="G23" s="3"/>
      <c r="H23" s="3"/>
      <c r="I23" s="3"/>
      <c r="J23" s="3"/>
      <c r="K23" s="3">
        <v>63503.95</v>
      </c>
      <c r="L23" s="3">
        <v>59797.510000000038</v>
      </c>
      <c r="M23" s="3">
        <v>8925.779999999997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3">
      <c r="A24" s="2" t="s">
        <v>176</v>
      </c>
      <c r="B24" s="2" t="s">
        <v>200</v>
      </c>
      <c r="C24" s="3"/>
      <c r="D24" s="3"/>
      <c r="E24" s="3"/>
      <c r="F24" s="3"/>
      <c r="G24" s="3">
        <v>1144.1199999999999</v>
      </c>
      <c r="H24" s="3">
        <v>3824.08</v>
      </c>
      <c r="I24" s="3">
        <v>7740.2799999999979</v>
      </c>
      <c r="J24" s="3">
        <v>66191.790000000008</v>
      </c>
      <c r="K24" s="3">
        <v>37687.53</v>
      </c>
      <c r="L24" s="3">
        <v>35962.870000000003</v>
      </c>
      <c r="M24" s="3">
        <v>31780.420000000006</v>
      </c>
      <c r="N24" s="3">
        <v>17198.739999999998</v>
      </c>
      <c r="O24" s="3">
        <v>371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3">
      <c r="A25" s="2" t="s">
        <v>201</v>
      </c>
      <c r="B25" s="2" t="s">
        <v>200</v>
      </c>
      <c r="C25" s="3"/>
      <c r="D25" s="3"/>
      <c r="E25" s="3"/>
      <c r="F25" s="3"/>
      <c r="G25" s="3"/>
      <c r="H25" s="3"/>
      <c r="I25" s="3"/>
      <c r="J25" s="3">
        <v>5152.3599999999997</v>
      </c>
      <c r="K25" s="3"/>
      <c r="L25" s="3">
        <v>7952.0000000000009</v>
      </c>
      <c r="M25" s="3">
        <v>3807.3300000000004</v>
      </c>
      <c r="N25" s="3">
        <v>8751.44</v>
      </c>
      <c r="O25" s="3"/>
      <c r="P25" s="3"/>
      <c r="Q25" s="3">
        <v>25000</v>
      </c>
      <c r="R25" s="3">
        <v>15000</v>
      </c>
      <c r="S25" s="3">
        <v>10000</v>
      </c>
      <c r="T25" s="3"/>
      <c r="U25" s="3"/>
      <c r="V25" s="3"/>
      <c r="W25" s="3"/>
      <c r="X25" s="3"/>
      <c r="Y25" s="3"/>
    </row>
    <row r="26" spans="1:25" x14ac:dyDescent="0.3">
      <c r="A26" s="2" t="s">
        <v>177</v>
      </c>
      <c r="B26" s="2" t="s">
        <v>200</v>
      </c>
      <c r="C26" s="3"/>
      <c r="D26" s="3"/>
      <c r="E26" s="3"/>
      <c r="F26" s="3"/>
      <c r="G26" s="3"/>
      <c r="H26" s="3"/>
      <c r="I26" s="3"/>
      <c r="J26" s="3"/>
      <c r="K26" s="3">
        <v>2931</v>
      </c>
      <c r="L26" s="3">
        <v>4138.5</v>
      </c>
      <c r="M26" s="3">
        <v>16827.75</v>
      </c>
      <c r="N26" s="3">
        <v>25460.5</v>
      </c>
      <c r="O26" s="3">
        <v>14233.5</v>
      </c>
      <c r="P26" s="3">
        <v>15000</v>
      </c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3">
      <c r="A27" s="2" t="s">
        <v>178</v>
      </c>
      <c r="B27" s="2" t="s">
        <v>200</v>
      </c>
      <c r="C27" s="3">
        <v>34385.089999999997</v>
      </c>
      <c r="D27" s="3"/>
      <c r="E27" s="3">
        <v>1969</v>
      </c>
      <c r="F27" s="3">
        <v>3172.3</v>
      </c>
      <c r="G27" s="3">
        <v>15871.5</v>
      </c>
      <c r="H27" s="3">
        <v>12179.95</v>
      </c>
      <c r="I27" s="3">
        <v>5846.25</v>
      </c>
      <c r="J27" s="3">
        <v>21257.550000000007</v>
      </c>
      <c r="K27" s="3"/>
      <c r="L27" s="3">
        <v>18204.75</v>
      </c>
      <c r="M27" s="3"/>
      <c r="N27" s="3"/>
      <c r="O27" s="3">
        <v>8370.42</v>
      </c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3">
      <c r="A28" s="2" t="s">
        <v>179</v>
      </c>
      <c r="B28" s="2" t="s">
        <v>200</v>
      </c>
      <c r="C28" s="3"/>
      <c r="D28" s="3"/>
      <c r="E28" s="3"/>
      <c r="F28" s="3"/>
      <c r="G28" s="3"/>
      <c r="H28" s="3"/>
      <c r="I28" s="3">
        <v>5521.85</v>
      </c>
      <c r="J28" s="3">
        <v>30397.3</v>
      </c>
      <c r="K28" s="3">
        <v>22983.200000000001</v>
      </c>
      <c r="L28" s="3">
        <v>15713.9</v>
      </c>
      <c r="M28" s="3">
        <v>23830.799999999999</v>
      </c>
      <c r="N28" s="3">
        <v>35349.449999999997</v>
      </c>
      <c r="O28" s="3">
        <v>6233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3">
      <c r="A29" s="2" t="s">
        <v>180</v>
      </c>
      <c r="B29" s="2" t="s">
        <v>200</v>
      </c>
      <c r="C29" s="3"/>
      <c r="D29" s="3"/>
      <c r="E29" s="3"/>
      <c r="F29" s="3"/>
      <c r="G29" s="3"/>
      <c r="H29" s="3"/>
      <c r="I29" s="3">
        <v>496.06</v>
      </c>
      <c r="J29" s="3">
        <v>903.58</v>
      </c>
      <c r="K29" s="3">
        <v>1735.04</v>
      </c>
      <c r="L29" s="3">
        <v>1524.72</v>
      </c>
      <c r="M29" s="3">
        <v>2165.02</v>
      </c>
      <c r="N29" s="3">
        <v>2405.4</v>
      </c>
      <c r="O29" s="3">
        <v>2893.54</v>
      </c>
      <c r="P29" s="3">
        <v>1763.32</v>
      </c>
      <c r="Q29" s="3">
        <v>1257.56</v>
      </c>
      <c r="R29" s="3"/>
      <c r="S29" s="3"/>
      <c r="T29" s="3"/>
      <c r="U29" s="3"/>
      <c r="V29" s="3"/>
      <c r="W29" s="3"/>
      <c r="X29" s="3"/>
      <c r="Y29" s="3"/>
    </row>
    <row r="30" spans="1:25" x14ac:dyDescent="0.3">
      <c r="A30" s="2" t="s">
        <v>181</v>
      </c>
      <c r="B30" s="2" t="s">
        <v>200</v>
      </c>
      <c r="C30" s="3"/>
      <c r="D30" s="3"/>
      <c r="E30" s="3"/>
      <c r="F30" s="3"/>
      <c r="G30" s="3"/>
      <c r="H30" s="3"/>
      <c r="I30" s="3">
        <v>6584.6</v>
      </c>
      <c r="J30" s="3">
        <v>15899.2</v>
      </c>
      <c r="K30" s="3">
        <v>14605.4</v>
      </c>
      <c r="L30" s="3"/>
      <c r="M30" s="3">
        <v>26694.7</v>
      </c>
      <c r="N30" s="3"/>
      <c r="O30" s="3"/>
      <c r="P30" s="3">
        <v>711.6</v>
      </c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3">
      <c r="A31" s="2" t="s">
        <v>182</v>
      </c>
      <c r="B31" s="2" t="s">
        <v>200</v>
      </c>
      <c r="C31" s="3"/>
      <c r="D31" s="3"/>
      <c r="E31" s="3"/>
      <c r="F31" s="3"/>
      <c r="G31" s="3"/>
      <c r="H31" s="3"/>
      <c r="I31" s="3"/>
      <c r="J31" s="3">
        <v>1499.75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3">
      <c r="A32" s="2" t="s">
        <v>175</v>
      </c>
      <c r="B32" s="2" t="s">
        <v>200</v>
      </c>
      <c r="C32" s="3">
        <v>25000</v>
      </c>
      <c r="D32" s="3">
        <v>35000</v>
      </c>
      <c r="E32" s="3">
        <v>45000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v>45000</v>
      </c>
      <c r="S32" s="3">
        <v>35000</v>
      </c>
      <c r="T32" s="3">
        <v>25000</v>
      </c>
      <c r="U32" s="3"/>
      <c r="V32" s="3"/>
      <c r="W32" s="3"/>
      <c r="X32" s="3"/>
      <c r="Y32" s="3"/>
    </row>
    <row r="33" spans="1:25" x14ac:dyDescent="0.3">
      <c r="A33" s="2" t="s">
        <v>8</v>
      </c>
      <c r="B33" s="2" t="s">
        <v>200</v>
      </c>
      <c r="C33" s="3"/>
      <c r="D33" s="3"/>
      <c r="E33" s="3"/>
      <c r="F33" s="3"/>
      <c r="G33" s="3"/>
      <c r="H33" s="3"/>
      <c r="I33" s="3">
        <v>538.79999999999995</v>
      </c>
      <c r="J33" s="3">
        <v>3034.7400000000002</v>
      </c>
      <c r="K33" s="3">
        <v>4513.5199999999995</v>
      </c>
      <c r="L33" s="3">
        <v>10019.119999999997</v>
      </c>
      <c r="M33" s="3">
        <v>9085.4</v>
      </c>
      <c r="N33" s="3">
        <v>7265.16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3">
      <c r="A34" s="2" t="s">
        <v>183</v>
      </c>
      <c r="B34" s="2" t="s">
        <v>200</v>
      </c>
      <c r="C34" s="3">
        <v>18600.509999999998</v>
      </c>
      <c r="D34" s="3">
        <v>14746.347029702967</v>
      </c>
      <c r="E34" s="3">
        <v>25233.449999999993</v>
      </c>
      <c r="F34" s="3">
        <v>4115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3">
      <c r="A35" s="2" t="s">
        <v>184</v>
      </c>
      <c r="B35" s="2" t="s">
        <v>200</v>
      </c>
      <c r="C35" s="3"/>
      <c r="D35" s="3"/>
      <c r="E35" s="3"/>
      <c r="F35" s="3"/>
      <c r="G35" s="3"/>
      <c r="H35" s="3"/>
      <c r="I35" s="3"/>
      <c r="J35" s="3"/>
      <c r="K35" s="3"/>
      <c r="L35" s="3">
        <v>24857.600000000009</v>
      </c>
      <c r="M35" s="3">
        <v>18191.400000000001</v>
      </c>
      <c r="N35" s="3"/>
      <c r="O35" s="3"/>
      <c r="P35" s="3"/>
      <c r="Q35" s="3"/>
      <c r="R35" s="3">
        <v>7916</v>
      </c>
      <c r="S35" s="3"/>
      <c r="T35" s="3"/>
      <c r="U35" s="3"/>
      <c r="V35" s="3"/>
      <c r="W35" s="3"/>
      <c r="X35" s="3"/>
      <c r="Y35" s="3"/>
    </row>
    <row r="36" spans="1:25" x14ac:dyDescent="0.3">
      <c r="A36" s="2" t="s">
        <v>185</v>
      </c>
      <c r="B36" s="2" t="s">
        <v>200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>
        <v>640.44000000000005</v>
      </c>
      <c r="N36" s="3"/>
      <c r="O36" s="3">
        <v>1832.5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3">
      <c r="A37" s="2" t="s">
        <v>26</v>
      </c>
      <c r="B37" s="2" t="s">
        <v>200</v>
      </c>
      <c r="C37" s="3"/>
      <c r="D37" s="3"/>
      <c r="E37" s="3"/>
      <c r="F37" s="3">
        <v>31.880000000000003</v>
      </c>
      <c r="G37" s="3"/>
      <c r="H37" s="3"/>
      <c r="I37" s="3">
        <v>135.47999999999999</v>
      </c>
      <c r="J37" s="3">
        <v>752.68000000000006</v>
      </c>
      <c r="K37" s="3">
        <v>247.68999999999997</v>
      </c>
      <c r="L37" s="3">
        <v>257.32</v>
      </c>
      <c r="M37" s="3">
        <v>695.88</v>
      </c>
      <c r="N37" s="3">
        <v>292.14</v>
      </c>
      <c r="O37" s="3">
        <v>493.23999999999995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3">
      <c r="A38" s="2" t="s">
        <v>29</v>
      </c>
      <c r="B38" s="2" t="s">
        <v>200</v>
      </c>
      <c r="C38" s="3"/>
      <c r="D38" s="3"/>
      <c r="E38" s="3"/>
      <c r="F38" s="3"/>
      <c r="G38" s="3"/>
      <c r="H38" s="3"/>
      <c r="I38" s="3"/>
      <c r="J38" s="3"/>
      <c r="K38" s="3">
        <v>3804.52</v>
      </c>
      <c r="L38" s="3">
        <v>3451.45</v>
      </c>
      <c r="M38" s="3"/>
      <c r="N38" s="3">
        <v>4085.9879999999998</v>
      </c>
      <c r="O38" s="3">
        <v>3328.7400000000002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3">
      <c r="A39" s="2" t="s">
        <v>30</v>
      </c>
      <c r="B39" s="2" t="s">
        <v>200</v>
      </c>
      <c r="C39" s="3"/>
      <c r="D39" s="3"/>
      <c r="E39" s="3"/>
      <c r="F39" s="3">
        <v>171.45</v>
      </c>
      <c r="G39" s="3">
        <v>386.68</v>
      </c>
      <c r="H39" s="3">
        <v>613.27</v>
      </c>
      <c r="I39" s="3">
        <v>284.93</v>
      </c>
      <c r="J39" s="3">
        <v>3510.6200000000003</v>
      </c>
      <c r="K39" s="3">
        <v>1094.5</v>
      </c>
      <c r="L39" s="3">
        <v>1001.9110000000001</v>
      </c>
      <c r="M39" s="3">
        <v>6977.21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3">
      <c r="A40" s="2" t="s">
        <v>186</v>
      </c>
      <c r="B40" s="2" t="s">
        <v>200</v>
      </c>
      <c r="C40" s="3"/>
      <c r="D40" s="3"/>
      <c r="E40" s="3"/>
      <c r="F40" s="3"/>
      <c r="G40" s="3"/>
      <c r="H40" s="3"/>
      <c r="I40" s="3">
        <v>5396.28</v>
      </c>
      <c r="J40" s="3">
        <v>32923.360000000001</v>
      </c>
      <c r="K40" s="3">
        <v>34833.199999999997</v>
      </c>
      <c r="L40" s="3">
        <v>30314</v>
      </c>
      <c r="M40" s="3">
        <v>13731.38</v>
      </c>
      <c r="N40" s="3">
        <v>6947</v>
      </c>
      <c r="O40" s="3">
        <v>12797.2</v>
      </c>
      <c r="P40" s="3">
        <v>5378.8</v>
      </c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3">
      <c r="A41" s="2" t="s">
        <v>187</v>
      </c>
      <c r="B41" s="2" t="s">
        <v>200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>
        <v>338.4</v>
      </c>
      <c r="N41" s="3">
        <v>225</v>
      </c>
      <c r="O41" s="3">
        <v>14329.7</v>
      </c>
      <c r="P41" s="3">
        <v>15909.300000000001</v>
      </c>
      <c r="Q41" s="3">
        <v>6305.2000000000007</v>
      </c>
      <c r="R41" s="3"/>
      <c r="S41" s="3">
        <v>9300.4500000000007</v>
      </c>
      <c r="T41" s="3"/>
      <c r="U41" s="3"/>
      <c r="V41" s="3"/>
      <c r="W41" s="3"/>
      <c r="X41" s="3"/>
      <c r="Y41" s="3"/>
    </row>
    <row r="42" spans="1:25" x14ac:dyDescent="0.3">
      <c r="A42" s="2" t="s">
        <v>43</v>
      </c>
      <c r="B42" s="2" t="s">
        <v>200</v>
      </c>
      <c r="C42" s="3"/>
      <c r="D42" s="3"/>
      <c r="E42" s="3"/>
      <c r="F42" s="3"/>
      <c r="G42" s="3"/>
      <c r="H42" s="3"/>
      <c r="I42" s="3"/>
      <c r="J42" s="3"/>
      <c r="K42" s="3"/>
      <c r="L42" s="3">
        <v>1834.1799999999998</v>
      </c>
      <c r="M42" s="3"/>
      <c r="N42" s="3">
        <v>475.5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3">
      <c r="A43" s="2" t="s">
        <v>188</v>
      </c>
      <c r="B43" s="2" t="s">
        <v>200</v>
      </c>
      <c r="C43" s="3"/>
      <c r="D43" s="3"/>
      <c r="E43" s="3"/>
      <c r="F43" s="3"/>
      <c r="G43" s="3"/>
      <c r="H43" s="3"/>
      <c r="I43" s="3"/>
      <c r="J43" s="3"/>
      <c r="K43" s="3">
        <v>9734.86</v>
      </c>
      <c r="L43" s="3"/>
      <c r="M43" s="3">
        <v>4905.6000000000004</v>
      </c>
      <c r="N43" s="3">
        <v>14920.62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3">
      <c r="A44" s="2" t="s">
        <v>189</v>
      </c>
      <c r="B44" s="2" t="s">
        <v>200</v>
      </c>
      <c r="C44" s="3"/>
      <c r="D44" s="3">
        <v>4525</v>
      </c>
      <c r="E44" s="3">
        <v>4667.75</v>
      </c>
      <c r="F44" s="3">
        <v>26492.5</v>
      </c>
      <c r="G44" s="3">
        <v>16068.0875</v>
      </c>
      <c r="H44" s="3">
        <v>2985.5</v>
      </c>
      <c r="I44" s="3">
        <v>8311.9</v>
      </c>
      <c r="J44" s="3">
        <v>8209.4500000000007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3">
      <c r="A45" s="2" t="s">
        <v>190</v>
      </c>
      <c r="B45" s="2" t="s">
        <v>200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>
        <v>15752.9</v>
      </c>
      <c r="O45" s="3">
        <v>7992.65</v>
      </c>
      <c r="P45" s="3">
        <v>32261.35</v>
      </c>
      <c r="Q45" s="3">
        <v>32120.799999999996</v>
      </c>
      <c r="R45" s="3">
        <v>39449.850000000006</v>
      </c>
      <c r="S45" s="3">
        <v>2506.3000000000002</v>
      </c>
      <c r="T45" s="3"/>
      <c r="U45" s="3"/>
      <c r="V45" s="3"/>
      <c r="W45" s="3"/>
      <c r="X45" s="3"/>
      <c r="Y45" s="3"/>
    </row>
    <row r="46" spans="1:25" x14ac:dyDescent="0.3">
      <c r="A46" s="2" t="s">
        <v>191</v>
      </c>
      <c r="B46" s="2" t="s">
        <v>200</v>
      </c>
      <c r="C46" s="3"/>
      <c r="D46" s="3"/>
      <c r="E46" s="3"/>
      <c r="F46" s="3"/>
      <c r="G46" s="3"/>
      <c r="H46" s="3"/>
      <c r="I46" s="3"/>
      <c r="J46" s="3">
        <v>472.16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3">
      <c r="A47" s="2" t="s">
        <v>192</v>
      </c>
      <c r="B47" s="2" t="s">
        <v>200</v>
      </c>
      <c r="C47" s="3"/>
      <c r="D47" s="3"/>
      <c r="E47" s="3"/>
      <c r="F47" s="3"/>
      <c r="G47" s="3"/>
      <c r="H47" s="3"/>
      <c r="I47" s="3"/>
      <c r="J47" s="3"/>
      <c r="K47" s="3"/>
      <c r="L47" s="3">
        <v>1336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3">
      <c r="A48" s="2" t="s">
        <v>75</v>
      </c>
      <c r="B48" s="2" t="s">
        <v>200</v>
      </c>
      <c r="C48" s="3"/>
      <c r="D48" s="3"/>
      <c r="E48" s="3"/>
      <c r="F48" s="3"/>
      <c r="G48" s="3">
        <v>23.98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3">
      <c r="A49" s="2" t="s">
        <v>193</v>
      </c>
      <c r="B49" s="2" t="s">
        <v>200</v>
      </c>
      <c r="C49" s="3"/>
      <c r="D49" s="3"/>
      <c r="E49" s="3"/>
      <c r="F49" s="3"/>
      <c r="G49" s="3"/>
      <c r="H49" s="3"/>
      <c r="I49" s="3"/>
      <c r="J49" s="3"/>
      <c r="K49" s="3"/>
      <c r="L49" s="3">
        <v>5505.75</v>
      </c>
      <c r="M49" s="3">
        <v>6445.75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3">
      <c r="A50" s="2" t="s">
        <v>101</v>
      </c>
      <c r="B50" s="2" t="s">
        <v>200</v>
      </c>
      <c r="C50" s="3"/>
      <c r="D50" s="3"/>
      <c r="E50" s="3"/>
      <c r="F50" s="3"/>
      <c r="G50" s="3"/>
      <c r="H50" s="3"/>
      <c r="I50" s="3"/>
      <c r="J50" s="3"/>
      <c r="K50" s="3">
        <v>42.88</v>
      </c>
      <c r="L50" s="3">
        <v>337.36</v>
      </c>
      <c r="M50" s="3">
        <v>226.76000000000002</v>
      </c>
      <c r="N50" s="3">
        <v>200.24</v>
      </c>
      <c r="O50" s="3">
        <v>231.44</v>
      </c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3">
      <c r="A51" s="2" t="s">
        <v>127</v>
      </c>
      <c r="B51" s="2" t="s">
        <v>200</v>
      </c>
      <c r="C51" s="3"/>
      <c r="D51" s="3"/>
      <c r="E51" s="3"/>
      <c r="F51" s="3"/>
      <c r="G51" s="3"/>
      <c r="H51" s="3"/>
      <c r="I51" s="3"/>
      <c r="J51" s="3"/>
      <c r="K51" s="3"/>
      <c r="L51" s="3">
        <v>57.32</v>
      </c>
      <c r="M51" s="3"/>
      <c r="N51" s="3"/>
      <c r="O51" s="3">
        <v>92.56</v>
      </c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3">
      <c r="A52" s="2" t="s">
        <v>194</v>
      </c>
      <c r="B52" s="2" t="s">
        <v>200</v>
      </c>
      <c r="C52" s="3"/>
      <c r="D52" s="3"/>
      <c r="E52" s="3"/>
      <c r="F52" s="3"/>
      <c r="G52" s="3">
        <v>2236.5</v>
      </c>
      <c r="H52" s="3"/>
      <c r="I52" s="3"/>
      <c r="J52" s="3">
        <v>37425.199999999983</v>
      </c>
      <c r="K52" s="3"/>
      <c r="L52" s="3">
        <v>3454.8</v>
      </c>
      <c r="M52" s="3">
        <v>14591.84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3">
      <c r="A53" s="2" t="s">
        <v>195</v>
      </c>
      <c r="B53" s="2" t="s">
        <v>200</v>
      </c>
      <c r="C53" s="3"/>
      <c r="D53" s="3">
        <v>35000</v>
      </c>
      <c r="E53" s="3">
        <v>25000</v>
      </c>
      <c r="F53" s="3">
        <v>15585.456</v>
      </c>
      <c r="G53" s="3">
        <v>4818.5</v>
      </c>
      <c r="H53" s="3">
        <v>7736.3999999999978</v>
      </c>
      <c r="I53" s="3">
        <v>14266.5</v>
      </c>
      <c r="J53" s="3">
        <v>38101.939999999995</v>
      </c>
      <c r="K53" s="3"/>
      <c r="L53" s="3">
        <v>17464</v>
      </c>
      <c r="M53" s="3">
        <v>13037.87</v>
      </c>
      <c r="N53" s="3">
        <v>4199.9800000000005</v>
      </c>
      <c r="O53" s="3">
        <v>4449.75</v>
      </c>
      <c r="P53" s="3">
        <v>6009.25</v>
      </c>
      <c r="Q53" s="3"/>
      <c r="R53" s="3"/>
      <c r="S53" s="3">
        <v>9890.65</v>
      </c>
      <c r="T53" s="3">
        <v>10063</v>
      </c>
      <c r="U53" s="3"/>
      <c r="V53" s="3"/>
      <c r="W53" s="3"/>
      <c r="X53" s="3"/>
      <c r="Y53" s="3"/>
    </row>
    <row r="54" spans="1:25" x14ac:dyDescent="0.3">
      <c r="A54" s="2" t="s">
        <v>137</v>
      </c>
      <c r="B54" s="2" t="s">
        <v>200</v>
      </c>
      <c r="C54" s="3"/>
      <c r="D54" s="3"/>
      <c r="E54" s="3"/>
      <c r="F54" s="3"/>
      <c r="G54" s="3"/>
      <c r="H54" s="3"/>
      <c r="I54" s="3"/>
      <c r="J54" s="3"/>
      <c r="K54" s="3">
        <v>50.25</v>
      </c>
      <c r="L54" s="3">
        <v>231.35000000000002</v>
      </c>
      <c r="M54" s="3">
        <v>215.39999999999998</v>
      </c>
      <c r="N54" s="3">
        <v>37.340000000000003</v>
      </c>
      <c r="O54" s="3">
        <v>278.92</v>
      </c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3">
      <c r="A55" s="2" t="s">
        <v>196</v>
      </c>
      <c r="B55" s="2" t="s">
        <v>200</v>
      </c>
      <c r="C55" s="3"/>
      <c r="D55" s="3"/>
      <c r="E55" s="3"/>
      <c r="F55" s="3"/>
      <c r="G55" s="3"/>
      <c r="H55" s="3"/>
      <c r="I55" s="3"/>
      <c r="J55" s="3"/>
      <c r="K55" s="3">
        <v>9193.880000000001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3">
      <c r="A56" s="2" t="s">
        <v>197</v>
      </c>
      <c r="B56" s="2" t="s">
        <v>200</v>
      </c>
      <c r="C56" s="3"/>
      <c r="D56" s="3"/>
      <c r="E56" s="3"/>
      <c r="F56" s="3"/>
      <c r="G56" s="3"/>
      <c r="H56" s="3"/>
      <c r="I56" s="3"/>
      <c r="J56" s="3"/>
      <c r="K56" s="3"/>
      <c r="L56" s="3">
        <v>26286.9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3">
      <c r="A57" s="2" t="s">
        <v>198</v>
      </c>
      <c r="B57" s="2" t="s">
        <v>200</v>
      </c>
      <c r="C57" s="3"/>
      <c r="D57" s="3"/>
      <c r="E57" s="3"/>
      <c r="F57" s="3"/>
      <c r="G57" s="3"/>
      <c r="H57" s="3"/>
      <c r="I57" s="3"/>
      <c r="J57" s="3"/>
      <c r="K57" s="3"/>
      <c r="L57" s="3">
        <v>2292.25</v>
      </c>
      <c r="M57" s="3">
        <v>5570.25</v>
      </c>
      <c r="N57" s="3">
        <v>12683.66</v>
      </c>
      <c r="O57" s="3">
        <v>19251.590000000004</v>
      </c>
      <c r="P57" s="3">
        <v>6515.66</v>
      </c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3">
      <c r="A58" s="2" t="s">
        <v>199</v>
      </c>
      <c r="B58" s="2" t="s">
        <v>200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>
        <v>14120.74</v>
      </c>
      <c r="O58" s="3">
        <v>31078.36</v>
      </c>
      <c r="P58" s="3">
        <v>7240.6399999999994</v>
      </c>
      <c r="Q58" s="3"/>
      <c r="R58" s="3"/>
      <c r="S58" s="3"/>
      <c r="T58" s="3"/>
      <c r="U58" s="3"/>
      <c r="V58" s="3"/>
      <c r="W58" s="3"/>
      <c r="X58" s="3"/>
      <c r="Y5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3DB20-D416-4A50-AD31-EB652CC61530}">
  <sheetPr>
    <tabColor theme="5" tint="0.39997558519241921"/>
  </sheetPr>
  <dimension ref="A1:Z8"/>
  <sheetViews>
    <sheetView workbookViewId="0">
      <selection activeCell="D16" sqref="D16"/>
    </sheetView>
  </sheetViews>
  <sheetFormatPr baseColWidth="10" defaultRowHeight="14.4" x14ac:dyDescent="0.3"/>
  <cols>
    <col min="1" max="1" width="22.77734375" bestFit="1" customWidth="1"/>
    <col min="2" max="2" width="18" bestFit="1" customWidth="1"/>
  </cols>
  <sheetData>
    <row r="1" spans="1:26" x14ac:dyDescent="0.3">
      <c r="A1" s="1" t="s">
        <v>0</v>
      </c>
      <c r="B1" s="1" t="s">
        <v>173</v>
      </c>
      <c r="C1" s="1">
        <v>47</v>
      </c>
      <c r="D1" s="1">
        <v>48</v>
      </c>
      <c r="E1" s="1">
        <v>49</v>
      </c>
      <c r="F1" s="1">
        <v>50</v>
      </c>
      <c r="G1" s="1">
        <v>51</v>
      </c>
      <c r="H1" s="1">
        <v>52</v>
      </c>
      <c r="I1" s="1">
        <v>53</v>
      </c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</row>
    <row r="2" spans="1:26" x14ac:dyDescent="0.3">
      <c r="A2" t="s">
        <v>210</v>
      </c>
      <c r="B2" t="s">
        <v>213</v>
      </c>
      <c r="C2" s="6"/>
      <c r="D2" s="6">
        <v>33000</v>
      </c>
      <c r="E2" s="6">
        <v>33000</v>
      </c>
      <c r="F2">
        <v>22000</v>
      </c>
      <c r="G2" s="6">
        <v>24000</v>
      </c>
      <c r="H2" s="6">
        <v>22000</v>
      </c>
      <c r="W2" s="6">
        <v>22000</v>
      </c>
      <c r="X2" s="6">
        <v>10000</v>
      </c>
      <c r="Y2" s="6">
        <v>11000</v>
      </c>
    </row>
    <row r="3" spans="1:26" x14ac:dyDescent="0.3">
      <c r="A3" t="s">
        <v>211</v>
      </c>
      <c r="B3" t="s">
        <v>213</v>
      </c>
      <c r="C3" s="6">
        <v>12000</v>
      </c>
      <c r="D3" s="6">
        <v>33000</v>
      </c>
      <c r="E3" s="6">
        <v>44000</v>
      </c>
      <c r="F3">
        <v>22000</v>
      </c>
      <c r="G3" s="6">
        <v>22000</v>
      </c>
      <c r="H3" s="6">
        <v>24000</v>
      </c>
      <c r="W3" s="6">
        <v>20000</v>
      </c>
      <c r="X3" s="6">
        <v>20000</v>
      </c>
      <c r="Y3" s="6">
        <v>11000</v>
      </c>
    </row>
    <row r="4" spans="1:26" x14ac:dyDescent="0.3">
      <c r="A4" t="s">
        <v>175</v>
      </c>
      <c r="B4" t="s">
        <v>213</v>
      </c>
      <c r="C4" s="6">
        <v>12000</v>
      </c>
      <c r="D4" s="6">
        <v>12000</v>
      </c>
      <c r="E4" s="6">
        <v>12000</v>
      </c>
      <c r="W4" s="6">
        <v>11000</v>
      </c>
      <c r="X4" s="6">
        <v>22000</v>
      </c>
      <c r="Y4" s="6">
        <v>12000</v>
      </c>
    </row>
    <row r="5" spans="1:26" x14ac:dyDescent="0.3">
      <c r="A5" t="s">
        <v>212</v>
      </c>
      <c r="B5" t="s">
        <v>213</v>
      </c>
      <c r="C5" s="6"/>
      <c r="D5" s="6">
        <v>22000</v>
      </c>
      <c r="E5" s="6">
        <v>22000</v>
      </c>
      <c r="G5">
        <v>11000</v>
      </c>
    </row>
    <row r="6" spans="1:26" x14ac:dyDescent="0.3">
      <c r="A6" t="s">
        <v>210</v>
      </c>
      <c r="B6" t="s">
        <v>216</v>
      </c>
      <c r="C6" s="6">
        <v>11000</v>
      </c>
      <c r="D6" s="6">
        <v>11000</v>
      </c>
      <c r="E6" s="6">
        <v>11000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>
        <v>22000</v>
      </c>
      <c r="S6" s="6">
        <v>22000</v>
      </c>
      <c r="T6" s="6">
        <v>22000</v>
      </c>
      <c r="U6" s="6"/>
      <c r="V6" s="6">
        <v>11000</v>
      </c>
      <c r="W6" s="6">
        <v>11000</v>
      </c>
      <c r="X6" s="6">
        <v>11000</v>
      </c>
      <c r="Y6" s="6"/>
      <c r="Z6" s="6"/>
    </row>
    <row r="7" spans="1:26" x14ac:dyDescent="0.3">
      <c r="A7" t="s">
        <v>214</v>
      </c>
      <c r="B7" t="s">
        <v>216</v>
      </c>
      <c r="C7" s="6">
        <v>9000</v>
      </c>
      <c r="D7" s="6">
        <v>33000</v>
      </c>
      <c r="E7" s="6">
        <v>33000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>
        <v>22000</v>
      </c>
      <c r="S7" s="6">
        <v>30000</v>
      </c>
      <c r="T7" s="6">
        <v>33000</v>
      </c>
      <c r="U7" s="6"/>
      <c r="V7" s="6">
        <v>22000</v>
      </c>
      <c r="W7" s="6">
        <v>30000</v>
      </c>
      <c r="X7" s="6">
        <v>33000</v>
      </c>
      <c r="Y7" s="6"/>
      <c r="Z7" s="6"/>
    </row>
    <row r="8" spans="1:26" x14ac:dyDescent="0.3">
      <c r="A8" t="s">
        <v>215</v>
      </c>
      <c r="B8" t="s">
        <v>216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>
        <v>14000</v>
      </c>
      <c r="S8" s="6">
        <v>14000</v>
      </c>
      <c r="T8" s="6">
        <v>14000</v>
      </c>
      <c r="U8" s="6"/>
      <c r="V8" s="6">
        <v>14000</v>
      </c>
      <c r="W8" s="6">
        <v>14000</v>
      </c>
      <c r="X8" s="6">
        <v>14000</v>
      </c>
      <c r="Y8" s="6">
        <v>7000</v>
      </c>
      <c r="Z8" s="6">
        <v>28000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D586-9DE6-493B-B090-BC454EED5C15}">
  <sheetPr>
    <tabColor rgb="FF7030A0"/>
  </sheetPr>
  <dimension ref="A1:Z36"/>
  <sheetViews>
    <sheetView workbookViewId="0">
      <selection activeCell="A2" sqref="A2:Z5"/>
    </sheetView>
  </sheetViews>
  <sheetFormatPr baseColWidth="10" defaultRowHeight="14.4" x14ac:dyDescent="0.3"/>
  <cols>
    <col min="1" max="1" width="22.77734375" bestFit="1" customWidth="1"/>
    <col min="2" max="2" width="18" bestFit="1" customWidth="1"/>
  </cols>
  <sheetData>
    <row r="1" spans="1:26" x14ac:dyDescent="0.3">
      <c r="A1" s="1" t="s">
        <v>0</v>
      </c>
      <c r="B1" s="1" t="s">
        <v>173</v>
      </c>
      <c r="C1" s="1">
        <v>47</v>
      </c>
      <c r="D1" s="1">
        <v>48</v>
      </c>
      <c r="E1" s="1">
        <v>49</v>
      </c>
      <c r="F1" s="1">
        <v>50</v>
      </c>
      <c r="G1" s="1">
        <v>51</v>
      </c>
      <c r="H1" s="1">
        <v>52</v>
      </c>
      <c r="I1" s="1">
        <v>53</v>
      </c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</row>
    <row r="2" spans="1:26" x14ac:dyDescent="0.3">
      <c r="A2" t="s">
        <v>210</v>
      </c>
      <c r="B2" t="s">
        <v>218</v>
      </c>
      <c r="C2" s="6"/>
      <c r="D2" s="6"/>
      <c r="E2" s="6"/>
      <c r="G2" s="6">
        <v>6000</v>
      </c>
      <c r="H2" s="6"/>
      <c r="W2" s="6"/>
      <c r="X2" s="6"/>
      <c r="Y2" s="6"/>
    </row>
    <row r="3" spans="1:26" x14ac:dyDescent="0.3">
      <c r="A3" t="s">
        <v>211</v>
      </c>
      <c r="B3" t="s">
        <v>218</v>
      </c>
      <c r="C3" s="6"/>
      <c r="D3" s="6"/>
      <c r="E3" s="6"/>
      <c r="F3">
        <v>12000</v>
      </c>
      <c r="G3" s="6">
        <v>12000</v>
      </c>
      <c r="H3" s="6"/>
      <c r="W3" s="6"/>
      <c r="X3" s="6"/>
      <c r="Y3" s="6"/>
    </row>
    <row r="4" spans="1:26" x14ac:dyDescent="0.3">
      <c r="A4" t="s">
        <v>175</v>
      </c>
      <c r="B4" t="s">
        <v>218</v>
      </c>
      <c r="C4" s="6"/>
      <c r="D4" s="6"/>
      <c r="E4" s="6">
        <v>12000</v>
      </c>
      <c r="F4">
        <v>12000</v>
      </c>
      <c r="V4">
        <v>0</v>
      </c>
      <c r="W4" s="6">
        <v>12000</v>
      </c>
      <c r="X4" s="6">
        <v>20000</v>
      </c>
      <c r="Y4" s="6"/>
    </row>
    <row r="5" spans="1:26" x14ac:dyDescent="0.3">
      <c r="A5" t="s">
        <v>212</v>
      </c>
      <c r="B5" t="s">
        <v>217</v>
      </c>
      <c r="C5" s="6"/>
      <c r="D5" s="6"/>
      <c r="E5" s="6">
        <v>22000</v>
      </c>
      <c r="F5">
        <v>12000</v>
      </c>
      <c r="G5">
        <v>12000</v>
      </c>
      <c r="S5">
        <v>12000</v>
      </c>
      <c r="T5">
        <v>12000</v>
      </c>
      <c r="U5">
        <v>12000</v>
      </c>
      <c r="V5">
        <v>4000</v>
      </c>
      <c r="W5">
        <v>0</v>
      </c>
    </row>
    <row r="6" spans="1:2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6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6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6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E7DA-EE1B-43AD-BD42-2FAA9B5D6B8B}">
  <sheetPr filterMode="1">
    <tabColor theme="1" tint="4.9989318521683403E-2"/>
  </sheetPr>
  <dimension ref="A1:AB228"/>
  <sheetViews>
    <sheetView tabSelected="1" zoomScale="80" zoomScaleNormal="80" workbookViewId="0">
      <pane xSplit="3" ySplit="2" topLeftCell="D230" activePane="bottomRight" state="frozen"/>
      <selection pane="topRight" activeCell="D1" sqref="D1"/>
      <selection pane="bottomLeft" activeCell="A3" sqref="A3"/>
      <selection pane="bottomRight" activeCell="D4" sqref="D4:D226"/>
    </sheetView>
  </sheetViews>
  <sheetFormatPr baseColWidth="10" defaultRowHeight="14.4" x14ac:dyDescent="0.3"/>
  <cols>
    <col min="1" max="1" width="67" bestFit="1" customWidth="1"/>
    <col min="2" max="2" width="15.88671875" style="24" customWidth="1"/>
    <col min="3" max="3" width="36.33203125" customWidth="1"/>
    <col min="4" max="4" width="31.21875" customWidth="1"/>
  </cols>
  <sheetData>
    <row r="1" spans="1:28" s="31" customFormat="1" ht="40.200000000000003" customHeight="1" x14ac:dyDescent="0.3">
      <c r="B1" s="32"/>
      <c r="E1" s="63" t="s">
        <v>202</v>
      </c>
      <c r="F1" s="63"/>
      <c r="G1" s="63" t="s">
        <v>203</v>
      </c>
      <c r="H1" s="63"/>
      <c r="I1" s="63"/>
      <c r="J1" s="63"/>
      <c r="K1" s="63" t="s">
        <v>204</v>
      </c>
      <c r="L1" s="63"/>
      <c r="M1" s="63"/>
      <c r="N1" s="63"/>
      <c r="O1" s="63" t="s">
        <v>205</v>
      </c>
      <c r="P1" s="63"/>
      <c r="Q1" s="63"/>
      <c r="R1" s="63"/>
      <c r="S1" s="63" t="s">
        <v>206</v>
      </c>
      <c r="T1" s="63"/>
      <c r="U1" s="63"/>
      <c r="V1" s="63"/>
      <c r="W1" s="63"/>
      <c r="X1" s="63" t="s">
        <v>207</v>
      </c>
      <c r="Y1" s="63"/>
      <c r="Z1" s="63"/>
      <c r="AA1" s="63"/>
    </row>
    <row r="2" spans="1:28" s="12" customFormat="1" ht="28.8" customHeight="1" x14ac:dyDescent="0.3">
      <c r="A2" s="4" t="s">
        <v>0</v>
      </c>
      <c r="B2" s="4" t="s">
        <v>222</v>
      </c>
      <c r="C2" s="4" t="s">
        <v>173</v>
      </c>
      <c r="D2" s="60" t="s">
        <v>316</v>
      </c>
      <c r="E2" s="21">
        <v>47</v>
      </c>
      <c r="F2" s="21">
        <v>48</v>
      </c>
      <c r="G2" s="25">
        <v>49</v>
      </c>
      <c r="H2" s="25">
        <v>50</v>
      </c>
      <c r="I2" s="25">
        <v>51</v>
      </c>
      <c r="J2" s="25">
        <v>52</v>
      </c>
      <c r="K2" s="26">
        <v>1</v>
      </c>
      <c r="L2" s="26">
        <v>2</v>
      </c>
      <c r="M2" s="26">
        <v>3</v>
      </c>
      <c r="N2" s="26">
        <v>4</v>
      </c>
      <c r="O2" s="4">
        <v>5</v>
      </c>
      <c r="P2" s="4">
        <v>6</v>
      </c>
      <c r="Q2" s="4">
        <v>7</v>
      </c>
      <c r="R2" s="4">
        <v>8</v>
      </c>
      <c r="S2" s="21">
        <v>9</v>
      </c>
      <c r="T2" s="21">
        <v>10</v>
      </c>
      <c r="U2" s="21">
        <v>11</v>
      </c>
      <c r="V2" s="21">
        <v>12</v>
      </c>
      <c r="W2" s="21">
        <v>13</v>
      </c>
      <c r="X2" s="25">
        <v>14</v>
      </c>
      <c r="Y2" s="25">
        <v>15</v>
      </c>
      <c r="Z2" s="25">
        <v>16</v>
      </c>
      <c r="AA2" s="25">
        <v>17</v>
      </c>
      <c r="AB2" s="4"/>
    </row>
    <row r="3" spans="1:28" hidden="1" x14ac:dyDescent="0.3">
      <c r="A3" s="13" t="s">
        <v>3</v>
      </c>
      <c r="B3" s="19" t="s">
        <v>224</v>
      </c>
      <c r="C3" s="13" t="s">
        <v>220</v>
      </c>
      <c r="D3" s="61">
        <v>2047.5</v>
      </c>
      <c r="E3" s="13"/>
      <c r="F3" s="13"/>
      <c r="G3" s="13"/>
      <c r="H3" s="7"/>
      <c r="I3" s="7"/>
      <c r="J3" s="7">
        <v>0</v>
      </c>
      <c r="K3" s="7">
        <v>19459.599999999999</v>
      </c>
      <c r="L3" s="7">
        <v>73294.000000000029</v>
      </c>
      <c r="M3" s="7">
        <v>57949.050000000025</v>
      </c>
      <c r="N3" s="7">
        <v>63103.390000000014</v>
      </c>
      <c r="O3" s="7">
        <v>50794.960000000006</v>
      </c>
      <c r="P3" s="7">
        <v>15963.539999999999</v>
      </c>
      <c r="S3" s="7">
        <v>2318.06</v>
      </c>
      <c r="T3" s="7">
        <v>768.34</v>
      </c>
      <c r="U3" s="7"/>
      <c r="V3" s="7"/>
      <c r="W3" s="7"/>
      <c r="X3" s="7"/>
      <c r="Y3" s="7"/>
      <c r="Z3" s="14"/>
      <c r="AA3" s="14"/>
    </row>
    <row r="4" spans="1:28" x14ac:dyDescent="0.3">
      <c r="A4" s="13" t="s">
        <v>26</v>
      </c>
      <c r="B4" s="19" t="s">
        <v>224</v>
      </c>
      <c r="C4" s="13" t="s">
        <v>314</v>
      </c>
      <c r="D4" s="61">
        <v>3050</v>
      </c>
      <c r="E4" s="13"/>
      <c r="F4" s="13"/>
      <c r="G4" s="13"/>
      <c r="H4" s="7"/>
      <c r="I4" s="7"/>
      <c r="J4" s="7"/>
      <c r="K4" s="7">
        <v>46000</v>
      </c>
      <c r="L4" s="7">
        <v>36000</v>
      </c>
      <c r="M4" s="7"/>
      <c r="N4" s="7"/>
      <c r="O4" s="7"/>
      <c r="P4" s="7"/>
      <c r="S4" s="7"/>
      <c r="T4" s="7"/>
      <c r="U4" s="7"/>
      <c r="V4" s="7"/>
      <c r="W4" s="7"/>
      <c r="X4" s="7"/>
      <c r="Y4" s="7"/>
      <c r="Z4" s="14"/>
      <c r="AA4" s="14"/>
    </row>
    <row r="5" spans="1:28" hidden="1" x14ac:dyDescent="0.3">
      <c r="A5" s="13" t="s">
        <v>175</v>
      </c>
      <c r="B5" s="19" t="s">
        <v>224</v>
      </c>
      <c r="C5" s="13" t="s">
        <v>220</v>
      </c>
      <c r="D5" s="61">
        <v>2047.5</v>
      </c>
      <c r="E5" s="13"/>
      <c r="F5" s="13"/>
      <c r="G5" s="13"/>
      <c r="H5" s="7">
        <v>24000</v>
      </c>
      <c r="I5" s="7">
        <v>35000</v>
      </c>
      <c r="J5" s="7">
        <v>78000</v>
      </c>
      <c r="K5" s="7"/>
      <c r="L5" s="7"/>
      <c r="M5" s="7"/>
      <c r="N5" s="7">
        <v>21000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14"/>
      <c r="AA5" s="14"/>
    </row>
    <row r="6" spans="1:28" hidden="1" x14ac:dyDescent="0.3">
      <c r="A6" s="13" t="s">
        <v>175</v>
      </c>
      <c r="B6" s="19" t="s">
        <v>224</v>
      </c>
      <c r="C6" s="13" t="s">
        <v>220</v>
      </c>
      <c r="D6" s="61">
        <v>2047.5</v>
      </c>
      <c r="E6" s="13"/>
      <c r="F6" s="13"/>
      <c r="G6" s="13"/>
      <c r="H6" s="7"/>
      <c r="I6" s="7"/>
      <c r="J6" s="7">
        <v>0</v>
      </c>
      <c r="K6" s="7">
        <v>45000</v>
      </c>
      <c r="L6" s="7">
        <v>55000</v>
      </c>
      <c r="M6" s="7"/>
      <c r="N6" s="7"/>
      <c r="O6" s="7">
        <v>22000</v>
      </c>
      <c r="P6" s="7">
        <v>22000</v>
      </c>
      <c r="Q6" s="7">
        <v>21000</v>
      </c>
      <c r="R6" s="7">
        <v>0</v>
      </c>
      <c r="V6" s="7"/>
      <c r="W6" s="7"/>
      <c r="X6" s="7"/>
      <c r="Y6" s="7"/>
      <c r="Z6" s="14"/>
      <c r="AA6" s="14"/>
    </row>
    <row r="7" spans="1:28" hidden="1" x14ac:dyDescent="0.3">
      <c r="A7" s="13" t="s">
        <v>156</v>
      </c>
      <c r="B7" s="19" t="s">
        <v>224</v>
      </c>
      <c r="C7" s="13" t="s">
        <v>220</v>
      </c>
      <c r="D7" s="61">
        <v>2047.5</v>
      </c>
      <c r="E7" s="13"/>
      <c r="F7" s="13"/>
      <c r="G7" s="13"/>
      <c r="H7" s="7"/>
      <c r="I7" s="7"/>
      <c r="J7" s="7">
        <v>4902.3599999999997</v>
      </c>
      <c r="K7" s="7">
        <v>5837.5399999999991</v>
      </c>
      <c r="L7" s="7">
        <v>26154.5</v>
      </c>
      <c r="M7" s="7">
        <v>3906.42</v>
      </c>
      <c r="N7" s="7">
        <v>22646.359999999997</v>
      </c>
      <c r="O7" s="7">
        <v>45762.239999999998</v>
      </c>
      <c r="P7" s="7">
        <v>20395.110000000004</v>
      </c>
      <c r="Q7" s="7">
        <v>16958.800000000003</v>
      </c>
      <c r="R7" s="7">
        <v>18043.599999999999</v>
      </c>
      <c r="S7" s="7">
        <v>9857.1399999999976</v>
      </c>
      <c r="T7" s="7">
        <v>2945.3399999999997</v>
      </c>
      <c r="U7" s="7">
        <v>3206.58</v>
      </c>
      <c r="V7" s="7"/>
      <c r="W7" s="7"/>
      <c r="X7" s="7"/>
      <c r="Y7" s="7"/>
      <c r="Z7" s="14"/>
      <c r="AA7" s="14"/>
    </row>
    <row r="8" spans="1:28" hidden="1" x14ac:dyDescent="0.3">
      <c r="A8" s="13" t="s">
        <v>157</v>
      </c>
      <c r="B8" s="19" t="s">
        <v>224</v>
      </c>
      <c r="C8" s="13" t="s">
        <v>220</v>
      </c>
      <c r="D8" s="61">
        <v>2047.5</v>
      </c>
      <c r="E8" s="13"/>
      <c r="F8" s="13"/>
      <c r="G8" s="13"/>
      <c r="H8" s="7"/>
      <c r="I8" s="7"/>
      <c r="J8" s="7">
        <v>0</v>
      </c>
      <c r="K8" s="7">
        <v>15540</v>
      </c>
      <c r="L8" s="7">
        <v>42097.09</v>
      </c>
      <c r="M8" s="7">
        <v>1790</v>
      </c>
      <c r="N8" s="7">
        <v>3265.35</v>
      </c>
      <c r="O8" s="7">
        <v>18913.050000000003</v>
      </c>
      <c r="P8" s="7">
        <v>1410.6399999999999</v>
      </c>
      <c r="Q8" s="7">
        <v>8410.7999999999993</v>
      </c>
      <c r="T8" s="7"/>
      <c r="U8" s="7"/>
      <c r="V8" s="7"/>
      <c r="W8" s="7"/>
      <c r="X8" s="7"/>
      <c r="Y8" s="7"/>
      <c r="Z8" s="14"/>
      <c r="AA8" s="14"/>
    </row>
    <row r="9" spans="1:28" hidden="1" x14ac:dyDescent="0.3">
      <c r="A9" s="13" t="s">
        <v>158</v>
      </c>
      <c r="B9" s="19" t="s">
        <v>224</v>
      </c>
      <c r="C9" s="13" t="s">
        <v>220</v>
      </c>
      <c r="D9" s="61">
        <v>2047.5</v>
      </c>
      <c r="E9" s="13"/>
      <c r="F9" s="13"/>
      <c r="G9" s="13"/>
      <c r="H9" s="7">
        <v>0</v>
      </c>
      <c r="I9" s="7">
        <v>438.3</v>
      </c>
      <c r="J9" s="7">
        <v>2840.86</v>
      </c>
      <c r="K9" s="7">
        <v>3272.1400000000003</v>
      </c>
      <c r="L9" s="7">
        <v>3135.42</v>
      </c>
      <c r="M9" s="7">
        <v>2357.56</v>
      </c>
      <c r="N9" s="7">
        <v>2769.16</v>
      </c>
      <c r="O9" s="7">
        <v>1457.08</v>
      </c>
      <c r="P9" s="7">
        <v>1622.92</v>
      </c>
      <c r="Q9" s="7">
        <v>3121.7200000000003</v>
      </c>
      <c r="R9" s="7">
        <v>1651.38</v>
      </c>
      <c r="S9" s="7"/>
      <c r="T9" s="7"/>
      <c r="U9" s="7">
        <v>2712.5449999999996</v>
      </c>
      <c r="V9" s="7">
        <v>2119.5</v>
      </c>
      <c r="W9" s="7"/>
      <c r="X9" s="7"/>
      <c r="Y9" s="7"/>
      <c r="Z9" s="14"/>
      <c r="AA9" s="14"/>
    </row>
    <row r="10" spans="1:28" hidden="1" x14ac:dyDescent="0.3">
      <c r="A10" s="13" t="s">
        <v>159</v>
      </c>
      <c r="B10" s="19" t="s">
        <v>224</v>
      </c>
      <c r="C10" s="13" t="s">
        <v>220</v>
      </c>
      <c r="D10" s="61">
        <v>2047.5</v>
      </c>
      <c r="E10" s="13"/>
      <c r="F10" s="13"/>
      <c r="G10" s="13"/>
      <c r="H10" s="7"/>
      <c r="I10" s="7"/>
      <c r="J10" s="7">
        <v>0</v>
      </c>
      <c r="K10" s="7"/>
      <c r="L10" s="7"/>
      <c r="M10" s="7"/>
      <c r="N10" s="7"/>
      <c r="O10" s="7">
        <v>28775.99</v>
      </c>
      <c r="P10" s="7">
        <v>39310.5</v>
      </c>
      <c r="Q10" s="7">
        <v>15533.599999999999</v>
      </c>
      <c r="R10" s="7">
        <v>13097.25</v>
      </c>
      <c r="S10" s="7">
        <v>10928.25</v>
      </c>
      <c r="T10" s="7">
        <v>6758.4</v>
      </c>
      <c r="U10" s="7">
        <v>9138.9000000000015</v>
      </c>
      <c r="V10" s="7">
        <v>5064.8999999999996</v>
      </c>
      <c r="W10" s="7">
        <v>1035</v>
      </c>
      <c r="X10" s="7"/>
      <c r="Y10" s="7"/>
      <c r="Z10" s="14"/>
      <c r="AA10" s="14"/>
    </row>
    <row r="11" spans="1:28" hidden="1" x14ac:dyDescent="0.3">
      <c r="A11" s="13" t="s">
        <v>160</v>
      </c>
      <c r="B11" s="19" t="s">
        <v>224</v>
      </c>
      <c r="C11" s="13" t="s">
        <v>220</v>
      </c>
      <c r="D11" s="61">
        <v>2047.5</v>
      </c>
      <c r="E11" s="13"/>
      <c r="F11" s="13"/>
      <c r="G11" s="13"/>
      <c r="H11" s="7"/>
      <c r="I11" s="7"/>
      <c r="J11" s="7">
        <v>0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>
        <v>3200</v>
      </c>
      <c r="V11" s="7">
        <v>78763.5</v>
      </c>
      <c r="W11" s="7">
        <v>39444.75</v>
      </c>
      <c r="X11" s="7"/>
      <c r="Y11" s="7"/>
      <c r="Z11" s="14"/>
      <c r="AA11" s="14"/>
    </row>
    <row r="12" spans="1:28" hidden="1" x14ac:dyDescent="0.3">
      <c r="A12" s="13" t="s">
        <v>161</v>
      </c>
      <c r="B12" s="19" t="s">
        <v>224</v>
      </c>
      <c r="C12" s="13" t="s">
        <v>220</v>
      </c>
      <c r="D12" s="61">
        <v>2047.5</v>
      </c>
      <c r="E12" s="13"/>
      <c r="F12" s="13"/>
      <c r="G12" s="13"/>
      <c r="H12" s="7"/>
      <c r="I12" s="7">
        <v>21979.449999999997</v>
      </c>
      <c r="J12" s="7">
        <v>32329.600000000002</v>
      </c>
      <c r="K12" s="7">
        <v>51199.15</v>
      </c>
      <c r="L12" s="7">
        <v>2291.5</v>
      </c>
      <c r="M12" s="7"/>
      <c r="N12" s="7"/>
      <c r="O12" s="7"/>
      <c r="T12" s="7"/>
      <c r="U12" s="7"/>
      <c r="V12" s="7"/>
      <c r="W12" s="7"/>
      <c r="X12" s="7"/>
      <c r="Y12" s="7"/>
      <c r="Z12" s="14"/>
      <c r="AA12" s="14"/>
    </row>
    <row r="13" spans="1:28" hidden="1" x14ac:dyDescent="0.3">
      <c r="A13" s="13" t="s">
        <v>162</v>
      </c>
      <c r="B13" s="19" t="s">
        <v>224</v>
      </c>
      <c r="C13" s="13" t="s">
        <v>220</v>
      </c>
      <c r="D13" s="61">
        <v>2047.5</v>
      </c>
      <c r="E13" s="13"/>
      <c r="F13" s="13"/>
      <c r="G13" s="13"/>
      <c r="H13" s="7"/>
      <c r="I13" s="7"/>
      <c r="J13" s="7"/>
      <c r="K13" s="7"/>
      <c r="L13" s="7">
        <v>2610.12</v>
      </c>
      <c r="M13" s="7">
        <v>11435.4</v>
      </c>
      <c r="N13" s="7">
        <v>1787.1</v>
      </c>
      <c r="O13" s="7">
        <v>1737.24</v>
      </c>
      <c r="T13" s="7"/>
      <c r="U13" s="7"/>
      <c r="V13" s="7"/>
      <c r="W13" s="7"/>
      <c r="X13" s="7"/>
      <c r="Y13" s="7"/>
      <c r="Z13" s="14"/>
      <c r="AA13" s="14"/>
    </row>
    <row r="14" spans="1:28" hidden="1" x14ac:dyDescent="0.3">
      <c r="A14" s="13" t="s">
        <v>163</v>
      </c>
      <c r="B14" s="19" t="s">
        <v>224</v>
      </c>
      <c r="C14" s="13" t="s">
        <v>220</v>
      </c>
      <c r="D14" s="61">
        <v>2047.5</v>
      </c>
      <c r="E14" s="13"/>
      <c r="F14" s="13"/>
      <c r="G14" s="13"/>
      <c r="H14" s="7"/>
      <c r="I14" s="7"/>
      <c r="J14" s="7">
        <v>0</v>
      </c>
      <c r="K14" s="7"/>
      <c r="L14" s="7"/>
      <c r="M14" s="7"/>
      <c r="N14" s="7"/>
      <c r="O14" s="7">
        <v>12553.660000000002</v>
      </c>
      <c r="P14" s="7">
        <v>37345.120000000003</v>
      </c>
      <c r="Q14" s="7">
        <v>17126.739999999998</v>
      </c>
      <c r="R14" s="7">
        <v>14775.099999999999</v>
      </c>
      <c r="S14" s="7"/>
      <c r="T14" s="7"/>
      <c r="U14" s="7"/>
      <c r="V14" s="7"/>
      <c r="W14" s="7"/>
      <c r="X14" s="7"/>
      <c r="Y14" s="7"/>
      <c r="Z14" s="14"/>
      <c r="AA14" s="14"/>
    </row>
    <row r="15" spans="1:28" hidden="1" x14ac:dyDescent="0.3">
      <c r="A15" s="13" t="s">
        <v>24</v>
      </c>
      <c r="B15" s="19" t="s">
        <v>224</v>
      </c>
      <c r="C15" s="13" t="s">
        <v>220</v>
      </c>
      <c r="D15" s="61">
        <v>2047.5</v>
      </c>
      <c r="E15" s="13"/>
      <c r="F15" s="13"/>
      <c r="G15" s="13"/>
      <c r="H15" s="7"/>
      <c r="I15" s="7"/>
      <c r="J15" s="7">
        <v>0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>
        <v>23299.1</v>
      </c>
      <c r="V15" s="7">
        <v>21643.440000000002</v>
      </c>
      <c r="W15" s="7">
        <v>11759.64</v>
      </c>
      <c r="X15" s="7"/>
      <c r="Y15" s="7"/>
      <c r="Z15" s="14"/>
      <c r="AA15" s="14"/>
    </row>
    <row r="16" spans="1:28" hidden="1" x14ac:dyDescent="0.3">
      <c r="A16" s="13" t="s">
        <v>164</v>
      </c>
      <c r="B16" s="19" t="s">
        <v>224</v>
      </c>
      <c r="C16" s="13" t="s">
        <v>220</v>
      </c>
      <c r="D16" s="61">
        <v>2047.5</v>
      </c>
      <c r="E16" s="13"/>
      <c r="F16" s="13"/>
      <c r="G16" s="13"/>
      <c r="H16" s="7"/>
      <c r="I16" s="7"/>
      <c r="J16" s="7">
        <v>0</v>
      </c>
      <c r="K16" s="7"/>
      <c r="L16" s="7"/>
      <c r="M16" s="7"/>
      <c r="N16" s="7"/>
      <c r="O16" s="7"/>
      <c r="P16" s="7"/>
      <c r="Q16" s="7"/>
      <c r="R16" s="7"/>
      <c r="S16" s="7"/>
      <c r="T16" s="7">
        <v>1673.45</v>
      </c>
      <c r="U16" s="7">
        <v>1714.55</v>
      </c>
      <c r="V16" s="7">
        <v>597</v>
      </c>
      <c r="W16" s="7">
        <v>86</v>
      </c>
      <c r="X16" s="7"/>
      <c r="Y16" s="7"/>
      <c r="Z16" s="14"/>
      <c r="AA16" s="14"/>
    </row>
    <row r="17" spans="1:28" hidden="1" x14ac:dyDescent="0.3">
      <c r="A17" s="13" t="s">
        <v>165</v>
      </c>
      <c r="B17" s="19" t="s">
        <v>224</v>
      </c>
      <c r="C17" s="13" t="s">
        <v>220</v>
      </c>
      <c r="D17" s="61">
        <v>2047.5</v>
      </c>
      <c r="E17" s="13"/>
      <c r="F17" s="13"/>
      <c r="G17" s="13"/>
      <c r="H17" s="7"/>
      <c r="I17" s="7"/>
      <c r="J17" s="7">
        <v>0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>
        <v>16710.5</v>
      </c>
      <c r="V17" s="7"/>
      <c r="W17" s="7"/>
      <c r="X17" s="7"/>
      <c r="Y17" s="7"/>
      <c r="Z17" s="14"/>
      <c r="AA17" s="14"/>
    </row>
    <row r="18" spans="1:28" hidden="1" x14ac:dyDescent="0.3">
      <c r="A18" s="13" t="s">
        <v>166</v>
      </c>
      <c r="B18" s="19" t="s">
        <v>224</v>
      </c>
      <c r="C18" s="13" t="s">
        <v>220</v>
      </c>
      <c r="D18" s="61">
        <v>2047.5</v>
      </c>
      <c r="E18" s="13"/>
      <c r="F18" s="13"/>
      <c r="G18" s="13"/>
      <c r="H18" s="7"/>
      <c r="I18" s="7">
        <v>1983.5300000000002</v>
      </c>
      <c r="J18" s="7">
        <v>4114.8599999999997</v>
      </c>
      <c r="K18" s="7">
        <v>2108.44</v>
      </c>
      <c r="L18" s="7">
        <v>2604.54</v>
      </c>
      <c r="M18" s="7">
        <v>1202.1600000000001</v>
      </c>
      <c r="N18" s="7">
        <v>6297.1</v>
      </c>
      <c r="O18" s="7">
        <v>2221.92</v>
      </c>
      <c r="P18" s="7">
        <v>718.66</v>
      </c>
      <c r="Q18" s="7">
        <v>678.28</v>
      </c>
      <c r="R18" s="7"/>
      <c r="S18" s="7"/>
      <c r="T18" s="7"/>
      <c r="U18" s="7"/>
      <c r="V18" s="7"/>
      <c r="W18" s="7">
        <v>601.52</v>
      </c>
      <c r="X18" s="7"/>
      <c r="Y18" s="7"/>
      <c r="Z18" s="14"/>
      <c r="AA18" s="14"/>
    </row>
    <row r="19" spans="1:28" hidden="1" x14ac:dyDescent="0.3">
      <c r="A19" s="13" t="s">
        <v>167</v>
      </c>
      <c r="B19" s="19" t="s">
        <v>224</v>
      </c>
      <c r="C19" s="13" t="s">
        <v>220</v>
      </c>
      <c r="D19" s="61">
        <v>2047.5</v>
      </c>
      <c r="E19" s="13"/>
      <c r="F19" s="13"/>
      <c r="G19" s="13"/>
      <c r="H19" s="7"/>
      <c r="I19" s="7"/>
      <c r="J19" s="7">
        <v>0</v>
      </c>
      <c r="K19" s="7"/>
      <c r="L19" s="7"/>
      <c r="M19" s="7"/>
      <c r="N19" s="7"/>
      <c r="O19" s="7">
        <v>28348.400000000012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14"/>
      <c r="AA19" s="14"/>
    </row>
    <row r="20" spans="1:28" hidden="1" x14ac:dyDescent="0.3">
      <c r="A20" s="13" t="s">
        <v>168</v>
      </c>
      <c r="B20" s="19" t="s">
        <v>224</v>
      </c>
      <c r="C20" s="13" t="s">
        <v>220</v>
      </c>
      <c r="D20" s="61">
        <v>2047.5</v>
      </c>
      <c r="E20" s="13"/>
      <c r="F20" s="13"/>
      <c r="G20" s="13"/>
      <c r="H20" s="7"/>
      <c r="I20" s="7"/>
      <c r="J20" s="7">
        <v>0</v>
      </c>
      <c r="K20" s="7"/>
      <c r="L20" s="7"/>
      <c r="M20" s="7"/>
      <c r="N20" s="7">
        <v>1281.25</v>
      </c>
      <c r="O20" s="7">
        <v>2209</v>
      </c>
      <c r="P20" s="7">
        <v>5806.12</v>
      </c>
      <c r="Q20" s="7">
        <v>5576.5</v>
      </c>
      <c r="R20" s="7">
        <v>4994.5</v>
      </c>
      <c r="S20" s="7">
        <v>2413.4499999999998</v>
      </c>
      <c r="T20" s="7">
        <v>3010.65</v>
      </c>
      <c r="U20" s="7">
        <v>3019</v>
      </c>
      <c r="V20" s="7">
        <v>620.85</v>
      </c>
      <c r="W20" s="7"/>
      <c r="X20" s="7"/>
      <c r="Y20" s="7"/>
      <c r="Z20" s="14"/>
      <c r="AA20" s="14"/>
    </row>
    <row r="21" spans="1:28" hidden="1" x14ac:dyDescent="0.3">
      <c r="A21" s="13" t="s">
        <v>169</v>
      </c>
      <c r="B21" s="19" t="s">
        <v>224</v>
      </c>
      <c r="C21" s="13" t="s">
        <v>220</v>
      </c>
      <c r="D21" s="61">
        <v>2047.5</v>
      </c>
      <c r="E21" s="13"/>
      <c r="F21" s="13"/>
      <c r="G21" s="13"/>
      <c r="H21" s="7"/>
      <c r="I21" s="7"/>
      <c r="J21" s="7">
        <v>0</v>
      </c>
      <c r="K21" s="7"/>
      <c r="L21" s="7"/>
      <c r="M21" s="7"/>
      <c r="N21" s="7">
        <v>18324.559999999998</v>
      </c>
      <c r="O21" s="7">
        <v>7238.02</v>
      </c>
      <c r="P21" s="7">
        <v>13334.65</v>
      </c>
      <c r="Q21" s="7">
        <v>15300.430000000002</v>
      </c>
      <c r="R21" s="7">
        <v>16276.92</v>
      </c>
      <c r="S21" s="7">
        <v>7707.4400000000014</v>
      </c>
      <c r="T21" s="7"/>
      <c r="U21" s="7"/>
      <c r="V21" s="7">
        <v>5199.0499999999993</v>
      </c>
      <c r="W21" s="7">
        <v>506.2</v>
      </c>
      <c r="X21" s="7"/>
      <c r="Y21" s="7"/>
      <c r="Z21" s="14"/>
      <c r="AA21" s="14"/>
    </row>
    <row r="22" spans="1:28" hidden="1" x14ac:dyDescent="0.3">
      <c r="A22" s="13" t="s">
        <v>170</v>
      </c>
      <c r="B22" s="19" t="s">
        <v>224</v>
      </c>
      <c r="C22" s="13" t="s">
        <v>220</v>
      </c>
      <c r="D22" s="61">
        <v>2047.5</v>
      </c>
      <c r="E22" s="13"/>
      <c r="F22" s="13"/>
      <c r="G22" s="13"/>
      <c r="H22" s="7"/>
      <c r="I22" s="7"/>
      <c r="J22" s="7">
        <v>0</v>
      </c>
      <c r="K22" s="7"/>
      <c r="L22" s="7"/>
      <c r="M22" s="7"/>
      <c r="N22" s="7"/>
      <c r="O22" s="7"/>
      <c r="P22" s="7"/>
      <c r="Q22" s="7"/>
      <c r="R22" s="7"/>
      <c r="S22" s="7"/>
      <c r="T22" s="7">
        <v>1856.7</v>
      </c>
      <c r="U22" s="7"/>
      <c r="V22" s="7"/>
      <c r="W22" s="7"/>
      <c r="X22" s="7"/>
      <c r="Y22" s="7"/>
      <c r="Z22" s="14"/>
      <c r="AA22" s="14"/>
    </row>
    <row r="23" spans="1:28" hidden="1" x14ac:dyDescent="0.3">
      <c r="A23" s="13" t="s">
        <v>171</v>
      </c>
      <c r="B23" s="19" t="s">
        <v>224</v>
      </c>
      <c r="C23" s="13" t="s">
        <v>220</v>
      </c>
      <c r="D23" s="61">
        <v>2047.5</v>
      </c>
      <c r="E23" s="13"/>
      <c r="F23" s="13"/>
      <c r="G23" s="13"/>
      <c r="H23" s="7"/>
      <c r="I23" s="7"/>
      <c r="J23" s="7">
        <v>0</v>
      </c>
      <c r="K23" s="7"/>
      <c r="L23" s="7"/>
      <c r="M23" s="7"/>
      <c r="N23" s="7">
        <v>6833.5</v>
      </c>
      <c r="O23" s="7">
        <v>15024.699999999999</v>
      </c>
      <c r="P23" s="7"/>
      <c r="Q23" s="7">
        <v>3368.5</v>
      </c>
      <c r="R23" s="7">
        <v>5003.1000000000004</v>
      </c>
      <c r="S23" s="7">
        <v>25507.200000000001</v>
      </c>
      <c r="T23" s="7">
        <v>7472.7499999999991</v>
      </c>
      <c r="U23" s="7"/>
      <c r="V23" s="7"/>
      <c r="W23" s="7"/>
      <c r="X23" s="7"/>
      <c r="Y23" s="7"/>
      <c r="Z23" s="14"/>
      <c r="AA23" s="14"/>
    </row>
    <row r="24" spans="1:28" hidden="1" x14ac:dyDescent="0.3">
      <c r="A24" s="13" t="s">
        <v>172</v>
      </c>
      <c r="B24" s="19" t="s">
        <v>224</v>
      </c>
      <c r="C24" s="13" t="s">
        <v>220</v>
      </c>
      <c r="D24" s="61">
        <v>2047.5</v>
      </c>
      <c r="E24" s="13"/>
      <c r="F24" s="13"/>
      <c r="G24" s="13"/>
      <c r="H24" s="7"/>
      <c r="I24" s="7"/>
      <c r="J24" s="7">
        <v>0</v>
      </c>
      <c r="K24" s="7"/>
      <c r="L24" s="7"/>
      <c r="M24" s="7"/>
      <c r="N24" s="7"/>
      <c r="O24" s="7"/>
      <c r="P24" s="7"/>
      <c r="Q24" s="7"/>
      <c r="R24" s="7"/>
      <c r="S24" s="7"/>
      <c r="T24" s="7">
        <v>5762</v>
      </c>
      <c r="U24" s="7">
        <v>35120.074999999997</v>
      </c>
      <c r="V24" s="7"/>
      <c r="W24" s="7">
        <v>9509.8000000000011</v>
      </c>
      <c r="X24" s="7"/>
      <c r="Y24" s="7"/>
      <c r="Z24" s="14"/>
      <c r="AA24" s="14"/>
    </row>
    <row r="25" spans="1:28" hidden="1" x14ac:dyDescent="0.3">
      <c r="A25" s="13" t="s">
        <v>2</v>
      </c>
      <c r="B25" s="19" t="s">
        <v>224</v>
      </c>
      <c r="C25" s="13" t="s">
        <v>221</v>
      </c>
      <c r="D25" s="61">
        <v>1410.5</v>
      </c>
      <c r="E25" s="13"/>
      <c r="F25" s="7"/>
      <c r="G25" s="7"/>
      <c r="H25" s="7"/>
      <c r="I25" s="7"/>
      <c r="J25" s="7">
        <v>0</v>
      </c>
      <c r="K25" s="7"/>
      <c r="L25" s="7"/>
      <c r="M25" s="7">
        <v>63503.95</v>
      </c>
      <c r="N25" s="7">
        <v>54797.51</v>
      </c>
      <c r="O25" s="7">
        <v>0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3"/>
    </row>
    <row r="26" spans="1:28" hidden="1" x14ac:dyDescent="0.3">
      <c r="A26" s="13" t="s">
        <v>176</v>
      </c>
      <c r="B26" s="19" t="s">
        <v>224</v>
      </c>
      <c r="C26" s="13" t="s">
        <v>221</v>
      </c>
      <c r="D26" s="61">
        <v>1410.5</v>
      </c>
      <c r="E26" s="13"/>
      <c r="F26" s="7"/>
      <c r="G26" s="7"/>
      <c r="H26" s="7"/>
      <c r="I26" s="7"/>
      <c r="J26" s="7">
        <v>4968.2</v>
      </c>
      <c r="K26" s="7">
        <v>7740.2799999999979</v>
      </c>
      <c r="L26" s="7">
        <v>66191.790000000008</v>
      </c>
      <c r="M26" s="7">
        <v>37687.53</v>
      </c>
      <c r="N26" s="7">
        <v>35962.870000000003</v>
      </c>
      <c r="O26" s="7">
        <v>31780.420000000006</v>
      </c>
      <c r="P26" s="7">
        <v>17198.739999999998</v>
      </c>
      <c r="Q26" s="7">
        <v>371</v>
      </c>
      <c r="R26" s="7"/>
      <c r="S26" s="7"/>
      <c r="T26" s="7"/>
      <c r="U26" s="7"/>
      <c r="V26" s="7"/>
      <c r="W26" s="7"/>
      <c r="X26" s="7"/>
      <c r="Y26" s="7"/>
      <c r="Z26" s="7"/>
      <c r="AA26" s="7"/>
      <c r="AB26" s="3"/>
    </row>
    <row r="27" spans="1:28" hidden="1" x14ac:dyDescent="0.3">
      <c r="A27" s="13" t="s">
        <v>201</v>
      </c>
      <c r="B27" s="19" t="s">
        <v>224</v>
      </c>
      <c r="C27" s="13" t="s">
        <v>221</v>
      </c>
      <c r="D27" s="61">
        <v>1410.5</v>
      </c>
      <c r="E27" s="13"/>
      <c r="F27" s="7"/>
      <c r="G27" s="7"/>
      <c r="H27" s="7"/>
      <c r="I27" s="7"/>
      <c r="J27" s="7">
        <v>0</v>
      </c>
      <c r="K27" s="7"/>
      <c r="L27" s="7"/>
      <c r="M27" s="7"/>
      <c r="N27" s="7"/>
      <c r="O27" s="7">
        <v>3807.3300000000004</v>
      </c>
      <c r="P27" s="7">
        <v>8751.44</v>
      </c>
      <c r="Q27" s="7"/>
      <c r="R27" s="7"/>
      <c r="S27" s="7">
        <v>25000</v>
      </c>
      <c r="T27" s="7">
        <v>15000</v>
      </c>
      <c r="U27" s="7">
        <v>10000</v>
      </c>
      <c r="V27" s="7"/>
      <c r="W27" s="7"/>
      <c r="X27" s="7"/>
      <c r="Y27" s="7"/>
      <c r="Z27" s="7"/>
      <c r="AA27" s="7"/>
      <c r="AB27" s="3"/>
    </row>
    <row r="28" spans="1:28" hidden="1" x14ac:dyDescent="0.3">
      <c r="A28" s="13" t="s">
        <v>177</v>
      </c>
      <c r="B28" s="19" t="s">
        <v>224</v>
      </c>
      <c r="C28" s="13" t="s">
        <v>221</v>
      </c>
      <c r="D28" s="61">
        <v>1410.5</v>
      </c>
      <c r="E28" s="13"/>
      <c r="F28" s="7"/>
      <c r="G28" s="7"/>
      <c r="H28" s="7"/>
      <c r="I28" s="7"/>
      <c r="J28" s="7">
        <v>0</v>
      </c>
      <c r="K28" s="7"/>
      <c r="L28" s="7"/>
      <c r="M28" s="7">
        <v>2931</v>
      </c>
      <c r="N28" s="7">
        <v>4138.5</v>
      </c>
      <c r="O28" s="7">
        <v>16827.75</v>
      </c>
      <c r="P28" s="7">
        <v>25460.5</v>
      </c>
      <c r="Q28" s="7">
        <v>14233.5</v>
      </c>
      <c r="R28" s="7">
        <v>6000</v>
      </c>
      <c r="S28" s="7"/>
      <c r="T28" s="7"/>
      <c r="U28" s="7"/>
      <c r="V28" s="7"/>
      <c r="W28" s="7"/>
      <c r="X28" s="7"/>
      <c r="Y28" s="7"/>
      <c r="Z28" s="7"/>
      <c r="AA28" s="7"/>
      <c r="AB28" s="3"/>
    </row>
    <row r="29" spans="1:28" hidden="1" x14ac:dyDescent="0.3">
      <c r="A29" s="13" t="s">
        <v>178</v>
      </c>
      <c r="B29" s="19" t="s">
        <v>223</v>
      </c>
      <c r="C29" s="13" t="s">
        <v>221</v>
      </c>
      <c r="D29" s="61">
        <v>1410.5</v>
      </c>
      <c r="E29" s="13"/>
      <c r="F29" s="7">
        <v>0</v>
      </c>
      <c r="G29" s="7"/>
      <c r="H29" s="7">
        <v>1969</v>
      </c>
      <c r="I29" s="7">
        <v>3172.3</v>
      </c>
      <c r="J29" s="7">
        <v>28051.45</v>
      </c>
      <c r="K29" s="7">
        <v>5846.25</v>
      </c>
      <c r="L29" s="7">
        <v>21257.550000000007</v>
      </c>
      <c r="M29" s="7"/>
      <c r="N29" s="7">
        <v>18204.75</v>
      </c>
      <c r="O29" s="7"/>
      <c r="P29" s="7"/>
      <c r="Q29" s="7">
        <v>8370.42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3"/>
    </row>
    <row r="30" spans="1:28" hidden="1" x14ac:dyDescent="0.3">
      <c r="A30" s="13" t="s">
        <v>179</v>
      </c>
      <c r="B30" s="19" t="s">
        <v>223</v>
      </c>
      <c r="C30" s="13" t="s">
        <v>221</v>
      </c>
      <c r="D30" s="61">
        <v>1410.5</v>
      </c>
      <c r="E30" s="13"/>
      <c r="F30" s="7"/>
      <c r="G30" s="7"/>
      <c r="H30" s="7"/>
      <c r="I30" s="7">
        <v>5521.85</v>
      </c>
      <c r="J30" s="7">
        <v>30397.3</v>
      </c>
      <c r="K30" s="7">
        <v>22983.200000000001</v>
      </c>
      <c r="L30" s="7">
        <v>15713.9</v>
      </c>
      <c r="M30" s="7">
        <v>23830.799999999999</v>
      </c>
      <c r="N30" s="7">
        <v>35349.449999999997</v>
      </c>
      <c r="O30" s="7">
        <v>6233</v>
      </c>
      <c r="R30" s="7"/>
      <c r="S30" s="7">
        <v>12000</v>
      </c>
      <c r="T30" s="7">
        <v>12000</v>
      </c>
      <c r="U30" s="7"/>
      <c r="V30" s="7"/>
      <c r="W30" s="7"/>
      <c r="X30" s="7"/>
      <c r="Y30" s="7"/>
      <c r="Z30" s="7"/>
      <c r="AA30" s="7"/>
      <c r="AB30" s="3"/>
    </row>
    <row r="31" spans="1:28" hidden="1" x14ac:dyDescent="0.3">
      <c r="A31" s="13" t="s">
        <v>180</v>
      </c>
      <c r="B31" s="19" t="s">
        <v>224</v>
      </c>
      <c r="C31" s="13" t="s">
        <v>221</v>
      </c>
      <c r="D31" s="61">
        <v>1410.5</v>
      </c>
      <c r="E31" s="13"/>
      <c r="F31" s="7"/>
      <c r="G31" s="7"/>
      <c r="H31" s="7"/>
      <c r="I31" s="7"/>
      <c r="J31" s="7">
        <v>0</v>
      </c>
      <c r="K31" s="7">
        <v>496.06</v>
      </c>
      <c r="L31" s="7">
        <v>903.58</v>
      </c>
      <c r="M31" s="7">
        <v>1735.04</v>
      </c>
      <c r="N31" s="7">
        <v>1524.72</v>
      </c>
      <c r="O31" s="7">
        <v>2165.02</v>
      </c>
      <c r="P31" s="7">
        <v>2405.4</v>
      </c>
      <c r="Q31" s="7">
        <v>2893.54</v>
      </c>
      <c r="R31" s="7">
        <v>1763.32</v>
      </c>
      <c r="S31" s="7">
        <v>1257.56</v>
      </c>
      <c r="T31" s="7"/>
      <c r="U31" s="7"/>
      <c r="V31" s="7"/>
      <c r="W31" s="7"/>
      <c r="X31" s="7"/>
      <c r="Y31" s="7"/>
      <c r="Z31" s="7"/>
      <c r="AA31" s="7"/>
      <c r="AB31" s="3"/>
    </row>
    <row r="32" spans="1:28" hidden="1" x14ac:dyDescent="0.3">
      <c r="A32" s="13" t="s">
        <v>181</v>
      </c>
      <c r="B32" s="19" t="s">
        <v>223</v>
      </c>
      <c r="C32" s="13" t="s">
        <v>221</v>
      </c>
      <c r="D32" s="61">
        <v>1410.5</v>
      </c>
      <c r="E32" s="13"/>
      <c r="F32" s="7"/>
      <c r="G32" s="7"/>
      <c r="H32" s="7"/>
      <c r="I32" s="7"/>
      <c r="J32" s="7">
        <v>0</v>
      </c>
      <c r="K32" s="7">
        <v>6584.6</v>
      </c>
      <c r="L32" s="7">
        <v>15899.2</v>
      </c>
      <c r="M32" s="7">
        <v>14605.4</v>
      </c>
      <c r="N32" s="7">
        <v>2000</v>
      </c>
      <c r="O32" s="7"/>
      <c r="P32" s="7"/>
      <c r="Q32" s="7"/>
      <c r="R32" s="7">
        <v>711.6</v>
      </c>
      <c r="S32" s="7"/>
      <c r="T32" s="7"/>
      <c r="U32" s="7"/>
      <c r="V32" s="7"/>
      <c r="W32" s="7"/>
      <c r="X32" s="7"/>
      <c r="Y32" s="7"/>
      <c r="Z32" s="7"/>
      <c r="AA32" s="7"/>
      <c r="AB32" s="3"/>
    </row>
    <row r="33" spans="1:28" hidden="1" x14ac:dyDescent="0.3">
      <c r="A33" s="13" t="s">
        <v>182</v>
      </c>
      <c r="B33" s="19" t="s">
        <v>224</v>
      </c>
      <c r="C33" s="13" t="s">
        <v>221</v>
      </c>
      <c r="D33" s="61">
        <v>1410.5</v>
      </c>
      <c r="E33" s="13"/>
      <c r="F33" s="7"/>
      <c r="G33" s="7"/>
      <c r="H33" s="7"/>
      <c r="I33" s="7"/>
      <c r="J33" s="7">
        <v>0</v>
      </c>
      <c r="K33" s="7"/>
      <c r="L33" s="7">
        <v>1499.75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3"/>
    </row>
    <row r="34" spans="1:28" hidden="1" x14ac:dyDescent="0.3">
      <c r="A34" s="13" t="s">
        <v>175</v>
      </c>
      <c r="B34" s="19" t="s">
        <v>224</v>
      </c>
      <c r="C34" s="13" t="s">
        <v>221</v>
      </c>
      <c r="D34" s="61">
        <v>1410.5</v>
      </c>
      <c r="E34" s="13"/>
      <c r="F34" s="7">
        <v>25000</v>
      </c>
      <c r="G34" s="7">
        <v>12000</v>
      </c>
      <c r="H34" s="7">
        <v>18000</v>
      </c>
      <c r="I34" s="7">
        <v>12000</v>
      </c>
      <c r="J34" s="7">
        <v>5800</v>
      </c>
      <c r="K34" s="7"/>
      <c r="L34" s="7"/>
      <c r="M34" s="7"/>
      <c r="N34" s="7"/>
      <c r="O34" s="7"/>
      <c r="P34" s="7"/>
      <c r="Q34" s="7"/>
      <c r="R34" s="7"/>
      <c r="S34" s="7"/>
      <c r="T34" s="7">
        <v>45000</v>
      </c>
      <c r="U34" s="7">
        <v>35000</v>
      </c>
      <c r="V34" s="7">
        <v>25000</v>
      </c>
      <c r="W34" s="7"/>
      <c r="X34" s="7">
        <v>22000</v>
      </c>
      <c r="Y34" s="7"/>
      <c r="Z34" s="7"/>
      <c r="AA34" s="7"/>
      <c r="AB34" s="3"/>
    </row>
    <row r="35" spans="1:28" hidden="1" x14ac:dyDescent="0.3">
      <c r="A35" s="13" t="s">
        <v>8</v>
      </c>
      <c r="B35" s="19" t="s">
        <v>223</v>
      </c>
      <c r="C35" s="13" t="s">
        <v>221</v>
      </c>
      <c r="D35" s="61">
        <v>1410.5</v>
      </c>
      <c r="E35" s="13"/>
      <c r="F35" s="7"/>
      <c r="G35" s="7"/>
      <c r="H35" s="7"/>
      <c r="I35" s="7"/>
      <c r="J35" s="7">
        <v>0</v>
      </c>
      <c r="K35" s="7">
        <v>538.79999999999995</v>
      </c>
      <c r="L35" s="7">
        <v>3034.7400000000002</v>
      </c>
      <c r="M35" s="7">
        <v>4513.5199999999995</v>
      </c>
      <c r="N35" s="7">
        <v>10019.119999999997</v>
      </c>
      <c r="O35" s="7">
        <v>9085.4</v>
      </c>
      <c r="P35" s="7">
        <v>7265.16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3"/>
    </row>
    <row r="36" spans="1:28" hidden="1" x14ac:dyDescent="0.3">
      <c r="A36" s="13" t="s">
        <v>183</v>
      </c>
      <c r="B36" s="19" t="s">
        <v>223</v>
      </c>
      <c r="C36" s="13" t="s">
        <v>221</v>
      </c>
      <c r="D36" s="61">
        <v>1410.5</v>
      </c>
      <c r="E36" s="13"/>
      <c r="F36" s="7">
        <v>0</v>
      </c>
      <c r="G36" s="7">
        <v>14746.347029702967</v>
      </c>
      <c r="H36" s="7">
        <v>25233.449999999993</v>
      </c>
      <c r="I36" s="7">
        <v>24115</v>
      </c>
      <c r="J36" s="7">
        <v>0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3"/>
    </row>
    <row r="37" spans="1:28" hidden="1" x14ac:dyDescent="0.3">
      <c r="A37" s="13" t="s">
        <v>184</v>
      </c>
      <c r="B37" s="19" t="s">
        <v>223</v>
      </c>
      <c r="C37" s="13" t="s">
        <v>221</v>
      </c>
      <c r="D37" s="61">
        <v>1410.5</v>
      </c>
      <c r="E37" s="13"/>
      <c r="F37" s="7"/>
      <c r="G37" s="7"/>
      <c r="H37" s="7"/>
      <c r="I37" s="7"/>
      <c r="J37" s="7">
        <v>0</v>
      </c>
      <c r="K37" s="7"/>
      <c r="L37" s="7"/>
      <c r="M37" s="7"/>
      <c r="N37" s="7">
        <v>24857.600000000009</v>
      </c>
      <c r="O37" s="7"/>
      <c r="P37" s="7"/>
      <c r="Q37" s="7"/>
      <c r="R37" s="7"/>
      <c r="S37" s="7"/>
      <c r="T37" s="7">
        <v>7916</v>
      </c>
      <c r="U37" s="7"/>
      <c r="V37" s="7"/>
      <c r="W37" s="7"/>
      <c r="X37" s="7"/>
      <c r="Y37" s="7"/>
      <c r="Z37" s="7"/>
      <c r="AA37" s="7"/>
      <c r="AB37" s="3"/>
    </row>
    <row r="38" spans="1:28" hidden="1" x14ac:dyDescent="0.3">
      <c r="A38" s="13" t="s">
        <v>185</v>
      </c>
      <c r="B38" s="19" t="s">
        <v>224</v>
      </c>
      <c r="C38" s="13" t="s">
        <v>221</v>
      </c>
      <c r="D38" s="61">
        <v>1410.5</v>
      </c>
      <c r="E38" s="13"/>
      <c r="F38" s="7"/>
      <c r="G38" s="7"/>
      <c r="H38" s="7" t="s">
        <v>237</v>
      </c>
      <c r="I38" s="7"/>
      <c r="J38" s="7">
        <v>0</v>
      </c>
      <c r="K38" s="7"/>
      <c r="L38" s="7"/>
      <c r="M38" s="7"/>
      <c r="N38" s="7"/>
      <c r="O38" s="7">
        <v>640.44000000000005</v>
      </c>
      <c r="P38" s="7"/>
      <c r="Q38" s="7">
        <v>1832.5</v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3"/>
    </row>
    <row r="39" spans="1:28" hidden="1" x14ac:dyDescent="0.3">
      <c r="A39" s="13" t="s">
        <v>26</v>
      </c>
      <c r="B39" s="19" t="s">
        <v>223</v>
      </c>
      <c r="C39" s="13" t="s">
        <v>221</v>
      </c>
      <c r="D39" s="61">
        <v>1410.5</v>
      </c>
      <c r="E39" s="13"/>
      <c r="F39" s="7"/>
      <c r="G39" s="7"/>
      <c r="H39" s="7"/>
      <c r="I39" s="7">
        <v>31.880000000000003</v>
      </c>
      <c r="J39" s="7">
        <v>0</v>
      </c>
      <c r="K39" s="7">
        <v>135.47999999999999</v>
      </c>
      <c r="L39" s="7">
        <v>752.68000000000006</v>
      </c>
      <c r="M39" s="7">
        <v>247.68999999999997</v>
      </c>
      <c r="N39" s="7">
        <v>257.32</v>
      </c>
      <c r="O39" s="7">
        <v>695.88</v>
      </c>
      <c r="P39" s="7">
        <v>292.14</v>
      </c>
      <c r="Q39" s="7">
        <v>493.23999999999995</v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3"/>
    </row>
    <row r="40" spans="1:28" hidden="1" x14ac:dyDescent="0.3">
      <c r="A40" s="13" t="s">
        <v>29</v>
      </c>
      <c r="B40" s="19" t="s">
        <v>223</v>
      </c>
      <c r="C40" s="13" t="s">
        <v>221</v>
      </c>
      <c r="D40" s="61">
        <v>1410.5</v>
      </c>
      <c r="E40" s="13"/>
      <c r="F40" s="7"/>
      <c r="G40" s="7"/>
      <c r="H40" s="7"/>
      <c r="I40" s="7"/>
      <c r="J40" s="7">
        <v>0</v>
      </c>
      <c r="K40" s="7"/>
      <c r="L40" s="7"/>
      <c r="M40" s="7">
        <v>3804.52</v>
      </c>
      <c r="N40" s="7">
        <v>3451.45</v>
      </c>
      <c r="O40" s="7"/>
      <c r="P40" s="7">
        <v>4085.9879999999998</v>
      </c>
      <c r="Q40" s="7">
        <v>3328.7400000000002</v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3"/>
    </row>
    <row r="41" spans="1:28" hidden="1" x14ac:dyDescent="0.3">
      <c r="A41" s="13" t="s">
        <v>238</v>
      </c>
      <c r="B41" s="19" t="s">
        <v>224</v>
      </c>
      <c r="C41" s="13" t="s">
        <v>221</v>
      </c>
      <c r="D41" s="61">
        <v>1410.5</v>
      </c>
      <c r="E41" s="13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W41" s="7"/>
      <c r="X41" s="7">
        <v>45000</v>
      </c>
      <c r="Y41" s="7">
        <v>55000</v>
      </c>
      <c r="Z41" s="7">
        <v>45000</v>
      </c>
      <c r="AA41" s="7">
        <v>30000</v>
      </c>
      <c r="AB41" s="3"/>
    </row>
    <row r="42" spans="1:28" hidden="1" x14ac:dyDescent="0.3">
      <c r="A42" s="13" t="s">
        <v>30</v>
      </c>
      <c r="B42" s="19" t="s">
        <v>223</v>
      </c>
      <c r="C42" s="13" t="s">
        <v>221</v>
      </c>
      <c r="D42" s="61">
        <v>1410.5</v>
      </c>
      <c r="E42" s="13"/>
      <c r="F42" s="7"/>
      <c r="G42" s="7"/>
      <c r="H42" s="7"/>
      <c r="I42" s="7">
        <v>171.45</v>
      </c>
      <c r="J42" s="7">
        <v>999.95</v>
      </c>
      <c r="K42" s="7">
        <v>284.93</v>
      </c>
      <c r="L42" s="7">
        <v>3510.6200000000003</v>
      </c>
      <c r="M42" s="7">
        <v>1094.5</v>
      </c>
      <c r="N42" s="7">
        <v>1001.9110000000001</v>
      </c>
      <c r="O42" s="7">
        <v>6977.21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3"/>
    </row>
    <row r="43" spans="1:28" hidden="1" x14ac:dyDescent="0.3">
      <c r="A43" s="13" t="s">
        <v>186</v>
      </c>
      <c r="B43" s="19" t="s">
        <v>224</v>
      </c>
      <c r="C43" s="13" t="s">
        <v>221</v>
      </c>
      <c r="D43" s="61">
        <v>1410.5</v>
      </c>
      <c r="E43" s="13"/>
      <c r="F43" s="7"/>
      <c r="G43" s="7"/>
      <c r="H43" s="7"/>
      <c r="I43" s="7"/>
      <c r="J43" s="7">
        <v>0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3"/>
    </row>
    <row r="44" spans="1:28" hidden="1" x14ac:dyDescent="0.3">
      <c r="A44" s="13" t="s">
        <v>187</v>
      </c>
      <c r="B44" s="19" t="s">
        <v>224</v>
      </c>
      <c r="C44" s="13" t="s">
        <v>221</v>
      </c>
      <c r="D44" s="61">
        <v>1410.5</v>
      </c>
      <c r="E44" s="13"/>
      <c r="F44" s="7"/>
      <c r="G44" s="7"/>
      <c r="H44" s="7"/>
      <c r="I44" s="7"/>
      <c r="J44" s="7">
        <v>0</v>
      </c>
      <c r="K44" s="7"/>
      <c r="L44" s="7"/>
      <c r="M44" s="7"/>
      <c r="N44" s="7"/>
      <c r="O44" s="7">
        <v>338.4</v>
      </c>
      <c r="P44" s="7">
        <v>225</v>
      </c>
      <c r="Q44" s="7">
        <v>14329.7</v>
      </c>
      <c r="R44" s="7">
        <v>15909.300000000001</v>
      </c>
      <c r="S44" s="7">
        <v>6305.2000000000007</v>
      </c>
      <c r="T44" s="7"/>
      <c r="U44" s="7">
        <v>9300.4500000000007</v>
      </c>
      <c r="V44" s="7"/>
      <c r="W44" s="7"/>
      <c r="X44" s="7"/>
      <c r="Y44" s="7"/>
      <c r="Z44" s="7"/>
      <c r="AA44" s="7"/>
      <c r="AB44" s="3"/>
    </row>
    <row r="45" spans="1:28" hidden="1" x14ac:dyDescent="0.3">
      <c r="A45" s="13" t="s">
        <v>43</v>
      </c>
      <c r="B45" s="19" t="s">
        <v>224</v>
      </c>
      <c r="C45" s="13" t="s">
        <v>221</v>
      </c>
      <c r="D45" s="61">
        <v>1410.5</v>
      </c>
      <c r="E45" s="13"/>
      <c r="F45" s="7"/>
      <c r="G45" s="7"/>
      <c r="H45" s="7"/>
      <c r="I45" s="7"/>
      <c r="J45" s="7">
        <v>0</v>
      </c>
      <c r="K45" s="7"/>
      <c r="L45" s="7"/>
      <c r="M45" s="7"/>
      <c r="N45" s="7">
        <v>1834.1799999999998</v>
      </c>
      <c r="O45" s="7"/>
      <c r="P45" s="7">
        <v>475.5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3"/>
    </row>
    <row r="46" spans="1:28" hidden="1" x14ac:dyDescent="0.3">
      <c r="A46" s="13" t="s">
        <v>188</v>
      </c>
      <c r="B46" s="19" t="s">
        <v>223</v>
      </c>
      <c r="C46" s="13" t="s">
        <v>221</v>
      </c>
      <c r="D46" s="61">
        <v>1410.5</v>
      </c>
      <c r="E46" s="13"/>
      <c r="F46" s="7"/>
      <c r="G46" s="7"/>
      <c r="H46" s="7"/>
      <c r="I46" s="7"/>
      <c r="J46" s="7">
        <v>0</v>
      </c>
      <c r="K46" s="7"/>
      <c r="L46" s="7"/>
      <c r="M46" s="7">
        <v>9734.86</v>
      </c>
      <c r="N46" s="7"/>
      <c r="O46" s="7"/>
      <c r="P46" s="7"/>
      <c r="Q46" s="7"/>
      <c r="R46" s="7"/>
      <c r="S46" s="7">
        <v>12000</v>
      </c>
      <c r="T46" s="7">
        <v>12000</v>
      </c>
      <c r="U46" s="7">
        <v>8500</v>
      </c>
      <c r="V46" s="7"/>
      <c r="W46" s="7"/>
      <c r="X46" s="7"/>
      <c r="Y46" s="7"/>
      <c r="Z46" s="7"/>
      <c r="AA46" s="7"/>
      <c r="AB46" s="3"/>
    </row>
    <row r="47" spans="1:28" hidden="1" x14ac:dyDescent="0.3">
      <c r="A47" s="13" t="s">
        <v>189</v>
      </c>
      <c r="B47" s="19" t="s">
        <v>224</v>
      </c>
      <c r="C47" s="13" t="s">
        <v>221</v>
      </c>
      <c r="D47" s="61">
        <v>1410.5</v>
      </c>
      <c r="E47" s="7">
        <v>4525</v>
      </c>
      <c r="F47" s="7">
        <v>4667.75</v>
      </c>
      <c r="G47" s="7">
        <v>26492.5</v>
      </c>
      <c r="H47" s="7">
        <v>19053.587500000001</v>
      </c>
      <c r="I47" s="7">
        <v>8311.9</v>
      </c>
      <c r="J47" s="7">
        <v>8209.4500000000007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3"/>
    </row>
    <row r="48" spans="1:28" hidden="1" x14ac:dyDescent="0.3">
      <c r="A48" s="13" t="s">
        <v>190</v>
      </c>
      <c r="B48" s="19" t="s">
        <v>224</v>
      </c>
      <c r="C48" s="13" t="s">
        <v>221</v>
      </c>
      <c r="D48" s="61">
        <v>1410.5</v>
      </c>
      <c r="E48" s="13"/>
      <c r="F48" s="7"/>
      <c r="G48" s="7"/>
      <c r="H48" s="7"/>
      <c r="I48" s="7"/>
      <c r="J48" s="7">
        <v>0</v>
      </c>
      <c r="K48" s="7"/>
      <c r="L48" s="7"/>
      <c r="M48" s="7"/>
      <c r="N48" s="7"/>
      <c r="O48" s="7"/>
      <c r="P48" s="7">
        <v>15752.9</v>
      </c>
      <c r="Q48" s="7">
        <v>7992.65</v>
      </c>
      <c r="R48" s="7">
        <v>32261.35</v>
      </c>
      <c r="S48" s="7">
        <v>32120.799999999996</v>
      </c>
      <c r="T48" s="7">
        <v>39449.850000000006</v>
      </c>
      <c r="U48" s="7">
        <v>2506.3000000000002</v>
      </c>
      <c r="V48" s="7"/>
      <c r="W48" s="7"/>
      <c r="X48" s="7"/>
      <c r="Y48" s="7"/>
      <c r="Z48" s="7"/>
      <c r="AA48" s="7"/>
      <c r="AB48" s="3"/>
    </row>
    <row r="49" spans="1:28" hidden="1" x14ac:dyDescent="0.3">
      <c r="A49" s="13" t="s">
        <v>191</v>
      </c>
      <c r="B49" s="19" t="s">
        <v>223</v>
      </c>
      <c r="C49" s="13" t="s">
        <v>221</v>
      </c>
      <c r="D49" s="61">
        <v>1410.5</v>
      </c>
      <c r="E49" s="13"/>
      <c r="F49" s="7"/>
      <c r="G49" s="7"/>
      <c r="H49" s="7"/>
      <c r="I49" s="7"/>
      <c r="J49" s="7">
        <v>0</v>
      </c>
      <c r="K49" s="7"/>
      <c r="L49" s="7">
        <v>472.16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3"/>
    </row>
    <row r="50" spans="1:28" hidden="1" x14ac:dyDescent="0.3">
      <c r="A50" s="13" t="s">
        <v>192</v>
      </c>
      <c r="B50" s="19" t="s">
        <v>223</v>
      </c>
      <c r="C50" s="13" t="s">
        <v>221</v>
      </c>
      <c r="D50" s="61">
        <v>1410.5</v>
      </c>
      <c r="E50" s="13"/>
      <c r="F50" s="7"/>
      <c r="G50" s="7"/>
      <c r="H50" s="7"/>
      <c r="I50" s="7"/>
      <c r="J50" s="7">
        <v>0</v>
      </c>
      <c r="K50" s="7"/>
      <c r="L50" s="7"/>
      <c r="M50" s="7"/>
      <c r="N50" s="7">
        <v>1336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3"/>
    </row>
    <row r="51" spans="1:28" hidden="1" x14ac:dyDescent="0.3">
      <c r="A51" s="13" t="s">
        <v>75</v>
      </c>
      <c r="B51" s="19" t="s">
        <v>223</v>
      </c>
      <c r="C51" s="13" t="s">
        <v>221</v>
      </c>
      <c r="D51" s="61">
        <v>1410.5</v>
      </c>
      <c r="E51" s="13"/>
      <c r="F51" s="7"/>
      <c r="G51" s="7"/>
      <c r="H51" s="7"/>
      <c r="I51" s="7"/>
      <c r="J51" s="7">
        <v>23.98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3"/>
    </row>
    <row r="52" spans="1:28" hidden="1" x14ac:dyDescent="0.3">
      <c r="A52" s="13" t="s">
        <v>193</v>
      </c>
      <c r="B52" s="19" t="s">
        <v>224</v>
      </c>
      <c r="C52" s="13" t="s">
        <v>221</v>
      </c>
      <c r="D52" s="61">
        <v>1410.5</v>
      </c>
      <c r="E52" s="13"/>
      <c r="F52" s="7"/>
      <c r="G52" s="7"/>
      <c r="H52" s="7"/>
      <c r="I52" s="7"/>
      <c r="J52" s="7">
        <v>0</v>
      </c>
      <c r="K52" s="7"/>
      <c r="L52" s="7"/>
      <c r="M52" s="7"/>
      <c r="N52" s="7">
        <v>5505.75</v>
      </c>
      <c r="O52" s="7">
        <v>6445.75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3"/>
    </row>
    <row r="53" spans="1:28" hidden="1" x14ac:dyDescent="0.3">
      <c r="A53" s="13" t="s">
        <v>101</v>
      </c>
      <c r="B53" s="19" t="s">
        <v>224</v>
      </c>
      <c r="C53" s="13" t="s">
        <v>221</v>
      </c>
      <c r="D53" s="61">
        <v>1410.5</v>
      </c>
      <c r="E53" s="13"/>
      <c r="F53" s="7"/>
      <c r="G53" s="7"/>
      <c r="H53" s="7"/>
      <c r="I53" s="7"/>
      <c r="J53" s="7">
        <v>0</v>
      </c>
      <c r="K53" s="7"/>
      <c r="L53" s="7"/>
      <c r="M53" s="7">
        <v>42.88</v>
      </c>
      <c r="N53" s="7">
        <v>337.36</v>
      </c>
      <c r="O53" s="7">
        <v>226.76000000000002</v>
      </c>
      <c r="P53" s="7">
        <v>200.24</v>
      </c>
      <c r="Q53" s="7">
        <v>231.44</v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3"/>
    </row>
    <row r="54" spans="1:28" hidden="1" x14ac:dyDescent="0.3">
      <c r="A54" s="13" t="s">
        <v>127</v>
      </c>
      <c r="B54" s="19" t="s">
        <v>224</v>
      </c>
      <c r="C54" s="13" t="s">
        <v>221</v>
      </c>
      <c r="D54" s="61">
        <v>1410.5</v>
      </c>
      <c r="E54" s="13"/>
      <c r="F54" s="7">
        <v>11000</v>
      </c>
      <c r="G54" s="7"/>
      <c r="H54" s="7"/>
      <c r="I54" s="7"/>
      <c r="J54" s="7">
        <v>0</v>
      </c>
      <c r="K54" s="7"/>
      <c r="L54" s="7"/>
      <c r="M54" s="7"/>
      <c r="N54" s="7">
        <v>57.32</v>
      </c>
      <c r="O54" s="7"/>
      <c r="P54" s="7"/>
      <c r="Q54" s="7">
        <v>92.56</v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3"/>
    </row>
    <row r="55" spans="1:28" hidden="1" x14ac:dyDescent="0.3">
      <c r="A55" s="13" t="s">
        <v>194</v>
      </c>
      <c r="B55" s="19" t="s">
        <v>224</v>
      </c>
      <c r="C55" s="13" t="s">
        <v>221</v>
      </c>
      <c r="D55" s="61">
        <v>1410.5</v>
      </c>
      <c r="E55" s="13"/>
      <c r="F55" s="7"/>
      <c r="G55" s="7"/>
      <c r="H55" s="7"/>
      <c r="I55" s="7"/>
      <c r="J55" s="7">
        <v>2236.5</v>
      </c>
      <c r="K55" s="7"/>
      <c r="L55" s="7">
        <v>0</v>
      </c>
      <c r="M55" s="7"/>
      <c r="N55" s="7"/>
      <c r="O55" s="7">
        <v>14591.84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3"/>
    </row>
    <row r="56" spans="1:28" hidden="1" x14ac:dyDescent="0.3">
      <c r="A56" s="13" t="s">
        <v>195</v>
      </c>
      <c r="B56" s="19" t="s">
        <v>224</v>
      </c>
      <c r="C56" s="13" t="s">
        <v>221</v>
      </c>
      <c r="D56" s="61">
        <v>1410.5</v>
      </c>
      <c r="E56" s="13"/>
      <c r="F56" s="7"/>
      <c r="G56" s="7">
        <v>35000</v>
      </c>
      <c r="H56" s="7">
        <v>25000</v>
      </c>
      <c r="I56" s="7">
        <v>15585.456</v>
      </c>
      <c r="J56" s="7">
        <v>12554.899999999998</v>
      </c>
      <c r="K56" s="7">
        <v>14266.5</v>
      </c>
      <c r="L56" s="7">
        <v>38101.939999999995</v>
      </c>
      <c r="M56" s="7"/>
      <c r="N56" s="7">
        <v>17464</v>
      </c>
      <c r="O56" s="7">
        <v>13037.87</v>
      </c>
      <c r="P56" s="7">
        <v>4199.9800000000005</v>
      </c>
      <c r="Q56" s="7">
        <v>4449.75</v>
      </c>
      <c r="R56" s="7">
        <v>6009.25</v>
      </c>
      <c r="S56" s="7"/>
      <c r="T56" s="7"/>
      <c r="U56" s="7">
        <v>9890.65</v>
      </c>
      <c r="V56" s="7">
        <v>10063</v>
      </c>
      <c r="W56" s="7"/>
      <c r="X56" s="7"/>
      <c r="Y56" s="7"/>
      <c r="Z56" s="7"/>
      <c r="AA56" s="7"/>
      <c r="AB56" s="3"/>
    </row>
    <row r="57" spans="1:28" hidden="1" x14ac:dyDescent="0.3">
      <c r="A57" s="13" t="s">
        <v>137</v>
      </c>
      <c r="B57" s="19" t="s">
        <v>224</v>
      </c>
      <c r="C57" s="13" t="s">
        <v>221</v>
      </c>
      <c r="D57" s="61">
        <v>1410.5</v>
      </c>
      <c r="E57" s="13"/>
      <c r="F57" s="7"/>
      <c r="G57" s="7"/>
      <c r="H57" s="7"/>
      <c r="I57" s="7"/>
      <c r="J57" s="7">
        <v>0</v>
      </c>
      <c r="K57" s="7"/>
      <c r="L57" s="7"/>
      <c r="M57" s="7">
        <v>50.25</v>
      </c>
      <c r="N57" s="7">
        <v>231.35000000000002</v>
      </c>
      <c r="O57" s="7">
        <v>215.39999999999998</v>
      </c>
      <c r="P57" s="7">
        <v>37.340000000000003</v>
      </c>
      <c r="Q57" s="7">
        <v>278.92</v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3"/>
    </row>
    <row r="58" spans="1:28" hidden="1" x14ac:dyDescent="0.3">
      <c r="A58" s="13" t="s">
        <v>196</v>
      </c>
      <c r="B58" s="19" t="s">
        <v>224</v>
      </c>
      <c r="C58" s="13" t="s">
        <v>221</v>
      </c>
      <c r="D58" s="61">
        <v>1410.5</v>
      </c>
      <c r="E58" s="13"/>
      <c r="F58" s="7"/>
      <c r="G58" s="7"/>
      <c r="H58" s="7"/>
      <c r="I58" s="7"/>
      <c r="J58" s="7">
        <v>0</v>
      </c>
      <c r="K58" s="7"/>
      <c r="L58" s="7"/>
      <c r="M58" s="7">
        <v>9193.880000000001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3"/>
    </row>
    <row r="59" spans="1:28" hidden="1" x14ac:dyDescent="0.3">
      <c r="A59" s="13" t="s">
        <v>197</v>
      </c>
      <c r="B59" s="19" t="s">
        <v>224</v>
      </c>
      <c r="C59" s="13" t="s">
        <v>221</v>
      </c>
      <c r="D59" s="61">
        <v>1410.5</v>
      </c>
      <c r="E59" s="13"/>
      <c r="F59" s="7"/>
      <c r="G59" s="7"/>
      <c r="H59" s="7"/>
      <c r="I59" s="7"/>
      <c r="J59" s="7">
        <v>0</v>
      </c>
      <c r="K59" s="7"/>
      <c r="L59" s="7"/>
      <c r="M59" s="7"/>
      <c r="N59" s="7">
        <v>26286.9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3"/>
    </row>
    <row r="60" spans="1:28" hidden="1" x14ac:dyDescent="0.3">
      <c r="A60" s="13" t="s">
        <v>198</v>
      </c>
      <c r="B60" s="19" t="s">
        <v>224</v>
      </c>
      <c r="C60" s="13" t="s">
        <v>221</v>
      </c>
      <c r="D60" s="61">
        <v>1410.5</v>
      </c>
      <c r="E60" s="13"/>
      <c r="F60" s="7"/>
      <c r="G60" s="7"/>
      <c r="H60" s="7"/>
      <c r="I60" s="7"/>
      <c r="J60" s="7">
        <v>0</v>
      </c>
      <c r="K60" s="7"/>
      <c r="L60" s="7"/>
      <c r="M60" s="7"/>
      <c r="N60" s="7">
        <v>2292.25</v>
      </c>
      <c r="O60" s="7">
        <v>5570.25</v>
      </c>
      <c r="P60" s="7">
        <v>12683.66</v>
      </c>
      <c r="Q60" s="7">
        <v>19251.590000000004</v>
      </c>
      <c r="R60" s="7">
        <v>6515.66</v>
      </c>
      <c r="S60" s="7"/>
      <c r="T60" s="7"/>
      <c r="U60" s="7"/>
      <c r="V60" s="7"/>
      <c r="W60" s="7"/>
      <c r="X60" s="7"/>
      <c r="Y60" s="7"/>
      <c r="Z60" s="7"/>
      <c r="AA60" s="7"/>
      <c r="AB60" s="3"/>
    </row>
    <row r="61" spans="1:28" hidden="1" x14ac:dyDescent="0.3">
      <c r="A61" s="13" t="s">
        <v>199</v>
      </c>
      <c r="B61" s="19" t="s">
        <v>224</v>
      </c>
      <c r="C61" s="13" t="s">
        <v>221</v>
      </c>
      <c r="D61" s="61">
        <v>1410.5</v>
      </c>
      <c r="E61" s="13"/>
      <c r="F61" s="7"/>
      <c r="G61" s="7"/>
      <c r="H61" s="7"/>
      <c r="I61" s="7"/>
      <c r="J61" s="7">
        <v>0</v>
      </c>
      <c r="K61" s="7"/>
      <c r="L61" s="7"/>
      <c r="M61" s="7"/>
      <c r="N61" s="7"/>
      <c r="O61" s="7"/>
      <c r="P61" s="7">
        <v>14120.74</v>
      </c>
      <c r="Q61" s="7">
        <v>31078.36</v>
      </c>
      <c r="R61" s="7">
        <v>7240.6399999999994</v>
      </c>
      <c r="S61" s="7"/>
      <c r="T61" s="7"/>
      <c r="U61" s="7"/>
      <c r="V61" s="7"/>
      <c r="W61" s="7"/>
      <c r="X61" s="7"/>
      <c r="Y61" s="7"/>
      <c r="Z61" s="7"/>
      <c r="AA61" s="7"/>
      <c r="AB61" s="3"/>
    </row>
    <row r="62" spans="1:28" hidden="1" x14ac:dyDescent="0.3">
      <c r="A62" s="14" t="s">
        <v>210</v>
      </c>
      <c r="B62" s="19" t="s">
        <v>224</v>
      </c>
      <c r="C62" s="14" t="s">
        <v>213</v>
      </c>
      <c r="D62" s="61">
        <v>1750</v>
      </c>
      <c r="E62" s="15"/>
      <c r="F62" s="15"/>
      <c r="G62" s="15"/>
      <c r="H62" s="14"/>
      <c r="I62" s="15"/>
      <c r="J62" s="7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5">
        <v>20000</v>
      </c>
      <c r="Y62" s="15">
        <v>12000</v>
      </c>
      <c r="Z62" s="15">
        <v>12000</v>
      </c>
      <c r="AA62" s="14"/>
    </row>
    <row r="63" spans="1:28" hidden="1" x14ac:dyDescent="0.3">
      <c r="A63" s="14" t="s">
        <v>211</v>
      </c>
      <c r="B63" s="19" t="s">
        <v>224</v>
      </c>
      <c r="C63" s="14" t="s">
        <v>213</v>
      </c>
      <c r="D63" s="61">
        <v>1750</v>
      </c>
      <c r="E63" s="15"/>
      <c r="F63" s="15"/>
      <c r="G63" s="15">
        <v>44000</v>
      </c>
      <c r="H63" s="14">
        <v>22000</v>
      </c>
      <c r="I63" s="15">
        <v>22000</v>
      </c>
      <c r="J63" s="7">
        <v>24000</v>
      </c>
      <c r="K63" s="14"/>
      <c r="L63" s="14"/>
      <c r="M63" s="14"/>
      <c r="N63" s="14"/>
      <c r="O63" s="14"/>
      <c r="P63" s="14"/>
      <c r="Q63" s="14"/>
      <c r="R63" s="14"/>
      <c r="S63" s="14">
        <v>24000</v>
      </c>
      <c r="T63" s="14">
        <v>24000</v>
      </c>
      <c r="U63" s="14">
        <v>17000</v>
      </c>
      <c r="V63" s="14"/>
      <c r="W63" s="14"/>
      <c r="X63" s="15">
        <v>20000</v>
      </c>
      <c r="Y63" s="15">
        <v>20608</v>
      </c>
      <c r="Z63" s="15">
        <v>11000</v>
      </c>
      <c r="AA63" s="14"/>
    </row>
    <row r="64" spans="1:28" hidden="1" x14ac:dyDescent="0.3">
      <c r="A64" s="14" t="s">
        <v>175</v>
      </c>
      <c r="B64" s="19" t="s">
        <v>224</v>
      </c>
      <c r="C64" s="14" t="s">
        <v>213</v>
      </c>
      <c r="D64" s="61">
        <v>1750</v>
      </c>
      <c r="E64" s="15"/>
      <c r="F64" s="15"/>
      <c r="G64" s="15">
        <v>12000</v>
      </c>
      <c r="H64" s="14"/>
      <c r="I64" s="14"/>
      <c r="J64" s="7">
        <v>0</v>
      </c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5">
        <v>11000</v>
      </c>
      <c r="Y64" s="15">
        <v>20000</v>
      </c>
      <c r="Z64" s="15">
        <v>12000</v>
      </c>
      <c r="AA64" s="14"/>
    </row>
    <row r="65" spans="1:28" hidden="1" x14ac:dyDescent="0.3">
      <c r="A65" s="14" t="s">
        <v>212</v>
      </c>
      <c r="B65" s="19" t="s">
        <v>224</v>
      </c>
      <c r="C65" s="14" t="s">
        <v>213</v>
      </c>
      <c r="D65" s="61">
        <v>1750</v>
      </c>
      <c r="E65" s="15"/>
      <c r="F65" s="15"/>
      <c r="G65" s="15"/>
      <c r="H65" s="14">
        <v>22000</v>
      </c>
      <c r="I65" s="14">
        <v>11000</v>
      </c>
      <c r="J65" s="7">
        <v>0</v>
      </c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8" hidden="1" x14ac:dyDescent="0.3">
      <c r="A66" s="14" t="s">
        <v>210</v>
      </c>
      <c r="B66" s="19" t="s">
        <v>224</v>
      </c>
      <c r="C66" s="14" t="s">
        <v>216</v>
      </c>
      <c r="D66" s="61">
        <v>800</v>
      </c>
      <c r="E66" s="15"/>
      <c r="F66" s="15"/>
      <c r="G66" s="15"/>
      <c r="H66" s="15"/>
      <c r="I66" s="15"/>
      <c r="J66" s="7">
        <v>0</v>
      </c>
      <c r="K66" s="15"/>
      <c r="L66" s="15"/>
      <c r="M66" s="15"/>
      <c r="N66" s="15"/>
      <c r="O66" s="15"/>
      <c r="P66" s="15"/>
      <c r="Q66" s="15"/>
      <c r="R66" s="15"/>
      <c r="S66" s="15">
        <v>22000</v>
      </c>
      <c r="T66" s="15">
        <v>22000</v>
      </c>
      <c r="U66" s="15">
        <v>12500</v>
      </c>
      <c r="V66" s="15"/>
      <c r="W66" s="15">
        <v>12500</v>
      </c>
      <c r="X66" s="15">
        <v>24000</v>
      </c>
      <c r="Y66" s="15">
        <v>12000</v>
      </c>
      <c r="Z66" s="15">
        <v>12000</v>
      </c>
      <c r="AA66" s="15">
        <v>12000</v>
      </c>
      <c r="AB66" s="18"/>
    </row>
    <row r="67" spans="1:28" hidden="1" x14ac:dyDescent="0.3">
      <c r="A67" s="14" t="s">
        <v>235</v>
      </c>
      <c r="B67" s="19" t="s">
        <v>224</v>
      </c>
      <c r="C67" s="14" t="s">
        <v>216</v>
      </c>
      <c r="D67" s="61">
        <v>800</v>
      </c>
      <c r="E67" s="15">
        <v>6000</v>
      </c>
      <c r="F67" s="15">
        <v>9000</v>
      </c>
      <c r="G67" s="15">
        <v>12000</v>
      </c>
      <c r="H67" s="15">
        <v>24000</v>
      </c>
      <c r="I67" s="15">
        <v>24000</v>
      </c>
      <c r="J67" s="7">
        <v>6000</v>
      </c>
      <c r="K67" s="15"/>
      <c r="L67" s="15"/>
      <c r="M67" s="15"/>
      <c r="N67" s="15"/>
      <c r="O67" s="15"/>
      <c r="P67" s="15"/>
      <c r="Q67" s="15"/>
      <c r="R67" s="15"/>
      <c r="S67" s="15">
        <v>22000</v>
      </c>
      <c r="T67" s="15">
        <v>22000</v>
      </c>
      <c r="U67" s="15">
        <v>12750</v>
      </c>
      <c r="V67" s="15"/>
      <c r="W67" s="15">
        <v>12000</v>
      </c>
      <c r="X67" s="15">
        <v>29000</v>
      </c>
      <c r="Y67" s="15">
        <v>12000</v>
      </c>
      <c r="Z67" s="15">
        <v>12000</v>
      </c>
      <c r="AA67" s="15">
        <v>12000</v>
      </c>
      <c r="AB67" s="18"/>
    </row>
    <row r="68" spans="1:28" hidden="1" x14ac:dyDescent="0.3">
      <c r="A68" s="14" t="s">
        <v>215</v>
      </c>
      <c r="B68" s="19" t="s">
        <v>224</v>
      </c>
      <c r="C68" s="14" t="s">
        <v>216</v>
      </c>
      <c r="D68" s="61">
        <v>800</v>
      </c>
      <c r="E68" s="15"/>
      <c r="F68" s="15">
        <v>0</v>
      </c>
      <c r="G68" s="15"/>
      <c r="H68" s="15"/>
      <c r="I68" s="15"/>
      <c r="J68" s="7">
        <v>0</v>
      </c>
      <c r="K68" s="15"/>
      <c r="L68" s="15"/>
      <c r="M68" s="15"/>
      <c r="N68" s="15"/>
      <c r="O68" s="15"/>
      <c r="P68" s="15"/>
      <c r="Q68" s="15"/>
      <c r="R68" s="15"/>
      <c r="S68" s="15">
        <v>14000</v>
      </c>
      <c r="T68" s="15">
        <v>14000</v>
      </c>
      <c r="U68" s="15">
        <v>14000</v>
      </c>
      <c r="V68" s="15"/>
      <c r="W68" s="15">
        <v>14000</v>
      </c>
      <c r="X68" s="15">
        <v>24000</v>
      </c>
      <c r="Y68" s="15">
        <v>14000</v>
      </c>
      <c r="Z68" s="15">
        <v>12000</v>
      </c>
      <c r="AA68" s="15">
        <v>28000</v>
      </c>
      <c r="AB68" s="18"/>
    </row>
    <row r="69" spans="1:28" hidden="1" x14ac:dyDescent="0.3">
      <c r="A69" s="14" t="s">
        <v>210</v>
      </c>
      <c r="B69" s="19" t="s">
        <v>223</v>
      </c>
      <c r="C69" s="14" t="s">
        <v>218</v>
      </c>
      <c r="D69" s="61">
        <v>800</v>
      </c>
      <c r="E69" s="15"/>
      <c r="F69" s="15"/>
      <c r="G69" s="15"/>
      <c r="H69" s="14"/>
      <c r="I69" s="15">
        <v>0</v>
      </c>
      <c r="J69" s="7">
        <v>0</v>
      </c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5"/>
      <c r="Y69" s="15"/>
      <c r="Z69" s="15"/>
      <c r="AA69" s="14"/>
    </row>
    <row r="70" spans="1:28" hidden="1" x14ac:dyDescent="0.3">
      <c r="A70" s="14" t="s">
        <v>211</v>
      </c>
      <c r="B70" s="19" t="s">
        <v>224</v>
      </c>
      <c r="C70" s="14" t="s">
        <v>218</v>
      </c>
      <c r="D70" s="61">
        <v>800</v>
      </c>
      <c r="E70" s="15"/>
      <c r="F70" s="15"/>
      <c r="G70" s="15"/>
      <c r="H70" s="14">
        <v>0</v>
      </c>
      <c r="I70" s="15">
        <v>0</v>
      </c>
      <c r="J70" s="7">
        <v>0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5"/>
      <c r="Y70" s="15"/>
      <c r="Z70" s="15"/>
      <c r="AA70" s="14"/>
    </row>
    <row r="71" spans="1:28" hidden="1" x14ac:dyDescent="0.3">
      <c r="A71" s="14" t="s">
        <v>175</v>
      </c>
      <c r="B71" s="19" t="s">
        <v>223</v>
      </c>
      <c r="C71" s="14" t="s">
        <v>218</v>
      </c>
      <c r="D71" s="61">
        <v>800</v>
      </c>
      <c r="E71" s="15"/>
      <c r="F71" s="15"/>
      <c r="G71" s="15">
        <v>4000</v>
      </c>
      <c r="H71" s="14">
        <v>12000</v>
      </c>
      <c r="I71" s="14">
        <v>12000</v>
      </c>
      <c r="J71" s="7">
        <v>12000</v>
      </c>
      <c r="K71" s="14"/>
      <c r="L71" s="14"/>
      <c r="M71" s="14"/>
      <c r="N71" s="14"/>
      <c r="O71" s="14"/>
      <c r="P71" s="14"/>
      <c r="Q71" s="14"/>
      <c r="R71" s="14"/>
      <c r="S71" s="14"/>
      <c r="T71" s="14">
        <v>12000</v>
      </c>
      <c r="U71" s="14">
        <v>12000</v>
      </c>
      <c r="V71" s="14">
        <v>12000</v>
      </c>
      <c r="W71" s="14">
        <v>9500</v>
      </c>
      <c r="X71" s="15"/>
      <c r="Y71" s="15"/>
      <c r="Z71" s="15"/>
      <c r="AA71" s="14"/>
    </row>
    <row r="72" spans="1:28" hidden="1" x14ac:dyDescent="0.3">
      <c r="A72" s="14" t="s">
        <v>212</v>
      </c>
      <c r="B72" s="19" t="s">
        <v>224</v>
      </c>
      <c r="C72" s="14" t="s">
        <v>217</v>
      </c>
      <c r="D72" s="61">
        <v>1300</v>
      </c>
      <c r="E72" s="15"/>
      <c r="F72" s="15"/>
      <c r="G72" s="15"/>
      <c r="H72" s="14">
        <v>10000</v>
      </c>
      <c r="I72" s="14">
        <v>12000</v>
      </c>
      <c r="J72" s="7">
        <v>0</v>
      </c>
      <c r="K72" s="14"/>
      <c r="L72" s="14"/>
      <c r="M72" s="14"/>
      <c r="N72" s="14"/>
      <c r="O72" s="14"/>
      <c r="P72" s="14">
        <v>12000</v>
      </c>
      <c r="Q72" s="14">
        <v>10886</v>
      </c>
      <c r="R72" s="14"/>
      <c r="S72" s="14"/>
      <c r="T72" s="14"/>
      <c r="U72" s="14"/>
      <c r="V72" s="14"/>
      <c r="W72" s="14"/>
      <c r="X72" s="14">
        <v>0</v>
      </c>
      <c r="Y72" s="14"/>
      <c r="Z72" s="14"/>
      <c r="AA72" s="14"/>
    </row>
    <row r="73" spans="1:28" x14ac:dyDescent="0.3">
      <c r="A73" s="13" t="s">
        <v>1</v>
      </c>
      <c r="B73" s="19" t="s">
        <v>223</v>
      </c>
      <c r="C73" s="13" t="s">
        <v>314</v>
      </c>
      <c r="D73" s="61">
        <v>3050</v>
      </c>
      <c r="E73" s="14"/>
      <c r="F73" s="14"/>
      <c r="G73" s="14"/>
      <c r="H73" s="7"/>
      <c r="I73" s="7"/>
      <c r="J73" s="7">
        <v>1223.8800000000001</v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3"/>
    </row>
    <row r="74" spans="1:28" x14ac:dyDescent="0.3">
      <c r="A74" s="13" t="s">
        <v>2</v>
      </c>
      <c r="B74" s="19" t="s">
        <v>224</v>
      </c>
      <c r="C74" s="13" t="s">
        <v>314</v>
      </c>
      <c r="D74" s="61">
        <v>3050</v>
      </c>
      <c r="E74" s="14"/>
      <c r="F74" s="14"/>
      <c r="G74" s="14"/>
      <c r="H74" s="7"/>
      <c r="I74" s="7">
        <v>15000</v>
      </c>
      <c r="J74" s="7">
        <v>15000</v>
      </c>
      <c r="K74" s="7">
        <v>8500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3"/>
    </row>
    <row r="75" spans="1:28" hidden="1" x14ac:dyDescent="0.3">
      <c r="A75" s="13" t="s">
        <v>3</v>
      </c>
      <c r="B75" s="19" t="s">
        <v>224</v>
      </c>
      <c r="C75" s="13" t="s">
        <v>311</v>
      </c>
      <c r="D75" s="61">
        <v>3250</v>
      </c>
      <c r="E75" s="14"/>
      <c r="F75" s="14"/>
      <c r="G75" s="15">
        <v>980.36400000000003</v>
      </c>
      <c r="H75" s="7">
        <v>4385.3480000000009</v>
      </c>
      <c r="I75" s="7">
        <v>26461.555999999997</v>
      </c>
      <c r="J75" s="7">
        <v>14687.199999999999</v>
      </c>
      <c r="K75" s="7">
        <v>18087.871999999999</v>
      </c>
      <c r="L75" s="7">
        <v>13500</v>
      </c>
      <c r="M75" s="7">
        <v>6500</v>
      </c>
      <c r="N75" s="7">
        <v>0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3"/>
    </row>
    <row r="76" spans="1:28" hidden="1" x14ac:dyDescent="0.3">
      <c r="A76" s="13" t="s">
        <v>219</v>
      </c>
      <c r="B76" s="19" t="s">
        <v>224</v>
      </c>
      <c r="C76" s="13" t="s">
        <v>312</v>
      </c>
      <c r="D76" s="61">
        <v>2700</v>
      </c>
      <c r="E76" s="14"/>
      <c r="F76" s="14"/>
      <c r="G76" s="1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>
        <v>26000</v>
      </c>
      <c r="T76" s="7">
        <v>36000</v>
      </c>
      <c r="U76" s="7">
        <v>36000</v>
      </c>
      <c r="V76" s="7">
        <v>24000</v>
      </c>
      <c r="W76" s="7">
        <v>12000</v>
      </c>
      <c r="X76" s="7"/>
      <c r="Y76" s="7"/>
      <c r="Z76" s="7"/>
      <c r="AA76" s="7"/>
      <c r="AB76" s="3"/>
    </row>
    <row r="77" spans="1:28" hidden="1" x14ac:dyDescent="0.3">
      <c r="A77" s="13" t="s">
        <v>219</v>
      </c>
      <c r="B77" s="19" t="s">
        <v>223</v>
      </c>
      <c r="C77" s="13" t="s">
        <v>312</v>
      </c>
      <c r="D77" s="61">
        <v>2700</v>
      </c>
      <c r="E77" s="14"/>
      <c r="F77" s="14"/>
      <c r="G77" s="14"/>
      <c r="H77" s="7"/>
      <c r="I77" s="7"/>
      <c r="J77" s="7">
        <v>0</v>
      </c>
      <c r="K77" s="7"/>
      <c r="L77" s="7"/>
      <c r="M77" s="7"/>
      <c r="N77" s="7"/>
      <c r="O77" s="7">
        <v>12500</v>
      </c>
      <c r="P77" s="7">
        <v>46500</v>
      </c>
      <c r="Q77" s="7">
        <v>36000</v>
      </c>
      <c r="R77" s="7">
        <v>36000</v>
      </c>
      <c r="S77" s="7">
        <v>36000</v>
      </c>
      <c r="T77" s="7">
        <v>40000</v>
      </c>
      <c r="U77" s="7">
        <v>36000</v>
      </c>
      <c r="V77" s="7">
        <v>36000</v>
      </c>
      <c r="W77" s="7"/>
      <c r="X77" s="7"/>
      <c r="Y77" s="7"/>
      <c r="Z77" s="7"/>
      <c r="AA77" s="7"/>
      <c r="AB77" s="3"/>
    </row>
    <row r="78" spans="1:28" x14ac:dyDescent="0.3">
      <c r="A78" s="13" t="s">
        <v>4</v>
      </c>
      <c r="B78" s="19" t="s">
        <v>224</v>
      </c>
      <c r="C78" s="13" t="s">
        <v>314</v>
      </c>
      <c r="D78" s="61">
        <v>3050</v>
      </c>
      <c r="E78" s="14"/>
      <c r="F78" s="14"/>
      <c r="G78" s="14"/>
      <c r="H78" s="7"/>
      <c r="I78" s="7">
        <v>7850</v>
      </c>
      <c r="J78" s="7">
        <v>8500</v>
      </c>
      <c r="K78" s="7">
        <v>8500</v>
      </c>
      <c r="L78" s="7">
        <v>10200</v>
      </c>
      <c r="M78" s="7">
        <v>5636.9</v>
      </c>
      <c r="N78" s="7">
        <v>6975.4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3"/>
    </row>
    <row r="79" spans="1:28" x14ac:dyDescent="0.3">
      <c r="A79" s="13" t="s">
        <v>5</v>
      </c>
      <c r="B79" s="19" t="s">
        <v>223</v>
      </c>
      <c r="C79" s="13" t="s">
        <v>314</v>
      </c>
      <c r="D79" s="61">
        <v>3050</v>
      </c>
      <c r="E79" s="14"/>
      <c r="F79" s="14"/>
      <c r="G79" s="14"/>
      <c r="H79" s="7"/>
      <c r="I79" s="7"/>
      <c r="J79" s="7">
        <v>3176.88</v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3"/>
    </row>
    <row r="80" spans="1:28" hidden="1" x14ac:dyDescent="0.3">
      <c r="A80" s="13" t="s">
        <v>6</v>
      </c>
      <c r="B80" s="19" t="s">
        <v>224</v>
      </c>
      <c r="C80" s="13" t="s">
        <v>311</v>
      </c>
      <c r="D80" s="61">
        <v>3250</v>
      </c>
      <c r="E80" s="14"/>
      <c r="F80" s="14"/>
      <c r="G80" s="14"/>
      <c r="H80" s="7"/>
      <c r="I80" s="7">
        <v>10000</v>
      </c>
      <c r="J80" s="7">
        <v>10000</v>
      </c>
      <c r="K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3"/>
    </row>
    <row r="81" spans="1:28" x14ac:dyDescent="0.3">
      <c r="A81" s="13" t="s">
        <v>7</v>
      </c>
      <c r="B81" s="19" t="s">
        <v>223</v>
      </c>
      <c r="C81" s="13" t="s">
        <v>314</v>
      </c>
      <c r="D81" s="61">
        <v>3050</v>
      </c>
      <c r="E81" s="14"/>
      <c r="F81" s="14"/>
      <c r="G81" s="14"/>
      <c r="H81" s="7"/>
      <c r="I81" s="7"/>
      <c r="J81" s="7">
        <v>0</v>
      </c>
      <c r="K81" s="7">
        <v>3676.8800000000006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3"/>
    </row>
    <row r="82" spans="1:28" x14ac:dyDescent="0.3">
      <c r="A82" s="13" t="s">
        <v>8</v>
      </c>
      <c r="B82" s="19" t="s">
        <v>224</v>
      </c>
      <c r="C82" s="13" t="s">
        <v>314</v>
      </c>
      <c r="D82" s="61">
        <v>3050</v>
      </c>
      <c r="E82" s="14"/>
      <c r="F82" s="14"/>
      <c r="G82" s="14"/>
      <c r="H82" s="7">
        <v>1222.2</v>
      </c>
      <c r="I82" s="7">
        <v>6887.3799999999992</v>
      </c>
      <c r="J82" s="7">
        <v>16546.419999999998</v>
      </c>
      <c r="K82" s="7">
        <v>12650</v>
      </c>
      <c r="L82" s="7">
        <v>11011.44</v>
      </c>
      <c r="M82" s="7">
        <v>4599.72</v>
      </c>
      <c r="N82" s="7">
        <v>2388.7800000000002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3"/>
    </row>
    <row r="83" spans="1:28" hidden="1" x14ac:dyDescent="0.3">
      <c r="A83" s="13" t="s">
        <v>239</v>
      </c>
      <c r="B83" s="19" t="s">
        <v>224</v>
      </c>
      <c r="C83" s="13" t="s">
        <v>311</v>
      </c>
      <c r="D83" s="61">
        <v>3250</v>
      </c>
      <c r="E83" s="14"/>
      <c r="F83" s="14"/>
      <c r="G83" s="14"/>
      <c r="H83" s="7">
        <v>24000</v>
      </c>
      <c r="I83" s="7">
        <v>17000</v>
      </c>
      <c r="J83" s="7">
        <v>15000</v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3"/>
    </row>
    <row r="84" spans="1:28" hidden="1" x14ac:dyDescent="0.3">
      <c r="A84" s="13" t="s">
        <v>153</v>
      </c>
      <c r="B84" s="19" t="s">
        <v>224</v>
      </c>
      <c r="C84" s="13" t="s">
        <v>310</v>
      </c>
      <c r="D84" s="61">
        <v>2850</v>
      </c>
      <c r="E84" s="14"/>
      <c r="F84" s="14"/>
      <c r="G84" s="14"/>
      <c r="H84" s="7">
        <v>6000</v>
      </c>
      <c r="I84" s="7">
        <v>12000</v>
      </c>
      <c r="J84" s="7">
        <v>11000</v>
      </c>
      <c r="K84" s="7">
        <v>55000</v>
      </c>
      <c r="L84" s="7">
        <v>55000</v>
      </c>
      <c r="M84" s="7">
        <v>35000</v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3"/>
    </row>
    <row r="85" spans="1:28" x14ac:dyDescent="0.3">
      <c r="A85" s="13" t="s">
        <v>9</v>
      </c>
      <c r="B85" s="19" t="s">
        <v>223</v>
      </c>
      <c r="C85" s="13" t="s">
        <v>314</v>
      </c>
      <c r="D85" s="61">
        <v>3050</v>
      </c>
      <c r="E85" s="14"/>
      <c r="F85" s="14"/>
      <c r="G85" s="14"/>
      <c r="H85" s="7"/>
      <c r="I85" s="7"/>
      <c r="J85" s="7">
        <v>2421.2799999999997</v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3"/>
    </row>
    <row r="86" spans="1:28" x14ac:dyDescent="0.3">
      <c r="A86" s="13" t="s">
        <v>10</v>
      </c>
      <c r="B86" s="19" t="s">
        <v>223</v>
      </c>
      <c r="C86" s="13" t="s">
        <v>314</v>
      </c>
      <c r="D86" s="61">
        <v>3050</v>
      </c>
      <c r="E86" s="14"/>
      <c r="F86" s="14"/>
      <c r="G86" s="14"/>
      <c r="H86" s="7"/>
      <c r="I86" s="7"/>
      <c r="J86" s="7">
        <v>97.600000000000009</v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3"/>
    </row>
    <row r="87" spans="1:28" x14ac:dyDescent="0.3">
      <c r="A87" s="13" t="s">
        <v>11</v>
      </c>
      <c r="B87" s="19" t="s">
        <v>223</v>
      </c>
      <c r="C87" s="13" t="s">
        <v>314</v>
      </c>
      <c r="D87" s="61">
        <v>3050</v>
      </c>
      <c r="E87" s="14"/>
      <c r="F87" s="14"/>
      <c r="G87" s="14"/>
      <c r="H87" s="7"/>
      <c r="I87" s="7"/>
      <c r="J87" s="7">
        <v>292.41999999999996</v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3"/>
    </row>
    <row r="88" spans="1:28" x14ac:dyDescent="0.3">
      <c r="A88" s="13" t="s">
        <v>12</v>
      </c>
      <c r="B88" s="19" t="s">
        <v>223</v>
      </c>
      <c r="C88" s="13" t="s">
        <v>314</v>
      </c>
      <c r="D88" s="61">
        <v>3050</v>
      </c>
      <c r="E88" s="14"/>
      <c r="F88" s="14"/>
      <c r="G88" s="14"/>
      <c r="H88" s="7"/>
      <c r="I88" s="7">
        <v>37.200000000000003</v>
      </c>
      <c r="J88" s="7">
        <v>266.26</v>
      </c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3"/>
    </row>
    <row r="89" spans="1:28" x14ac:dyDescent="0.3">
      <c r="A89" s="13" t="s">
        <v>13</v>
      </c>
      <c r="B89" s="19" t="s">
        <v>223</v>
      </c>
      <c r="C89" s="13" t="s">
        <v>314</v>
      </c>
      <c r="D89" s="61">
        <v>3050</v>
      </c>
      <c r="E89" s="14"/>
      <c r="F89" s="14"/>
      <c r="G89" s="14"/>
      <c r="H89" s="7"/>
      <c r="I89" s="7">
        <v>31.16</v>
      </c>
      <c r="J89" s="7">
        <v>859</v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3"/>
    </row>
    <row r="90" spans="1:28" x14ac:dyDescent="0.3">
      <c r="A90" s="13" t="s">
        <v>14</v>
      </c>
      <c r="B90" s="19" t="s">
        <v>223</v>
      </c>
      <c r="C90" s="13" t="s">
        <v>314</v>
      </c>
      <c r="D90" s="61">
        <v>3050</v>
      </c>
      <c r="E90" s="14"/>
      <c r="F90" s="14"/>
      <c r="G90" s="14"/>
      <c r="H90" s="7"/>
      <c r="I90" s="7"/>
      <c r="J90" s="7">
        <v>192.28</v>
      </c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3"/>
    </row>
    <row r="91" spans="1:28" x14ac:dyDescent="0.3">
      <c r="A91" s="13" t="s">
        <v>15</v>
      </c>
      <c r="B91" s="19" t="s">
        <v>223</v>
      </c>
      <c r="C91" s="13" t="s">
        <v>314</v>
      </c>
      <c r="D91" s="61">
        <v>3050</v>
      </c>
      <c r="E91" s="14"/>
      <c r="F91" s="14"/>
      <c r="G91" s="14"/>
      <c r="H91" s="7"/>
      <c r="I91" s="7">
        <v>701.86</v>
      </c>
      <c r="J91" s="7">
        <v>4002.8</v>
      </c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3"/>
    </row>
    <row r="92" spans="1:28" x14ac:dyDescent="0.3">
      <c r="A92" s="13" t="s">
        <v>16</v>
      </c>
      <c r="B92" s="19" t="s">
        <v>223</v>
      </c>
      <c r="C92" s="13" t="s">
        <v>314</v>
      </c>
      <c r="D92" s="61">
        <v>3050</v>
      </c>
      <c r="E92" s="14"/>
      <c r="F92" s="14"/>
      <c r="G92" s="14"/>
      <c r="H92" s="7"/>
      <c r="I92" s="7">
        <v>69.3</v>
      </c>
      <c r="J92" s="7">
        <v>303.52</v>
      </c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3"/>
    </row>
    <row r="93" spans="1:28" x14ac:dyDescent="0.3">
      <c r="A93" s="13" t="s">
        <v>17</v>
      </c>
      <c r="B93" s="19" t="s">
        <v>224</v>
      </c>
      <c r="C93" s="13" t="s">
        <v>314</v>
      </c>
      <c r="D93" s="61">
        <v>3050</v>
      </c>
      <c r="E93" s="14"/>
      <c r="F93" s="14"/>
      <c r="G93" s="14"/>
      <c r="H93" s="7"/>
      <c r="I93" s="7">
        <v>717.7</v>
      </c>
      <c r="J93" s="7">
        <v>1861.76</v>
      </c>
      <c r="K93" s="7">
        <v>1064.0999999999999</v>
      </c>
      <c r="L93" s="7">
        <v>2297.1000000000004</v>
      </c>
      <c r="M93" s="7">
        <v>1804.1000000000001</v>
      </c>
      <c r="N93" s="7">
        <v>705.5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3"/>
    </row>
    <row r="94" spans="1:28" x14ac:dyDescent="0.3">
      <c r="A94" s="13" t="s">
        <v>18</v>
      </c>
      <c r="B94" s="19" t="s">
        <v>223</v>
      </c>
      <c r="C94" s="13" t="s">
        <v>314</v>
      </c>
      <c r="D94" s="61">
        <v>3050</v>
      </c>
      <c r="E94" s="14"/>
      <c r="F94" s="14"/>
      <c r="G94" s="14"/>
      <c r="H94" s="7"/>
      <c r="I94" s="7">
        <v>73.09</v>
      </c>
      <c r="J94" s="7">
        <v>157.22</v>
      </c>
      <c r="K94" s="7">
        <v>44.17</v>
      </c>
      <c r="L94" s="7"/>
      <c r="M94" s="7">
        <v>37.71</v>
      </c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3"/>
    </row>
    <row r="95" spans="1:28" x14ac:dyDescent="0.3">
      <c r="A95" s="13" t="s">
        <v>19</v>
      </c>
      <c r="B95" s="19" t="s">
        <v>223</v>
      </c>
      <c r="C95" s="13" t="s">
        <v>314</v>
      </c>
      <c r="D95" s="61">
        <v>3050</v>
      </c>
      <c r="E95" s="14"/>
      <c r="F95" s="14"/>
      <c r="G95" s="14"/>
      <c r="H95" s="7"/>
      <c r="I95" s="7"/>
      <c r="J95" s="7">
        <v>0</v>
      </c>
      <c r="K95" s="7"/>
      <c r="L95" s="7">
        <v>89.64</v>
      </c>
      <c r="M95" s="7">
        <v>117.08</v>
      </c>
      <c r="N95" s="7">
        <v>65.7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3"/>
    </row>
    <row r="96" spans="1:28" x14ac:dyDescent="0.3">
      <c r="A96" s="13" t="s">
        <v>20</v>
      </c>
      <c r="B96" s="19" t="s">
        <v>224</v>
      </c>
      <c r="C96" s="13" t="s">
        <v>314</v>
      </c>
      <c r="D96" s="61">
        <v>3050</v>
      </c>
      <c r="E96" s="14"/>
      <c r="F96" s="14"/>
      <c r="G96" s="14"/>
      <c r="H96" s="7"/>
      <c r="I96" s="7">
        <v>66.3</v>
      </c>
      <c r="J96" s="7">
        <v>562.69999999999993</v>
      </c>
      <c r="K96" s="7">
        <v>414.9</v>
      </c>
      <c r="L96" s="7">
        <v>820.69999999999993</v>
      </c>
      <c r="M96" s="7">
        <v>713.2</v>
      </c>
      <c r="N96" s="7">
        <v>531.5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3"/>
    </row>
    <row r="97" spans="1:28" x14ac:dyDescent="0.3">
      <c r="A97" s="13" t="s">
        <v>21</v>
      </c>
      <c r="B97" s="19" t="s">
        <v>223</v>
      </c>
      <c r="C97" s="13" t="s">
        <v>314</v>
      </c>
      <c r="D97" s="61">
        <v>3050</v>
      </c>
      <c r="E97" s="14"/>
      <c r="F97" s="14"/>
      <c r="G97" s="14"/>
      <c r="H97" s="7"/>
      <c r="I97" s="7">
        <v>98.92</v>
      </c>
      <c r="J97" s="7">
        <v>647.18000000000006</v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3"/>
    </row>
    <row r="98" spans="1:28" x14ac:dyDescent="0.3">
      <c r="A98" s="13" t="s">
        <v>22</v>
      </c>
      <c r="B98" s="19" t="s">
        <v>223</v>
      </c>
      <c r="C98" s="13" t="s">
        <v>314</v>
      </c>
      <c r="D98" s="61">
        <v>3050</v>
      </c>
      <c r="E98" s="14"/>
      <c r="F98" s="14"/>
      <c r="G98" s="14"/>
      <c r="H98" s="7"/>
      <c r="I98" s="7">
        <v>95.06</v>
      </c>
      <c r="J98" s="7">
        <v>1070.5999999999999</v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3"/>
    </row>
    <row r="99" spans="1:28" x14ac:dyDescent="0.3">
      <c r="A99" s="13" t="s">
        <v>23</v>
      </c>
      <c r="B99" s="19" t="s">
        <v>223</v>
      </c>
      <c r="C99" s="13" t="s">
        <v>314</v>
      </c>
      <c r="D99" s="61">
        <v>3050</v>
      </c>
      <c r="E99" s="14"/>
      <c r="F99" s="14"/>
      <c r="G99" s="14"/>
      <c r="H99" s="7"/>
      <c r="I99" s="7">
        <v>118.26</v>
      </c>
      <c r="J99" s="7">
        <v>918.82</v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3"/>
    </row>
    <row r="100" spans="1:28" hidden="1" x14ac:dyDescent="0.3">
      <c r="A100" s="13" t="s">
        <v>24</v>
      </c>
      <c r="B100" s="19" t="s">
        <v>224</v>
      </c>
      <c r="C100" s="13" t="s">
        <v>313</v>
      </c>
      <c r="D100" s="61">
        <v>3050</v>
      </c>
      <c r="E100" s="14"/>
      <c r="F100" s="14"/>
      <c r="G100" s="14"/>
      <c r="H100" s="7"/>
      <c r="I100" s="7"/>
      <c r="J100" s="7">
        <v>0</v>
      </c>
      <c r="K100" s="7"/>
      <c r="L100" s="7"/>
      <c r="M100" s="7"/>
      <c r="N100" s="7"/>
      <c r="O100" s="7"/>
      <c r="P100" s="7"/>
      <c r="Q100" s="7"/>
      <c r="R100" s="7"/>
      <c r="S100" s="7"/>
      <c r="T100" s="7">
        <v>24000</v>
      </c>
      <c r="U100" s="7">
        <v>8000</v>
      </c>
      <c r="V100" s="7">
        <v>0</v>
      </c>
      <c r="W100" s="7">
        <v>0</v>
      </c>
      <c r="X100" s="7">
        <v>24000</v>
      </c>
      <c r="Y100" s="7">
        <v>13000</v>
      </c>
      <c r="Z100" s="7"/>
      <c r="AA100" s="7"/>
      <c r="AB100" s="3"/>
    </row>
    <row r="101" spans="1:28" hidden="1" x14ac:dyDescent="0.3">
      <c r="A101" s="13" t="s">
        <v>240</v>
      </c>
      <c r="B101" s="19" t="s">
        <v>223</v>
      </c>
      <c r="C101" s="13" t="s">
        <v>313</v>
      </c>
      <c r="D101" s="61">
        <v>3050</v>
      </c>
      <c r="E101" s="14"/>
      <c r="F101" s="14"/>
      <c r="G101" s="14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>
        <v>24000</v>
      </c>
      <c r="U101" s="7">
        <v>29000</v>
      </c>
      <c r="V101" s="7">
        <v>27000</v>
      </c>
      <c r="W101" s="7">
        <v>27000</v>
      </c>
      <c r="X101" s="7"/>
      <c r="Y101" s="7"/>
      <c r="Z101" s="7"/>
      <c r="AA101" s="7"/>
      <c r="AB101" s="3"/>
    </row>
    <row r="102" spans="1:28" x14ac:dyDescent="0.3">
      <c r="A102" s="13" t="s">
        <v>25</v>
      </c>
      <c r="B102" s="19" t="s">
        <v>224</v>
      </c>
      <c r="C102" s="13" t="s">
        <v>314</v>
      </c>
      <c r="D102" s="61">
        <v>3050</v>
      </c>
      <c r="E102" s="14"/>
      <c r="F102" s="14"/>
      <c r="G102" s="14"/>
      <c r="H102" s="7"/>
      <c r="I102" s="7">
        <v>12000</v>
      </c>
      <c r="J102" s="7">
        <v>23248.29</v>
      </c>
      <c r="K102" s="7">
        <v>16500</v>
      </c>
      <c r="L102" s="7">
        <v>15354</v>
      </c>
      <c r="M102" s="7">
        <v>6445.7599999999993</v>
      </c>
      <c r="N102" s="7">
        <v>1913.3400000000001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3"/>
    </row>
    <row r="103" spans="1:28" x14ac:dyDescent="0.3">
      <c r="A103" s="13" t="s">
        <v>26</v>
      </c>
      <c r="B103" s="19" t="s">
        <v>223</v>
      </c>
      <c r="C103" s="13" t="s">
        <v>314</v>
      </c>
      <c r="D103" s="61">
        <v>3050</v>
      </c>
      <c r="E103" s="14"/>
      <c r="F103" s="14"/>
      <c r="G103" s="14">
        <v>2500</v>
      </c>
      <c r="H103" s="7">
        <v>8321.619999999999</v>
      </c>
      <c r="I103" s="7">
        <v>29935.90000000002</v>
      </c>
      <c r="J103" s="7">
        <v>0</v>
      </c>
      <c r="K103" s="7">
        <v>75120.059999999794</v>
      </c>
      <c r="L103" s="7">
        <v>58175.639999999898</v>
      </c>
      <c r="M103" s="7">
        <v>35635.580000000009</v>
      </c>
      <c r="N103" s="7">
        <v>13121.44</v>
      </c>
      <c r="O103" s="7">
        <v>4009.68</v>
      </c>
      <c r="P103" s="7">
        <v>498.77</v>
      </c>
      <c r="Q103" s="7">
        <v>432.18</v>
      </c>
      <c r="S103" s="7"/>
      <c r="T103" s="7"/>
      <c r="U103" s="7"/>
      <c r="V103" s="7"/>
      <c r="W103" s="7"/>
      <c r="X103" s="7"/>
      <c r="Y103" s="7"/>
      <c r="Z103" s="7"/>
      <c r="AA103" s="7"/>
      <c r="AB103" s="3"/>
    </row>
    <row r="104" spans="1:28" x14ac:dyDescent="0.3">
      <c r="A104" s="13" t="s">
        <v>27</v>
      </c>
      <c r="B104" s="19" t="s">
        <v>223</v>
      </c>
      <c r="C104" s="13" t="s">
        <v>314</v>
      </c>
      <c r="D104" s="61">
        <v>3050</v>
      </c>
      <c r="E104" s="14"/>
      <c r="F104" s="14"/>
      <c r="G104" s="14"/>
      <c r="H104" s="7"/>
      <c r="I104" s="7">
        <v>2745.6800000000003</v>
      </c>
      <c r="J104" s="7">
        <v>9539.2000000000007</v>
      </c>
      <c r="K104" s="7">
        <v>4259.8600000000006</v>
      </c>
      <c r="L104" s="7">
        <v>7162.7799999999988</v>
      </c>
      <c r="M104" s="7">
        <v>4145.7</v>
      </c>
      <c r="N104" s="7">
        <v>2731.1</v>
      </c>
      <c r="O104" s="7">
        <v>577.22</v>
      </c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3"/>
    </row>
    <row r="105" spans="1:28" x14ac:dyDescent="0.3">
      <c r="A105" s="13" t="s">
        <v>28</v>
      </c>
      <c r="B105" s="19" t="s">
        <v>224</v>
      </c>
      <c r="C105" s="13" t="s">
        <v>314</v>
      </c>
      <c r="D105" s="61">
        <v>3050</v>
      </c>
      <c r="E105" s="14"/>
      <c r="F105" s="14"/>
      <c r="G105" s="14"/>
      <c r="H105" s="7"/>
      <c r="I105" s="7"/>
      <c r="J105" s="7">
        <v>444.35</v>
      </c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3"/>
    </row>
    <row r="106" spans="1:28" x14ac:dyDescent="0.3">
      <c r="A106" s="13" t="s">
        <v>29</v>
      </c>
      <c r="B106" s="19" t="s">
        <v>223</v>
      </c>
      <c r="C106" s="13" t="s">
        <v>314</v>
      </c>
      <c r="D106" s="61">
        <v>3050</v>
      </c>
      <c r="E106" s="14"/>
      <c r="F106" s="14"/>
      <c r="G106" s="14"/>
      <c r="H106" s="7"/>
      <c r="I106" s="7"/>
      <c r="J106" s="7">
        <v>51.03</v>
      </c>
      <c r="K106" s="7">
        <v>29.48</v>
      </c>
      <c r="L106" s="7">
        <v>118.75</v>
      </c>
      <c r="M106" s="7">
        <v>50.25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3"/>
    </row>
    <row r="107" spans="1:28" hidden="1" x14ac:dyDescent="0.3">
      <c r="A107" s="13" t="s">
        <v>154</v>
      </c>
      <c r="B107" s="19" t="s">
        <v>224</v>
      </c>
      <c r="C107" s="13" t="s">
        <v>313</v>
      </c>
      <c r="D107" s="61">
        <v>3050</v>
      </c>
      <c r="E107" s="14"/>
      <c r="F107" s="14"/>
      <c r="G107" s="14"/>
      <c r="H107" s="7"/>
      <c r="I107" s="7"/>
      <c r="J107" s="7">
        <v>0</v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3"/>
    </row>
    <row r="108" spans="1:28" x14ac:dyDescent="0.3">
      <c r="A108" s="13" t="s">
        <v>30</v>
      </c>
      <c r="B108" s="19" t="s">
        <v>223</v>
      </c>
      <c r="C108" s="13" t="s">
        <v>314</v>
      </c>
      <c r="D108" s="61">
        <v>3050</v>
      </c>
      <c r="E108" s="14"/>
      <c r="F108" s="14"/>
      <c r="G108" s="14"/>
      <c r="H108" s="7"/>
      <c r="I108" s="7">
        <v>19.060000000000002</v>
      </c>
      <c r="J108" s="7">
        <v>142.67000000000002</v>
      </c>
      <c r="K108" s="7">
        <v>97.12</v>
      </c>
      <c r="L108" s="7">
        <v>148.79000000000002</v>
      </c>
      <c r="M108" s="7">
        <v>88.53</v>
      </c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3"/>
    </row>
    <row r="109" spans="1:28" x14ac:dyDescent="0.3">
      <c r="A109" s="13" t="s">
        <v>31</v>
      </c>
      <c r="B109" s="19" t="s">
        <v>223</v>
      </c>
      <c r="C109" s="13" t="s">
        <v>314</v>
      </c>
      <c r="D109" s="61">
        <v>3050</v>
      </c>
      <c r="E109" s="14"/>
      <c r="F109" s="14"/>
      <c r="G109" s="14"/>
      <c r="H109" s="7"/>
      <c r="I109" s="7"/>
      <c r="J109" s="7">
        <v>884.22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3"/>
    </row>
    <row r="110" spans="1:28" x14ac:dyDescent="0.3">
      <c r="A110" s="13" t="s">
        <v>32</v>
      </c>
      <c r="B110" s="19" t="s">
        <v>223</v>
      </c>
      <c r="C110" s="13" t="s">
        <v>314</v>
      </c>
      <c r="D110" s="61">
        <v>3050</v>
      </c>
      <c r="E110" s="14"/>
      <c r="F110" s="14"/>
      <c r="G110" s="14"/>
      <c r="H110" s="7"/>
      <c r="I110" s="7">
        <v>110.24</v>
      </c>
      <c r="J110" s="7">
        <v>1533.5</v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3"/>
    </row>
    <row r="111" spans="1:28" x14ac:dyDescent="0.3">
      <c r="A111" s="13" t="s">
        <v>33</v>
      </c>
      <c r="B111" s="19" t="s">
        <v>223</v>
      </c>
      <c r="C111" s="13" t="s">
        <v>314</v>
      </c>
      <c r="D111" s="61">
        <v>3050</v>
      </c>
      <c r="E111" s="14"/>
      <c r="F111" s="14"/>
      <c r="G111" s="14"/>
      <c r="H111" s="7"/>
      <c r="I111" s="7">
        <v>36.24</v>
      </c>
      <c r="J111" s="7">
        <v>348.32</v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3"/>
    </row>
    <row r="112" spans="1:28" x14ac:dyDescent="0.3">
      <c r="A112" s="13" t="s">
        <v>34</v>
      </c>
      <c r="B112" s="19" t="s">
        <v>223</v>
      </c>
      <c r="C112" s="13" t="s">
        <v>314</v>
      </c>
      <c r="D112" s="61">
        <v>3050</v>
      </c>
      <c r="E112" s="14"/>
      <c r="F112" s="14"/>
      <c r="G112" s="14"/>
      <c r="H112" s="7"/>
      <c r="I112" s="7">
        <v>73.72</v>
      </c>
      <c r="J112" s="7">
        <v>248.14</v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3"/>
    </row>
    <row r="113" spans="1:28" x14ac:dyDescent="0.3">
      <c r="A113" s="13" t="s">
        <v>35</v>
      </c>
      <c r="B113" s="19" t="s">
        <v>224</v>
      </c>
      <c r="C113" s="13" t="s">
        <v>314</v>
      </c>
      <c r="D113" s="61">
        <v>3050</v>
      </c>
      <c r="E113" s="14"/>
      <c r="F113" s="14"/>
      <c r="G113" s="14"/>
      <c r="H113" s="7"/>
      <c r="I113" s="7"/>
      <c r="J113" s="7">
        <v>627.90000000000009</v>
      </c>
      <c r="K113" s="7">
        <v>429.2</v>
      </c>
      <c r="L113" s="7">
        <v>288.5</v>
      </c>
      <c r="M113" s="7">
        <v>107.1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3"/>
    </row>
    <row r="114" spans="1:28" x14ac:dyDescent="0.3">
      <c r="A114" s="13" t="s">
        <v>36</v>
      </c>
      <c r="B114" s="19" t="s">
        <v>224</v>
      </c>
      <c r="C114" s="13" t="s">
        <v>314</v>
      </c>
      <c r="D114" s="61">
        <v>3050</v>
      </c>
      <c r="E114" s="14"/>
      <c r="F114" s="14"/>
      <c r="G114" s="14"/>
      <c r="H114" s="7"/>
      <c r="I114" s="7">
        <v>207.12</v>
      </c>
      <c r="J114" s="7">
        <v>673.64</v>
      </c>
      <c r="K114" s="7">
        <v>432.08</v>
      </c>
      <c r="L114" s="7">
        <v>551.4</v>
      </c>
      <c r="M114" s="7">
        <v>387.24</v>
      </c>
      <c r="N114" s="7">
        <v>347.58</v>
      </c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3"/>
    </row>
    <row r="115" spans="1:28" x14ac:dyDescent="0.3">
      <c r="A115" s="13" t="s">
        <v>37</v>
      </c>
      <c r="B115" s="19" t="s">
        <v>223</v>
      </c>
      <c r="C115" s="13" t="s">
        <v>314</v>
      </c>
      <c r="D115" s="61">
        <v>3050</v>
      </c>
      <c r="E115" s="14"/>
      <c r="F115" s="14"/>
      <c r="G115" s="14"/>
      <c r="H115" s="7"/>
      <c r="I115" s="7">
        <v>300.72000000000003</v>
      </c>
      <c r="J115" s="7">
        <v>2581.46</v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3"/>
    </row>
    <row r="116" spans="1:28" x14ac:dyDescent="0.3">
      <c r="A116" s="13" t="s">
        <v>38</v>
      </c>
      <c r="B116" s="19" t="s">
        <v>223</v>
      </c>
      <c r="C116" s="13" t="s">
        <v>314</v>
      </c>
      <c r="D116" s="61">
        <v>3050</v>
      </c>
      <c r="E116" s="14"/>
      <c r="F116" s="14"/>
      <c r="G116" s="14"/>
      <c r="H116" s="7"/>
      <c r="I116" s="7"/>
      <c r="J116" s="7">
        <v>47.78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3"/>
    </row>
    <row r="117" spans="1:28" x14ac:dyDescent="0.3">
      <c r="A117" s="13" t="s">
        <v>39</v>
      </c>
      <c r="B117" s="19" t="s">
        <v>223</v>
      </c>
      <c r="C117" s="13" t="s">
        <v>314</v>
      </c>
      <c r="D117" s="61">
        <v>3050</v>
      </c>
      <c r="E117" s="14"/>
      <c r="F117" s="14"/>
      <c r="G117" s="14"/>
      <c r="H117" s="7"/>
      <c r="I117" s="7">
        <v>212.27666666666673</v>
      </c>
      <c r="J117" s="7">
        <v>1641.82</v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3"/>
    </row>
    <row r="118" spans="1:28" x14ac:dyDescent="0.3">
      <c r="A118" s="13" t="s">
        <v>40</v>
      </c>
      <c r="B118" s="19" t="s">
        <v>223</v>
      </c>
      <c r="C118" s="13" t="s">
        <v>314</v>
      </c>
      <c r="D118" s="61">
        <v>3050</v>
      </c>
      <c r="E118" s="14"/>
      <c r="F118" s="14"/>
      <c r="G118" s="14"/>
      <c r="H118" s="7"/>
      <c r="I118" s="7">
        <v>265.60000000000002</v>
      </c>
      <c r="J118" s="7">
        <v>1416.2399999999998</v>
      </c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3"/>
    </row>
    <row r="119" spans="1:28" x14ac:dyDescent="0.3">
      <c r="A119" s="13" t="s">
        <v>41</v>
      </c>
      <c r="B119" s="19" t="s">
        <v>224</v>
      </c>
      <c r="C119" s="13" t="s">
        <v>314</v>
      </c>
      <c r="D119" s="61">
        <v>3050</v>
      </c>
      <c r="E119" s="14"/>
      <c r="F119" s="14"/>
      <c r="G119" s="14"/>
      <c r="H119" s="7"/>
      <c r="I119" s="7"/>
      <c r="J119" s="7">
        <v>421.29999999999995</v>
      </c>
      <c r="K119" s="7">
        <v>733.3</v>
      </c>
      <c r="L119" s="7">
        <v>1184.2</v>
      </c>
      <c r="M119" s="7">
        <v>1320.9</v>
      </c>
      <c r="N119" s="7">
        <v>867</v>
      </c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3"/>
    </row>
    <row r="120" spans="1:28" x14ac:dyDescent="0.3">
      <c r="A120" s="13" t="s">
        <v>42</v>
      </c>
      <c r="B120" s="19" t="s">
        <v>223</v>
      </c>
      <c r="C120" s="13" t="s">
        <v>314</v>
      </c>
      <c r="D120" s="61">
        <v>3050</v>
      </c>
      <c r="E120" s="14"/>
      <c r="F120" s="14"/>
      <c r="G120" s="14"/>
      <c r="H120" s="7"/>
      <c r="I120" s="7">
        <v>337.74</v>
      </c>
      <c r="J120" s="7">
        <v>2310.2800000000002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3"/>
    </row>
    <row r="121" spans="1:28" x14ac:dyDescent="0.3">
      <c r="A121" s="13" t="s">
        <v>43</v>
      </c>
      <c r="B121" s="19" t="s">
        <v>224</v>
      </c>
      <c r="C121" s="13" t="s">
        <v>314</v>
      </c>
      <c r="D121" s="61">
        <v>3050</v>
      </c>
      <c r="E121" s="14"/>
      <c r="F121" s="14"/>
      <c r="G121" s="14"/>
      <c r="H121" s="7"/>
      <c r="I121" s="7"/>
      <c r="J121" s="7">
        <v>0</v>
      </c>
      <c r="K121" s="7"/>
      <c r="L121" s="7"/>
      <c r="M121" s="7"/>
      <c r="N121" s="7">
        <v>269.08999999999997</v>
      </c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3"/>
    </row>
    <row r="122" spans="1:28" x14ac:dyDescent="0.3">
      <c r="A122" s="13" t="s">
        <v>44</v>
      </c>
      <c r="B122" s="19" t="s">
        <v>223</v>
      </c>
      <c r="C122" s="13" t="s">
        <v>314</v>
      </c>
      <c r="D122" s="61">
        <v>3050</v>
      </c>
      <c r="E122" s="14"/>
      <c r="F122" s="14"/>
      <c r="G122" s="14"/>
      <c r="H122" s="7"/>
      <c r="I122" s="7"/>
      <c r="J122" s="7">
        <v>889.19999999999993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3"/>
    </row>
    <row r="123" spans="1:28" x14ac:dyDescent="0.3">
      <c r="A123" s="13" t="s">
        <v>45</v>
      </c>
      <c r="B123" s="19" t="s">
        <v>224</v>
      </c>
      <c r="C123" s="13" t="s">
        <v>314</v>
      </c>
      <c r="D123" s="61">
        <v>3050</v>
      </c>
      <c r="E123" s="14"/>
      <c r="F123" s="14"/>
      <c r="G123" s="14"/>
      <c r="H123" s="7"/>
      <c r="I123" s="7"/>
      <c r="J123" s="7">
        <v>0</v>
      </c>
      <c r="K123" s="7">
        <v>1860</v>
      </c>
      <c r="L123" s="7">
        <v>2284.1</v>
      </c>
      <c r="M123" s="7">
        <v>2274.88</v>
      </c>
      <c r="N123" s="7">
        <v>966.68000000000006</v>
      </c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3"/>
    </row>
    <row r="124" spans="1:28" x14ac:dyDescent="0.3">
      <c r="A124" s="13" t="s">
        <v>46</v>
      </c>
      <c r="B124" s="19" t="s">
        <v>223</v>
      </c>
      <c r="C124" s="13" t="s">
        <v>314</v>
      </c>
      <c r="D124" s="61">
        <v>3050</v>
      </c>
      <c r="E124" s="14"/>
      <c r="F124" s="14"/>
      <c r="G124" s="14"/>
      <c r="H124" s="7"/>
      <c r="I124" s="7"/>
      <c r="J124" s="7">
        <v>2626.3599999999997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3"/>
    </row>
    <row r="125" spans="1:28" x14ac:dyDescent="0.3">
      <c r="A125" s="13" t="s">
        <v>47</v>
      </c>
      <c r="B125" s="19" t="s">
        <v>223</v>
      </c>
      <c r="C125" s="13" t="s">
        <v>314</v>
      </c>
      <c r="D125" s="61">
        <v>3050</v>
      </c>
      <c r="E125" s="14"/>
      <c r="F125" s="14"/>
      <c r="G125" s="14"/>
      <c r="H125" s="7"/>
      <c r="I125" s="7">
        <v>106.22</v>
      </c>
      <c r="J125" s="7">
        <v>1985.9200000000003</v>
      </c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3"/>
    </row>
    <row r="126" spans="1:28" x14ac:dyDescent="0.3">
      <c r="A126" s="13" t="s">
        <v>48</v>
      </c>
      <c r="B126" s="19" t="s">
        <v>223</v>
      </c>
      <c r="C126" s="13" t="s">
        <v>314</v>
      </c>
      <c r="D126" s="61">
        <v>3050</v>
      </c>
      <c r="E126" s="14"/>
      <c r="F126" s="14"/>
      <c r="G126" s="14"/>
      <c r="H126" s="7"/>
      <c r="I126" s="7">
        <v>60</v>
      </c>
      <c r="J126" s="7">
        <v>420</v>
      </c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3"/>
    </row>
    <row r="127" spans="1:28" x14ac:dyDescent="0.3">
      <c r="A127" s="13" t="s">
        <v>49</v>
      </c>
      <c r="B127" s="19" t="s">
        <v>223</v>
      </c>
      <c r="C127" s="13" t="s">
        <v>314</v>
      </c>
      <c r="D127" s="61">
        <v>3050</v>
      </c>
      <c r="E127" s="14"/>
      <c r="F127" s="14"/>
      <c r="G127" s="14"/>
      <c r="H127" s="7"/>
      <c r="I127" s="7">
        <v>88.34</v>
      </c>
      <c r="J127" s="7">
        <v>268.06</v>
      </c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3"/>
    </row>
    <row r="128" spans="1:28" x14ac:dyDescent="0.3">
      <c r="A128" s="13" t="s">
        <v>50</v>
      </c>
      <c r="B128" s="19" t="s">
        <v>224</v>
      </c>
      <c r="C128" s="13" t="s">
        <v>314</v>
      </c>
      <c r="D128" s="61">
        <v>3050</v>
      </c>
      <c r="E128" s="14"/>
      <c r="F128" s="14"/>
      <c r="G128" s="14"/>
      <c r="H128" s="7"/>
      <c r="I128" s="7"/>
      <c r="J128" s="7">
        <v>249.62</v>
      </c>
      <c r="K128" s="7">
        <v>146.74</v>
      </c>
      <c r="L128" s="7">
        <v>242.43999999999997</v>
      </c>
      <c r="M128" s="7">
        <v>204</v>
      </c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3"/>
    </row>
    <row r="129" spans="1:28" x14ac:dyDescent="0.3">
      <c r="A129" s="13" t="s">
        <v>51</v>
      </c>
      <c r="B129" s="19" t="s">
        <v>224</v>
      </c>
      <c r="C129" s="13" t="s">
        <v>314</v>
      </c>
      <c r="D129" s="61">
        <v>3050</v>
      </c>
      <c r="E129" s="14"/>
      <c r="F129" s="14"/>
      <c r="G129" s="14"/>
      <c r="H129" s="7"/>
      <c r="I129" s="7"/>
      <c r="J129" s="7">
        <v>277.71999999999997</v>
      </c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3"/>
    </row>
    <row r="130" spans="1:28" x14ac:dyDescent="0.3">
      <c r="A130" s="13" t="s">
        <v>52</v>
      </c>
      <c r="B130" s="19" t="s">
        <v>224</v>
      </c>
      <c r="C130" s="13" t="s">
        <v>314</v>
      </c>
      <c r="D130" s="61">
        <v>3050</v>
      </c>
      <c r="E130" s="14"/>
      <c r="F130" s="14"/>
      <c r="G130" s="14"/>
      <c r="H130" s="7"/>
      <c r="I130" s="7">
        <v>39.92</v>
      </c>
      <c r="J130" s="7">
        <v>726.90000000000009</v>
      </c>
      <c r="K130" s="7">
        <v>629.66000000000008</v>
      </c>
      <c r="L130" s="7">
        <v>1033.6100000000001</v>
      </c>
      <c r="M130" s="7">
        <v>981.16</v>
      </c>
      <c r="N130" s="7">
        <v>402.34000000000003</v>
      </c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3"/>
    </row>
    <row r="131" spans="1:28" x14ac:dyDescent="0.3">
      <c r="A131" s="13" t="s">
        <v>53</v>
      </c>
      <c r="B131" s="19" t="s">
        <v>223</v>
      </c>
      <c r="C131" s="13" t="s">
        <v>314</v>
      </c>
      <c r="D131" s="61">
        <v>3050</v>
      </c>
      <c r="E131" s="14"/>
      <c r="F131" s="14"/>
      <c r="G131" s="14"/>
      <c r="H131" s="7"/>
      <c r="I131" s="7">
        <v>697.2</v>
      </c>
      <c r="J131" s="7">
        <v>5177.88</v>
      </c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3"/>
    </row>
    <row r="132" spans="1:28" x14ac:dyDescent="0.3">
      <c r="A132" s="13" t="s">
        <v>54</v>
      </c>
      <c r="B132" s="19" t="s">
        <v>223</v>
      </c>
      <c r="C132" s="13" t="s">
        <v>314</v>
      </c>
      <c r="D132" s="61">
        <v>3050</v>
      </c>
      <c r="E132" s="14"/>
      <c r="F132" s="14"/>
      <c r="G132" s="14"/>
      <c r="H132" s="7"/>
      <c r="I132" s="7"/>
      <c r="J132" s="7">
        <v>777.24</v>
      </c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3"/>
    </row>
    <row r="133" spans="1:28" x14ac:dyDescent="0.3">
      <c r="A133" s="13" t="s">
        <v>55</v>
      </c>
      <c r="B133" s="19" t="s">
        <v>223</v>
      </c>
      <c r="C133" s="13" t="s">
        <v>314</v>
      </c>
      <c r="D133" s="61">
        <v>3050</v>
      </c>
      <c r="E133" s="14"/>
      <c r="F133" s="14"/>
      <c r="G133" s="14"/>
      <c r="H133" s="7"/>
      <c r="I133" s="7">
        <v>68.72</v>
      </c>
      <c r="J133" s="7">
        <v>358.02</v>
      </c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3"/>
    </row>
    <row r="134" spans="1:28" x14ac:dyDescent="0.3">
      <c r="A134" s="13" t="s">
        <v>56</v>
      </c>
      <c r="B134" s="19" t="s">
        <v>223</v>
      </c>
      <c r="C134" s="13" t="s">
        <v>314</v>
      </c>
      <c r="D134" s="61">
        <v>3050</v>
      </c>
      <c r="E134" s="14"/>
      <c r="F134" s="14"/>
      <c r="G134" s="14"/>
      <c r="H134" s="7"/>
      <c r="I134" s="7"/>
      <c r="J134" s="7">
        <v>2394.92</v>
      </c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3"/>
    </row>
    <row r="135" spans="1:28" x14ac:dyDescent="0.3">
      <c r="A135" s="13" t="s">
        <v>57</v>
      </c>
      <c r="B135" s="19" t="s">
        <v>224</v>
      </c>
      <c r="C135" s="13" t="s">
        <v>314</v>
      </c>
      <c r="D135" s="61">
        <v>3050</v>
      </c>
      <c r="E135" s="14"/>
      <c r="F135" s="14"/>
      <c r="G135" s="14"/>
      <c r="H135" s="7"/>
      <c r="I135" s="7"/>
      <c r="J135" s="7">
        <v>904.3</v>
      </c>
      <c r="K135" s="7">
        <v>794.39</v>
      </c>
      <c r="L135" s="7">
        <v>1573.5800000000002</v>
      </c>
      <c r="M135" s="7">
        <v>1481.58</v>
      </c>
      <c r="N135" s="7">
        <v>956.51</v>
      </c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3"/>
    </row>
    <row r="136" spans="1:28" x14ac:dyDescent="0.3">
      <c r="A136" s="13" t="s">
        <v>58</v>
      </c>
      <c r="B136" s="19" t="s">
        <v>223</v>
      </c>
      <c r="C136" s="13" t="s">
        <v>314</v>
      </c>
      <c r="D136" s="61">
        <v>3050</v>
      </c>
      <c r="E136" s="14"/>
      <c r="F136" s="14"/>
      <c r="G136" s="14"/>
      <c r="H136" s="7"/>
      <c r="I136" s="7">
        <v>182.08</v>
      </c>
      <c r="J136" s="7">
        <v>1123.6799999999998</v>
      </c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3"/>
    </row>
    <row r="137" spans="1:28" x14ac:dyDescent="0.3">
      <c r="A137" s="13" t="s">
        <v>59</v>
      </c>
      <c r="B137" s="19" t="s">
        <v>223</v>
      </c>
      <c r="C137" s="13" t="s">
        <v>314</v>
      </c>
      <c r="D137" s="61">
        <v>3050</v>
      </c>
      <c r="E137" s="14"/>
      <c r="F137" s="14"/>
      <c r="G137" s="14"/>
      <c r="H137" s="7"/>
      <c r="I137" s="7"/>
      <c r="J137" s="7">
        <v>2081.2800000000002</v>
      </c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3"/>
    </row>
    <row r="138" spans="1:28" x14ac:dyDescent="0.3">
      <c r="A138" s="13" t="s">
        <v>60</v>
      </c>
      <c r="B138" s="19" t="s">
        <v>223</v>
      </c>
      <c r="C138" s="13" t="s">
        <v>314</v>
      </c>
      <c r="D138" s="61">
        <v>3050</v>
      </c>
      <c r="E138" s="14"/>
      <c r="F138" s="14"/>
      <c r="G138" s="14"/>
      <c r="H138" s="7"/>
      <c r="I138" s="7">
        <v>117.48</v>
      </c>
      <c r="J138" s="7">
        <v>692.08000000000015</v>
      </c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3"/>
    </row>
    <row r="139" spans="1:28" x14ac:dyDescent="0.3">
      <c r="A139" s="13" t="s">
        <v>61</v>
      </c>
      <c r="B139" s="19" t="s">
        <v>223</v>
      </c>
      <c r="C139" s="13" t="s">
        <v>314</v>
      </c>
      <c r="D139" s="61">
        <v>3050</v>
      </c>
      <c r="E139" s="14"/>
      <c r="F139" s="14"/>
      <c r="G139" s="14"/>
      <c r="H139" s="7"/>
      <c r="I139" s="7"/>
      <c r="J139" s="7">
        <v>90.56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3"/>
    </row>
    <row r="140" spans="1:28" x14ac:dyDescent="0.3">
      <c r="A140" s="13" t="s">
        <v>62</v>
      </c>
      <c r="B140" s="19" t="s">
        <v>223</v>
      </c>
      <c r="C140" s="13" t="s">
        <v>314</v>
      </c>
      <c r="D140" s="61">
        <v>3050</v>
      </c>
      <c r="E140" s="14"/>
      <c r="F140" s="14"/>
      <c r="G140" s="14"/>
      <c r="H140" s="7"/>
      <c r="I140" s="7"/>
      <c r="J140" s="7">
        <v>1267.72</v>
      </c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3"/>
    </row>
    <row r="141" spans="1:28" x14ac:dyDescent="0.3">
      <c r="A141" s="13" t="s">
        <v>63</v>
      </c>
      <c r="B141" s="19" t="s">
        <v>224</v>
      </c>
      <c r="C141" s="13" t="s">
        <v>314</v>
      </c>
      <c r="D141" s="61">
        <v>3050</v>
      </c>
      <c r="E141" s="14"/>
      <c r="F141" s="14"/>
      <c r="G141" s="14"/>
      <c r="H141" s="7"/>
      <c r="I141" s="7"/>
      <c r="J141" s="7">
        <v>135.9</v>
      </c>
      <c r="K141" s="7">
        <v>102.19999999999999</v>
      </c>
      <c r="L141" s="7">
        <v>103.6</v>
      </c>
      <c r="M141" s="7">
        <v>110.8</v>
      </c>
      <c r="N141" s="7">
        <v>48.2</v>
      </c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3"/>
    </row>
    <row r="142" spans="1:28" x14ac:dyDescent="0.3">
      <c r="A142" s="13" t="s">
        <v>64</v>
      </c>
      <c r="B142" s="19" t="s">
        <v>223</v>
      </c>
      <c r="C142" s="13" t="s">
        <v>314</v>
      </c>
      <c r="D142" s="61">
        <v>3050</v>
      </c>
      <c r="E142" s="14"/>
      <c r="F142" s="14"/>
      <c r="G142" s="14"/>
      <c r="H142" s="7"/>
      <c r="I142" s="7">
        <v>265.36</v>
      </c>
      <c r="J142" s="7">
        <v>3959.0999999999995</v>
      </c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3"/>
    </row>
    <row r="143" spans="1:28" x14ac:dyDescent="0.3">
      <c r="A143" s="13" t="s">
        <v>65</v>
      </c>
      <c r="B143" s="19" t="s">
        <v>223</v>
      </c>
      <c r="C143" s="13" t="s">
        <v>314</v>
      </c>
      <c r="D143" s="61">
        <v>3050</v>
      </c>
      <c r="E143" s="14"/>
      <c r="F143" s="14"/>
      <c r="G143" s="14"/>
      <c r="H143" s="7"/>
      <c r="I143" s="7">
        <v>259.27999999999997</v>
      </c>
      <c r="J143" s="7">
        <v>3155.88</v>
      </c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3"/>
    </row>
    <row r="144" spans="1:28" x14ac:dyDescent="0.3">
      <c r="A144" s="13" t="s">
        <v>66</v>
      </c>
      <c r="B144" s="19" t="s">
        <v>224</v>
      </c>
      <c r="C144" s="13" t="s">
        <v>315</v>
      </c>
      <c r="D144" s="61">
        <v>3050</v>
      </c>
      <c r="E144" s="14"/>
      <c r="F144" s="14"/>
      <c r="G144" s="14"/>
      <c r="H144" s="7">
        <v>2836.46</v>
      </c>
      <c r="I144" s="7">
        <v>2774.2999999999997</v>
      </c>
      <c r="J144" s="7">
        <v>6224.58</v>
      </c>
      <c r="K144" s="7">
        <v>4234.3999999999996</v>
      </c>
      <c r="L144" s="7">
        <v>1761.02</v>
      </c>
      <c r="M144" s="7">
        <v>1031.54</v>
      </c>
      <c r="N144" s="7">
        <v>22.18</v>
      </c>
      <c r="O144" s="7">
        <v>11.9</v>
      </c>
      <c r="P144" s="7">
        <v>97.4</v>
      </c>
      <c r="Q144" s="7">
        <v>124.4</v>
      </c>
      <c r="R144" s="7">
        <v>121.8</v>
      </c>
      <c r="S144" s="7">
        <v>112.82000000000001</v>
      </c>
      <c r="T144" s="7">
        <v>122.14</v>
      </c>
      <c r="U144" s="7">
        <v>41.92</v>
      </c>
      <c r="V144" s="7">
        <v>26.84</v>
      </c>
      <c r="Y144" s="7"/>
      <c r="Z144" s="7"/>
      <c r="AA144" s="7"/>
      <c r="AB144" s="3"/>
    </row>
    <row r="145" spans="1:28" x14ac:dyDescent="0.3">
      <c r="A145" s="13" t="s">
        <v>67</v>
      </c>
      <c r="B145" s="19" t="s">
        <v>224</v>
      </c>
      <c r="C145" s="13" t="s">
        <v>314</v>
      </c>
      <c r="D145" s="61">
        <v>3050</v>
      </c>
      <c r="E145" s="14"/>
      <c r="F145" s="14"/>
      <c r="G145" s="14"/>
      <c r="H145" s="7"/>
      <c r="I145" s="7"/>
      <c r="J145" s="7">
        <v>106.44</v>
      </c>
      <c r="K145" s="7">
        <v>308.32</v>
      </c>
      <c r="L145" s="7">
        <v>774.54</v>
      </c>
      <c r="M145" s="7">
        <v>1282.1199999999999</v>
      </c>
      <c r="N145" s="7">
        <v>638.66000000000008</v>
      </c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3"/>
    </row>
    <row r="146" spans="1:28" x14ac:dyDescent="0.3">
      <c r="A146" s="13" t="s">
        <v>68</v>
      </c>
      <c r="B146" s="19" t="s">
        <v>224</v>
      </c>
      <c r="C146" s="13" t="s">
        <v>314</v>
      </c>
      <c r="D146" s="61">
        <v>3050</v>
      </c>
      <c r="E146" s="14"/>
      <c r="F146" s="14"/>
      <c r="G146" s="14"/>
      <c r="H146" s="7"/>
      <c r="I146" s="7">
        <v>89.84</v>
      </c>
      <c r="J146" s="7">
        <v>377.6</v>
      </c>
      <c r="K146" s="7">
        <v>130.5</v>
      </c>
      <c r="L146" s="7">
        <v>81.099999999999994</v>
      </c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3"/>
    </row>
    <row r="147" spans="1:28" x14ac:dyDescent="0.3">
      <c r="A147" s="13" t="s">
        <v>69</v>
      </c>
      <c r="B147" s="19" t="s">
        <v>223</v>
      </c>
      <c r="C147" s="13" t="s">
        <v>314</v>
      </c>
      <c r="D147" s="61">
        <v>3050</v>
      </c>
      <c r="E147" s="14"/>
      <c r="F147" s="14"/>
      <c r="G147" s="14"/>
      <c r="H147" s="7"/>
      <c r="I147" s="7"/>
      <c r="J147" s="7">
        <v>265.59000000000003</v>
      </c>
      <c r="K147" s="7">
        <v>306.59000000000003</v>
      </c>
      <c r="L147" s="7">
        <v>261.55</v>
      </c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3"/>
    </row>
    <row r="148" spans="1:28" x14ac:dyDescent="0.3">
      <c r="A148" s="13" t="s">
        <v>70</v>
      </c>
      <c r="B148" s="19" t="s">
        <v>223</v>
      </c>
      <c r="C148" s="13" t="s">
        <v>314</v>
      </c>
      <c r="D148" s="61">
        <v>3050</v>
      </c>
      <c r="E148" s="14"/>
      <c r="F148" s="14"/>
      <c r="G148" s="14"/>
      <c r="H148" s="7"/>
      <c r="I148" s="7">
        <v>198.48</v>
      </c>
      <c r="J148" s="7">
        <v>1078.78</v>
      </c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3"/>
    </row>
    <row r="149" spans="1:28" x14ac:dyDescent="0.3">
      <c r="A149" s="13" t="s">
        <v>71</v>
      </c>
      <c r="B149" s="19" t="s">
        <v>223</v>
      </c>
      <c r="C149" s="13" t="s">
        <v>314</v>
      </c>
      <c r="D149" s="61">
        <v>3050</v>
      </c>
      <c r="E149" s="14"/>
      <c r="F149" s="14"/>
      <c r="G149" s="14"/>
      <c r="H149" s="7"/>
      <c r="I149" s="7"/>
      <c r="J149" s="7">
        <v>199.66000000000003</v>
      </c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3"/>
    </row>
    <row r="150" spans="1:28" x14ac:dyDescent="0.3">
      <c r="A150" s="13" t="s">
        <v>72</v>
      </c>
      <c r="B150" s="19" t="s">
        <v>223</v>
      </c>
      <c r="C150" s="13" t="s">
        <v>314</v>
      </c>
      <c r="D150" s="61">
        <v>3050</v>
      </c>
      <c r="E150" s="14"/>
      <c r="F150" s="14"/>
      <c r="G150" s="14"/>
      <c r="H150" s="7"/>
      <c r="I150" s="7"/>
      <c r="J150" s="7">
        <v>975.3599999999999</v>
      </c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3"/>
    </row>
    <row r="151" spans="1:28" x14ac:dyDescent="0.3">
      <c r="A151" s="13" t="s">
        <v>73</v>
      </c>
      <c r="B151" s="19" t="s">
        <v>224</v>
      </c>
      <c r="C151" s="13" t="s">
        <v>314</v>
      </c>
      <c r="D151" s="61">
        <v>3050</v>
      </c>
      <c r="E151" s="14"/>
      <c r="F151" s="14"/>
      <c r="G151" s="14"/>
      <c r="H151" s="7"/>
      <c r="I151" s="7"/>
      <c r="J151" s="7">
        <v>314.7</v>
      </c>
      <c r="K151" s="7">
        <v>192.6</v>
      </c>
      <c r="L151" s="7">
        <v>127.3</v>
      </c>
      <c r="M151" s="7">
        <v>32.299999999999997</v>
      </c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3"/>
    </row>
    <row r="152" spans="1:28" x14ac:dyDescent="0.3">
      <c r="A152" s="13" t="s">
        <v>74</v>
      </c>
      <c r="B152" s="19" t="s">
        <v>223</v>
      </c>
      <c r="C152" s="13" t="s">
        <v>314</v>
      </c>
      <c r="D152" s="61">
        <v>3050</v>
      </c>
      <c r="E152" s="14"/>
      <c r="F152" s="14"/>
      <c r="G152" s="14"/>
      <c r="H152" s="7"/>
      <c r="I152" s="7"/>
      <c r="J152" s="7">
        <v>379.38</v>
      </c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3"/>
    </row>
    <row r="153" spans="1:28" x14ac:dyDescent="0.3">
      <c r="A153" s="13" t="s">
        <v>75</v>
      </c>
      <c r="B153" s="19" t="s">
        <v>223</v>
      </c>
      <c r="C153" s="13" t="s">
        <v>314</v>
      </c>
      <c r="D153" s="61">
        <v>3050</v>
      </c>
      <c r="E153" s="14"/>
      <c r="F153" s="14"/>
      <c r="G153" s="14"/>
      <c r="H153" s="7"/>
      <c r="I153" s="7"/>
      <c r="J153" s="7">
        <v>102.89999999999999</v>
      </c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3"/>
    </row>
    <row r="154" spans="1:28" x14ac:dyDescent="0.3">
      <c r="A154" s="13" t="s">
        <v>76</v>
      </c>
      <c r="B154" s="19" t="s">
        <v>223</v>
      </c>
      <c r="C154" s="13" t="s">
        <v>314</v>
      </c>
      <c r="D154" s="61">
        <v>3050</v>
      </c>
      <c r="E154" s="14"/>
      <c r="F154" s="14"/>
      <c r="G154" s="14"/>
      <c r="H154" s="7">
        <v>37.22</v>
      </c>
      <c r="I154" s="7">
        <v>200.05</v>
      </c>
      <c r="J154" s="7">
        <v>330.64</v>
      </c>
      <c r="K154" s="7">
        <v>121.61000000000001</v>
      </c>
      <c r="L154" s="7">
        <v>254.93</v>
      </c>
      <c r="M154" s="7">
        <v>117.42</v>
      </c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3"/>
    </row>
    <row r="155" spans="1:28" x14ac:dyDescent="0.3">
      <c r="A155" s="13" t="s">
        <v>77</v>
      </c>
      <c r="B155" s="19" t="s">
        <v>223</v>
      </c>
      <c r="C155" s="13" t="s">
        <v>314</v>
      </c>
      <c r="D155" s="61">
        <v>3050</v>
      </c>
      <c r="E155" s="14"/>
      <c r="F155" s="14"/>
      <c r="G155" s="14"/>
      <c r="H155" s="7"/>
      <c r="I155" s="7"/>
      <c r="J155" s="7">
        <v>147.72999999999999</v>
      </c>
      <c r="K155" s="7">
        <v>833.36999999999989</v>
      </c>
      <c r="L155" s="7">
        <v>1384.0699999999997</v>
      </c>
      <c r="M155" s="7">
        <v>1259.665</v>
      </c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3"/>
    </row>
    <row r="156" spans="1:28" x14ac:dyDescent="0.3">
      <c r="A156" s="13" t="s">
        <v>78</v>
      </c>
      <c r="B156" s="19" t="s">
        <v>223</v>
      </c>
      <c r="C156" s="13" t="s">
        <v>314</v>
      </c>
      <c r="D156" s="61">
        <v>3050</v>
      </c>
      <c r="E156" s="14"/>
      <c r="F156" s="14"/>
      <c r="G156" s="14"/>
      <c r="H156" s="7"/>
      <c r="I156" s="7"/>
      <c r="J156" s="7">
        <v>360.5</v>
      </c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3"/>
    </row>
    <row r="157" spans="1:28" x14ac:dyDescent="0.3">
      <c r="A157" s="13" t="s">
        <v>79</v>
      </c>
      <c r="B157" s="19" t="s">
        <v>223</v>
      </c>
      <c r="C157" s="13" t="s">
        <v>314</v>
      </c>
      <c r="D157" s="61">
        <v>3050</v>
      </c>
      <c r="E157" s="14"/>
      <c r="F157" s="14"/>
      <c r="G157" s="14"/>
      <c r="H157" s="7"/>
      <c r="I157" s="7"/>
      <c r="J157" s="7">
        <v>100.42</v>
      </c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3"/>
    </row>
    <row r="158" spans="1:28" x14ac:dyDescent="0.3">
      <c r="A158" s="13" t="s">
        <v>80</v>
      </c>
      <c r="B158" s="19" t="s">
        <v>223</v>
      </c>
      <c r="C158" s="13" t="s">
        <v>314</v>
      </c>
      <c r="D158" s="61">
        <v>3050</v>
      </c>
      <c r="E158" s="14"/>
      <c r="F158" s="14"/>
      <c r="G158" s="14"/>
      <c r="H158" s="7"/>
      <c r="I158" s="7">
        <v>10.55</v>
      </c>
      <c r="J158" s="7">
        <v>77.91</v>
      </c>
      <c r="K158" s="7">
        <v>29.05</v>
      </c>
      <c r="L158" s="7">
        <v>66.2</v>
      </c>
      <c r="M158" s="7">
        <v>24.39</v>
      </c>
      <c r="N158" s="7">
        <v>9.42</v>
      </c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3"/>
    </row>
    <row r="159" spans="1:28" x14ac:dyDescent="0.3">
      <c r="A159" s="13" t="s">
        <v>81</v>
      </c>
      <c r="B159" s="19" t="s">
        <v>223</v>
      </c>
      <c r="C159" s="13" t="s">
        <v>314</v>
      </c>
      <c r="D159" s="61">
        <v>3050</v>
      </c>
      <c r="E159" s="14"/>
      <c r="F159" s="14"/>
      <c r="G159" s="14"/>
      <c r="H159" s="7"/>
      <c r="I159" s="7">
        <v>110.22</v>
      </c>
      <c r="J159" s="7">
        <v>306.22000000000003</v>
      </c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3"/>
    </row>
    <row r="160" spans="1:28" x14ac:dyDescent="0.3">
      <c r="A160" s="13" t="s">
        <v>82</v>
      </c>
      <c r="B160" s="19" t="s">
        <v>224</v>
      </c>
      <c r="C160" s="13" t="s">
        <v>314</v>
      </c>
      <c r="D160" s="61">
        <v>3050</v>
      </c>
      <c r="E160" s="14"/>
      <c r="F160" s="14"/>
      <c r="G160" s="14"/>
      <c r="H160" s="7"/>
      <c r="I160" s="7">
        <v>1314.9</v>
      </c>
      <c r="J160" s="7">
        <v>7519.5399999999991</v>
      </c>
      <c r="K160" s="7">
        <v>2582.2999999999997</v>
      </c>
      <c r="L160" s="7">
        <v>8168.6750000000002</v>
      </c>
      <c r="M160" s="7">
        <v>5230.9399999999996</v>
      </c>
      <c r="N160" s="7">
        <v>1676.3</v>
      </c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3"/>
    </row>
    <row r="161" spans="1:28" x14ac:dyDescent="0.3">
      <c r="A161" s="13" t="s">
        <v>83</v>
      </c>
      <c r="B161" s="19" t="s">
        <v>223</v>
      </c>
      <c r="C161" s="13" t="s">
        <v>314</v>
      </c>
      <c r="D161" s="61">
        <v>3050</v>
      </c>
      <c r="E161" s="14"/>
      <c r="F161" s="14"/>
      <c r="G161" s="14"/>
      <c r="H161" s="7"/>
      <c r="I161" s="7">
        <v>91.82</v>
      </c>
      <c r="J161" s="7">
        <v>292.03999999999996</v>
      </c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3"/>
    </row>
    <row r="162" spans="1:28" x14ac:dyDescent="0.3">
      <c r="A162" s="13" t="s">
        <v>84</v>
      </c>
      <c r="B162" s="19" t="s">
        <v>223</v>
      </c>
      <c r="C162" s="13" t="s">
        <v>314</v>
      </c>
      <c r="D162" s="61">
        <v>3050</v>
      </c>
      <c r="E162" s="14"/>
      <c r="F162" s="14"/>
      <c r="G162" s="14"/>
      <c r="H162" s="7"/>
      <c r="I162" s="7">
        <v>73.760000000000005</v>
      </c>
      <c r="J162" s="7">
        <v>568.29999999999995</v>
      </c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3"/>
    </row>
    <row r="163" spans="1:28" x14ac:dyDescent="0.3">
      <c r="A163" s="13" t="s">
        <v>85</v>
      </c>
      <c r="B163" s="19" t="s">
        <v>223</v>
      </c>
      <c r="C163" s="13" t="s">
        <v>314</v>
      </c>
      <c r="D163" s="61">
        <v>3050</v>
      </c>
      <c r="E163" s="14"/>
      <c r="F163" s="14"/>
      <c r="G163" s="14"/>
      <c r="H163" s="7"/>
      <c r="I163" s="7"/>
      <c r="J163" s="7">
        <v>1864.68</v>
      </c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3"/>
    </row>
    <row r="164" spans="1:28" x14ac:dyDescent="0.3">
      <c r="A164" s="13" t="s">
        <v>86</v>
      </c>
      <c r="B164" s="19" t="s">
        <v>223</v>
      </c>
      <c r="C164" s="13" t="s">
        <v>314</v>
      </c>
      <c r="D164" s="61">
        <v>3050</v>
      </c>
      <c r="E164" s="14"/>
      <c r="F164" s="14"/>
      <c r="G164" s="14"/>
      <c r="H164" s="7"/>
      <c r="I164" s="7"/>
      <c r="J164" s="7">
        <v>1646.3</v>
      </c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3"/>
    </row>
    <row r="165" spans="1:28" x14ac:dyDescent="0.3">
      <c r="A165" s="13" t="s">
        <v>87</v>
      </c>
      <c r="B165" s="19" t="s">
        <v>224</v>
      </c>
      <c r="C165" s="13" t="s">
        <v>314</v>
      </c>
      <c r="D165" s="61">
        <v>3050</v>
      </c>
      <c r="E165" s="14"/>
      <c r="F165" s="14"/>
      <c r="G165" s="14"/>
      <c r="H165" s="7"/>
      <c r="I165" s="7"/>
      <c r="J165" s="7">
        <v>561.62</v>
      </c>
      <c r="K165" s="7">
        <v>267.2</v>
      </c>
      <c r="L165" s="7">
        <v>347.3</v>
      </c>
      <c r="M165" s="7">
        <v>404.1</v>
      </c>
      <c r="N165" s="7">
        <v>139.09</v>
      </c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3"/>
    </row>
    <row r="166" spans="1:28" x14ac:dyDescent="0.3">
      <c r="A166" s="13" t="s">
        <v>88</v>
      </c>
      <c r="B166" s="19" t="s">
        <v>223</v>
      </c>
      <c r="C166" s="13" t="s">
        <v>314</v>
      </c>
      <c r="D166" s="61">
        <v>3050</v>
      </c>
      <c r="E166" s="14"/>
      <c r="F166" s="14"/>
      <c r="G166" s="14"/>
      <c r="H166" s="7"/>
      <c r="I166" s="7">
        <v>143.91999999999999</v>
      </c>
      <c r="J166" s="7">
        <v>680.59999999999991</v>
      </c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3"/>
    </row>
    <row r="167" spans="1:28" x14ac:dyDescent="0.3">
      <c r="A167" s="13" t="s">
        <v>89</v>
      </c>
      <c r="B167" s="19" t="s">
        <v>223</v>
      </c>
      <c r="C167" s="13" t="s">
        <v>314</v>
      </c>
      <c r="D167" s="61">
        <v>3050</v>
      </c>
      <c r="E167" s="14"/>
      <c r="F167" s="14"/>
      <c r="G167" s="14"/>
      <c r="H167" s="7"/>
      <c r="I167" s="7"/>
      <c r="J167" s="7">
        <v>747.98</v>
      </c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3"/>
    </row>
    <row r="168" spans="1:28" x14ac:dyDescent="0.3">
      <c r="A168" s="13" t="s">
        <v>90</v>
      </c>
      <c r="B168" s="19" t="s">
        <v>224</v>
      </c>
      <c r="C168" s="13" t="s">
        <v>314</v>
      </c>
      <c r="D168" s="61">
        <v>3050</v>
      </c>
      <c r="E168" s="14"/>
      <c r="F168" s="14"/>
      <c r="G168" s="14"/>
      <c r="H168" s="7"/>
      <c r="I168" s="7">
        <v>613.16000000000008</v>
      </c>
      <c r="J168" s="7">
        <v>1453.1599999999999</v>
      </c>
      <c r="K168" s="7">
        <v>1208.9099999999999</v>
      </c>
      <c r="L168" s="7">
        <v>1495.92</v>
      </c>
      <c r="M168" s="7">
        <v>707.41000000000008</v>
      </c>
      <c r="N168" s="7">
        <v>459.4</v>
      </c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3"/>
    </row>
    <row r="169" spans="1:28" x14ac:dyDescent="0.3">
      <c r="A169" s="13" t="s">
        <v>91</v>
      </c>
      <c r="B169" s="19" t="s">
        <v>223</v>
      </c>
      <c r="C169" s="13" t="s">
        <v>314</v>
      </c>
      <c r="D169" s="61">
        <v>3050</v>
      </c>
      <c r="E169" s="14"/>
      <c r="F169" s="14"/>
      <c r="G169" s="14"/>
      <c r="H169" s="7"/>
      <c r="I169" s="7">
        <v>86.2</v>
      </c>
      <c r="J169" s="7">
        <v>804.38</v>
      </c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3"/>
    </row>
    <row r="170" spans="1:28" x14ac:dyDescent="0.3">
      <c r="A170" s="13" t="s">
        <v>92</v>
      </c>
      <c r="B170" s="19" t="s">
        <v>223</v>
      </c>
      <c r="C170" s="13" t="s">
        <v>314</v>
      </c>
      <c r="D170" s="61">
        <v>3050</v>
      </c>
      <c r="E170" s="14"/>
      <c r="F170" s="14"/>
      <c r="G170" s="14"/>
      <c r="H170" s="7">
        <v>21.86</v>
      </c>
      <c r="I170" s="7">
        <v>64.830000000000013</v>
      </c>
      <c r="J170" s="7">
        <v>133.74</v>
      </c>
      <c r="K170" s="7">
        <v>26.1</v>
      </c>
      <c r="L170" s="7">
        <v>80.040000000000006</v>
      </c>
      <c r="M170" s="7">
        <v>37.370000000000005</v>
      </c>
      <c r="N170" s="7">
        <v>10.5</v>
      </c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3"/>
    </row>
    <row r="171" spans="1:28" x14ac:dyDescent="0.3">
      <c r="A171" s="13" t="s">
        <v>93</v>
      </c>
      <c r="B171" s="19" t="s">
        <v>223</v>
      </c>
      <c r="C171" s="13" t="s">
        <v>314</v>
      </c>
      <c r="D171" s="61">
        <v>3050</v>
      </c>
      <c r="E171" s="14"/>
      <c r="F171" s="14"/>
      <c r="G171" s="14"/>
      <c r="H171" s="7">
        <v>46.38</v>
      </c>
      <c r="I171" s="7">
        <v>293.03999999999996</v>
      </c>
      <c r="J171" s="7">
        <v>459.69</v>
      </c>
      <c r="K171" s="7">
        <v>130.19999999999999</v>
      </c>
      <c r="L171" s="7">
        <v>596.82000000000005</v>
      </c>
      <c r="M171" s="7">
        <v>173.73000000000002</v>
      </c>
      <c r="N171" s="7">
        <v>56.865000000000002</v>
      </c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3"/>
    </row>
    <row r="172" spans="1:28" x14ac:dyDescent="0.3">
      <c r="A172" s="13" t="s">
        <v>94</v>
      </c>
      <c r="B172" s="19" t="s">
        <v>224</v>
      </c>
      <c r="C172" s="13" t="s">
        <v>314</v>
      </c>
      <c r="D172" s="61">
        <v>3050</v>
      </c>
      <c r="E172" s="14"/>
      <c r="F172" s="14"/>
      <c r="G172" s="14"/>
      <c r="H172" s="7"/>
      <c r="I172" s="7"/>
      <c r="J172" s="7">
        <v>21.6</v>
      </c>
      <c r="K172" s="7">
        <v>90.1</v>
      </c>
      <c r="L172" s="7">
        <v>76.3</v>
      </c>
      <c r="M172" s="7">
        <v>61</v>
      </c>
      <c r="N172" s="7">
        <v>7.8</v>
      </c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3"/>
    </row>
    <row r="173" spans="1:28" x14ac:dyDescent="0.3">
      <c r="A173" s="13" t="s">
        <v>95</v>
      </c>
      <c r="B173" s="19" t="s">
        <v>223</v>
      </c>
      <c r="C173" s="13" t="s">
        <v>314</v>
      </c>
      <c r="D173" s="61">
        <v>3050</v>
      </c>
      <c r="E173" s="14"/>
      <c r="F173" s="14"/>
      <c r="G173" s="14"/>
      <c r="H173" s="7"/>
      <c r="I173" s="7">
        <v>85.5</v>
      </c>
      <c r="J173" s="7">
        <v>181.98</v>
      </c>
      <c r="K173" s="7">
        <v>32.97</v>
      </c>
      <c r="L173" s="7">
        <v>158.49</v>
      </c>
      <c r="M173" s="7">
        <v>38.42</v>
      </c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3"/>
    </row>
    <row r="174" spans="1:28" x14ac:dyDescent="0.3">
      <c r="A174" s="13" t="s">
        <v>96</v>
      </c>
      <c r="B174" s="19" t="s">
        <v>224</v>
      </c>
      <c r="C174" s="13" t="s">
        <v>314</v>
      </c>
      <c r="D174" s="61">
        <v>3050</v>
      </c>
      <c r="E174" s="14"/>
      <c r="F174" s="14"/>
      <c r="G174" s="14"/>
      <c r="H174" s="7"/>
      <c r="I174" s="7"/>
      <c r="J174" s="7">
        <v>38.68</v>
      </c>
      <c r="K174" s="7">
        <v>258.84000000000003</v>
      </c>
      <c r="L174" s="7">
        <v>552.51</v>
      </c>
      <c r="M174" s="7">
        <v>707.02</v>
      </c>
      <c r="N174" s="7">
        <v>384.52</v>
      </c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3"/>
    </row>
    <row r="175" spans="1:28" x14ac:dyDescent="0.3">
      <c r="A175" s="13" t="s">
        <v>97</v>
      </c>
      <c r="B175" s="19" t="s">
        <v>224</v>
      </c>
      <c r="C175" s="13" t="s">
        <v>314</v>
      </c>
      <c r="D175" s="61">
        <v>3050</v>
      </c>
      <c r="E175" s="14"/>
      <c r="F175" s="14"/>
      <c r="G175" s="14"/>
      <c r="H175" s="7"/>
      <c r="I175" s="7"/>
      <c r="J175" s="7">
        <v>274.32</v>
      </c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3"/>
    </row>
    <row r="176" spans="1:28" x14ac:dyDescent="0.3">
      <c r="A176" s="13" t="s">
        <v>98</v>
      </c>
      <c r="B176" s="19" t="s">
        <v>223</v>
      </c>
      <c r="C176" s="13" t="s">
        <v>314</v>
      </c>
      <c r="D176" s="61">
        <v>3050</v>
      </c>
      <c r="E176" s="14"/>
      <c r="F176" s="14"/>
      <c r="G176" s="14"/>
      <c r="H176" s="7"/>
      <c r="I176" s="7">
        <v>118.68</v>
      </c>
      <c r="J176" s="7">
        <v>356.84</v>
      </c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3"/>
    </row>
    <row r="177" spans="1:28" x14ac:dyDescent="0.3">
      <c r="A177" s="13" t="s">
        <v>99</v>
      </c>
      <c r="B177" s="19" t="s">
        <v>223</v>
      </c>
      <c r="C177" s="13" t="s">
        <v>314</v>
      </c>
      <c r="D177" s="61">
        <v>3050</v>
      </c>
      <c r="E177" s="14"/>
      <c r="F177" s="14"/>
      <c r="G177" s="14"/>
      <c r="H177" s="7"/>
      <c r="I177" s="7">
        <v>84.12</v>
      </c>
      <c r="J177" s="7">
        <v>557.20000000000005</v>
      </c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3"/>
    </row>
    <row r="178" spans="1:28" x14ac:dyDescent="0.3">
      <c r="A178" s="13" t="s">
        <v>100</v>
      </c>
      <c r="B178" s="19" t="s">
        <v>224</v>
      </c>
      <c r="C178" s="13" t="s">
        <v>314</v>
      </c>
      <c r="D178" s="61">
        <v>3050</v>
      </c>
      <c r="E178" s="14"/>
      <c r="F178" s="14"/>
      <c r="G178" s="14"/>
      <c r="H178" s="7"/>
      <c r="I178" s="7"/>
      <c r="J178" s="7">
        <v>176.4</v>
      </c>
      <c r="K178" s="7"/>
      <c r="L178" s="7">
        <v>43.5</v>
      </c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3"/>
    </row>
    <row r="179" spans="1:28" x14ac:dyDescent="0.3">
      <c r="A179" s="13" t="s">
        <v>101</v>
      </c>
      <c r="B179" s="19" t="s">
        <v>224</v>
      </c>
      <c r="C179" s="13" t="s">
        <v>314</v>
      </c>
      <c r="D179" s="61">
        <v>3050</v>
      </c>
      <c r="E179" s="14"/>
      <c r="F179" s="14"/>
      <c r="G179" s="14"/>
      <c r="H179" s="7"/>
      <c r="I179" s="7"/>
      <c r="J179" s="7">
        <v>246.636</v>
      </c>
      <c r="K179" s="7">
        <v>421.18</v>
      </c>
      <c r="L179" s="7">
        <v>688.74</v>
      </c>
      <c r="M179" s="7">
        <v>1289.97</v>
      </c>
      <c r="N179" s="7">
        <v>734.4</v>
      </c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3"/>
    </row>
    <row r="180" spans="1:28" x14ac:dyDescent="0.3">
      <c r="A180" s="13" t="s">
        <v>102</v>
      </c>
      <c r="B180" s="19" t="s">
        <v>224</v>
      </c>
      <c r="C180" s="13" t="s">
        <v>314</v>
      </c>
      <c r="D180" s="61">
        <v>3050</v>
      </c>
      <c r="E180" s="14"/>
      <c r="F180" s="14"/>
      <c r="G180" s="14"/>
      <c r="H180" s="7"/>
      <c r="I180" s="7"/>
      <c r="J180" s="7">
        <v>228.9</v>
      </c>
      <c r="K180" s="7">
        <v>241.10000000000002</v>
      </c>
      <c r="L180" s="7">
        <v>602.99999999999989</v>
      </c>
      <c r="M180" s="7">
        <v>410.70000000000005</v>
      </c>
      <c r="N180" s="7">
        <v>107.8</v>
      </c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3"/>
    </row>
    <row r="181" spans="1:28" x14ac:dyDescent="0.3">
      <c r="A181" s="13" t="s">
        <v>103</v>
      </c>
      <c r="B181" s="19" t="s">
        <v>224</v>
      </c>
      <c r="C181" s="13" t="s">
        <v>314</v>
      </c>
      <c r="D181" s="61">
        <v>3050</v>
      </c>
      <c r="E181" s="14"/>
      <c r="F181" s="14"/>
      <c r="G181" s="14"/>
      <c r="H181" s="7"/>
      <c r="I181" s="7"/>
      <c r="J181" s="7">
        <v>11.5</v>
      </c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3"/>
    </row>
    <row r="182" spans="1:28" x14ac:dyDescent="0.3">
      <c r="A182" s="13" t="s">
        <v>104</v>
      </c>
      <c r="B182" s="19" t="s">
        <v>223</v>
      </c>
      <c r="C182" s="13" t="s">
        <v>314</v>
      </c>
      <c r="D182" s="61">
        <v>3050</v>
      </c>
      <c r="E182" s="14"/>
      <c r="F182" s="14"/>
      <c r="G182" s="14"/>
      <c r="H182" s="7"/>
      <c r="I182" s="7">
        <v>50.96</v>
      </c>
      <c r="J182" s="7">
        <v>406.54</v>
      </c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3"/>
    </row>
    <row r="183" spans="1:28" x14ac:dyDescent="0.3">
      <c r="A183" s="13" t="s">
        <v>105</v>
      </c>
      <c r="B183" s="19" t="s">
        <v>224</v>
      </c>
      <c r="C183" s="13" t="s">
        <v>314</v>
      </c>
      <c r="D183" s="61">
        <v>3050</v>
      </c>
      <c r="E183" s="14"/>
      <c r="F183" s="14"/>
      <c r="G183" s="14"/>
      <c r="H183" s="7"/>
      <c r="I183" s="7">
        <v>34.4</v>
      </c>
      <c r="J183" s="7">
        <v>212.3</v>
      </c>
      <c r="K183" s="7">
        <v>60.5</v>
      </c>
      <c r="L183" s="7">
        <v>183.3</v>
      </c>
      <c r="M183" s="7">
        <v>56</v>
      </c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3"/>
    </row>
    <row r="184" spans="1:28" x14ac:dyDescent="0.3">
      <c r="A184" s="13" t="s">
        <v>106</v>
      </c>
      <c r="B184" s="19" t="s">
        <v>223</v>
      </c>
      <c r="C184" s="13" t="s">
        <v>314</v>
      </c>
      <c r="D184" s="61">
        <v>3050</v>
      </c>
      <c r="E184" s="14"/>
      <c r="F184" s="14"/>
      <c r="G184" s="14"/>
      <c r="H184" s="7"/>
      <c r="I184" s="7"/>
      <c r="J184" s="7">
        <v>580.04</v>
      </c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3"/>
    </row>
    <row r="185" spans="1:28" x14ac:dyDescent="0.3">
      <c r="A185" s="13" t="s">
        <v>107</v>
      </c>
      <c r="B185" s="19" t="s">
        <v>223</v>
      </c>
      <c r="C185" s="13" t="s">
        <v>314</v>
      </c>
      <c r="D185" s="61">
        <v>3050</v>
      </c>
      <c r="E185" s="14"/>
      <c r="F185" s="14"/>
      <c r="G185" s="14"/>
      <c r="H185" s="7">
        <v>117.06</v>
      </c>
      <c r="I185" s="7">
        <v>651.91</v>
      </c>
      <c r="J185" s="7">
        <v>1636.82</v>
      </c>
      <c r="K185" s="7"/>
      <c r="L185" s="7"/>
      <c r="M185" s="7"/>
      <c r="N185" s="7"/>
      <c r="O185" s="7">
        <v>137.97</v>
      </c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3"/>
    </row>
    <row r="186" spans="1:28" x14ac:dyDescent="0.3">
      <c r="A186" s="13" t="s">
        <v>108</v>
      </c>
      <c r="B186" s="19" t="s">
        <v>223</v>
      </c>
      <c r="C186" s="13" t="s">
        <v>314</v>
      </c>
      <c r="D186" s="61">
        <v>3050</v>
      </c>
      <c r="E186" s="14"/>
      <c r="F186" s="14"/>
      <c r="G186" s="14"/>
      <c r="H186" s="7"/>
      <c r="I186" s="7">
        <v>34.380000000000003</v>
      </c>
      <c r="J186" s="7">
        <v>118.36000000000001</v>
      </c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3"/>
    </row>
    <row r="187" spans="1:28" x14ac:dyDescent="0.3">
      <c r="A187" s="13" t="s">
        <v>109</v>
      </c>
      <c r="B187" s="19" t="s">
        <v>223</v>
      </c>
      <c r="C187" s="13" t="s">
        <v>314</v>
      </c>
      <c r="D187" s="61">
        <v>3050</v>
      </c>
      <c r="E187" s="14"/>
      <c r="F187" s="14"/>
      <c r="G187" s="14"/>
      <c r="H187" s="7"/>
      <c r="I187" s="7"/>
      <c r="J187" s="7">
        <v>188.8</v>
      </c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3"/>
    </row>
    <row r="188" spans="1:28" x14ac:dyDescent="0.3">
      <c r="A188" s="13" t="s">
        <v>110</v>
      </c>
      <c r="B188" s="19" t="s">
        <v>224</v>
      </c>
      <c r="C188" s="13" t="s">
        <v>314</v>
      </c>
      <c r="D188" s="61">
        <v>3050</v>
      </c>
      <c r="E188" s="14"/>
      <c r="F188" s="14"/>
      <c r="G188" s="14"/>
      <c r="H188" s="7"/>
      <c r="I188" s="7"/>
      <c r="J188" s="7">
        <v>0</v>
      </c>
      <c r="K188" s="7"/>
      <c r="L188" s="7">
        <v>40.5</v>
      </c>
      <c r="M188" s="7">
        <v>83</v>
      </c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3"/>
    </row>
    <row r="189" spans="1:28" x14ac:dyDescent="0.3">
      <c r="A189" s="13" t="s">
        <v>111</v>
      </c>
      <c r="B189" s="19" t="s">
        <v>223</v>
      </c>
      <c r="C189" s="13" t="s">
        <v>314</v>
      </c>
      <c r="D189" s="61">
        <v>3050</v>
      </c>
      <c r="E189" s="14"/>
      <c r="F189" s="14"/>
      <c r="G189" s="14"/>
      <c r="H189" s="7"/>
      <c r="I189" s="7">
        <v>23.8</v>
      </c>
      <c r="J189" s="7">
        <v>200.76</v>
      </c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3"/>
    </row>
    <row r="190" spans="1:28" x14ac:dyDescent="0.3">
      <c r="A190" s="13" t="s">
        <v>112</v>
      </c>
      <c r="B190" s="19" t="s">
        <v>223</v>
      </c>
      <c r="C190" s="13" t="s">
        <v>314</v>
      </c>
      <c r="D190" s="61">
        <v>3050</v>
      </c>
      <c r="E190" s="14"/>
      <c r="F190" s="14"/>
      <c r="G190" s="14"/>
      <c r="H190" s="7"/>
      <c r="I190" s="7"/>
      <c r="J190" s="7">
        <v>90.14</v>
      </c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3"/>
    </row>
    <row r="191" spans="1:28" x14ac:dyDescent="0.3">
      <c r="A191" s="13" t="s">
        <v>113</v>
      </c>
      <c r="B191" s="19" t="s">
        <v>223</v>
      </c>
      <c r="C191" s="13" t="s">
        <v>314</v>
      </c>
      <c r="D191" s="61">
        <v>3050</v>
      </c>
      <c r="E191" s="14"/>
      <c r="F191" s="14"/>
      <c r="G191" s="14"/>
      <c r="H191" s="7"/>
      <c r="I191" s="7"/>
      <c r="J191" s="7">
        <v>1633.7799999999997</v>
      </c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3"/>
    </row>
    <row r="192" spans="1:28" x14ac:dyDescent="0.3">
      <c r="A192" s="13" t="s">
        <v>114</v>
      </c>
      <c r="B192" s="19" t="s">
        <v>223</v>
      </c>
      <c r="C192" s="13" t="s">
        <v>314</v>
      </c>
      <c r="D192" s="61">
        <v>3050</v>
      </c>
      <c r="E192" s="14"/>
      <c r="F192" s="14"/>
      <c r="G192" s="14"/>
      <c r="H192" s="7"/>
      <c r="I192" s="7">
        <v>218.74</v>
      </c>
      <c r="J192" s="7">
        <v>1093.44</v>
      </c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3"/>
    </row>
    <row r="193" spans="1:28" x14ac:dyDescent="0.3">
      <c r="A193" s="13" t="s">
        <v>115</v>
      </c>
      <c r="B193" s="19" t="s">
        <v>223</v>
      </c>
      <c r="C193" s="13" t="s">
        <v>314</v>
      </c>
      <c r="D193" s="61">
        <v>3050</v>
      </c>
      <c r="E193" s="14"/>
      <c r="F193" s="14"/>
      <c r="G193" s="14"/>
      <c r="H193" s="7"/>
      <c r="I193" s="7">
        <v>37.42</v>
      </c>
      <c r="J193" s="7">
        <v>194.99</v>
      </c>
      <c r="K193" s="7">
        <v>76.150000000000006</v>
      </c>
      <c r="L193" s="7">
        <v>98.929999999999993</v>
      </c>
      <c r="M193" s="7">
        <v>284.06</v>
      </c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3"/>
    </row>
    <row r="194" spans="1:28" x14ac:dyDescent="0.3">
      <c r="A194" s="13" t="s">
        <v>116</v>
      </c>
      <c r="B194" s="19" t="s">
        <v>223</v>
      </c>
      <c r="C194" s="13" t="s">
        <v>314</v>
      </c>
      <c r="D194" s="61">
        <v>3050</v>
      </c>
      <c r="E194" s="14"/>
      <c r="F194" s="14"/>
      <c r="G194" s="14"/>
      <c r="H194" s="7"/>
      <c r="I194" s="7">
        <v>226.3</v>
      </c>
      <c r="J194" s="7">
        <v>518.71</v>
      </c>
      <c r="K194" s="7">
        <v>326.11</v>
      </c>
      <c r="L194" s="7">
        <v>647.91000000000008</v>
      </c>
      <c r="M194" s="7">
        <v>274.71000000000004</v>
      </c>
      <c r="N194" s="7">
        <v>321.98599999999999</v>
      </c>
      <c r="O194" s="7">
        <v>50.68</v>
      </c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3"/>
    </row>
    <row r="195" spans="1:28" x14ac:dyDescent="0.3">
      <c r="A195" s="13" t="s">
        <v>117</v>
      </c>
      <c r="B195" s="19" t="s">
        <v>223</v>
      </c>
      <c r="C195" s="13" t="s">
        <v>314</v>
      </c>
      <c r="D195" s="61">
        <v>3050</v>
      </c>
      <c r="E195" s="14"/>
      <c r="F195" s="14"/>
      <c r="G195" s="14"/>
      <c r="H195" s="7"/>
      <c r="I195" s="7">
        <v>153.38</v>
      </c>
      <c r="J195" s="7">
        <v>496.5</v>
      </c>
      <c r="K195" s="7">
        <v>230.03</v>
      </c>
      <c r="L195" s="7">
        <v>565.39</v>
      </c>
      <c r="M195" s="7">
        <v>157.91</v>
      </c>
      <c r="N195" s="7">
        <v>102.1</v>
      </c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3"/>
    </row>
    <row r="196" spans="1:28" x14ac:dyDescent="0.3">
      <c r="A196" s="13" t="s">
        <v>118</v>
      </c>
      <c r="B196" s="19" t="s">
        <v>223</v>
      </c>
      <c r="C196" s="13" t="s">
        <v>314</v>
      </c>
      <c r="D196" s="61">
        <v>3050</v>
      </c>
      <c r="E196" s="14"/>
      <c r="F196" s="14"/>
      <c r="G196" s="14"/>
      <c r="H196" s="7"/>
      <c r="I196" s="7">
        <v>148.87</v>
      </c>
      <c r="J196" s="7">
        <v>395.59000000000003</v>
      </c>
      <c r="K196" s="7">
        <v>103.19</v>
      </c>
      <c r="L196" s="7">
        <v>403.59999999999997</v>
      </c>
      <c r="M196" s="7">
        <v>61.38</v>
      </c>
      <c r="N196" s="7">
        <v>50.835000000000001</v>
      </c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3"/>
    </row>
    <row r="197" spans="1:28" x14ac:dyDescent="0.3">
      <c r="A197" s="13" t="s">
        <v>119</v>
      </c>
      <c r="B197" s="19" t="s">
        <v>223</v>
      </c>
      <c r="C197" s="13" t="s">
        <v>314</v>
      </c>
      <c r="D197" s="61">
        <v>3050</v>
      </c>
      <c r="E197" s="14"/>
      <c r="F197" s="14"/>
      <c r="G197" s="14"/>
      <c r="H197" s="7"/>
      <c r="I197" s="7"/>
      <c r="J197" s="7">
        <v>1198.68</v>
      </c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3"/>
    </row>
    <row r="198" spans="1:28" x14ac:dyDescent="0.3">
      <c r="A198" s="13" t="s">
        <v>120</v>
      </c>
      <c r="B198" s="19" t="s">
        <v>224</v>
      </c>
      <c r="C198" s="13" t="s">
        <v>314</v>
      </c>
      <c r="D198" s="61">
        <v>3050</v>
      </c>
      <c r="E198" s="14"/>
      <c r="F198" s="14"/>
      <c r="G198" s="14"/>
      <c r="H198" s="7"/>
      <c r="I198" s="7"/>
      <c r="J198" s="7">
        <v>0</v>
      </c>
      <c r="K198" s="7">
        <v>19.3</v>
      </c>
      <c r="L198" s="7">
        <v>91.3</v>
      </c>
      <c r="M198" s="7">
        <v>45</v>
      </c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3"/>
    </row>
    <row r="199" spans="1:28" x14ac:dyDescent="0.3">
      <c r="A199" s="13" t="s">
        <v>121</v>
      </c>
      <c r="B199" s="19" t="s">
        <v>223</v>
      </c>
      <c r="C199" s="13" t="s">
        <v>314</v>
      </c>
      <c r="D199" s="61">
        <v>3050</v>
      </c>
      <c r="E199" s="14"/>
      <c r="F199" s="14"/>
      <c r="G199" s="14"/>
      <c r="H199" s="7"/>
      <c r="I199" s="7">
        <v>16.579999999999998</v>
      </c>
      <c r="J199" s="7">
        <v>1246.2</v>
      </c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3"/>
    </row>
    <row r="200" spans="1:28" x14ac:dyDescent="0.3">
      <c r="A200" s="13" t="s">
        <v>122</v>
      </c>
      <c r="B200" s="19" t="s">
        <v>224</v>
      </c>
      <c r="C200" s="13" t="s">
        <v>314</v>
      </c>
      <c r="D200" s="61">
        <v>3050</v>
      </c>
      <c r="E200" s="14"/>
      <c r="F200" s="14"/>
      <c r="G200" s="14"/>
      <c r="H200" s="7"/>
      <c r="I200" s="7"/>
      <c r="J200" s="7">
        <v>315.3</v>
      </c>
      <c r="K200" s="7">
        <v>244.8</v>
      </c>
      <c r="L200" s="7">
        <v>362.59999999999997</v>
      </c>
      <c r="M200" s="7">
        <v>346.1</v>
      </c>
      <c r="N200" s="7">
        <v>189.5</v>
      </c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3"/>
    </row>
    <row r="201" spans="1:28" x14ac:dyDescent="0.3">
      <c r="A201" s="13" t="s">
        <v>123</v>
      </c>
      <c r="B201" s="19" t="s">
        <v>223</v>
      </c>
      <c r="C201" s="13" t="s">
        <v>314</v>
      </c>
      <c r="D201" s="61">
        <v>3050</v>
      </c>
      <c r="E201" s="14"/>
      <c r="F201" s="14"/>
      <c r="G201" s="14"/>
      <c r="H201" s="7"/>
      <c r="I201" s="7">
        <v>157.82</v>
      </c>
      <c r="J201" s="7">
        <v>1261.94</v>
      </c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3"/>
    </row>
    <row r="202" spans="1:28" x14ac:dyDescent="0.3">
      <c r="A202" s="13" t="s">
        <v>124</v>
      </c>
      <c r="B202" s="19" t="s">
        <v>223</v>
      </c>
      <c r="C202" s="13" t="s">
        <v>314</v>
      </c>
      <c r="D202" s="61">
        <v>3050</v>
      </c>
      <c r="E202" s="14"/>
      <c r="F202" s="14"/>
      <c r="G202" s="14"/>
      <c r="H202" s="7"/>
      <c r="I202" s="7"/>
      <c r="J202" s="7">
        <v>1865.44</v>
      </c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3"/>
    </row>
    <row r="203" spans="1:28" x14ac:dyDescent="0.3">
      <c r="A203" s="13" t="s">
        <v>125</v>
      </c>
      <c r="B203" s="19" t="s">
        <v>223</v>
      </c>
      <c r="C203" s="13" t="s">
        <v>314</v>
      </c>
      <c r="D203" s="61">
        <v>3050</v>
      </c>
      <c r="E203" s="14"/>
      <c r="F203" s="14"/>
      <c r="G203" s="14"/>
      <c r="H203" s="7"/>
      <c r="I203" s="7">
        <v>102.42</v>
      </c>
      <c r="J203" s="7">
        <v>746.7</v>
      </c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3"/>
    </row>
    <row r="204" spans="1:28" x14ac:dyDescent="0.3">
      <c r="A204" s="13" t="s">
        <v>126</v>
      </c>
      <c r="B204" s="19" t="s">
        <v>223</v>
      </c>
      <c r="C204" s="13" t="s">
        <v>314</v>
      </c>
      <c r="D204" s="61">
        <v>3050</v>
      </c>
      <c r="E204" s="14"/>
      <c r="F204" s="14"/>
      <c r="G204" s="14"/>
      <c r="H204" s="7"/>
      <c r="I204" s="7"/>
      <c r="J204" s="7">
        <v>539.5</v>
      </c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3"/>
    </row>
    <row r="205" spans="1:28" x14ac:dyDescent="0.3">
      <c r="A205" s="13" t="s">
        <v>127</v>
      </c>
      <c r="B205" s="19" t="s">
        <v>224</v>
      </c>
      <c r="C205" s="13" t="s">
        <v>314</v>
      </c>
      <c r="D205" s="61">
        <v>3050</v>
      </c>
      <c r="E205" s="14"/>
      <c r="F205" s="14"/>
      <c r="G205" s="14"/>
      <c r="H205" s="7"/>
      <c r="I205" s="7"/>
      <c r="J205" s="7">
        <v>1776.6799999999998</v>
      </c>
      <c r="K205" s="7">
        <v>1113.78</v>
      </c>
      <c r="L205" s="7">
        <v>5249.7399999999989</v>
      </c>
      <c r="M205" s="7">
        <v>6971.0999999999995</v>
      </c>
      <c r="N205" s="7">
        <v>5797.1399999999994</v>
      </c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3"/>
    </row>
    <row r="206" spans="1:28" x14ac:dyDescent="0.3">
      <c r="A206" s="13" t="s">
        <v>128</v>
      </c>
      <c r="B206" s="19" t="s">
        <v>224</v>
      </c>
      <c r="C206" s="13" t="s">
        <v>314</v>
      </c>
      <c r="D206" s="61">
        <v>3050</v>
      </c>
      <c r="E206" s="14"/>
      <c r="F206" s="14"/>
      <c r="G206" s="14"/>
      <c r="H206" s="7"/>
      <c r="I206" s="7"/>
      <c r="J206" s="7">
        <v>748.49</v>
      </c>
      <c r="K206" s="7">
        <v>633.26</v>
      </c>
      <c r="L206" s="7">
        <v>1504.8400000000001</v>
      </c>
      <c r="M206" s="7">
        <v>1001.72</v>
      </c>
      <c r="N206" s="7">
        <v>521.20000000000005</v>
      </c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3"/>
    </row>
    <row r="207" spans="1:28" x14ac:dyDescent="0.3">
      <c r="A207" s="13" t="s">
        <v>129</v>
      </c>
      <c r="B207" s="19" t="s">
        <v>223</v>
      </c>
      <c r="C207" s="13" t="s">
        <v>314</v>
      </c>
      <c r="D207" s="61">
        <v>3050</v>
      </c>
      <c r="E207" s="14"/>
      <c r="F207" s="14"/>
      <c r="G207" s="14"/>
      <c r="H207" s="7"/>
      <c r="I207" s="7"/>
      <c r="J207" s="7">
        <v>1044.56</v>
      </c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3"/>
    </row>
    <row r="208" spans="1:28" x14ac:dyDescent="0.3">
      <c r="A208" s="13" t="s">
        <v>130</v>
      </c>
      <c r="B208" s="19" t="s">
        <v>223</v>
      </c>
      <c r="C208" s="13" t="s">
        <v>314</v>
      </c>
      <c r="D208" s="61">
        <v>3050</v>
      </c>
      <c r="E208" s="14"/>
      <c r="F208" s="14"/>
      <c r="G208" s="14"/>
      <c r="H208" s="7"/>
      <c r="I208" s="7"/>
      <c r="J208" s="7">
        <v>295.67999999999995</v>
      </c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3"/>
    </row>
    <row r="209" spans="1:28" x14ac:dyDescent="0.3">
      <c r="A209" s="13" t="s">
        <v>131</v>
      </c>
      <c r="B209" s="19" t="s">
        <v>223</v>
      </c>
      <c r="C209" s="13" t="s">
        <v>314</v>
      </c>
      <c r="D209" s="61">
        <v>3050</v>
      </c>
      <c r="E209" s="14"/>
      <c r="F209" s="14"/>
      <c r="G209" s="14"/>
      <c r="H209" s="7">
        <v>79.330000000000013</v>
      </c>
      <c r="I209" s="7">
        <v>509.69</v>
      </c>
      <c r="J209" s="7">
        <v>1402.3400000000001</v>
      </c>
      <c r="K209" s="7">
        <v>591.23</v>
      </c>
      <c r="L209" s="7">
        <v>1772.4100000000003</v>
      </c>
      <c r="M209" s="7">
        <v>941.11999999999989</v>
      </c>
      <c r="N209" s="7">
        <v>727.71800000000007</v>
      </c>
      <c r="O209" s="7">
        <v>226.37</v>
      </c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3"/>
    </row>
    <row r="210" spans="1:28" x14ac:dyDescent="0.3">
      <c r="A210" s="13" t="s">
        <v>132</v>
      </c>
      <c r="B210" s="19" t="s">
        <v>223</v>
      </c>
      <c r="C210" s="13" t="s">
        <v>314</v>
      </c>
      <c r="D210" s="61">
        <v>3050</v>
      </c>
      <c r="E210" s="14"/>
      <c r="F210" s="14"/>
      <c r="G210" s="14"/>
      <c r="H210" s="7"/>
      <c r="I210" s="7"/>
      <c r="J210" s="7">
        <v>1813.02</v>
      </c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3"/>
    </row>
    <row r="211" spans="1:28" x14ac:dyDescent="0.3">
      <c r="A211" s="13" t="s">
        <v>133</v>
      </c>
      <c r="B211" s="19" t="s">
        <v>223</v>
      </c>
      <c r="C211" s="13" t="s">
        <v>314</v>
      </c>
      <c r="D211" s="61">
        <v>3050</v>
      </c>
      <c r="E211" s="14"/>
      <c r="F211" s="14"/>
      <c r="G211" s="14"/>
      <c r="H211" s="7"/>
      <c r="I211" s="7"/>
      <c r="J211" s="7">
        <v>737.56</v>
      </c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3"/>
    </row>
    <row r="212" spans="1:28" x14ac:dyDescent="0.3">
      <c r="A212" s="13" t="s">
        <v>134</v>
      </c>
      <c r="B212" s="19" t="s">
        <v>223</v>
      </c>
      <c r="C212" s="13" t="s">
        <v>314</v>
      </c>
      <c r="D212" s="61">
        <v>3050</v>
      </c>
      <c r="E212" s="14"/>
      <c r="F212" s="14"/>
      <c r="G212" s="14"/>
      <c r="H212" s="7"/>
      <c r="I212" s="7">
        <v>231.38</v>
      </c>
      <c r="J212" s="7">
        <v>3154.66</v>
      </c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3"/>
    </row>
    <row r="213" spans="1:28" x14ac:dyDescent="0.3">
      <c r="A213" s="13" t="s">
        <v>135</v>
      </c>
      <c r="B213" s="19" t="s">
        <v>223</v>
      </c>
      <c r="C213" s="13" t="s">
        <v>314</v>
      </c>
      <c r="D213" s="61">
        <v>3050</v>
      </c>
      <c r="E213" s="14"/>
      <c r="F213" s="14"/>
      <c r="G213" s="14"/>
      <c r="H213" s="7"/>
      <c r="I213" s="7">
        <v>1142.32</v>
      </c>
      <c r="J213" s="7">
        <v>9639.3799999999992</v>
      </c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3"/>
    </row>
    <row r="214" spans="1:28" x14ac:dyDescent="0.3">
      <c r="A214" s="13" t="s">
        <v>136</v>
      </c>
      <c r="B214" s="19" t="s">
        <v>224</v>
      </c>
      <c r="C214" s="13" t="s">
        <v>314</v>
      </c>
      <c r="D214" s="61">
        <v>3050</v>
      </c>
      <c r="E214" s="14"/>
      <c r="F214" s="14"/>
      <c r="G214" s="14"/>
      <c r="H214" s="7"/>
      <c r="I214" s="7">
        <v>45</v>
      </c>
      <c r="J214" s="7">
        <v>601.71</v>
      </c>
      <c r="K214" s="7">
        <v>568.74</v>
      </c>
      <c r="L214" s="7">
        <v>889.62</v>
      </c>
      <c r="M214" s="7">
        <v>835.22</v>
      </c>
      <c r="N214" s="7">
        <v>474.97999999999996</v>
      </c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3"/>
    </row>
    <row r="215" spans="1:28" x14ac:dyDescent="0.3">
      <c r="A215" s="13" t="s">
        <v>137</v>
      </c>
      <c r="B215" s="19" t="s">
        <v>224</v>
      </c>
      <c r="C215" s="13" t="s">
        <v>314</v>
      </c>
      <c r="D215" s="61">
        <v>3050</v>
      </c>
      <c r="E215" s="14"/>
      <c r="F215" s="14"/>
      <c r="G215" s="14"/>
      <c r="H215" s="7"/>
      <c r="I215" s="7"/>
      <c r="J215" s="7">
        <v>2484.1289999999999</v>
      </c>
      <c r="K215" s="7">
        <v>1022.0300000000001</v>
      </c>
      <c r="L215" s="7">
        <v>9195.15</v>
      </c>
      <c r="M215" s="7">
        <v>7227.5199999999986</v>
      </c>
      <c r="N215" s="7">
        <v>2203.5100000000002</v>
      </c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3"/>
    </row>
    <row r="216" spans="1:28" x14ac:dyDescent="0.3">
      <c r="A216" s="13" t="s">
        <v>138</v>
      </c>
      <c r="B216" s="19" t="s">
        <v>224</v>
      </c>
      <c r="C216" s="13" t="s">
        <v>314</v>
      </c>
      <c r="D216" s="61">
        <v>3050</v>
      </c>
      <c r="E216" s="14"/>
      <c r="F216" s="14"/>
      <c r="G216" s="14"/>
      <c r="H216" s="7"/>
      <c r="I216" s="7"/>
      <c r="J216" s="7">
        <v>776.5</v>
      </c>
      <c r="K216" s="7">
        <v>686.69999999999993</v>
      </c>
      <c r="L216" s="7">
        <v>1252.9000000000001</v>
      </c>
      <c r="M216" s="7">
        <v>1130.0999999999999</v>
      </c>
      <c r="N216" s="7">
        <v>590.89</v>
      </c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3"/>
    </row>
    <row r="217" spans="1:28" x14ac:dyDescent="0.3">
      <c r="A217" s="13" t="s">
        <v>139</v>
      </c>
      <c r="B217" s="19" t="s">
        <v>223</v>
      </c>
      <c r="C217" s="13" t="s">
        <v>314</v>
      </c>
      <c r="D217" s="61">
        <v>3050</v>
      </c>
      <c r="E217" s="14"/>
      <c r="F217" s="14"/>
      <c r="G217" s="14"/>
      <c r="H217" s="7"/>
      <c r="I217" s="7"/>
      <c r="J217" s="7">
        <v>0</v>
      </c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3"/>
    </row>
    <row r="218" spans="1:28" x14ac:dyDescent="0.3">
      <c r="A218" s="13" t="s">
        <v>140</v>
      </c>
      <c r="B218" s="19" t="s">
        <v>223</v>
      </c>
      <c r="C218" s="13" t="s">
        <v>314</v>
      </c>
      <c r="D218" s="61">
        <v>3050</v>
      </c>
      <c r="E218" s="14"/>
      <c r="F218" s="14"/>
      <c r="G218" s="14"/>
      <c r="H218" s="7"/>
      <c r="I218" s="7">
        <v>22.12</v>
      </c>
      <c r="J218" s="7">
        <v>134.72000000000003</v>
      </c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3"/>
    </row>
    <row r="219" spans="1:28" x14ac:dyDescent="0.3">
      <c r="A219" s="13" t="s">
        <v>141</v>
      </c>
      <c r="B219" s="19" t="s">
        <v>224</v>
      </c>
      <c r="C219" s="13" t="s">
        <v>314</v>
      </c>
      <c r="D219" s="61">
        <v>3050</v>
      </c>
      <c r="E219" s="14"/>
      <c r="F219" s="14"/>
      <c r="G219" s="14"/>
      <c r="H219" s="7"/>
      <c r="I219" s="7"/>
      <c r="J219" s="7">
        <v>608.04</v>
      </c>
      <c r="K219" s="7">
        <v>369.24</v>
      </c>
      <c r="L219" s="7">
        <v>869.49999999999989</v>
      </c>
      <c r="M219" s="7">
        <v>492.56</v>
      </c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3"/>
    </row>
    <row r="220" spans="1:28" x14ac:dyDescent="0.3">
      <c r="A220" s="13" t="s">
        <v>142</v>
      </c>
      <c r="B220" s="19" t="s">
        <v>223</v>
      </c>
      <c r="C220" s="13" t="s">
        <v>314</v>
      </c>
      <c r="D220" s="61">
        <v>3050</v>
      </c>
      <c r="E220" s="14"/>
      <c r="F220" s="14"/>
      <c r="G220" s="14"/>
      <c r="H220" s="7"/>
      <c r="I220" s="7">
        <v>112.24</v>
      </c>
      <c r="J220" s="7">
        <v>812.57999999999993</v>
      </c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3"/>
    </row>
    <row r="221" spans="1:28" hidden="1" x14ac:dyDescent="0.3">
      <c r="A221" s="13" t="s">
        <v>143</v>
      </c>
      <c r="B221" s="19" t="s">
        <v>224</v>
      </c>
      <c r="C221" s="13" t="s">
        <v>313</v>
      </c>
      <c r="D221" s="61">
        <v>3050</v>
      </c>
      <c r="E221" s="14"/>
      <c r="F221" s="14"/>
      <c r="G221" s="14"/>
      <c r="H221" s="7"/>
      <c r="I221" s="7"/>
      <c r="J221" s="7">
        <v>0</v>
      </c>
      <c r="K221" s="7"/>
      <c r="L221" s="7"/>
      <c r="M221" s="7"/>
      <c r="N221" s="7"/>
      <c r="O221" s="7">
        <v>12000</v>
      </c>
      <c r="P221" s="7">
        <v>35000</v>
      </c>
      <c r="Q221" s="7">
        <v>35000</v>
      </c>
      <c r="R221" s="7">
        <v>3000</v>
      </c>
      <c r="S221" s="7"/>
      <c r="T221" s="7">
        <v>24000</v>
      </c>
      <c r="U221" s="7">
        <v>24000</v>
      </c>
      <c r="V221" s="7">
        <v>24000</v>
      </c>
      <c r="W221" s="7">
        <v>24000</v>
      </c>
      <c r="X221" s="7">
        <v>24000</v>
      </c>
      <c r="Y221" s="7">
        <v>24000</v>
      </c>
      <c r="Z221" s="7"/>
      <c r="AA221" s="7"/>
      <c r="AB221" s="3"/>
    </row>
    <row r="222" spans="1:28" x14ac:dyDescent="0.3">
      <c r="A222" s="13" t="s">
        <v>144</v>
      </c>
      <c r="B222" s="19" t="s">
        <v>224</v>
      </c>
      <c r="C222" s="13" t="s">
        <v>314</v>
      </c>
      <c r="D222" s="61">
        <v>3050</v>
      </c>
      <c r="E222" s="14"/>
      <c r="F222" s="14"/>
      <c r="G222" s="14"/>
      <c r="H222" s="7"/>
      <c r="I222" s="7"/>
      <c r="J222" s="7">
        <v>251.9</v>
      </c>
      <c r="K222" s="7">
        <v>107.6</v>
      </c>
      <c r="L222" s="7">
        <v>185.3</v>
      </c>
      <c r="M222" s="7">
        <v>79.099999999999994</v>
      </c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3"/>
    </row>
    <row r="223" spans="1:28" x14ac:dyDescent="0.3">
      <c r="A223" s="13" t="s">
        <v>145</v>
      </c>
      <c r="B223" s="19" t="s">
        <v>224</v>
      </c>
      <c r="C223" s="13" t="s">
        <v>314</v>
      </c>
      <c r="D223" s="61">
        <v>3050</v>
      </c>
      <c r="E223" s="14"/>
      <c r="F223" s="14"/>
      <c r="G223" s="14"/>
      <c r="H223" s="7"/>
      <c r="I223" s="7"/>
      <c r="J223" s="7">
        <v>0</v>
      </c>
      <c r="K223" s="7"/>
      <c r="L223" s="7">
        <v>25.6</v>
      </c>
      <c r="M223" s="7">
        <v>19.899999999999999</v>
      </c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3"/>
    </row>
    <row r="224" spans="1:28" x14ac:dyDescent="0.3">
      <c r="A224" s="13" t="s">
        <v>146</v>
      </c>
      <c r="B224" s="19" t="s">
        <v>223</v>
      </c>
      <c r="C224" s="13" t="s">
        <v>314</v>
      </c>
      <c r="D224" s="61">
        <v>3050</v>
      </c>
      <c r="E224" s="14"/>
      <c r="F224" s="14"/>
      <c r="G224" s="14"/>
      <c r="H224" s="7"/>
      <c r="I224" s="7">
        <v>83.62</v>
      </c>
      <c r="J224" s="7">
        <v>953.5</v>
      </c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3"/>
    </row>
    <row r="225" spans="1:28" x14ac:dyDescent="0.3">
      <c r="A225" s="13" t="s">
        <v>147</v>
      </c>
      <c r="B225" s="19" t="s">
        <v>224</v>
      </c>
      <c r="C225" s="13" t="s">
        <v>314</v>
      </c>
      <c r="D225" s="61">
        <v>3050</v>
      </c>
      <c r="E225" s="14"/>
      <c r="F225" s="14"/>
      <c r="G225" s="14"/>
      <c r="H225" s="7"/>
      <c r="I225" s="7">
        <v>33.4</v>
      </c>
      <c r="J225" s="7">
        <v>498.5</v>
      </c>
      <c r="K225" s="7">
        <v>420.1</v>
      </c>
      <c r="L225" s="7">
        <v>421.20000000000005</v>
      </c>
      <c r="M225" s="7">
        <v>429.3</v>
      </c>
      <c r="N225" s="7">
        <v>75.2</v>
      </c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3"/>
    </row>
    <row r="226" spans="1:28" x14ac:dyDescent="0.3">
      <c r="A226" s="13" t="s">
        <v>148</v>
      </c>
      <c r="B226" s="19" t="s">
        <v>223</v>
      </c>
      <c r="C226" s="13" t="s">
        <v>314</v>
      </c>
      <c r="D226" s="61">
        <v>3050</v>
      </c>
      <c r="E226" s="14"/>
      <c r="F226" s="14"/>
      <c r="G226" s="14"/>
      <c r="H226" s="7">
        <v>117.39</v>
      </c>
      <c r="I226" s="7">
        <v>367.77</v>
      </c>
      <c r="J226" s="7">
        <v>781.43000000000006</v>
      </c>
      <c r="K226" s="7">
        <v>314.89</v>
      </c>
      <c r="L226" s="7">
        <v>946.29</v>
      </c>
      <c r="M226" s="7">
        <v>632.34</v>
      </c>
      <c r="N226" s="7">
        <v>289.25</v>
      </c>
      <c r="O226" s="7">
        <v>46.94</v>
      </c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62">
        <f>SUM(E227:AA227)</f>
        <v>6677162.0251963707</v>
      </c>
    </row>
    <row r="227" spans="1:28" s="11" customFormat="1" hidden="1" x14ac:dyDescent="0.3">
      <c r="A227" s="16"/>
      <c r="B227" s="23"/>
      <c r="C227" s="16"/>
      <c r="D227" s="16"/>
      <c r="E227" s="17">
        <f>SUM(E3:E226)</f>
        <v>10525</v>
      </c>
      <c r="F227" s="17">
        <f t="shared" ref="F227:AA227" si="0">SUM(F3:F226)</f>
        <v>49667.75</v>
      </c>
      <c r="G227" s="17">
        <f t="shared" si="0"/>
        <v>163719.21102970297</v>
      </c>
      <c r="H227" s="17">
        <f t="shared" si="0"/>
        <v>250440.90549999999</v>
      </c>
      <c r="I227" s="17">
        <f t="shared" si="0"/>
        <v>365405.68866666651</v>
      </c>
      <c r="J227" s="17">
        <f>SUM(J3:J226)</f>
        <v>515570.11499999999</v>
      </c>
      <c r="K227" s="17">
        <f>SUM(K3:K226)</f>
        <v>474667.97199999972</v>
      </c>
      <c r="L227" s="17">
        <f>SUM(L3:L226)</f>
        <v>633893.43500000029</v>
      </c>
      <c r="M227" s="17">
        <f t="shared" si="0"/>
        <v>393134.83499999985</v>
      </c>
      <c r="N227" s="17">
        <f t="shared" si="0"/>
        <v>442099.48500000022</v>
      </c>
      <c r="O227" s="17">
        <f t="shared" si="0"/>
        <v>385235.74000000011</v>
      </c>
      <c r="P227" s="17">
        <f t="shared" si="0"/>
        <v>365158.15800000005</v>
      </c>
      <c r="Q227" s="17">
        <f t="shared" si="0"/>
        <v>298745.86000000004</v>
      </c>
      <c r="R227" s="17">
        <f t="shared" si="0"/>
        <v>189374.77000000002</v>
      </c>
      <c r="S227" s="17">
        <f t="shared" si="0"/>
        <v>291527.92</v>
      </c>
      <c r="T227" s="17">
        <f t="shared" si="0"/>
        <v>403735.62</v>
      </c>
      <c r="U227" s="17">
        <f>SUM(U3:U226)</f>
        <v>374610.57</v>
      </c>
      <c r="V227" s="17">
        <f t="shared" si="0"/>
        <v>272098.07999999996</v>
      </c>
      <c r="W227" s="17">
        <f t="shared" si="0"/>
        <v>173942.91</v>
      </c>
      <c r="X227" s="17">
        <f t="shared" si="0"/>
        <v>243000</v>
      </c>
      <c r="Y227" s="17">
        <f t="shared" si="0"/>
        <v>182608</v>
      </c>
      <c r="Z227" s="17">
        <f t="shared" si="0"/>
        <v>116000</v>
      </c>
      <c r="AA227" s="17">
        <f t="shared" si="0"/>
        <v>82000</v>
      </c>
      <c r="AB227" s="62"/>
    </row>
    <row r="228" spans="1:28" x14ac:dyDescent="0.3">
      <c r="E228" s="56">
        <f>SUBTOTAL(9,E3:E227)</f>
        <v>0</v>
      </c>
      <c r="F228" s="56">
        <f t="shared" ref="F228:AA228" si="1">SUBTOTAL(9,F3:F227)</f>
        <v>0</v>
      </c>
      <c r="G228" s="56">
        <f t="shared" si="1"/>
        <v>2500</v>
      </c>
      <c r="H228" s="56">
        <f>SUBTOTAL(9,H3:H227)</f>
        <v>12799.519999999997</v>
      </c>
      <c r="I228" s="56">
        <f t="shared" si="1"/>
        <v>90633.016666666721</v>
      </c>
      <c r="J228" s="56">
        <f t="shared" si="1"/>
        <v>207453.50499999998</v>
      </c>
      <c r="K228" s="56">
        <f t="shared" si="1"/>
        <v>200287.1299999998</v>
      </c>
      <c r="L228" s="56">
        <f t="shared" si="1"/>
        <v>190868.35499999986</v>
      </c>
      <c r="M228" s="56">
        <f t="shared" si="1"/>
        <v>100018.42500000002</v>
      </c>
      <c r="N228" s="56">
        <f t="shared" si="1"/>
        <v>47881.404000000002</v>
      </c>
      <c r="O228" s="56">
        <f t="shared" si="1"/>
        <v>5060.7599999999993</v>
      </c>
      <c r="P228" s="56">
        <f t="shared" si="1"/>
        <v>596.16999999999996</v>
      </c>
      <c r="Q228" s="56">
        <f t="shared" si="1"/>
        <v>556.58000000000004</v>
      </c>
      <c r="R228" s="56">
        <f t="shared" si="1"/>
        <v>121.8</v>
      </c>
      <c r="S228" s="56">
        <f t="shared" si="1"/>
        <v>112.82000000000001</v>
      </c>
      <c r="T228" s="56">
        <f t="shared" si="1"/>
        <v>122.14</v>
      </c>
      <c r="U228" s="56">
        <f t="shared" si="1"/>
        <v>41.92</v>
      </c>
      <c r="V228" s="56">
        <f t="shared" si="1"/>
        <v>26.84</v>
      </c>
      <c r="W228" s="56">
        <f t="shared" si="1"/>
        <v>0</v>
      </c>
      <c r="X228" s="56">
        <f t="shared" si="1"/>
        <v>0</v>
      </c>
      <c r="Y228" s="56">
        <f t="shared" si="1"/>
        <v>0</v>
      </c>
      <c r="Z228" s="56">
        <f t="shared" si="1"/>
        <v>0</v>
      </c>
      <c r="AA228" s="56">
        <f t="shared" si="1"/>
        <v>0</v>
      </c>
      <c r="AB228">
        <f t="shared" ref="AB228" si="2">SUBTOTAL(9,AB4:AB227)</f>
        <v>6677162.0251963707</v>
      </c>
    </row>
  </sheetData>
  <autoFilter ref="A2:AB227" xr:uid="{1406E7DA-EE1B-43AD-BD42-2FAA9B5D6B8B}">
    <filterColumn colId="2">
      <filters>
        <filter val="FRAMBUESA MEEKER"/>
        <filter val="FRAMBUESA MEEKER ORGANICA"/>
      </filters>
    </filterColumn>
  </autoFilter>
  <mergeCells count="7">
    <mergeCell ref="AB226:AB227"/>
    <mergeCell ref="E1:F1"/>
    <mergeCell ref="G1:J1"/>
    <mergeCell ref="K1:N1"/>
    <mergeCell ref="O1:R1"/>
    <mergeCell ref="S1:W1"/>
    <mergeCell ref="X1:AA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0C51-266C-42CA-B5C6-9E9EF884C1AD}">
  <dimension ref="A1:O19"/>
  <sheetViews>
    <sheetView workbookViewId="0">
      <selection activeCell="M23" sqref="M23"/>
    </sheetView>
  </sheetViews>
  <sheetFormatPr baseColWidth="10" defaultRowHeight="14.4" x14ac:dyDescent="0.3"/>
  <cols>
    <col min="1" max="1" width="13.33203125" bestFit="1" customWidth="1"/>
    <col min="4" max="4" width="14.6640625" bestFit="1" customWidth="1"/>
    <col min="13" max="13" width="16.77734375" bestFit="1" customWidth="1"/>
  </cols>
  <sheetData>
    <row r="1" spans="1:15" x14ac:dyDescent="0.3">
      <c r="O1" s="8"/>
    </row>
    <row r="2" spans="1:15" x14ac:dyDescent="0.3">
      <c r="A2" s="5" t="s">
        <v>236</v>
      </c>
      <c r="B2" s="5" t="s">
        <v>222</v>
      </c>
      <c r="C2" s="5" t="s">
        <v>225</v>
      </c>
      <c r="D2" s="5" t="s">
        <v>226</v>
      </c>
      <c r="E2" s="5" t="s">
        <v>202</v>
      </c>
      <c r="F2" s="5" t="s">
        <v>203</v>
      </c>
      <c r="G2" s="5" t="s">
        <v>204</v>
      </c>
      <c r="H2" s="5" t="s">
        <v>205</v>
      </c>
      <c r="I2" s="5" t="s">
        <v>206</v>
      </c>
      <c r="J2" s="5" t="s">
        <v>207</v>
      </c>
      <c r="K2" s="5" t="s">
        <v>208</v>
      </c>
      <c r="L2" s="5" t="s">
        <v>209</v>
      </c>
      <c r="M2" s="5" t="s">
        <v>241</v>
      </c>
      <c r="O2" s="8"/>
    </row>
    <row r="3" spans="1:15" x14ac:dyDescent="0.3">
      <c r="A3" s="27" t="s">
        <v>227</v>
      </c>
      <c r="B3" s="27" t="s">
        <v>223</v>
      </c>
      <c r="C3" s="27" t="s">
        <v>228</v>
      </c>
      <c r="D3" s="27" t="s">
        <v>229</v>
      </c>
      <c r="E3" s="28"/>
      <c r="F3" s="28">
        <v>165000</v>
      </c>
      <c r="G3" s="28">
        <v>220586</v>
      </c>
      <c r="H3" s="28">
        <v>136979.26999999999</v>
      </c>
      <c r="I3" s="28">
        <v>148696</v>
      </c>
      <c r="J3" s="28">
        <v>0</v>
      </c>
      <c r="K3" s="28"/>
      <c r="L3" s="28">
        <v>671261.27</v>
      </c>
      <c r="M3" s="64">
        <f>SUM(L3:L9)</f>
        <v>1362809.9345297031</v>
      </c>
    </row>
    <row r="4" spans="1:15" x14ac:dyDescent="0.3">
      <c r="A4" s="27" t="s">
        <v>227</v>
      </c>
      <c r="B4" s="27" t="s">
        <v>223</v>
      </c>
      <c r="C4" s="27" t="s">
        <v>230</v>
      </c>
      <c r="D4" s="27" t="s">
        <v>231</v>
      </c>
      <c r="E4" s="28"/>
      <c r="F4" s="28"/>
      <c r="G4" s="28"/>
      <c r="H4" s="28"/>
      <c r="I4" s="28">
        <v>107600</v>
      </c>
      <c r="J4" s="28"/>
      <c r="K4" s="28"/>
      <c r="L4" s="28">
        <v>107600</v>
      </c>
      <c r="M4" s="64"/>
    </row>
    <row r="5" spans="1:15" x14ac:dyDescent="0.3">
      <c r="A5" s="27" t="s">
        <v>227</v>
      </c>
      <c r="B5" s="27" t="s">
        <v>223</v>
      </c>
      <c r="C5" s="27" t="s">
        <v>232</v>
      </c>
      <c r="D5" s="27" t="s">
        <v>229</v>
      </c>
      <c r="E5" s="28"/>
      <c r="F5" s="28">
        <v>134262.88452970295</v>
      </c>
      <c r="G5" s="28">
        <v>251772.02</v>
      </c>
      <c r="H5" s="28">
        <v>48520.76</v>
      </c>
      <c r="I5" s="28">
        <v>64000</v>
      </c>
      <c r="J5" s="28"/>
      <c r="K5" s="28"/>
      <c r="L5" s="28">
        <v>498555.66452970298</v>
      </c>
      <c r="M5" s="64"/>
    </row>
    <row r="6" spans="1:15" x14ac:dyDescent="0.3">
      <c r="A6" s="27" t="s">
        <v>227</v>
      </c>
      <c r="B6" s="27" t="s">
        <v>223</v>
      </c>
      <c r="C6" s="27" t="s">
        <v>232</v>
      </c>
      <c r="D6" s="27" t="s">
        <v>231</v>
      </c>
      <c r="E6" s="28"/>
      <c r="F6" s="28"/>
      <c r="G6" s="28"/>
      <c r="H6" s="28"/>
      <c r="I6" s="28"/>
      <c r="J6" s="28"/>
      <c r="K6" s="28"/>
      <c r="L6" s="28">
        <v>0</v>
      </c>
      <c r="M6" s="64"/>
    </row>
    <row r="7" spans="1:15" x14ac:dyDescent="0.3">
      <c r="A7" s="27" t="s">
        <v>227</v>
      </c>
      <c r="B7" s="27" t="s">
        <v>223</v>
      </c>
      <c r="C7" s="27" t="s">
        <v>233</v>
      </c>
      <c r="D7" s="27" t="s">
        <v>229</v>
      </c>
      <c r="E7" s="28"/>
      <c r="F7" s="28">
        <v>40000</v>
      </c>
      <c r="G7" s="28">
        <v>0</v>
      </c>
      <c r="H7" s="28">
        <v>0</v>
      </c>
      <c r="I7" s="28">
        <v>45393</v>
      </c>
      <c r="J7" s="28">
        <v>0</v>
      </c>
      <c r="K7" s="28"/>
      <c r="L7" s="28">
        <v>85393</v>
      </c>
      <c r="M7" s="64"/>
    </row>
    <row r="8" spans="1:15" x14ac:dyDescent="0.3">
      <c r="A8" s="27" t="s">
        <v>227</v>
      </c>
      <c r="B8" s="27" t="s">
        <v>223</v>
      </c>
      <c r="C8" s="27" t="s">
        <v>233</v>
      </c>
      <c r="D8" s="27" t="s">
        <v>231</v>
      </c>
      <c r="E8" s="28"/>
      <c r="F8" s="28"/>
      <c r="G8" s="28"/>
      <c r="H8" s="28"/>
      <c r="I8" s="28"/>
      <c r="J8" s="28"/>
      <c r="K8" s="28"/>
      <c r="L8" s="28">
        <v>0</v>
      </c>
      <c r="M8" s="64"/>
    </row>
    <row r="9" spans="1:15" x14ac:dyDescent="0.3">
      <c r="A9" s="27" t="s">
        <v>227</v>
      </c>
      <c r="B9" s="27" t="s">
        <v>223</v>
      </c>
      <c r="C9" s="27" t="s">
        <v>234</v>
      </c>
      <c r="D9" s="27" t="s">
        <v>229</v>
      </c>
      <c r="E9" s="28"/>
      <c r="F9" s="28"/>
      <c r="G9" s="28"/>
      <c r="H9" s="28"/>
      <c r="I9" s="28"/>
      <c r="J9" s="28"/>
      <c r="K9" s="28"/>
      <c r="L9" s="28">
        <v>0</v>
      </c>
      <c r="M9" s="64"/>
    </row>
    <row r="10" spans="1:15" x14ac:dyDescent="0.3">
      <c r="A10" s="27" t="s">
        <v>227</v>
      </c>
      <c r="B10" s="27" t="s">
        <v>223</v>
      </c>
      <c r="C10" s="27" t="s">
        <v>234</v>
      </c>
      <c r="D10" s="27" t="s">
        <v>231</v>
      </c>
      <c r="E10" s="28"/>
      <c r="F10" s="28"/>
      <c r="G10" s="28"/>
      <c r="H10" s="28"/>
      <c r="I10" s="28"/>
      <c r="J10" s="28"/>
      <c r="K10" s="28"/>
      <c r="L10" s="28">
        <v>0</v>
      </c>
      <c r="M10" s="64"/>
    </row>
    <row r="11" spans="1:15" x14ac:dyDescent="0.3">
      <c r="A11" s="29" t="s">
        <v>227</v>
      </c>
      <c r="B11" s="29" t="s">
        <v>224</v>
      </c>
      <c r="C11" s="29" t="s">
        <v>228</v>
      </c>
      <c r="D11" s="29" t="s">
        <v>229</v>
      </c>
      <c r="E11" s="30"/>
      <c r="F11" s="30">
        <v>164450</v>
      </c>
      <c r="G11" s="30">
        <v>456000</v>
      </c>
      <c r="H11" s="30"/>
      <c r="I11" s="30"/>
      <c r="J11" s="30">
        <v>134000</v>
      </c>
      <c r="K11" s="30"/>
      <c r="L11" s="30">
        <v>754450</v>
      </c>
      <c r="M11" s="65">
        <f>SUM(L11:L18)</f>
        <v>5314373.2489999998</v>
      </c>
    </row>
    <row r="12" spans="1:15" x14ac:dyDescent="0.3">
      <c r="A12" s="29" t="s">
        <v>227</v>
      </c>
      <c r="B12" s="29" t="s">
        <v>224</v>
      </c>
      <c r="C12" s="29" t="s">
        <v>230</v>
      </c>
      <c r="D12" s="29" t="s">
        <v>231</v>
      </c>
      <c r="E12" s="30"/>
      <c r="F12" s="30">
        <v>134550</v>
      </c>
      <c r="G12" s="30">
        <v>45000</v>
      </c>
      <c r="H12" s="30">
        <v>85000</v>
      </c>
      <c r="I12" s="30">
        <v>128123</v>
      </c>
      <c r="J12" s="30">
        <v>85000</v>
      </c>
      <c r="K12" s="30"/>
      <c r="L12" s="30">
        <v>477673</v>
      </c>
      <c r="M12" s="65"/>
    </row>
    <row r="13" spans="1:15" x14ac:dyDescent="0.3">
      <c r="A13" s="29" t="s">
        <v>227</v>
      </c>
      <c r="B13" s="29" t="s">
        <v>224</v>
      </c>
      <c r="C13" s="29" t="s">
        <v>232</v>
      </c>
      <c r="D13" s="29" t="s">
        <v>229</v>
      </c>
      <c r="E13" s="30">
        <v>45000</v>
      </c>
      <c r="F13" s="30">
        <v>205000</v>
      </c>
      <c r="G13" s="30">
        <v>394939.83100000001</v>
      </c>
      <c r="H13" s="30">
        <v>369855.94799999997</v>
      </c>
      <c r="I13" s="30">
        <v>265800</v>
      </c>
      <c r="J13" s="30">
        <v>196370.47</v>
      </c>
      <c r="K13" s="30">
        <v>0</v>
      </c>
      <c r="L13" s="30">
        <v>1476966.2490000001</v>
      </c>
      <c r="M13" s="65"/>
    </row>
    <row r="14" spans="1:15" x14ac:dyDescent="0.3">
      <c r="A14" s="29" t="s">
        <v>227</v>
      </c>
      <c r="B14" s="29" t="s">
        <v>224</v>
      </c>
      <c r="C14" s="29" t="s">
        <v>232</v>
      </c>
      <c r="D14" s="29" t="s">
        <v>231</v>
      </c>
      <c r="E14" s="30"/>
      <c r="F14" s="30">
        <v>206000</v>
      </c>
      <c r="G14" s="30">
        <v>575900</v>
      </c>
      <c r="H14" s="30">
        <v>575900</v>
      </c>
      <c r="I14" s="30">
        <v>364080</v>
      </c>
      <c r="J14" s="30">
        <v>0</v>
      </c>
      <c r="K14" s="30"/>
      <c r="L14" s="30">
        <v>1721880</v>
      </c>
      <c r="M14" s="65"/>
    </row>
    <row r="15" spans="1:15" x14ac:dyDescent="0.3">
      <c r="A15" s="29" t="s">
        <v>227</v>
      </c>
      <c r="B15" s="29" t="s">
        <v>224</v>
      </c>
      <c r="C15" s="29" t="s">
        <v>233</v>
      </c>
      <c r="D15" s="29" t="s">
        <v>229</v>
      </c>
      <c r="E15" s="30"/>
      <c r="F15" s="30"/>
      <c r="G15" s="30"/>
      <c r="H15" s="30"/>
      <c r="I15" s="30"/>
      <c r="J15" s="30"/>
      <c r="K15" s="30"/>
      <c r="L15" s="30">
        <v>0</v>
      </c>
      <c r="M15" s="65"/>
    </row>
    <row r="16" spans="1:15" x14ac:dyDescent="0.3">
      <c r="A16" s="29" t="s">
        <v>227</v>
      </c>
      <c r="B16" s="29" t="s">
        <v>224</v>
      </c>
      <c r="C16" s="29" t="s">
        <v>233</v>
      </c>
      <c r="D16" s="29" t="s">
        <v>231</v>
      </c>
      <c r="E16" s="30"/>
      <c r="F16" s="30">
        <v>22000</v>
      </c>
      <c r="G16" s="30"/>
      <c r="H16" s="30">
        <v>22886</v>
      </c>
      <c r="I16" s="30">
        <v>0</v>
      </c>
      <c r="J16" s="30">
        <v>0</v>
      </c>
      <c r="K16" s="30"/>
      <c r="L16" s="30">
        <v>44886</v>
      </c>
      <c r="M16" s="65"/>
    </row>
    <row r="17" spans="1:13" x14ac:dyDescent="0.3">
      <c r="A17" s="29" t="s">
        <v>227</v>
      </c>
      <c r="B17" s="29" t="s">
        <v>224</v>
      </c>
      <c r="C17" s="29" t="s">
        <v>234</v>
      </c>
      <c r="D17" s="29" t="s">
        <v>229</v>
      </c>
      <c r="E17" s="30">
        <v>15000</v>
      </c>
      <c r="F17" s="30">
        <v>66000</v>
      </c>
      <c r="G17" s="30"/>
      <c r="H17" s="30"/>
      <c r="I17" s="30">
        <v>193775</v>
      </c>
      <c r="J17" s="30">
        <v>174380</v>
      </c>
      <c r="K17" s="30">
        <v>28755</v>
      </c>
      <c r="L17" s="30">
        <v>477910</v>
      </c>
      <c r="M17" s="65"/>
    </row>
    <row r="18" spans="1:13" x14ac:dyDescent="0.3">
      <c r="A18" s="29" t="s">
        <v>227</v>
      </c>
      <c r="B18" s="29" t="s">
        <v>224</v>
      </c>
      <c r="C18" s="29" t="s">
        <v>234</v>
      </c>
      <c r="D18" s="29" t="s">
        <v>231</v>
      </c>
      <c r="E18" s="30">
        <v>0</v>
      </c>
      <c r="F18" s="30">
        <v>157000</v>
      </c>
      <c r="G18" s="30"/>
      <c r="H18" s="30"/>
      <c r="I18" s="30">
        <v>65000</v>
      </c>
      <c r="J18" s="30">
        <v>138608</v>
      </c>
      <c r="K18" s="30"/>
      <c r="L18" s="30">
        <v>360608</v>
      </c>
      <c r="M18" s="65"/>
    </row>
    <row r="19" spans="1:13" x14ac:dyDescent="0.3">
      <c r="A19" s="22"/>
      <c r="B19" s="22"/>
      <c r="C19" s="22"/>
      <c r="D19" s="22"/>
      <c r="E19" s="20">
        <f>SUM(E3:E18)</f>
        <v>60000</v>
      </c>
      <c r="F19" s="20">
        <f t="shared" ref="F19:L19" si="0">SUM(F3:F18)</f>
        <v>1294262.8845297028</v>
      </c>
      <c r="G19" s="20">
        <f t="shared" si="0"/>
        <v>1944197.851</v>
      </c>
      <c r="H19" s="20">
        <f t="shared" si="0"/>
        <v>1239141.9780000001</v>
      </c>
      <c r="I19" s="20">
        <f t="shared" si="0"/>
        <v>1382467</v>
      </c>
      <c r="J19" s="20">
        <f t="shared" si="0"/>
        <v>728358.47</v>
      </c>
      <c r="K19" s="20">
        <f t="shared" si="0"/>
        <v>28755</v>
      </c>
      <c r="L19" s="20">
        <f t="shared" si="0"/>
        <v>6677183.1835297029</v>
      </c>
    </row>
  </sheetData>
  <mergeCells count="2">
    <mergeCell ref="M3:M10"/>
    <mergeCell ref="M11:M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DAD22-1F92-46D1-B827-52FCA54AF359}">
  <dimension ref="A3:AC71"/>
  <sheetViews>
    <sheetView zoomScale="90" zoomScaleNormal="90" workbookViewId="0">
      <selection activeCell="D28" sqref="D28:AA28"/>
    </sheetView>
  </sheetViews>
  <sheetFormatPr baseColWidth="10" defaultRowHeight="14.4" x14ac:dyDescent="0.3"/>
  <cols>
    <col min="1" max="1" width="32.21875" customWidth="1"/>
    <col min="2" max="2" width="15.88671875" bestFit="1" customWidth="1"/>
    <col min="3" max="3" width="20.5546875" style="24" bestFit="1" customWidth="1"/>
    <col min="4" max="28" width="11.5546875" style="24"/>
  </cols>
  <sheetData>
    <row r="3" spans="1:29" x14ac:dyDescent="0.3">
      <c r="AB3" s="33">
        <f>+AB4+AB5</f>
        <v>6677162.0251963697</v>
      </c>
      <c r="AC3" t="s">
        <v>242</v>
      </c>
    </row>
    <row r="4" spans="1:29" ht="23.4" x14ac:dyDescent="0.45">
      <c r="A4" s="34" t="s">
        <v>243</v>
      </c>
      <c r="B4" s="35"/>
      <c r="C4" s="36"/>
      <c r="AB4" s="33">
        <f>+AB10+AB41</f>
        <v>5315480.9735000003</v>
      </c>
      <c r="AC4" t="s">
        <v>244</v>
      </c>
    </row>
    <row r="5" spans="1:29" ht="18" x14ac:dyDescent="0.35">
      <c r="A5" s="37" t="s">
        <v>245</v>
      </c>
      <c r="B5" s="35"/>
      <c r="C5" s="36"/>
      <c r="AB5" s="33">
        <f>AB61</f>
        <v>1361681.0516963692</v>
      </c>
      <c r="AC5" t="s">
        <v>246</v>
      </c>
    </row>
    <row r="6" spans="1:29" ht="18" x14ac:dyDescent="0.35">
      <c r="A6" s="37" t="s">
        <v>247</v>
      </c>
      <c r="D6" s="24" t="s">
        <v>248</v>
      </c>
      <c r="E6" s="24" t="s">
        <v>249</v>
      </c>
      <c r="F6" s="24" t="s">
        <v>250</v>
      </c>
      <c r="G6" s="24" t="s">
        <v>251</v>
      </c>
      <c r="H6" s="24" t="s">
        <v>252</v>
      </c>
      <c r="I6" s="24" t="s">
        <v>253</v>
      </c>
      <c r="J6" s="24" t="s">
        <v>254</v>
      </c>
      <c r="K6" s="24" t="s">
        <v>255</v>
      </c>
      <c r="L6" s="24" t="s">
        <v>256</v>
      </c>
      <c r="M6" s="24" t="s">
        <v>257</v>
      </c>
      <c r="N6" s="24" t="s">
        <v>258</v>
      </c>
      <c r="O6" s="24" t="s">
        <v>259</v>
      </c>
      <c r="P6" s="24" t="s">
        <v>260</v>
      </c>
      <c r="Q6" s="24" t="s">
        <v>261</v>
      </c>
      <c r="R6" s="24" t="s">
        <v>262</v>
      </c>
      <c r="S6" s="24" t="s">
        <v>263</v>
      </c>
      <c r="T6" s="24" t="s">
        <v>264</v>
      </c>
      <c r="U6" s="24" t="s">
        <v>265</v>
      </c>
      <c r="V6" s="24" t="s">
        <v>266</v>
      </c>
      <c r="W6" s="24" t="s">
        <v>267</v>
      </c>
      <c r="X6" s="24" t="s">
        <v>268</v>
      </c>
      <c r="Y6" s="24" t="s">
        <v>269</v>
      </c>
      <c r="Z6" s="24" t="s">
        <v>270</v>
      </c>
      <c r="AA6" s="24" t="s">
        <v>271</v>
      </c>
    </row>
    <row r="7" spans="1:29" ht="16.2" thickBot="1" x14ac:dyDescent="0.35">
      <c r="A7" s="38" t="s">
        <v>272</v>
      </c>
      <c r="B7" s="39" t="s">
        <v>273</v>
      </c>
      <c r="C7" s="40" t="s">
        <v>274</v>
      </c>
      <c r="D7" s="40">
        <v>47</v>
      </c>
      <c r="E7" s="40">
        <v>48</v>
      </c>
      <c r="F7" s="40">
        <v>49</v>
      </c>
      <c r="G7" s="40">
        <v>50</v>
      </c>
      <c r="H7" s="40">
        <v>51</v>
      </c>
      <c r="I7" s="40">
        <v>52</v>
      </c>
      <c r="J7" s="40">
        <v>1</v>
      </c>
      <c r="K7" s="40">
        <v>2</v>
      </c>
      <c r="L7" s="40">
        <v>3</v>
      </c>
      <c r="M7" s="40">
        <v>4</v>
      </c>
      <c r="N7" s="40">
        <v>5</v>
      </c>
      <c r="O7" s="40">
        <v>6</v>
      </c>
      <c r="P7" s="40">
        <v>7</v>
      </c>
      <c r="Q7" s="40">
        <v>8</v>
      </c>
      <c r="R7" s="40">
        <v>9</v>
      </c>
      <c r="S7" s="40">
        <v>10</v>
      </c>
      <c r="T7" s="40">
        <v>11</v>
      </c>
      <c r="U7" s="40">
        <v>12</v>
      </c>
      <c r="V7" s="40">
        <v>13</v>
      </c>
      <c r="W7" s="40">
        <v>14</v>
      </c>
      <c r="X7" s="40">
        <v>15</v>
      </c>
      <c r="Y7" s="40">
        <v>16</v>
      </c>
      <c r="Z7" s="40">
        <v>17</v>
      </c>
      <c r="AA7" s="40">
        <v>18</v>
      </c>
      <c r="AB7" s="40"/>
    </row>
    <row r="8" spans="1:29" ht="15" thickTop="1" x14ac:dyDescent="0.3">
      <c r="A8" t="s">
        <v>275</v>
      </c>
      <c r="B8" s="41" t="s">
        <v>224</v>
      </c>
      <c r="C8" s="24" t="s">
        <v>276</v>
      </c>
      <c r="D8" s="42">
        <v>4525</v>
      </c>
      <c r="E8" s="42">
        <v>40667.75</v>
      </c>
      <c r="F8" s="42">
        <v>73492.5</v>
      </c>
      <c r="G8" s="42">
        <v>86053.587499999994</v>
      </c>
      <c r="H8" s="42">
        <v>95298.635999999999</v>
      </c>
      <c r="I8" s="42">
        <v>155956.73000000001</v>
      </c>
      <c r="J8" s="42">
        <v>164919.71</v>
      </c>
      <c r="K8" s="42">
        <v>313884.2300000001</v>
      </c>
      <c r="L8" s="42">
        <v>193785.12000000005</v>
      </c>
      <c r="M8" s="42">
        <v>297740.48</v>
      </c>
      <c r="N8" s="42">
        <v>332683.49000000011</v>
      </c>
      <c r="O8" s="42">
        <v>259418.69999999998</v>
      </c>
      <c r="P8" s="42">
        <v>204110.88</v>
      </c>
      <c r="Q8" s="42">
        <v>149541.37</v>
      </c>
      <c r="R8" s="42">
        <v>123415.09999999998</v>
      </c>
      <c r="S8" s="42">
        <v>129697.48000000001</v>
      </c>
      <c r="T8" s="42">
        <v>164818.65</v>
      </c>
      <c r="U8" s="42">
        <v>149071.24</v>
      </c>
      <c r="V8" s="42">
        <v>62942.909999999996</v>
      </c>
      <c r="W8" s="42">
        <v>67000</v>
      </c>
      <c r="X8" s="42">
        <v>55000</v>
      </c>
      <c r="Y8" s="42">
        <v>45000</v>
      </c>
      <c r="Z8" s="42">
        <v>30000</v>
      </c>
      <c r="AA8" s="42"/>
      <c r="AB8" s="42">
        <f>SUM(D8:AA8)</f>
        <v>3199023.5635000002</v>
      </c>
    </row>
    <row r="9" spans="1:29" ht="15" thickBot="1" x14ac:dyDescent="0.35">
      <c r="A9" s="43"/>
      <c r="B9" s="39" t="s">
        <v>224</v>
      </c>
      <c r="C9" s="40" t="s">
        <v>277</v>
      </c>
      <c r="D9" s="44">
        <v>6000</v>
      </c>
      <c r="E9" s="44">
        <v>9000</v>
      </c>
      <c r="F9" s="44">
        <v>68000</v>
      </c>
      <c r="G9" s="44">
        <v>68000</v>
      </c>
      <c r="H9" s="44">
        <v>57000</v>
      </c>
      <c r="I9" s="44">
        <v>30000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44">
        <v>0</v>
      </c>
      <c r="Q9" s="44">
        <v>0</v>
      </c>
      <c r="R9" s="44">
        <v>82000</v>
      </c>
      <c r="S9" s="44">
        <v>82000</v>
      </c>
      <c r="T9" s="44">
        <v>56250</v>
      </c>
      <c r="U9" s="44">
        <v>0</v>
      </c>
      <c r="V9" s="44">
        <v>38500</v>
      </c>
      <c r="W9" s="44">
        <v>128000</v>
      </c>
      <c r="X9" s="44">
        <v>90608</v>
      </c>
      <c r="Y9" s="44">
        <v>71000</v>
      </c>
      <c r="Z9" s="44">
        <v>52000</v>
      </c>
      <c r="AA9" s="44"/>
      <c r="AB9" s="42">
        <f>SUM(D9:AA9)</f>
        <v>838358</v>
      </c>
    </row>
    <row r="10" spans="1:29" ht="15" thickTop="1" x14ac:dyDescent="0.3">
      <c r="B10" s="41"/>
      <c r="D10" s="42">
        <f>SUM(D8:D9)</f>
        <v>10525</v>
      </c>
      <c r="E10" s="42">
        <f t="shared" ref="E10:AA10" si="0">SUM(E8:E9)</f>
        <v>49667.75</v>
      </c>
      <c r="F10" s="42">
        <f t="shared" si="0"/>
        <v>141492.5</v>
      </c>
      <c r="G10" s="42">
        <f t="shared" si="0"/>
        <v>154053.58749999999</v>
      </c>
      <c r="H10" s="42">
        <f t="shared" si="0"/>
        <v>152298.636</v>
      </c>
      <c r="I10" s="42">
        <f t="shared" si="0"/>
        <v>185956.73</v>
      </c>
      <c r="J10" s="42">
        <f t="shared" si="0"/>
        <v>164919.71</v>
      </c>
      <c r="K10" s="42">
        <f t="shared" si="0"/>
        <v>313884.2300000001</v>
      </c>
      <c r="L10" s="42">
        <f t="shared" si="0"/>
        <v>193785.12000000005</v>
      </c>
      <c r="M10" s="42">
        <f t="shared" si="0"/>
        <v>297740.48</v>
      </c>
      <c r="N10" s="42">
        <f t="shared" si="0"/>
        <v>332683.49000000011</v>
      </c>
      <c r="O10" s="42">
        <f t="shared" si="0"/>
        <v>259418.69999999998</v>
      </c>
      <c r="P10" s="42">
        <f t="shared" si="0"/>
        <v>204110.88</v>
      </c>
      <c r="Q10" s="42">
        <f t="shared" si="0"/>
        <v>149541.37</v>
      </c>
      <c r="R10" s="42">
        <f t="shared" si="0"/>
        <v>205415.09999999998</v>
      </c>
      <c r="S10" s="42">
        <f t="shared" si="0"/>
        <v>211697.48</v>
      </c>
      <c r="T10" s="42">
        <f t="shared" si="0"/>
        <v>221068.65</v>
      </c>
      <c r="U10" s="42">
        <f t="shared" si="0"/>
        <v>149071.24</v>
      </c>
      <c r="V10" s="42">
        <f t="shared" si="0"/>
        <v>101442.91</v>
      </c>
      <c r="W10" s="42">
        <f t="shared" si="0"/>
        <v>195000</v>
      </c>
      <c r="X10" s="42">
        <f t="shared" si="0"/>
        <v>145608</v>
      </c>
      <c r="Y10" s="42">
        <f t="shared" si="0"/>
        <v>116000</v>
      </c>
      <c r="Z10" s="42">
        <f t="shared" si="0"/>
        <v>82000</v>
      </c>
      <c r="AA10" s="42">
        <f t="shared" si="0"/>
        <v>0</v>
      </c>
      <c r="AB10" s="33">
        <f>SUM(AB8:AB9)</f>
        <v>4037381.5635000002</v>
      </c>
    </row>
    <row r="11" spans="1:29" x14ac:dyDescent="0.3">
      <c r="B11" s="41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spans="1:29" x14ac:dyDescent="0.3">
      <c r="B12" s="41"/>
    </row>
    <row r="13" spans="1:29" x14ac:dyDescent="0.3">
      <c r="A13" t="s">
        <v>278</v>
      </c>
      <c r="B13" s="41"/>
    </row>
    <row r="14" spans="1:29" x14ac:dyDescent="0.3">
      <c r="A14" t="s">
        <v>279</v>
      </c>
      <c r="B14" s="45">
        <v>2600</v>
      </c>
    </row>
    <row r="15" spans="1:29" x14ac:dyDescent="0.3">
      <c r="A15" t="s">
        <v>280</v>
      </c>
      <c r="B15" s="41">
        <v>44</v>
      </c>
    </row>
    <row r="16" spans="1:29" x14ac:dyDescent="0.3">
      <c r="A16" t="s">
        <v>281</v>
      </c>
      <c r="B16" s="41"/>
      <c r="D16" s="24" t="s">
        <v>248</v>
      </c>
      <c r="E16" s="24" t="s">
        <v>249</v>
      </c>
      <c r="F16" s="24" t="s">
        <v>250</v>
      </c>
      <c r="G16" s="24" t="s">
        <v>251</v>
      </c>
      <c r="H16" s="24" t="s">
        <v>252</v>
      </c>
      <c r="I16" s="24" t="s">
        <v>253</v>
      </c>
      <c r="J16" s="24" t="s">
        <v>254</v>
      </c>
      <c r="K16" s="24" t="s">
        <v>255</v>
      </c>
      <c r="L16" s="24" t="s">
        <v>256</v>
      </c>
      <c r="M16" s="24" t="s">
        <v>257</v>
      </c>
      <c r="N16" s="24" t="s">
        <v>258</v>
      </c>
      <c r="O16" s="24" t="s">
        <v>259</v>
      </c>
      <c r="P16" s="24" t="s">
        <v>260</v>
      </c>
      <c r="Q16" s="24" t="s">
        <v>261</v>
      </c>
      <c r="R16" s="24" t="s">
        <v>262</v>
      </c>
      <c r="S16" s="24" t="s">
        <v>263</v>
      </c>
      <c r="T16" s="24" t="s">
        <v>264</v>
      </c>
      <c r="U16" s="24" t="s">
        <v>265</v>
      </c>
      <c r="V16" s="24" t="s">
        <v>266</v>
      </c>
      <c r="W16" s="24" t="s">
        <v>267</v>
      </c>
      <c r="X16" s="24" t="s">
        <v>268</v>
      </c>
      <c r="Y16" s="24" t="s">
        <v>269</v>
      </c>
      <c r="Z16" s="24" t="s">
        <v>270</v>
      </c>
      <c r="AA16" s="24" t="s">
        <v>271</v>
      </c>
    </row>
    <row r="17" spans="1:29" ht="15" thickBot="1" x14ac:dyDescent="0.35">
      <c r="A17" s="43" t="s">
        <v>282</v>
      </c>
      <c r="B17" s="39" t="s">
        <v>274</v>
      </c>
      <c r="C17" s="40" t="s">
        <v>283</v>
      </c>
      <c r="D17" s="40">
        <v>47</v>
      </c>
      <c r="E17" s="40">
        <v>48</v>
      </c>
      <c r="F17" s="40">
        <v>49</v>
      </c>
      <c r="G17" s="57">
        <v>50</v>
      </c>
      <c r="H17" s="40">
        <v>51</v>
      </c>
      <c r="I17" s="57">
        <v>52</v>
      </c>
      <c r="J17" s="57">
        <v>1</v>
      </c>
      <c r="K17" s="40">
        <v>2</v>
      </c>
      <c r="L17" s="40">
        <v>3</v>
      </c>
      <c r="M17" s="40">
        <v>4</v>
      </c>
      <c r="N17" s="40">
        <v>5</v>
      </c>
      <c r="O17" s="40">
        <v>6</v>
      </c>
      <c r="P17" s="40">
        <v>7</v>
      </c>
      <c r="Q17" s="40">
        <v>8</v>
      </c>
      <c r="R17" s="40">
        <v>9</v>
      </c>
      <c r="S17" s="40">
        <v>10</v>
      </c>
      <c r="T17" s="40">
        <v>11</v>
      </c>
      <c r="U17" s="40">
        <v>12</v>
      </c>
      <c r="V17" s="40">
        <v>13</v>
      </c>
      <c r="W17" s="57">
        <v>14</v>
      </c>
      <c r="X17" s="40">
        <v>15</v>
      </c>
      <c r="Y17" s="40">
        <v>16</v>
      </c>
      <c r="Z17" s="40">
        <v>17</v>
      </c>
      <c r="AA17" s="57">
        <v>18</v>
      </c>
    </row>
    <row r="18" spans="1:29" ht="15.6" thickTop="1" thickBot="1" x14ac:dyDescent="0.35">
      <c r="A18" s="46" t="s">
        <v>275</v>
      </c>
      <c r="B18" s="47" t="s">
        <v>284</v>
      </c>
      <c r="C18" s="48">
        <v>2</v>
      </c>
      <c r="D18" s="49">
        <f>(($B$14*$B$15))*2</f>
        <v>228800</v>
      </c>
      <c r="E18" s="49">
        <f>(($B$14*$B$15))*2</f>
        <v>228800</v>
      </c>
      <c r="F18" s="49">
        <f>(($B$14*$B$15))*2</f>
        <v>228800</v>
      </c>
      <c r="G18" s="49">
        <f>(35*B14)*2</f>
        <v>182000</v>
      </c>
      <c r="H18" s="49">
        <f>(($B$14*$B$15))*2</f>
        <v>228800</v>
      </c>
      <c r="I18" s="49">
        <f>(30.5*B14)*2</f>
        <v>158600</v>
      </c>
      <c r="J18" s="49">
        <f>(30.5*B14)*2</f>
        <v>158600</v>
      </c>
      <c r="K18" s="49">
        <f t="shared" ref="K18:V18" si="1">(($B$14*$B$15))*2</f>
        <v>228800</v>
      </c>
      <c r="L18" s="49">
        <f t="shared" si="1"/>
        <v>228800</v>
      </c>
      <c r="M18" s="49">
        <f t="shared" si="1"/>
        <v>228800</v>
      </c>
      <c r="N18" s="49">
        <f t="shared" si="1"/>
        <v>228800</v>
      </c>
      <c r="O18" s="49">
        <f t="shared" si="1"/>
        <v>228800</v>
      </c>
      <c r="P18" s="49">
        <f t="shared" si="1"/>
        <v>228800</v>
      </c>
      <c r="Q18" s="49">
        <f t="shared" si="1"/>
        <v>228800</v>
      </c>
      <c r="R18" s="49">
        <f t="shared" si="1"/>
        <v>228800</v>
      </c>
      <c r="S18" s="49">
        <f t="shared" si="1"/>
        <v>228800</v>
      </c>
      <c r="T18" s="49">
        <f t="shared" si="1"/>
        <v>228800</v>
      </c>
      <c r="U18" s="49">
        <f t="shared" si="1"/>
        <v>228800</v>
      </c>
      <c r="V18" s="49">
        <f t="shared" si="1"/>
        <v>228800</v>
      </c>
      <c r="W18" s="49">
        <f>(35*B14)*2</f>
        <v>182000</v>
      </c>
      <c r="X18" s="49">
        <f>(($B$14*$B$15))*2</f>
        <v>228800</v>
      </c>
      <c r="Y18" s="49">
        <f>(($B$14*$B$15))*2</f>
        <v>228800</v>
      </c>
      <c r="Z18" s="49">
        <f>(($B$14*$B$15))*2</f>
        <v>228800</v>
      </c>
      <c r="AA18" s="49">
        <f>(35*B14)*2</f>
        <v>182000</v>
      </c>
    </row>
    <row r="19" spans="1:29" ht="15" thickTop="1" x14ac:dyDescent="0.3">
      <c r="B19" s="41"/>
      <c r="D19" s="42">
        <f t="shared" ref="D19:AA19" si="2">SUM(D18:D18)</f>
        <v>228800</v>
      </c>
      <c r="E19" s="42">
        <f t="shared" si="2"/>
        <v>228800</v>
      </c>
      <c r="F19" s="42">
        <f t="shared" si="2"/>
        <v>228800</v>
      </c>
      <c r="G19" s="42">
        <f t="shared" si="2"/>
        <v>182000</v>
      </c>
      <c r="H19" s="42">
        <f t="shared" si="2"/>
        <v>228800</v>
      </c>
      <c r="I19" s="42">
        <f t="shared" si="2"/>
        <v>158600</v>
      </c>
      <c r="J19" s="42">
        <f t="shared" si="2"/>
        <v>158600</v>
      </c>
      <c r="K19" s="42">
        <f t="shared" si="2"/>
        <v>228800</v>
      </c>
      <c r="L19" s="42">
        <f t="shared" si="2"/>
        <v>228800</v>
      </c>
      <c r="M19" s="42">
        <f t="shared" si="2"/>
        <v>228800</v>
      </c>
      <c r="N19" s="42">
        <f t="shared" si="2"/>
        <v>228800</v>
      </c>
      <c r="O19" s="42">
        <f t="shared" si="2"/>
        <v>228800</v>
      </c>
      <c r="P19" s="42">
        <f t="shared" si="2"/>
        <v>228800</v>
      </c>
      <c r="Q19" s="42">
        <f t="shared" si="2"/>
        <v>228800</v>
      </c>
      <c r="R19" s="42">
        <f t="shared" si="2"/>
        <v>228800</v>
      </c>
      <c r="S19" s="42">
        <f t="shared" si="2"/>
        <v>228800</v>
      </c>
      <c r="T19" s="42">
        <f t="shared" si="2"/>
        <v>228800</v>
      </c>
      <c r="U19" s="42">
        <f t="shared" si="2"/>
        <v>228800</v>
      </c>
      <c r="V19" s="42">
        <f t="shared" si="2"/>
        <v>228800</v>
      </c>
      <c r="W19" s="42">
        <f t="shared" si="2"/>
        <v>182000</v>
      </c>
      <c r="X19" s="42">
        <f t="shared" si="2"/>
        <v>228800</v>
      </c>
      <c r="Y19" s="42">
        <f t="shared" si="2"/>
        <v>228800</v>
      </c>
      <c r="Z19" s="42">
        <f t="shared" si="2"/>
        <v>228800</v>
      </c>
      <c r="AA19" s="42">
        <f t="shared" si="2"/>
        <v>182000</v>
      </c>
      <c r="AB19" s="42"/>
    </row>
    <row r="20" spans="1:29" ht="15" thickBot="1" x14ac:dyDescent="0.35">
      <c r="A20" s="43" t="s">
        <v>285</v>
      </c>
      <c r="B20" s="39"/>
      <c r="C20" s="40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55"/>
    </row>
    <row r="21" spans="1:29" ht="15" thickTop="1" x14ac:dyDescent="0.3">
      <c r="B21" s="41"/>
      <c r="D21" s="42">
        <f>+D19-D8</f>
        <v>224275</v>
      </c>
      <c r="E21" s="42">
        <f t="shared" ref="E21:AA21" si="3">+E19-E8</f>
        <v>188132.25</v>
      </c>
      <c r="F21" s="42">
        <f t="shared" si="3"/>
        <v>155307.5</v>
      </c>
      <c r="G21" s="42">
        <f t="shared" si="3"/>
        <v>95946.412500000006</v>
      </c>
      <c r="H21" s="42">
        <f t="shared" si="3"/>
        <v>133501.364</v>
      </c>
      <c r="I21" s="42">
        <f t="shared" si="3"/>
        <v>2643.2699999999895</v>
      </c>
      <c r="J21" s="42">
        <f t="shared" si="3"/>
        <v>-6319.7099999999919</v>
      </c>
      <c r="K21" s="42">
        <f t="shared" si="3"/>
        <v>-85084.230000000098</v>
      </c>
      <c r="L21" s="42">
        <f t="shared" si="3"/>
        <v>35014.879999999946</v>
      </c>
      <c r="M21" s="42">
        <f t="shared" si="3"/>
        <v>-68940.479999999981</v>
      </c>
      <c r="N21" s="42">
        <f t="shared" si="3"/>
        <v>-103883.49000000011</v>
      </c>
      <c r="O21" s="42">
        <f t="shared" si="3"/>
        <v>-30618.699999999983</v>
      </c>
      <c r="P21" s="42">
        <f t="shared" si="3"/>
        <v>24689.119999999995</v>
      </c>
      <c r="Q21" s="42">
        <f t="shared" si="3"/>
        <v>79258.63</v>
      </c>
      <c r="R21" s="42">
        <f t="shared" si="3"/>
        <v>105384.90000000002</v>
      </c>
      <c r="S21" s="42">
        <f t="shared" si="3"/>
        <v>99102.51999999999</v>
      </c>
      <c r="T21" s="42">
        <f t="shared" si="3"/>
        <v>63981.350000000006</v>
      </c>
      <c r="U21" s="42">
        <f t="shared" si="3"/>
        <v>79728.760000000009</v>
      </c>
      <c r="V21" s="42">
        <f t="shared" si="3"/>
        <v>165857.09</v>
      </c>
      <c r="W21" s="42">
        <f t="shared" si="3"/>
        <v>115000</v>
      </c>
      <c r="X21" s="42">
        <f t="shared" si="3"/>
        <v>173800</v>
      </c>
      <c r="Y21" s="42">
        <f t="shared" si="3"/>
        <v>183800</v>
      </c>
      <c r="Z21" s="42">
        <f t="shared" si="3"/>
        <v>198800</v>
      </c>
      <c r="AA21" s="42">
        <f t="shared" si="3"/>
        <v>182000</v>
      </c>
      <c r="AB21" s="42">
        <f>+J21+K21+M21+N21+O21</f>
        <v>-294846.6100000001</v>
      </c>
      <c r="AC21" t="s">
        <v>286</v>
      </c>
    </row>
    <row r="22" spans="1:29" x14ac:dyDescent="0.3">
      <c r="B22" s="41"/>
    </row>
    <row r="23" spans="1:29" x14ac:dyDescent="0.3">
      <c r="A23" t="s">
        <v>278</v>
      </c>
      <c r="B23" s="41"/>
    </row>
    <row r="24" spans="1:29" x14ac:dyDescent="0.3">
      <c r="A24" t="s">
        <v>279</v>
      </c>
      <c r="B24" s="41">
        <v>1800</v>
      </c>
    </row>
    <row r="25" spans="1:29" x14ac:dyDescent="0.3">
      <c r="A25" t="s">
        <v>280</v>
      </c>
      <c r="B25" s="41">
        <v>44</v>
      </c>
    </row>
    <row r="26" spans="1:29" x14ac:dyDescent="0.3">
      <c r="A26" t="s">
        <v>281</v>
      </c>
      <c r="B26" s="41"/>
      <c r="D26" s="24" t="s">
        <v>248</v>
      </c>
      <c r="E26" s="24" t="s">
        <v>249</v>
      </c>
      <c r="F26" s="24" t="s">
        <v>250</v>
      </c>
      <c r="G26" s="24" t="s">
        <v>251</v>
      </c>
      <c r="H26" s="24" t="s">
        <v>252</v>
      </c>
      <c r="I26" s="24" t="s">
        <v>253</v>
      </c>
      <c r="J26" s="24" t="s">
        <v>254</v>
      </c>
      <c r="K26" s="24" t="s">
        <v>255</v>
      </c>
      <c r="L26" s="24" t="s">
        <v>256</v>
      </c>
      <c r="M26" s="24" t="s">
        <v>257</v>
      </c>
      <c r="N26" s="24" t="s">
        <v>258</v>
      </c>
      <c r="O26" s="24" t="s">
        <v>259</v>
      </c>
      <c r="P26" s="24" t="s">
        <v>260</v>
      </c>
      <c r="Q26" s="24" t="s">
        <v>261</v>
      </c>
      <c r="R26" s="24" t="s">
        <v>262</v>
      </c>
      <c r="S26" s="24" t="s">
        <v>263</v>
      </c>
      <c r="T26" s="24" t="s">
        <v>264</v>
      </c>
      <c r="U26" s="24" t="s">
        <v>265</v>
      </c>
      <c r="V26" s="24" t="s">
        <v>266</v>
      </c>
      <c r="W26" s="24" t="s">
        <v>267</v>
      </c>
      <c r="X26" s="24" t="s">
        <v>268</v>
      </c>
      <c r="Y26" s="24" t="s">
        <v>269</v>
      </c>
      <c r="Z26" s="24" t="s">
        <v>270</v>
      </c>
      <c r="AA26" s="24" t="s">
        <v>271</v>
      </c>
    </row>
    <row r="27" spans="1:29" ht="15" thickBot="1" x14ac:dyDescent="0.35">
      <c r="A27" s="43" t="s">
        <v>282</v>
      </c>
      <c r="B27" s="50" t="s">
        <v>274</v>
      </c>
      <c r="C27" s="40" t="s">
        <v>283</v>
      </c>
      <c r="D27" s="40">
        <v>47</v>
      </c>
      <c r="E27" s="40">
        <v>48</v>
      </c>
      <c r="F27" s="40">
        <v>49</v>
      </c>
      <c r="G27" s="40">
        <v>50</v>
      </c>
      <c r="H27" s="40">
        <v>51</v>
      </c>
      <c r="I27" s="40">
        <v>52</v>
      </c>
      <c r="J27" s="40">
        <v>1</v>
      </c>
      <c r="K27" s="40">
        <v>2</v>
      </c>
      <c r="L27" s="40">
        <v>3</v>
      </c>
      <c r="M27" s="40">
        <v>4</v>
      </c>
      <c r="N27" s="40">
        <v>5</v>
      </c>
      <c r="O27" s="40">
        <v>6</v>
      </c>
      <c r="P27" s="40">
        <v>7</v>
      </c>
      <c r="Q27" s="40">
        <v>8</v>
      </c>
      <c r="R27" s="40">
        <v>9</v>
      </c>
      <c r="S27" s="40">
        <v>10</v>
      </c>
      <c r="T27" s="40">
        <v>11</v>
      </c>
      <c r="U27" s="40">
        <v>12</v>
      </c>
      <c r="V27" s="40">
        <v>13</v>
      </c>
      <c r="W27" s="40">
        <v>14</v>
      </c>
      <c r="X27" s="40">
        <v>15</v>
      </c>
      <c r="Y27" s="50">
        <v>16</v>
      </c>
      <c r="Z27" s="40">
        <v>17</v>
      </c>
      <c r="AA27" s="40">
        <v>18</v>
      </c>
    </row>
    <row r="28" spans="1:29" ht="15.6" thickTop="1" thickBot="1" x14ac:dyDescent="0.35">
      <c r="A28" s="46" t="s">
        <v>275</v>
      </c>
      <c r="B28" s="47" t="s">
        <v>277</v>
      </c>
      <c r="C28" s="48"/>
      <c r="D28" s="49">
        <f>(($B$24*$B$25))*2</f>
        <v>158400</v>
      </c>
      <c r="E28" s="49">
        <f t="shared" ref="E28:F28" si="4">(($B$24*$B$25))*2</f>
        <v>158400</v>
      </c>
      <c r="F28" s="49">
        <f t="shared" si="4"/>
        <v>158400</v>
      </c>
      <c r="G28" s="49">
        <f>(35*B24)*2</f>
        <v>126000</v>
      </c>
      <c r="H28" s="49">
        <f>(($B$24*$B$25))*2</f>
        <v>158400</v>
      </c>
      <c r="I28" s="49">
        <f>(30.5*B24)*2</f>
        <v>109800</v>
      </c>
      <c r="J28" s="49">
        <f>(30.5*B24)*2</f>
        <v>109800</v>
      </c>
      <c r="K28" s="49">
        <f>(($B$24*$B$25))*2</f>
        <v>158400</v>
      </c>
      <c r="L28" s="49">
        <f t="shared" ref="L28:V28" si="5">(($B$24*$B$25))*2</f>
        <v>158400</v>
      </c>
      <c r="M28" s="49">
        <f t="shared" si="5"/>
        <v>158400</v>
      </c>
      <c r="N28" s="49">
        <f t="shared" si="5"/>
        <v>158400</v>
      </c>
      <c r="O28" s="49">
        <f t="shared" si="5"/>
        <v>158400</v>
      </c>
      <c r="P28" s="49">
        <f t="shared" si="5"/>
        <v>158400</v>
      </c>
      <c r="Q28" s="49">
        <f t="shared" si="5"/>
        <v>158400</v>
      </c>
      <c r="R28" s="49">
        <f t="shared" si="5"/>
        <v>158400</v>
      </c>
      <c r="S28" s="49">
        <f t="shared" si="5"/>
        <v>158400</v>
      </c>
      <c r="T28" s="49">
        <f t="shared" si="5"/>
        <v>158400</v>
      </c>
      <c r="U28" s="49">
        <f t="shared" si="5"/>
        <v>158400</v>
      </c>
      <c r="V28" s="49">
        <f t="shared" si="5"/>
        <v>158400</v>
      </c>
      <c r="W28" s="49">
        <f>(35*B24)*2</f>
        <v>126000</v>
      </c>
      <c r="X28" s="49">
        <f>(($B$24*$B$25))*2</f>
        <v>158400</v>
      </c>
      <c r="Y28" s="49">
        <f t="shared" ref="Y28:Z28" si="6">(($B$24*$B$25))*2</f>
        <v>158400</v>
      </c>
      <c r="Z28" s="49">
        <f t="shared" si="6"/>
        <v>158400</v>
      </c>
      <c r="AA28" s="49">
        <f>(35*B24)*2</f>
        <v>126000</v>
      </c>
    </row>
    <row r="29" spans="1:29" ht="15" thickTop="1" x14ac:dyDescent="0.3">
      <c r="B29" s="41"/>
      <c r="D29" s="42">
        <f t="shared" ref="D29:AA29" si="7">SUM(D28:D28)</f>
        <v>158400</v>
      </c>
      <c r="E29" s="42">
        <f t="shared" si="7"/>
        <v>158400</v>
      </c>
      <c r="F29" s="42">
        <f t="shared" si="7"/>
        <v>158400</v>
      </c>
      <c r="G29" s="42">
        <f t="shared" si="7"/>
        <v>126000</v>
      </c>
      <c r="H29" s="42">
        <f t="shared" si="7"/>
        <v>158400</v>
      </c>
      <c r="I29" s="42">
        <f t="shared" si="7"/>
        <v>109800</v>
      </c>
      <c r="J29" s="42">
        <f t="shared" si="7"/>
        <v>109800</v>
      </c>
      <c r="K29" s="42">
        <f t="shared" si="7"/>
        <v>158400</v>
      </c>
      <c r="L29" s="42">
        <f t="shared" si="7"/>
        <v>158400</v>
      </c>
      <c r="M29" s="42">
        <f t="shared" si="7"/>
        <v>158400</v>
      </c>
      <c r="N29" s="42">
        <f t="shared" si="7"/>
        <v>158400</v>
      </c>
      <c r="O29" s="42">
        <f t="shared" si="7"/>
        <v>158400</v>
      </c>
      <c r="P29" s="42">
        <f t="shared" si="7"/>
        <v>158400</v>
      </c>
      <c r="Q29" s="42">
        <f t="shared" si="7"/>
        <v>158400</v>
      </c>
      <c r="R29" s="42">
        <f t="shared" si="7"/>
        <v>158400</v>
      </c>
      <c r="S29" s="42">
        <f t="shared" si="7"/>
        <v>158400</v>
      </c>
      <c r="T29" s="42">
        <f t="shared" si="7"/>
        <v>158400</v>
      </c>
      <c r="U29" s="42">
        <f t="shared" si="7"/>
        <v>158400</v>
      </c>
      <c r="V29" s="42">
        <f t="shared" si="7"/>
        <v>158400</v>
      </c>
      <c r="W29" s="42">
        <f t="shared" si="7"/>
        <v>126000</v>
      </c>
      <c r="X29" s="42">
        <f t="shared" si="7"/>
        <v>158400</v>
      </c>
      <c r="Y29" s="42">
        <f t="shared" si="7"/>
        <v>158400</v>
      </c>
      <c r="Z29" s="42">
        <f t="shared" si="7"/>
        <v>158400</v>
      </c>
      <c r="AA29" s="42">
        <f t="shared" si="7"/>
        <v>126000</v>
      </c>
    </row>
    <row r="30" spans="1:29" ht="15" thickBot="1" x14ac:dyDescent="0.35">
      <c r="A30" s="43" t="s">
        <v>285</v>
      </c>
      <c r="B30" s="39"/>
      <c r="C30" s="40"/>
      <c r="D30" s="44"/>
      <c r="E30" s="44"/>
      <c r="F30" s="44"/>
      <c r="G30" s="51"/>
      <c r="H30" s="44"/>
      <c r="I30" s="51"/>
      <c r="J30" s="51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51"/>
      <c r="X30" s="44"/>
      <c r="Y30" s="44"/>
      <c r="Z30" s="44"/>
      <c r="AA30" s="51"/>
    </row>
    <row r="31" spans="1:29" ht="15" thickTop="1" x14ac:dyDescent="0.3">
      <c r="B31" s="41"/>
      <c r="D31" s="42">
        <f>+D29-D9</f>
        <v>152400</v>
      </c>
      <c r="E31" s="42">
        <f t="shared" ref="E31:AA31" si="8">+E29-E9</f>
        <v>149400</v>
      </c>
      <c r="F31" s="42">
        <f t="shared" si="8"/>
        <v>90400</v>
      </c>
      <c r="G31" s="42">
        <f t="shared" si="8"/>
        <v>58000</v>
      </c>
      <c r="H31" s="42">
        <f t="shared" si="8"/>
        <v>101400</v>
      </c>
      <c r="I31" s="42">
        <f t="shared" si="8"/>
        <v>79800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f t="shared" si="8"/>
        <v>76400</v>
      </c>
      <c r="T31" s="42">
        <f t="shared" si="8"/>
        <v>102150</v>
      </c>
      <c r="U31" s="42">
        <f t="shared" si="8"/>
        <v>158400</v>
      </c>
      <c r="V31" s="42">
        <f t="shared" si="8"/>
        <v>119900</v>
      </c>
      <c r="W31" s="42">
        <f t="shared" si="8"/>
        <v>-2000</v>
      </c>
      <c r="X31" s="42">
        <f t="shared" si="8"/>
        <v>67792</v>
      </c>
      <c r="Y31" s="42">
        <f t="shared" si="8"/>
        <v>87400</v>
      </c>
      <c r="Z31" s="42">
        <f t="shared" si="8"/>
        <v>106400</v>
      </c>
      <c r="AA31" s="42">
        <f t="shared" si="8"/>
        <v>126000</v>
      </c>
    </row>
    <row r="32" spans="1:29" x14ac:dyDescent="0.3">
      <c r="B32" s="41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9" x14ac:dyDescent="0.3">
      <c r="B33" s="41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 spans="1:29" x14ac:dyDescent="0.3">
      <c r="B34" s="41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29" ht="15.6" x14ac:dyDescent="0.3">
      <c r="A35" s="52" t="s">
        <v>287</v>
      </c>
      <c r="B35" s="41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 spans="1:29" ht="15.6" x14ac:dyDescent="0.3">
      <c r="A36" s="52" t="s">
        <v>247</v>
      </c>
      <c r="B36" s="41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</row>
    <row r="37" spans="1:29" ht="15" thickBot="1" x14ac:dyDescent="0.35">
      <c r="A37" s="43" t="s">
        <v>272</v>
      </c>
      <c r="B37" s="39" t="s">
        <v>273</v>
      </c>
      <c r="C37" s="43" t="s">
        <v>274</v>
      </c>
      <c r="D37" s="40">
        <v>47</v>
      </c>
      <c r="E37" s="40">
        <v>48</v>
      </c>
      <c r="F37" s="40">
        <v>49</v>
      </c>
      <c r="G37" s="40">
        <v>50</v>
      </c>
      <c r="H37" s="40">
        <v>51</v>
      </c>
      <c r="I37" s="40">
        <v>52</v>
      </c>
      <c r="J37" s="40">
        <v>1</v>
      </c>
      <c r="K37" s="40">
        <v>2</v>
      </c>
      <c r="L37" s="40">
        <v>3</v>
      </c>
      <c r="M37" s="40">
        <v>4</v>
      </c>
      <c r="N37" s="40">
        <v>5</v>
      </c>
      <c r="O37" s="40">
        <v>6</v>
      </c>
      <c r="P37" s="40">
        <v>7</v>
      </c>
      <c r="Q37" s="40">
        <v>8</v>
      </c>
      <c r="R37" s="40">
        <v>9</v>
      </c>
      <c r="S37" s="40">
        <v>10</v>
      </c>
      <c r="T37" s="40">
        <v>11</v>
      </c>
      <c r="U37" s="40">
        <v>12</v>
      </c>
      <c r="V37" s="40">
        <v>13</v>
      </c>
      <c r="W37" s="40">
        <v>14</v>
      </c>
      <c r="X37" s="40">
        <v>15</v>
      </c>
      <c r="Y37" s="40">
        <v>16</v>
      </c>
      <c r="Z37" s="40">
        <v>17</v>
      </c>
      <c r="AA37" s="40">
        <v>18</v>
      </c>
      <c r="AB37" s="40"/>
    </row>
    <row r="38" spans="1:29" ht="15" thickTop="1" x14ac:dyDescent="0.3">
      <c r="A38" t="s">
        <v>288</v>
      </c>
      <c r="B38" s="41" t="s">
        <v>224</v>
      </c>
      <c r="C38" t="s">
        <v>289</v>
      </c>
      <c r="D38" s="42">
        <v>0</v>
      </c>
      <c r="E38" s="42">
        <v>0</v>
      </c>
      <c r="F38" s="42">
        <v>980.36400000000003</v>
      </c>
      <c r="G38" s="42">
        <v>38444.008000000002</v>
      </c>
      <c r="H38" s="42">
        <v>113134.97599999998</v>
      </c>
      <c r="I38" s="42">
        <v>146697.22499999992</v>
      </c>
      <c r="J38" s="42">
        <v>187025.94200000001</v>
      </c>
      <c r="K38" s="42">
        <v>186436.12499999991</v>
      </c>
      <c r="L38" s="42">
        <v>97441.060000000027</v>
      </c>
      <c r="M38" s="42">
        <v>30394.49</v>
      </c>
      <c r="N38" s="42">
        <v>12011.9</v>
      </c>
      <c r="O38" s="42">
        <v>35097.4</v>
      </c>
      <c r="P38" s="42">
        <v>35124.400000000001</v>
      </c>
      <c r="Q38" s="42">
        <v>3121.8</v>
      </c>
      <c r="R38" s="42">
        <v>26112.82</v>
      </c>
      <c r="S38" s="42">
        <v>84122.14</v>
      </c>
      <c r="T38" s="42">
        <v>68041.919999999998</v>
      </c>
      <c r="U38" s="42">
        <v>48026.84</v>
      </c>
      <c r="V38" s="42">
        <v>36000</v>
      </c>
      <c r="W38" s="42">
        <v>48000</v>
      </c>
      <c r="X38" s="42">
        <v>37000</v>
      </c>
      <c r="Y38" s="42">
        <v>0</v>
      </c>
      <c r="Z38" s="42">
        <v>0</v>
      </c>
      <c r="AA38" s="42"/>
      <c r="AB38" s="42">
        <f>SUM(D38:AA38)</f>
        <v>1233213.4099999999</v>
      </c>
    </row>
    <row r="39" spans="1:29" x14ac:dyDescent="0.3">
      <c r="A39" t="s">
        <v>288</v>
      </c>
      <c r="B39" s="41" t="s">
        <v>224</v>
      </c>
      <c r="C39" t="s">
        <v>290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>
        <f t="shared" ref="AB39:AB40" si="9">SUM(D39:AA39)</f>
        <v>0</v>
      </c>
    </row>
    <row r="40" spans="1:29" ht="15" thickBot="1" x14ac:dyDescent="0.35">
      <c r="A40" s="43" t="s">
        <v>288</v>
      </c>
      <c r="B40" s="39" t="s">
        <v>224</v>
      </c>
      <c r="C40" s="43" t="s">
        <v>291</v>
      </c>
      <c r="D40" s="44"/>
      <c r="E40" s="44"/>
      <c r="F40" s="44"/>
      <c r="G40" s="44">
        <v>10000</v>
      </c>
      <c r="H40" s="44">
        <v>12000</v>
      </c>
      <c r="I40" s="44">
        <v>0</v>
      </c>
      <c r="J40" s="44"/>
      <c r="K40" s="44"/>
      <c r="L40" s="44"/>
      <c r="M40" s="44"/>
      <c r="N40" s="44"/>
      <c r="O40" s="44">
        <v>12000</v>
      </c>
      <c r="P40" s="44">
        <v>10886</v>
      </c>
      <c r="Q40" s="44"/>
      <c r="R40" s="44"/>
      <c r="S40" s="44"/>
      <c r="T40" s="44"/>
      <c r="U40" s="44"/>
      <c r="V40" s="44"/>
      <c r="W40" s="44">
        <v>0</v>
      </c>
      <c r="X40" s="44"/>
      <c r="Y40" s="44"/>
      <c r="Z40" s="44"/>
      <c r="AA40" s="44"/>
      <c r="AB40" s="44">
        <f t="shared" si="9"/>
        <v>44886</v>
      </c>
    </row>
    <row r="41" spans="1:29" ht="15" thickTop="1" x14ac:dyDescent="0.3">
      <c r="B41" s="41"/>
      <c r="C41"/>
      <c r="D41" s="42">
        <f>SUM(D38:D40)</f>
        <v>0</v>
      </c>
      <c r="E41" s="42">
        <f t="shared" ref="E41:AA41" si="10">SUM(E38:E40)</f>
        <v>0</v>
      </c>
      <c r="F41" s="42">
        <f>SUM(F38:F40)</f>
        <v>980.36400000000003</v>
      </c>
      <c r="G41" s="42">
        <f>SUM(G38:G40)</f>
        <v>48444.008000000002</v>
      </c>
      <c r="H41" s="42">
        <f t="shared" si="10"/>
        <v>125134.97599999998</v>
      </c>
      <c r="I41" s="42">
        <f t="shared" si="10"/>
        <v>146697.22499999992</v>
      </c>
      <c r="J41" s="42">
        <f t="shared" si="10"/>
        <v>187025.94200000001</v>
      </c>
      <c r="K41" s="42">
        <f t="shared" si="10"/>
        <v>186436.12499999991</v>
      </c>
      <c r="L41" s="42">
        <f t="shared" si="10"/>
        <v>97441.060000000027</v>
      </c>
      <c r="M41" s="42">
        <f t="shared" si="10"/>
        <v>30394.49</v>
      </c>
      <c r="N41" s="42">
        <f t="shared" si="10"/>
        <v>12011.9</v>
      </c>
      <c r="O41" s="42">
        <f t="shared" si="10"/>
        <v>47097.4</v>
      </c>
      <c r="P41" s="42">
        <f t="shared" si="10"/>
        <v>46010.400000000001</v>
      </c>
      <c r="Q41" s="42">
        <f t="shared" si="10"/>
        <v>3121.8</v>
      </c>
      <c r="R41" s="42">
        <f t="shared" si="10"/>
        <v>26112.82</v>
      </c>
      <c r="S41" s="42">
        <f t="shared" si="10"/>
        <v>84122.14</v>
      </c>
      <c r="T41" s="42">
        <f t="shared" si="10"/>
        <v>68041.919999999998</v>
      </c>
      <c r="U41" s="42">
        <f t="shared" si="10"/>
        <v>48026.84</v>
      </c>
      <c r="V41" s="42">
        <f t="shared" si="10"/>
        <v>36000</v>
      </c>
      <c r="W41" s="42">
        <f t="shared" si="10"/>
        <v>48000</v>
      </c>
      <c r="X41" s="42">
        <f t="shared" si="10"/>
        <v>37000</v>
      </c>
      <c r="Y41" s="42">
        <f t="shared" si="10"/>
        <v>0</v>
      </c>
      <c r="Z41" s="42">
        <f t="shared" si="10"/>
        <v>0</v>
      </c>
      <c r="AA41" s="42">
        <f t="shared" si="10"/>
        <v>0</v>
      </c>
      <c r="AB41" s="33">
        <f>SUM(D41:AA41)</f>
        <v>1278099.4099999999</v>
      </c>
      <c r="AC41" s="56">
        <f>+AB38+AB40</f>
        <v>1278099.4099999999</v>
      </c>
    </row>
    <row r="42" spans="1:29" ht="15.6" x14ac:dyDescent="0.3">
      <c r="A42" s="52"/>
      <c r="B42" s="41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1:29" ht="15.6" x14ac:dyDescent="0.3">
      <c r="A43" s="52"/>
      <c r="B43" s="41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1:29" x14ac:dyDescent="0.3">
      <c r="A44" t="s">
        <v>292</v>
      </c>
      <c r="D44" s="24" t="s">
        <v>248</v>
      </c>
      <c r="E44" s="24" t="s">
        <v>249</v>
      </c>
      <c r="F44" s="24" t="s">
        <v>250</v>
      </c>
      <c r="G44" s="24" t="s">
        <v>251</v>
      </c>
      <c r="H44" s="24" t="s">
        <v>252</v>
      </c>
      <c r="I44" s="24" t="s">
        <v>253</v>
      </c>
      <c r="J44" s="24" t="s">
        <v>254</v>
      </c>
      <c r="K44" s="24" t="s">
        <v>255</v>
      </c>
      <c r="L44" s="24" t="s">
        <v>256</v>
      </c>
      <c r="M44" s="24" t="s">
        <v>257</v>
      </c>
      <c r="N44" s="24" t="s">
        <v>258</v>
      </c>
      <c r="O44" s="24" t="s">
        <v>259</v>
      </c>
      <c r="P44" s="24" t="s">
        <v>260</v>
      </c>
      <c r="Q44" s="24" t="s">
        <v>261</v>
      </c>
      <c r="R44" s="24" t="s">
        <v>262</v>
      </c>
      <c r="S44" s="24" t="s">
        <v>263</v>
      </c>
      <c r="T44" s="24" t="s">
        <v>264</v>
      </c>
      <c r="U44" s="24" t="s">
        <v>265</v>
      </c>
      <c r="V44" s="24" t="s">
        <v>266</v>
      </c>
      <c r="W44" s="24" t="s">
        <v>267</v>
      </c>
      <c r="X44" s="24" t="s">
        <v>268</v>
      </c>
      <c r="Y44" s="24" t="s">
        <v>269</v>
      </c>
      <c r="Z44" s="24" t="s">
        <v>270</v>
      </c>
      <c r="AA44" s="24" t="s">
        <v>271</v>
      </c>
    </row>
    <row r="45" spans="1:29" ht="15" thickBot="1" x14ac:dyDescent="0.35">
      <c r="A45" s="43" t="s">
        <v>282</v>
      </c>
      <c r="B45" s="39" t="s">
        <v>274</v>
      </c>
      <c r="C45" s="40" t="s">
        <v>283</v>
      </c>
      <c r="D45" s="40">
        <v>47</v>
      </c>
      <c r="E45" s="40">
        <v>48</v>
      </c>
      <c r="F45" s="40">
        <v>49</v>
      </c>
      <c r="G45" s="57">
        <v>50</v>
      </c>
      <c r="H45" s="57">
        <v>51</v>
      </c>
      <c r="I45" s="57">
        <v>52</v>
      </c>
      <c r="J45" s="57">
        <v>1</v>
      </c>
      <c r="K45" s="40">
        <v>2</v>
      </c>
      <c r="L45" s="40">
        <v>3</v>
      </c>
      <c r="M45" s="40">
        <v>4</v>
      </c>
      <c r="N45" s="40">
        <v>5</v>
      </c>
      <c r="O45" s="40">
        <v>6</v>
      </c>
      <c r="P45" s="40">
        <v>7</v>
      </c>
      <c r="Q45" s="40">
        <v>8</v>
      </c>
      <c r="R45" s="40">
        <v>9</v>
      </c>
      <c r="S45" s="40">
        <v>10</v>
      </c>
      <c r="T45" s="40">
        <v>11</v>
      </c>
      <c r="U45" s="40">
        <v>12</v>
      </c>
      <c r="V45" s="40">
        <v>13</v>
      </c>
      <c r="W45" s="57">
        <v>14</v>
      </c>
      <c r="X45" s="57">
        <v>15</v>
      </c>
      <c r="Y45" s="57">
        <v>16</v>
      </c>
      <c r="Z45" s="57">
        <v>17</v>
      </c>
      <c r="AA45" s="57">
        <v>18</v>
      </c>
    </row>
    <row r="46" spans="1:29" ht="15" thickTop="1" x14ac:dyDescent="0.3">
      <c r="A46" t="s">
        <v>288</v>
      </c>
      <c r="B46" t="s">
        <v>293</v>
      </c>
      <c r="C46" s="24">
        <v>1</v>
      </c>
      <c r="D46" s="42">
        <f>48000+23040+23040</f>
        <v>94080</v>
      </c>
      <c r="E46" s="42">
        <f>48000+23040+23040</f>
        <v>94080</v>
      </c>
      <c r="F46" s="42">
        <f>48000+23040+23040</f>
        <v>94080</v>
      </c>
      <c r="G46" s="42">
        <f>36000+23040+23040</f>
        <v>82080</v>
      </c>
      <c r="H46" s="42">
        <f>48000+23040+23040</f>
        <v>94080</v>
      </c>
      <c r="I46" s="42">
        <f>30000+23040+23040</f>
        <v>76080</v>
      </c>
      <c r="J46" s="42">
        <f>30000+23040+23040</f>
        <v>76080</v>
      </c>
      <c r="K46" s="42">
        <f t="shared" ref="K46:V46" si="11">48000+23040+23040</f>
        <v>94080</v>
      </c>
      <c r="L46" s="42">
        <f t="shared" si="11"/>
        <v>94080</v>
      </c>
      <c r="M46" s="42">
        <f t="shared" si="11"/>
        <v>94080</v>
      </c>
      <c r="N46" s="42">
        <f t="shared" si="11"/>
        <v>94080</v>
      </c>
      <c r="O46" s="42">
        <f t="shared" si="11"/>
        <v>94080</v>
      </c>
      <c r="P46" s="42">
        <f t="shared" si="11"/>
        <v>94080</v>
      </c>
      <c r="Q46" s="42">
        <f t="shared" si="11"/>
        <v>94080</v>
      </c>
      <c r="R46" s="42">
        <f t="shared" si="11"/>
        <v>94080</v>
      </c>
      <c r="S46" s="42">
        <f t="shared" si="11"/>
        <v>94080</v>
      </c>
      <c r="T46" s="42">
        <f t="shared" si="11"/>
        <v>94080</v>
      </c>
      <c r="U46" s="42">
        <f t="shared" si="11"/>
        <v>94080</v>
      </c>
      <c r="V46" s="42">
        <f t="shared" si="11"/>
        <v>94080</v>
      </c>
      <c r="W46" s="42">
        <f>36000</f>
        <v>36000</v>
      </c>
      <c r="X46" s="42">
        <f>48000+23040+23040</f>
        <v>94080</v>
      </c>
      <c r="Y46" s="42">
        <f>48000+23040+23040</f>
        <v>94080</v>
      </c>
      <c r="Z46" s="42">
        <f>48000+23040+23040</f>
        <v>94080</v>
      </c>
      <c r="AA46" s="42">
        <f>36000+23040+23040</f>
        <v>82080</v>
      </c>
    </row>
    <row r="48" spans="1:29" ht="15" thickBot="1" x14ac:dyDescent="0.35">
      <c r="A48" s="43" t="s">
        <v>294</v>
      </c>
      <c r="B48" s="43"/>
      <c r="C48" s="40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 spans="1:28" ht="15" thickTop="1" x14ac:dyDescent="0.3">
      <c r="B49" s="41"/>
      <c r="D49" s="42">
        <f>+D46-D41</f>
        <v>94080</v>
      </c>
      <c r="E49" s="42">
        <f t="shared" ref="E49:AA49" si="12">+E46-E41</f>
        <v>94080</v>
      </c>
      <c r="F49" s="42">
        <f t="shared" si="12"/>
        <v>93099.635999999999</v>
      </c>
      <c r="G49" s="42">
        <f t="shared" si="12"/>
        <v>33635.991999999998</v>
      </c>
      <c r="H49" s="42">
        <f t="shared" si="12"/>
        <v>-31054.975999999981</v>
      </c>
      <c r="I49" s="42">
        <f t="shared" si="12"/>
        <v>-70617.224999999919</v>
      </c>
      <c r="J49" s="42">
        <f t="shared" si="12"/>
        <v>-110945.94200000001</v>
      </c>
      <c r="K49" s="42">
        <f t="shared" si="12"/>
        <v>-92356.124999999913</v>
      </c>
      <c r="L49" s="42">
        <f t="shared" si="12"/>
        <v>-3361.0600000000268</v>
      </c>
      <c r="M49" s="42">
        <f t="shared" si="12"/>
        <v>63685.509999999995</v>
      </c>
      <c r="N49" s="42">
        <f t="shared" si="12"/>
        <v>82068.100000000006</v>
      </c>
      <c r="O49" s="42">
        <f t="shared" si="12"/>
        <v>46982.6</v>
      </c>
      <c r="P49" s="42">
        <f t="shared" si="12"/>
        <v>48069.599999999999</v>
      </c>
      <c r="Q49" s="42">
        <f t="shared" si="12"/>
        <v>90958.2</v>
      </c>
      <c r="R49" s="42">
        <f t="shared" si="12"/>
        <v>67967.179999999993</v>
      </c>
      <c r="S49" s="42">
        <f t="shared" si="12"/>
        <v>9957.86</v>
      </c>
      <c r="T49" s="42">
        <f t="shared" si="12"/>
        <v>26038.080000000002</v>
      </c>
      <c r="U49" s="42">
        <f t="shared" si="12"/>
        <v>46053.16</v>
      </c>
      <c r="V49" s="42">
        <f t="shared" si="12"/>
        <v>58080</v>
      </c>
      <c r="W49" s="42">
        <f t="shared" si="12"/>
        <v>-12000</v>
      </c>
      <c r="X49" s="42">
        <f t="shared" si="12"/>
        <v>57080</v>
      </c>
      <c r="Y49" s="42">
        <f t="shared" si="12"/>
        <v>94080</v>
      </c>
      <c r="Z49" s="42">
        <f t="shared" si="12"/>
        <v>94080</v>
      </c>
      <c r="AA49" s="42">
        <f t="shared" si="12"/>
        <v>82080</v>
      </c>
      <c r="AB49" s="55">
        <f>+H49+I49+J49+K49+L49+W49</f>
        <v>-320335.32799999986</v>
      </c>
    </row>
    <row r="50" spans="1:28" ht="15" thickBot="1" x14ac:dyDescent="0.35">
      <c r="A50" s="43"/>
      <c r="B50" s="39"/>
      <c r="C50" s="40"/>
      <c r="D50" s="44"/>
      <c r="E50" s="44"/>
      <c r="F50" s="44"/>
      <c r="G50" s="44"/>
      <c r="H50" s="44"/>
      <c r="I50" s="44"/>
      <c r="J50" s="44"/>
      <c r="K50" s="44"/>
      <c r="L50" s="51"/>
      <c r="M50" s="51"/>
      <c r="N50" s="51"/>
      <c r="O50" s="51"/>
      <c r="P50" s="44"/>
      <c r="Q50" s="44"/>
      <c r="R50" s="44"/>
      <c r="S50" s="44"/>
      <c r="T50" s="51"/>
      <c r="U50" s="51"/>
      <c r="V50" s="51"/>
      <c r="W50" s="51"/>
      <c r="X50" s="51"/>
      <c r="Y50" s="51"/>
      <c r="Z50" s="51"/>
      <c r="AA50" s="51"/>
      <c r="AB50" s="58"/>
    </row>
    <row r="51" spans="1:28" ht="15" thickTop="1" x14ac:dyDescent="0.3">
      <c r="A51" t="s">
        <v>295</v>
      </c>
      <c r="B51" s="41"/>
      <c r="D51" s="42">
        <f>+D49+D21</f>
        <v>318355</v>
      </c>
      <c r="E51" s="42">
        <f t="shared" ref="E51:AA51" si="13">+E49+E21</f>
        <v>282212.25</v>
      </c>
      <c r="F51" s="42">
        <f t="shared" si="13"/>
        <v>248407.136</v>
      </c>
      <c r="G51" s="42">
        <f t="shared" si="13"/>
        <v>129582.4045</v>
      </c>
      <c r="H51" s="42">
        <f t="shared" si="13"/>
        <v>102446.38800000002</v>
      </c>
      <c r="I51" s="42">
        <f t="shared" si="13"/>
        <v>-67973.954999999929</v>
      </c>
      <c r="J51" s="42">
        <f t="shared" si="13"/>
        <v>-117265.652</v>
      </c>
      <c r="K51" s="42">
        <f t="shared" si="13"/>
        <v>-177440.35500000001</v>
      </c>
      <c r="L51" s="42">
        <f t="shared" si="13"/>
        <v>31653.81999999992</v>
      </c>
      <c r="M51" s="42">
        <f t="shared" si="13"/>
        <v>-5254.9699999999866</v>
      </c>
      <c r="N51" s="42">
        <f t="shared" si="13"/>
        <v>-21815.390000000101</v>
      </c>
      <c r="O51" s="42">
        <f t="shared" si="13"/>
        <v>16363.900000000016</v>
      </c>
      <c r="P51" s="42">
        <f t="shared" si="13"/>
        <v>72758.720000000001</v>
      </c>
      <c r="Q51" s="42">
        <f t="shared" si="13"/>
        <v>170216.83000000002</v>
      </c>
      <c r="R51" s="42">
        <f t="shared" si="13"/>
        <v>173352.08000000002</v>
      </c>
      <c r="S51" s="42">
        <f t="shared" si="13"/>
        <v>109060.37999999999</v>
      </c>
      <c r="T51" s="42">
        <f t="shared" si="13"/>
        <v>90019.430000000008</v>
      </c>
      <c r="U51" s="42">
        <f t="shared" si="13"/>
        <v>125781.92000000001</v>
      </c>
      <c r="V51" s="42">
        <f t="shared" si="13"/>
        <v>223937.09</v>
      </c>
      <c r="W51" s="42">
        <f t="shared" si="13"/>
        <v>103000</v>
      </c>
      <c r="X51" s="42">
        <f t="shared" si="13"/>
        <v>230880</v>
      </c>
      <c r="Y51" s="42">
        <f t="shared" si="13"/>
        <v>277880</v>
      </c>
      <c r="Z51" s="42">
        <f t="shared" si="13"/>
        <v>292880</v>
      </c>
      <c r="AA51" s="42">
        <f t="shared" si="13"/>
        <v>264080</v>
      </c>
      <c r="AB51" s="55">
        <f>+I51+J51+K51+M51+N51</f>
        <v>-389750.32200000004</v>
      </c>
    </row>
    <row r="52" spans="1:28" x14ac:dyDescent="0.3">
      <c r="B52" s="41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spans="1:28" x14ac:dyDescent="0.3">
      <c r="B53" s="41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spans="1:28" x14ac:dyDescent="0.3">
      <c r="B54" s="41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spans="1:28" ht="21" x14ac:dyDescent="0.4">
      <c r="A55" s="53" t="s">
        <v>296</v>
      </c>
      <c r="B55" s="41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spans="1:28" ht="15.6" x14ac:dyDescent="0.3">
      <c r="A56" s="52" t="s">
        <v>272</v>
      </c>
      <c r="B56" s="41"/>
      <c r="D56" s="42" t="s">
        <v>248</v>
      </c>
      <c r="E56" s="42" t="s">
        <v>249</v>
      </c>
      <c r="F56" s="42" t="s">
        <v>250</v>
      </c>
      <c r="G56" s="42" t="s">
        <v>251</v>
      </c>
      <c r="H56" s="42" t="s">
        <v>252</v>
      </c>
      <c r="I56" s="42" t="s">
        <v>253</v>
      </c>
      <c r="J56" s="42" t="s">
        <v>254</v>
      </c>
      <c r="K56" s="42" t="s">
        <v>255</v>
      </c>
      <c r="L56" s="42" t="s">
        <v>256</v>
      </c>
      <c r="M56" s="42" t="s">
        <v>257</v>
      </c>
      <c r="N56" s="42" t="s">
        <v>258</v>
      </c>
      <c r="O56" s="42" t="s">
        <v>259</v>
      </c>
      <c r="P56" s="42" t="s">
        <v>260</v>
      </c>
      <c r="Q56" s="42" t="s">
        <v>261</v>
      </c>
      <c r="R56" s="42" t="s">
        <v>262</v>
      </c>
      <c r="S56" s="42" t="s">
        <v>263</v>
      </c>
      <c r="T56" s="42" t="s">
        <v>264</v>
      </c>
      <c r="U56" s="42" t="s">
        <v>265</v>
      </c>
      <c r="V56" s="42" t="s">
        <v>266</v>
      </c>
      <c r="W56" s="42" t="s">
        <v>267</v>
      </c>
      <c r="X56" s="42" t="s">
        <v>268</v>
      </c>
      <c r="Y56" s="42" t="s">
        <v>269</v>
      </c>
      <c r="Z56" s="42" t="s">
        <v>270</v>
      </c>
      <c r="AA56" s="42" t="s">
        <v>271</v>
      </c>
    </row>
    <row r="57" spans="1:28" ht="16.2" thickBot="1" x14ac:dyDescent="0.35">
      <c r="A57" s="54" t="s">
        <v>247</v>
      </c>
      <c r="B57" s="39" t="s">
        <v>273</v>
      </c>
      <c r="C57" s="40" t="s">
        <v>274</v>
      </c>
      <c r="D57" s="40">
        <v>47</v>
      </c>
      <c r="E57" s="40">
        <v>48</v>
      </c>
      <c r="F57" s="40">
        <v>49</v>
      </c>
      <c r="G57" s="40">
        <v>50</v>
      </c>
      <c r="H57" s="40">
        <v>51</v>
      </c>
      <c r="I57" s="40">
        <v>52</v>
      </c>
      <c r="J57" s="40">
        <v>1</v>
      </c>
      <c r="K57" s="40">
        <v>2</v>
      </c>
      <c r="L57" s="40">
        <v>3</v>
      </c>
      <c r="M57" s="40">
        <v>4</v>
      </c>
      <c r="N57" s="40">
        <v>5</v>
      </c>
      <c r="O57" s="40">
        <v>6</v>
      </c>
      <c r="P57" s="40">
        <v>7</v>
      </c>
      <c r="Q57" s="40">
        <v>8</v>
      </c>
      <c r="R57" s="40">
        <v>9</v>
      </c>
      <c r="S57" s="40">
        <v>10</v>
      </c>
      <c r="T57" s="40">
        <v>11</v>
      </c>
      <c r="U57" s="40">
        <v>12</v>
      </c>
      <c r="V57" s="40">
        <v>13</v>
      </c>
      <c r="W57" s="40">
        <v>14</v>
      </c>
      <c r="X57" s="40">
        <v>15</v>
      </c>
      <c r="Y57" s="40">
        <v>16</v>
      </c>
      <c r="Z57" s="40">
        <v>17</v>
      </c>
      <c r="AA57" s="40">
        <v>18</v>
      </c>
    </row>
    <row r="58" spans="1:28" ht="15" thickTop="1" x14ac:dyDescent="0.3">
      <c r="A58" t="s">
        <v>288</v>
      </c>
      <c r="B58" s="41" t="s">
        <v>297</v>
      </c>
      <c r="C58" s="24" t="s">
        <v>289</v>
      </c>
      <c r="D58" s="42">
        <v>0</v>
      </c>
      <c r="E58" s="42">
        <v>0</v>
      </c>
      <c r="F58" s="42">
        <v>2500</v>
      </c>
      <c r="G58" s="42">
        <v>8740.8599999999969</v>
      </c>
      <c r="H58" s="42">
        <v>42959.596666666694</v>
      </c>
      <c r="I58" s="42">
        <v>111443.47999999995</v>
      </c>
      <c r="J58" s="42">
        <v>86349.059999999779</v>
      </c>
      <c r="K58" s="42">
        <v>72932.22999999988</v>
      </c>
      <c r="L58" s="42">
        <v>44077.365000000005</v>
      </c>
      <c r="M58" s="42">
        <v>17486.914000000001</v>
      </c>
      <c r="N58" s="42">
        <v>17548.86</v>
      </c>
      <c r="O58" s="42">
        <v>46998.77</v>
      </c>
      <c r="P58" s="42">
        <v>36432.18</v>
      </c>
      <c r="Q58" s="42">
        <v>36000</v>
      </c>
      <c r="R58" s="42">
        <v>36000</v>
      </c>
      <c r="S58" s="42">
        <v>64000</v>
      </c>
      <c r="T58" s="42">
        <v>65000</v>
      </c>
      <c r="U58" s="42">
        <v>63000</v>
      </c>
      <c r="V58" s="42">
        <v>27000</v>
      </c>
      <c r="W58" s="42">
        <v>0</v>
      </c>
      <c r="X58" s="42">
        <v>0</v>
      </c>
      <c r="Y58" s="42">
        <v>0</v>
      </c>
      <c r="Z58" s="42">
        <v>0</v>
      </c>
      <c r="AA58" s="42"/>
    </row>
    <row r="59" spans="1:28" x14ac:dyDescent="0.3">
      <c r="A59" t="s">
        <v>288</v>
      </c>
      <c r="B59" s="41" t="s">
        <v>297</v>
      </c>
      <c r="C59" s="24" t="s">
        <v>300</v>
      </c>
      <c r="D59" s="42">
        <v>0</v>
      </c>
      <c r="E59" s="42">
        <v>0</v>
      </c>
      <c r="F59" s="42">
        <v>14746.347029702967</v>
      </c>
      <c r="G59" s="42">
        <v>27202.449999999993</v>
      </c>
      <c r="H59" s="42">
        <v>33012.479999999996</v>
      </c>
      <c r="I59" s="42">
        <v>59472.68</v>
      </c>
      <c r="J59" s="42">
        <v>36373.260000000009</v>
      </c>
      <c r="K59" s="42">
        <v>60640.850000000013</v>
      </c>
      <c r="L59" s="42">
        <v>57831.289999999994</v>
      </c>
      <c r="M59" s="42">
        <v>96477.600999999995</v>
      </c>
      <c r="N59" s="42">
        <v>22991.489999999998</v>
      </c>
      <c r="O59" s="42">
        <v>11643.288</v>
      </c>
      <c r="P59" s="42">
        <v>12192.4</v>
      </c>
      <c r="Q59" s="42">
        <v>711.6</v>
      </c>
      <c r="R59" s="42">
        <v>24000</v>
      </c>
      <c r="S59" s="42">
        <v>31916</v>
      </c>
      <c r="T59" s="42">
        <v>8500</v>
      </c>
      <c r="U59" s="42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/>
    </row>
    <row r="60" spans="1:28" ht="15" thickBot="1" x14ac:dyDescent="0.35">
      <c r="A60" s="43" t="s">
        <v>288</v>
      </c>
      <c r="B60" s="39" t="s">
        <v>297</v>
      </c>
      <c r="C60" s="40" t="s">
        <v>290</v>
      </c>
      <c r="D60" s="44">
        <v>0</v>
      </c>
      <c r="E60" s="44">
        <v>0</v>
      </c>
      <c r="F60" s="44">
        <v>4000</v>
      </c>
      <c r="G60" s="44">
        <v>12000</v>
      </c>
      <c r="H60" s="44">
        <v>12000</v>
      </c>
      <c r="I60" s="44">
        <v>12000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12000</v>
      </c>
      <c r="T60" s="44">
        <v>12000</v>
      </c>
      <c r="U60" s="44">
        <v>12000</v>
      </c>
      <c r="V60" s="44">
        <v>9500</v>
      </c>
      <c r="W60" s="44">
        <v>0</v>
      </c>
      <c r="X60" s="44">
        <v>0</v>
      </c>
      <c r="Y60" s="44">
        <v>0</v>
      </c>
      <c r="Z60" s="44">
        <v>0</v>
      </c>
      <c r="AA60" s="44"/>
    </row>
    <row r="61" spans="1:28" ht="15" thickTop="1" x14ac:dyDescent="0.3">
      <c r="B61" s="41"/>
      <c r="D61" s="42">
        <f>SUM(D58:D60)</f>
        <v>0</v>
      </c>
      <c r="E61" s="42">
        <f t="shared" ref="E61:AA61" si="14">SUM(E58:E60)</f>
        <v>0</v>
      </c>
      <c r="F61" s="42">
        <f t="shared" si="14"/>
        <v>21246.347029702967</v>
      </c>
      <c r="G61" s="42">
        <f t="shared" si="14"/>
        <v>47943.30999999999</v>
      </c>
      <c r="H61" s="42">
        <f t="shared" si="14"/>
        <v>87972.07666666669</v>
      </c>
      <c r="I61" s="42">
        <f t="shared" si="14"/>
        <v>182916.15999999995</v>
      </c>
      <c r="J61" s="42">
        <f t="shared" si="14"/>
        <v>122722.31999999979</v>
      </c>
      <c r="K61" s="42">
        <f t="shared" si="14"/>
        <v>133573.0799999999</v>
      </c>
      <c r="L61" s="42">
        <f t="shared" si="14"/>
        <v>101908.655</v>
      </c>
      <c r="M61" s="42">
        <f t="shared" si="14"/>
        <v>113964.515</v>
      </c>
      <c r="N61" s="42">
        <f t="shared" si="14"/>
        <v>40540.35</v>
      </c>
      <c r="O61" s="42">
        <f t="shared" si="14"/>
        <v>58642.057999999997</v>
      </c>
      <c r="P61" s="42">
        <f t="shared" si="14"/>
        <v>48624.58</v>
      </c>
      <c r="Q61" s="42">
        <f t="shared" si="14"/>
        <v>36711.599999999999</v>
      </c>
      <c r="R61" s="42">
        <f t="shared" si="14"/>
        <v>60000</v>
      </c>
      <c r="S61" s="42">
        <f t="shared" si="14"/>
        <v>107916</v>
      </c>
      <c r="T61" s="42">
        <f>SUM(T58:T60)</f>
        <v>85500</v>
      </c>
      <c r="U61" s="42">
        <f t="shared" si="14"/>
        <v>75000</v>
      </c>
      <c r="V61" s="42">
        <f>SUM(V58:V60)</f>
        <v>36500</v>
      </c>
      <c r="W61" s="42">
        <f t="shared" si="14"/>
        <v>0</v>
      </c>
      <c r="X61" s="42">
        <f t="shared" si="14"/>
        <v>0</v>
      </c>
      <c r="Y61" s="42">
        <f t="shared" si="14"/>
        <v>0</v>
      </c>
      <c r="Z61" s="42">
        <f t="shared" si="14"/>
        <v>0</v>
      </c>
      <c r="AA61" s="42">
        <f t="shared" si="14"/>
        <v>0</v>
      </c>
      <c r="AB61" s="33">
        <f>SUM(D61:AA61)</f>
        <v>1361681.0516963692</v>
      </c>
    </row>
    <row r="62" spans="1:28" x14ac:dyDescent="0.3">
      <c r="B62" s="41"/>
    </row>
    <row r="63" spans="1:28" x14ac:dyDescent="0.3">
      <c r="A63" t="s">
        <v>292</v>
      </c>
    </row>
    <row r="64" spans="1:28" ht="15" thickBot="1" x14ac:dyDescent="0.35">
      <c r="A64" s="43" t="s">
        <v>282</v>
      </c>
      <c r="B64" s="39" t="s">
        <v>274</v>
      </c>
      <c r="C64" s="40" t="s">
        <v>283</v>
      </c>
      <c r="D64" s="40">
        <v>47</v>
      </c>
      <c r="E64" s="40">
        <v>48</v>
      </c>
      <c r="F64" s="40">
        <v>49</v>
      </c>
      <c r="G64" s="57">
        <v>50</v>
      </c>
      <c r="H64" s="57">
        <v>51</v>
      </c>
      <c r="I64" s="57">
        <v>52</v>
      </c>
      <c r="J64" s="57">
        <v>1</v>
      </c>
      <c r="K64" s="57">
        <v>2</v>
      </c>
      <c r="L64" s="57">
        <v>3</v>
      </c>
      <c r="M64" s="57">
        <v>4</v>
      </c>
      <c r="N64" s="57">
        <v>5</v>
      </c>
      <c r="O64" s="57">
        <v>6</v>
      </c>
      <c r="P64" s="57">
        <v>7</v>
      </c>
      <c r="Q64" s="57">
        <v>8</v>
      </c>
      <c r="R64" s="57">
        <v>9</v>
      </c>
      <c r="S64" s="57">
        <v>10</v>
      </c>
      <c r="T64" s="57">
        <v>11</v>
      </c>
      <c r="U64" s="57">
        <v>12</v>
      </c>
      <c r="V64" s="57">
        <v>13</v>
      </c>
      <c r="W64" s="57">
        <v>14</v>
      </c>
      <c r="X64" s="57">
        <v>15</v>
      </c>
      <c r="Y64" s="57">
        <v>16</v>
      </c>
      <c r="Z64" s="57">
        <v>17</v>
      </c>
      <c r="AA64" s="57">
        <v>18</v>
      </c>
    </row>
    <row r="65" spans="1:28" ht="15" thickTop="1" x14ac:dyDescent="0.3">
      <c r="A65" t="s">
        <v>288</v>
      </c>
      <c r="B65" t="s">
        <v>293</v>
      </c>
      <c r="D65" s="42">
        <v>100800</v>
      </c>
      <c r="E65" s="42">
        <v>100800</v>
      </c>
      <c r="F65" s="42">
        <v>100800</v>
      </c>
      <c r="G65" s="42">
        <v>84000</v>
      </c>
      <c r="H65" s="42">
        <v>100800</v>
      </c>
      <c r="I65" s="42">
        <v>75600</v>
      </c>
      <c r="J65" s="42">
        <v>75600</v>
      </c>
      <c r="K65" s="42">
        <v>100800</v>
      </c>
      <c r="L65" s="42">
        <v>100800</v>
      </c>
      <c r="M65" s="42">
        <v>100800</v>
      </c>
      <c r="N65" s="42">
        <v>100800</v>
      </c>
      <c r="O65" s="42">
        <v>100800</v>
      </c>
      <c r="P65" s="42">
        <v>100800</v>
      </c>
      <c r="Q65" s="42">
        <v>100800</v>
      </c>
      <c r="R65" s="42">
        <v>100800</v>
      </c>
      <c r="S65" s="42">
        <v>100800</v>
      </c>
      <c r="T65" s="42">
        <v>100800</v>
      </c>
      <c r="U65" s="42">
        <v>100800</v>
      </c>
      <c r="V65" s="42">
        <v>100800</v>
      </c>
      <c r="W65" s="42">
        <v>50400</v>
      </c>
      <c r="X65" s="42">
        <v>100800</v>
      </c>
      <c r="Y65" s="42">
        <v>100800</v>
      </c>
      <c r="Z65" s="42">
        <v>100800</v>
      </c>
      <c r="AA65" s="42">
        <v>84000</v>
      </c>
    </row>
    <row r="66" spans="1:28" x14ac:dyDescent="0.3">
      <c r="T66" s="58"/>
      <c r="U66" s="58"/>
      <c r="V66" s="58"/>
      <c r="W66" s="58"/>
    </row>
    <row r="67" spans="1:28" x14ac:dyDescent="0.3">
      <c r="A67" t="s">
        <v>298</v>
      </c>
      <c r="D67" s="42">
        <f>D65-D61</f>
        <v>100800</v>
      </c>
      <c r="E67" s="42">
        <f t="shared" ref="E67:AA67" si="15">E65-E61</f>
        <v>100800</v>
      </c>
      <c r="F67" s="42">
        <f t="shared" si="15"/>
        <v>79553.652970297029</v>
      </c>
      <c r="G67" s="42">
        <f t="shared" si="15"/>
        <v>36056.69000000001</v>
      </c>
      <c r="H67" s="42">
        <f t="shared" si="15"/>
        <v>12827.92333333331</v>
      </c>
      <c r="I67" s="42">
        <f t="shared" si="15"/>
        <v>-107316.15999999995</v>
      </c>
      <c r="J67" s="42">
        <f t="shared" si="15"/>
        <v>-47122.319999999789</v>
      </c>
      <c r="K67" s="42">
        <f t="shared" si="15"/>
        <v>-32773.0799999999</v>
      </c>
      <c r="L67" s="42">
        <f t="shared" si="15"/>
        <v>-1108.6549999999988</v>
      </c>
      <c r="M67" s="42">
        <f t="shared" si="15"/>
        <v>-13164.514999999999</v>
      </c>
      <c r="N67" s="42">
        <f t="shared" si="15"/>
        <v>60259.65</v>
      </c>
      <c r="O67" s="42">
        <f t="shared" si="15"/>
        <v>42157.942000000003</v>
      </c>
      <c r="P67" s="42">
        <f t="shared" si="15"/>
        <v>52175.42</v>
      </c>
      <c r="Q67" s="42">
        <f t="shared" si="15"/>
        <v>64088.4</v>
      </c>
      <c r="R67" s="42">
        <f t="shared" si="15"/>
        <v>40800</v>
      </c>
      <c r="S67" s="42">
        <f t="shared" si="15"/>
        <v>-7116</v>
      </c>
      <c r="T67" s="42">
        <f t="shared" si="15"/>
        <v>15300</v>
      </c>
      <c r="U67" s="42">
        <f t="shared" si="15"/>
        <v>25800</v>
      </c>
      <c r="V67" s="42">
        <f t="shared" si="15"/>
        <v>64300</v>
      </c>
      <c r="W67" s="42">
        <f t="shared" si="15"/>
        <v>50400</v>
      </c>
      <c r="X67" s="42">
        <f t="shared" si="15"/>
        <v>100800</v>
      </c>
      <c r="Y67" s="42">
        <f t="shared" si="15"/>
        <v>100800</v>
      </c>
      <c r="Z67" s="42">
        <f t="shared" si="15"/>
        <v>100800</v>
      </c>
      <c r="AA67" s="42">
        <f t="shared" si="15"/>
        <v>84000</v>
      </c>
      <c r="AB67" s="55">
        <f>+I67+J67+K67+L67+M67+S67</f>
        <v>-208600.72999999963</v>
      </c>
    </row>
    <row r="68" spans="1:28" x14ac:dyDescent="0.3">
      <c r="K68" s="58"/>
      <c r="L68" s="58"/>
      <c r="M68" s="58"/>
      <c r="N68" s="58"/>
      <c r="T68" s="58"/>
      <c r="U68" s="58"/>
      <c r="V68" s="58"/>
      <c r="W68" s="58"/>
      <c r="AB68" s="58"/>
    </row>
    <row r="69" spans="1:28" x14ac:dyDescent="0.3">
      <c r="K69" s="58"/>
      <c r="L69" s="55"/>
      <c r="M69" s="58"/>
      <c r="N69" s="55"/>
      <c r="O69" s="42"/>
      <c r="P69" s="42"/>
      <c r="Q69" s="42"/>
      <c r="S69" s="42"/>
      <c r="T69" s="55"/>
      <c r="U69" s="58"/>
      <c r="V69" s="58"/>
      <c r="W69" s="58"/>
      <c r="AB69" s="55"/>
    </row>
    <row r="70" spans="1:28" ht="15" thickBot="1" x14ac:dyDescent="0.35">
      <c r="A70" s="43" t="s">
        <v>299</v>
      </c>
      <c r="B70" s="43"/>
      <c r="C70" s="40"/>
      <c r="D70" s="40"/>
      <c r="E70" s="40"/>
      <c r="F70" s="40"/>
      <c r="G70" s="40"/>
      <c r="H70" s="40"/>
      <c r="I70" s="40"/>
      <c r="J70" s="40"/>
      <c r="K70" s="57"/>
      <c r="L70" s="57"/>
      <c r="M70" s="57"/>
      <c r="N70" s="57"/>
      <c r="O70" s="40"/>
      <c r="P70" s="40"/>
      <c r="Q70" s="40"/>
      <c r="R70" s="40"/>
      <c r="S70" s="40"/>
      <c r="T70" s="57"/>
      <c r="U70" s="57"/>
      <c r="V70" s="57"/>
      <c r="W70" s="57"/>
      <c r="X70" s="40"/>
      <c r="Y70" s="40"/>
      <c r="Z70" s="40"/>
      <c r="AA70" s="40"/>
      <c r="AB70" s="58"/>
    </row>
    <row r="71" spans="1:28" ht="15" thickTop="1" x14ac:dyDescent="0.3">
      <c r="D71" s="42">
        <f>+D67+D51</f>
        <v>419155</v>
      </c>
      <c r="E71" s="42">
        <f t="shared" ref="E71:AA71" si="16">+E67+E51</f>
        <v>383012.25</v>
      </c>
      <c r="F71" s="42">
        <f t="shared" si="16"/>
        <v>327960.78897029703</v>
      </c>
      <c r="G71" s="42">
        <f t="shared" si="16"/>
        <v>165639.09450000001</v>
      </c>
      <c r="H71" s="42">
        <f t="shared" si="16"/>
        <v>115274.31133333333</v>
      </c>
      <c r="I71" s="42">
        <f t="shared" si="16"/>
        <v>-175290.11499999987</v>
      </c>
      <c r="J71" s="42">
        <f t="shared" si="16"/>
        <v>-164387.97199999978</v>
      </c>
      <c r="K71" s="42">
        <f t="shared" si="16"/>
        <v>-210213.43499999991</v>
      </c>
      <c r="L71" s="42">
        <f t="shared" si="16"/>
        <v>30545.164999999921</v>
      </c>
      <c r="M71" s="42">
        <f t="shared" si="16"/>
        <v>-18419.484999999986</v>
      </c>
      <c r="N71" s="42">
        <f t="shared" si="16"/>
        <v>38444.2599999999</v>
      </c>
      <c r="O71" s="42">
        <f t="shared" si="16"/>
        <v>58521.842000000019</v>
      </c>
      <c r="P71" s="42">
        <f t="shared" si="16"/>
        <v>124934.14</v>
      </c>
      <c r="Q71" s="42">
        <f t="shared" si="16"/>
        <v>234305.23</v>
      </c>
      <c r="R71" s="42">
        <f t="shared" si="16"/>
        <v>214152.08000000002</v>
      </c>
      <c r="S71" s="42">
        <f t="shared" si="16"/>
        <v>101944.37999999999</v>
      </c>
      <c r="T71" s="42">
        <f t="shared" si="16"/>
        <v>105319.43000000001</v>
      </c>
      <c r="U71" s="42">
        <f t="shared" si="16"/>
        <v>151581.92000000001</v>
      </c>
      <c r="V71" s="42">
        <f t="shared" si="16"/>
        <v>288237.08999999997</v>
      </c>
      <c r="W71" s="42">
        <f t="shared" si="16"/>
        <v>153400</v>
      </c>
      <c r="X71" s="42">
        <f t="shared" si="16"/>
        <v>331680</v>
      </c>
      <c r="Y71" s="42">
        <f t="shared" si="16"/>
        <v>378680</v>
      </c>
      <c r="Z71" s="42">
        <f t="shared" si="16"/>
        <v>393680</v>
      </c>
      <c r="AA71" s="42">
        <f t="shared" si="16"/>
        <v>348080</v>
      </c>
      <c r="AB71" s="55">
        <f>+I71+J71+K71+M71</f>
        <v>-568311.00699999952</v>
      </c>
    </row>
  </sheetData>
  <conditionalFormatting sqref="D21:AA21">
    <cfRule type="cellIs" dxfId="31" priority="6" operator="lessThan">
      <formula>0</formula>
    </cfRule>
  </conditionalFormatting>
  <conditionalFormatting sqref="D49:AA49">
    <cfRule type="cellIs" dxfId="30" priority="4" operator="lessThan">
      <formula>0</formula>
    </cfRule>
  </conditionalFormatting>
  <conditionalFormatting sqref="D51:AA51">
    <cfRule type="cellIs" dxfId="29" priority="3" operator="lessThan">
      <formula>0</formula>
    </cfRule>
  </conditionalFormatting>
  <conditionalFormatting sqref="D67:AA67">
    <cfRule type="cellIs" dxfId="28" priority="2" operator="lessThan">
      <formula>0</formula>
    </cfRule>
  </conditionalFormatting>
  <conditionalFormatting sqref="D71:AA71">
    <cfRule type="cellIs" dxfId="27" priority="1" operator="lessThan">
      <formula>0</formula>
    </cfRule>
  </conditionalFormatting>
  <conditionalFormatting sqref="AB21">
    <cfRule type="cellIs" priority="5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DAB2-5438-4A91-8331-BE80B5E909C6}">
  <dimension ref="A3:AC96"/>
  <sheetViews>
    <sheetView zoomScale="80" zoomScaleNormal="80" workbookViewId="0">
      <selection activeCell="D10" sqref="D10"/>
    </sheetView>
  </sheetViews>
  <sheetFormatPr baseColWidth="10" defaultRowHeight="14.4" x14ac:dyDescent="0.3"/>
  <cols>
    <col min="1" max="1" width="32.21875" customWidth="1"/>
    <col min="2" max="2" width="15.88671875" bestFit="1" customWidth="1"/>
    <col min="3" max="3" width="20.5546875" style="24" bestFit="1" customWidth="1"/>
    <col min="4" max="28" width="11.5546875" style="24"/>
  </cols>
  <sheetData>
    <row r="3" spans="1:29" x14ac:dyDescent="0.3">
      <c r="AB3" s="33">
        <f>+AB4+AB5</f>
        <v>5838804.0251963697</v>
      </c>
      <c r="AC3" t="s">
        <v>242</v>
      </c>
    </row>
    <row r="4" spans="1:29" ht="23.4" x14ac:dyDescent="0.45">
      <c r="A4" s="34" t="s">
        <v>243</v>
      </c>
      <c r="B4" s="35"/>
      <c r="C4" s="36"/>
      <c r="AB4" s="33">
        <f>+AB15+AB8</f>
        <v>4477122.9735000003</v>
      </c>
      <c r="AC4" t="s">
        <v>244</v>
      </c>
    </row>
    <row r="5" spans="1:29" ht="18" x14ac:dyDescent="0.35">
      <c r="A5" s="37" t="s">
        <v>245</v>
      </c>
      <c r="B5" s="35"/>
      <c r="C5" s="36"/>
      <c r="AB5" s="33">
        <f>AB22</f>
        <v>1361681.0516963692</v>
      </c>
      <c r="AC5" t="s">
        <v>246</v>
      </c>
    </row>
    <row r="6" spans="1:29" ht="18" x14ac:dyDescent="0.35">
      <c r="A6" s="37" t="s">
        <v>247</v>
      </c>
      <c r="D6" s="24" t="s">
        <v>248</v>
      </c>
      <c r="E6" s="24" t="s">
        <v>249</v>
      </c>
      <c r="F6" s="24" t="s">
        <v>250</v>
      </c>
      <c r="G6" s="24" t="s">
        <v>251</v>
      </c>
      <c r="H6" s="24" t="s">
        <v>252</v>
      </c>
      <c r="I6" s="24" t="s">
        <v>253</v>
      </c>
      <c r="J6" s="24" t="s">
        <v>254</v>
      </c>
      <c r="K6" s="24" t="s">
        <v>255</v>
      </c>
      <c r="L6" s="24" t="s">
        <v>256</v>
      </c>
      <c r="M6" s="24" t="s">
        <v>257</v>
      </c>
      <c r="N6" s="24" t="s">
        <v>258</v>
      </c>
      <c r="O6" s="24" t="s">
        <v>259</v>
      </c>
      <c r="P6" s="24" t="s">
        <v>260</v>
      </c>
      <c r="Q6" s="24" t="s">
        <v>261</v>
      </c>
      <c r="R6" s="24" t="s">
        <v>262</v>
      </c>
      <c r="S6" s="24" t="s">
        <v>263</v>
      </c>
      <c r="T6" s="24" t="s">
        <v>264</v>
      </c>
      <c r="U6" s="24" t="s">
        <v>265</v>
      </c>
      <c r="V6" s="24" t="s">
        <v>266</v>
      </c>
      <c r="W6" s="24" t="s">
        <v>267</v>
      </c>
      <c r="X6" s="24" t="s">
        <v>268</v>
      </c>
      <c r="Y6" s="24" t="s">
        <v>269</v>
      </c>
      <c r="Z6" s="24" t="s">
        <v>270</v>
      </c>
      <c r="AA6" s="24" t="s">
        <v>271</v>
      </c>
    </row>
    <row r="7" spans="1:29" ht="16.2" thickBot="1" x14ac:dyDescent="0.35">
      <c r="A7" s="38" t="s">
        <v>302</v>
      </c>
      <c r="B7" s="39" t="s">
        <v>273</v>
      </c>
      <c r="C7" s="40" t="s">
        <v>274</v>
      </c>
      <c r="D7" s="40">
        <v>47</v>
      </c>
      <c r="E7" s="40">
        <v>48</v>
      </c>
      <c r="F7" s="40">
        <v>49</v>
      </c>
      <c r="G7" s="40">
        <v>50</v>
      </c>
      <c r="H7" s="40">
        <v>51</v>
      </c>
      <c r="I7" s="40">
        <v>52</v>
      </c>
      <c r="J7" s="40">
        <v>1</v>
      </c>
      <c r="K7" s="40">
        <v>2</v>
      </c>
      <c r="L7" s="40">
        <v>3</v>
      </c>
      <c r="M7" s="40">
        <v>4</v>
      </c>
      <c r="N7" s="40">
        <v>5</v>
      </c>
      <c r="O7" s="40">
        <v>6</v>
      </c>
      <c r="P7" s="40">
        <v>7</v>
      </c>
      <c r="Q7" s="40">
        <v>8</v>
      </c>
      <c r="R7" s="40">
        <v>9</v>
      </c>
      <c r="S7" s="40">
        <v>10</v>
      </c>
      <c r="T7" s="40">
        <v>11</v>
      </c>
      <c r="U7" s="40">
        <v>12</v>
      </c>
      <c r="V7" s="40">
        <v>13</v>
      </c>
      <c r="W7" s="40">
        <v>14</v>
      </c>
      <c r="X7" s="40">
        <v>15</v>
      </c>
      <c r="Y7" s="40">
        <v>16</v>
      </c>
      <c r="Z7" s="40">
        <v>17</v>
      </c>
      <c r="AA7" s="40">
        <v>18</v>
      </c>
      <c r="AB7" s="40"/>
    </row>
    <row r="8" spans="1:29" ht="15" thickTop="1" x14ac:dyDescent="0.3">
      <c r="A8" s="35" t="s">
        <v>247</v>
      </c>
      <c r="B8" s="24" t="s">
        <v>304</v>
      </c>
      <c r="C8" s="24" t="s">
        <v>276</v>
      </c>
      <c r="D8" s="42">
        <v>4525</v>
      </c>
      <c r="E8" s="42">
        <v>40667.75</v>
      </c>
      <c r="F8" s="42">
        <v>73492.5</v>
      </c>
      <c r="G8" s="42">
        <v>86053.587499999994</v>
      </c>
      <c r="H8" s="42">
        <v>95298.635999999999</v>
      </c>
      <c r="I8" s="42">
        <v>155956.73000000001</v>
      </c>
      <c r="J8" s="42">
        <v>164919.71</v>
      </c>
      <c r="K8" s="42">
        <v>313884.2300000001</v>
      </c>
      <c r="L8" s="42">
        <v>193785.12000000005</v>
      </c>
      <c r="M8" s="42">
        <v>297740.48</v>
      </c>
      <c r="N8" s="42">
        <v>332683.49000000011</v>
      </c>
      <c r="O8" s="42">
        <v>259418.69999999998</v>
      </c>
      <c r="P8" s="42">
        <v>204110.88</v>
      </c>
      <c r="Q8" s="42">
        <v>149541.37</v>
      </c>
      <c r="R8" s="42">
        <v>123415.09999999998</v>
      </c>
      <c r="S8" s="42">
        <v>129697.48000000001</v>
      </c>
      <c r="T8" s="42">
        <v>164818.65</v>
      </c>
      <c r="U8" s="42">
        <v>149071.24</v>
      </c>
      <c r="V8" s="42">
        <v>62942.909999999996</v>
      </c>
      <c r="W8" s="42">
        <v>67000</v>
      </c>
      <c r="X8" s="42">
        <v>55000</v>
      </c>
      <c r="Y8" s="42">
        <v>45000</v>
      </c>
      <c r="Z8" s="42">
        <v>30000</v>
      </c>
      <c r="AA8" s="42"/>
      <c r="AB8" s="42">
        <f>SUM(D8:AA8)</f>
        <v>3199023.5635000002</v>
      </c>
    </row>
    <row r="9" spans="1:29" ht="15" thickBot="1" x14ac:dyDescent="0.35">
      <c r="A9" s="59" t="s">
        <v>301</v>
      </c>
      <c r="B9" s="40" t="s">
        <v>304</v>
      </c>
      <c r="C9" s="40" t="s">
        <v>276</v>
      </c>
      <c r="D9" s="44">
        <v>228800</v>
      </c>
      <c r="E9" s="44">
        <v>228800</v>
      </c>
      <c r="F9" s="44">
        <v>228800</v>
      </c>
      <c r="G9" s="44">
        <v>182000</v>
      </c>
      <c r="H9" s="44">
        <v>228800</v>
      </c>
      <c r="I9" s="44">
        <v>158600</v>
      </c>
      <c r="J9" s="44">
        <v>158600</v>
      </c>
      <c r="K9" s="44">
        <v>228800</v>
      </c>
      <c r="L9" s="44">
        <v>228800</v>
      </c>
      <c r="M9" s="44">
        <v>228800</v>
      </c>
      <c r="N9" s="44">
        <v>228800</v>
      </c>
      <c r="O9" s="44">
        <v>228800</v>
      </c>
      <c r="P9" s="44">
        <v>228800</v>
      </c>
      <c r="Q9" s="44">
        <v>228800</v>
      </c>
      <c r="R9" s="44">
        <v>228800</v>
      </c>
      <c r="S9" s="44">
        <v>228800</v>
      </c>
      <c r="T9" s="44">
        <v>228800</v>
      </c>
      <c r="U9" s="44">
        <v>228800</v>
      </c>
      <c r="V9" s="44">
        <v>228800</v>
      </c>
      <c r="W9" s="44">
        <v>182000</v>
      </c>
      <c r="X9" s="44">
        <v>228800</v>
      </c>
      <c r="Y9" s="44">
        <v>228800</v>
      </c>
      <c r="Z9" s="44">
        <v>228800</v>
      </c>
      <c r="AA9" s="44">
        <v>182000</v>
      </c>
      <c r="AB9" s="40"/>
    </row>
    <row r="10" spans="1:29" ht="15" thickTop="1" x14ac:dyDescent="0.3">
      <c r="B10" s="41"/>
      <c r="D10" s="42">
        <f>+D9-D8</f>
        <v>224275</v>
      </c>
      <c r="E10" s="42">
        <f t="shared" ref="E10:AA10" si="0">+E9-E8</f>
        <v>188132.25</v>
      </c>
      <c r="F10" s="42">
        <f t="shared" si="0"/>
        <v>155307.5</v>
      </c>
      <c r="G10" s="42">
        <f t="shared" si="0"/>
        <v>95946.412500000006</v>
      </c>
      <c r="H10" s="42">
        <f t="shared" si="0"/>
        <v>133501.364</v>
      </c>
      <c r="I10" s="42">
        <f t="shared" si="0"/>
        <v>2643.2699999999895</v>
      </c>
      <c r="J10" s="42">
        <f t="shared" si="0"/>
        <v>-6319.7099999999919</v>
      </c>
      <c r="K10" s="42">
        <f t="shared" si="0"/>
        <v>-85084.230000000098</v>
      </c>
      <c r="L10" s="42">
        <f t="shared" si="0"/>
        <v>35014.879999999946</v>
      </c>
      <c r="M10" s="42">
        <f t="shared" si="0"/>
        <v>-68940.479999999981</v>
      </c>
      <c r="N10" s="42">
        <f t="shared" si="0"/>
        <v>-103883.49000000011</v>
      </c>
      <c r="O10" s="42">
        <f t="shared" si="0"/>
        <v>-30618.699999999983</v>
      </c>
      <c r="P10" s="42">
        <f t="shared" si="0"/>
        <v>24689.119999999995</v>
      </c>
      <c r="Q10" s="42">
        <f t="shared" si="0"/>
        <v>79258.63</v>
      </c>
      <c r="R10" s="42">
        <f t="shared" si="0"/>
        <v>105384.90000000002</v>
      </c>
      <c r="S10" s="42">
        <f t="shared" si="0"/>
        <v>99102.51999999999</v>
      </c>
      <c r="T10" s="42">
        <f t="shared" si="0"/>
        <v>63981.350000000006</v>
      </c>
      <c r="U10" s="42">
        <f t="shared" si="0"/>
        <v>79728.760000000009</v>
      </c>
      <c r="V10" s="42">
        <f t="shared" si="0"/>
        <v>165857.09</v>
      </c>
      <c r="W10" s="42">
        <f t="shared" si="0"/>
        <v>115000</v>
      </c>
      <c r="X10" s="42">
        <f t="shared" si="0"/>
        <v>173800</v>
      </c>
      <c r="Y10" s="42">
        <f t="shared" si="0"/>
        <v>183800</v>
      </c>
      <c r="Z10" s="42">
        <f t="shared" si="0"/>
        <v>198800</v>
      </c>
      <c r="AA10" s="42">
        <f t="shared" si="0"/>
        <v>182000</v>
      </c>
      <c r="AB10" s="42">
        <f>+O10+N10+M10+K10+J10</f>
        <v>-294846.6100000001</v>
      </c>
    </row>
    <row r="11" spans="1:29" x14ac:dyDescent="0.3">
      <c r="B11" s="41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</row>
    <row r="12" spans="1:29" x14ac:dyDescent="0.3">
      <c r="B12" s="41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</row>
    <row r="13" spans="1:29" x14ac:dyDescent="0.3">
      <c r="B13" s="41"/>
    </row>
    <row r="14" spans="1:29" ht="16.2" thickBot="1" x14ac:dyDescent="0.35">
      <c r="A14" s="38" t="s">
        <v>303</v>
      </c>
      <c r="B14" s="39" t="s">
        <v>273</v>
      </c>
      <c r="C14" s="40" t="s">
        <v>274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</row>
    <row r="15" spans="1:29" ht="15" thickTop="1" x14ac:dyDescent="0.3">
      <c r="A15" s="35" t="s">
        <v>247</v>
      </c>
      <c r="B15" s="24" t="s">
        <v>224</v>
      </c>
      <c r="C15" s="24" t="s">
        <v>293</v>
      </c>
      <c r="D15" s="42">
        <v>0</v>
      </c>
      <c r="E15" s="42">
        <v>0</v>
      </c>
      <c r="F15" s="42">
        <v>980.36400000000003</v>
      </c>
      <c r="G15" s="42">
        <v>48444.008000000002</v>
      </c>
      <c r="H15" s="42">
        <v>125134.97599999998</v>
      </c>
      <c r="I15" s="42">
        <v>146697.22499999992</v>
      </c>
      <c r="J15" s="42">
        <v>187025.94200000001</v>
      </c>
      <c r="K15" s="42">
        <v>186436.12499999991</v>
      </c>
      <c r="L15" s="42">
        <v>97441.060000000027</v>
      </c>
      <c r="M15" s="42">
        <v>30394.49</v>
      </c>
      <c r="N15" s="42">
        <v>12011.9</v>
      </c>
      <c r="O15" s="42">
        <v>47097.4</v>
      </c>
      <c r="P15" s="42">
        <v>46010.400000000001</v>
      </c>
      <c r="Q15" s="42">
        <v>3121.8</v>
      </c>
      <c r="R15" s="42">
        <v>26112.82</v>
      </c>
      <c r="S15" s="42">
        <v>84122.14</v>
      </c>
      <c r="T15" s="42">
        <v>68041.919999999998</v>
      </c>
      <c r="U15" s="42">
        <v>48026.84</v>
      </c>
      <c r="V15" s="42">
        <v>36000</v>
      </c>
      <c r="W15" s="42">
        <v>48000</v>
      </c>
      <c r="X15" s="42">
        <v>37000</v>
      </c>
      <c r="Y15" s="42">
        <v>0</v>
      </c>
      <c r="Z15" s="42">
        <v>0</v>
      </c>
      <c r="AA15" s="42">
        <v>0</v>
      </c>
      <c r="AB15" s="42">
        <f>SUM(D15:AA15)</f>
        <v>1278099.4099999999</v>
      </c>
    </row>
    <row r="16" spans="1:29" ht="15" thickBot="1" x14ac:dyDescent="0.35">
      <c r="A16" s="59" t="s">
        <v>301</v>
      </c>
      <c r="B16" s="40" t="s">
        <v>224</v>
      </c>
      <c r="C16" s="40" t="s">
        <v>293</v>
      </c>
      <c r="D16" s="44">
        <v>94080</v>
      </c>
      <c r="E16" s="44">
        <v>94080</v>
      </c>
      <c r="F16" s="44">
        <v>94080</v>
      </c>
      <c r="G16" s="44">
        <v>82080</v>
      </c>
      <c r="H16" s="44">
        <v>94080</v>
      </c>
      <c r="I16" s="44">
        <v>76080</v>
      </c>
      <c r="J16" s="44">
        <v>76080</v>
      </c>
      <c r="K16" s="44">
        <v>94080</v>
      </c>
      <c r="L16" s="44">
        <v>94080</v>
      </c>
      <c r="M16" s="44">
        <v>94080</v>
      </c>
      <c r="N16" s="44">
        <v>94080</v>
      </c>
      <c r="O16" s="44">
        <v>94080</v>
      </c>
      <c r="P16" s="44">
        <v>94080</v>
      </c>
      <c r="Q16" s="44">
        <v>94080</v>
      </c>
      <c r="R16" s="44">
        <v>94080</v>
      </c>
      <c r="S16" s="44">
        <v>94080</v>
      </c>
      <c r="T16" s="44">
        <v>94080</v>
      </c>
      <c r="U16" s="44">
        <v>94080</v>
      </c>
      <c r="V16" s="44">
        <v>94080</v>
      </c>
      <c r="W16" s="44">
        <v>36000</v>
      </c>
      <c r="X16" s="44">
        <v>94080</v>
      </c>
      <c r="Y16" s="44">
        <v>94080</v>
      </c>
      <c r="Z16" s="44">
        <v>94080</v>
      </c>
      <c r="AA16" s="44">
        <v>82080</v>
      </c>
      <c r="AB16" s="44"/>
    </row>
    <row r="17" spans="1:28" ht="15" thickTop="1" x14ac:dyDescent="0.3">
      <c r="B17" s="41"/>
      <c r="D17" s="42">
        <f>D16-D15</f>
        <v>94080</v>
      </c>
      <c r="E17" s="42">
        <f t="shared" ref="E17:AA17" si="1">E16-E15</f>
        <v>94080</v>
      </c>
      <c r="F17" s="42">
        <f t="shared" si="1"/>
        <v>93099.635999999999</v>
      </c>
      <c r="G17" s="42">
        <f t="shared" si="1"/>
        <v>33635.991999999998</v>
      </c>
      <c r="H17" s="42">
        <f t="shared" si="1"/>
        <v>-31054.975999999981</v>
      </c>
      <c r="I17" s="42">
        <f t="shared" si="1"/>
        <v>-70617.224999999919</v>
      </c>
      <c r="J17" s="42">
        <f t="shared" si="1"/>
        <v>-110945.94200000001</v>
      </c>
      <c r="K17" s="42">
        <f t="shared" si="1"/>
        <v>-92356.124999999913</v>
      </c>
      <c r="L17" s="42">
        <f t="shared" si="1"/>
        <v>-3361.0600000000268</v>
      </c>
      <c r="M17" s="42">
        <f t="shared" si="1"/>
        <v>63685.509999999995</v>
      </c>
      <c r="N17" s="42">
        <f t="shared" si="1"/>
        <v>82068.100000000006</v>
      </c>
      <c r="O17" s="42">
        <f t="shared" si="1"/>
        <v>46982.6</v>
      </c>
      <c r="P17" s="42">
        <f t="shared" si="1"/>
        <v>48069.599999999999</v>
      </c>
      <c r="Q17" s="42">
        <f t="shared" si="1"/>
        <v>90958.2</v>
      </c>
      <c r="R17" s="42">
        <f t="shared" si="1"/>
        <v>67967.179999999993</v>
      </c>
      <c r="S17" s="42">
        <f t="shared" si="1"/>
        <v>9957.86</v>
      </c>
      <c r="T17" s="42">
        <f t="shared" si="1"/>
        <v>26038.080000000002</v>
      </c>
      <c r="U17" s="42">
        <f t="shared" si="1"/>
        <v>46053.16</v>
      </c>
      <c r="V17" s="42">
        <f t="shared" si="1"/>
        <v>58080</v>
      </c>
      <c r="W17" s="42">
        <f t="shared" si="1"/>
        <v>-12000</v>
      </c>
      <c r="X17" s="42">
        <f t="shared" si="1"/>
        <v>57080</v>
      </c>
      <c r="Y17" s="42">
        <f t="shared" si="1"/>
        <v>94080</v>
      </c>
      <c r="Z17" s="42">
        <f t="shared" si="1"/>
        <v>94080</v>
      </c>
      <c r="AA17" s="42">
        <f t="shared" si="1"/>
        <v>82080</v>
      </c>
      <c r="AB17" s="42">
        <f>+W17+L17+K17+J17+I17+H17</f>
        <v>-320335.3279999998</v>
      </c>
    </row>
    <row r="18" spans="1:28" x14ac:dyDescent="0.3">
      <c r="B18" s="41"/>
    </row>
    <row r="19" spans="1:28" ht="21" x14ac:dyDescent="0.4">
      <c r="A19" s="53" t="s">
        <v>296</v>
      </c>
      <c r="B19" s="41"/>
    </row>
    <row r="20" spans="1:28" ht="18" x14ac:dyDescent="0.35">
      <c r="A20" s="37" t="s">
        <v>247</v>
      </c>
      <c r="B20" s="41"/>
    </row>
    <row r="21" spans="1:28" ht="16.2" thickBot="1" x14ac:dyDescent="0.35">
      <c r="A21" s="38" t="s">
        <v>303</v>
      </c>
      <c r="B21" s="39" t="s">
        <v>273</v>
      </c>
      <c r="C21" s="40" t="s">
        <v>274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</row>
    <row r="22" spans="1:28" ht="15" thickTop="1" x14ac:dyDescent="0.3">
      <c r="A22" s="35" t="s">
        <v>247</v>
      </c>
      <c r="B22" s="24" t="s">
        <v>297</v>
      </c>
      <c r="C22" s="24" t="s">
        <v>305</v>
      </c>
      <c r="D22" s="42">
        <v>0</v>
      </c>
      <c r="E22" s="42">
        <v>0</v>
      </c>
      <c r="F22" s="42">
        <v>21246.347029702967</v>
      </c>
      <c r="G22" s="42">
        <v>47943.30999999999</v>
      </c>
      <c r="H22" s="42">
        <v>87972.07666666669</v>
      </c>
      <c r="I22" s="42">
        <v>182916.15999999995</v>
      </c>
      <c r="J22" s="42">
        <v>122722.31999999979</v>
      </c>
      <c r="K22" s="42">
        <v>133573.0799999999</v>
      </c>
      <c r="L22" s="42">
        <v>101908.655</v>
      </c>
      <c r="M22" s="42">
        <v>113964.515</v>
      </c>
      <c r="N22" s="42">
        <v>40540.35</v>
      </c>
      <c r="O22" s="42">
        <v>58642.057999999997</v>
      </c>
      <c r="P22" s="42">
        <v>48624.58</v>
      </c>
      <c r="Q22" s="42">
        <v>36711.599999999999</v>
      </c>
      <c r="R22" s="42">
        <v>60000</v>
      </c>
      <c r="S22" s="42">
        <v>107916</v>
      </c>
      <c r="T22" s="42">
        <v>85500</v>
      </c>
      <c r="U22" s="42">
        <v>75000</v>
      </c>
      <c r="V22" s="42">
        <v>36500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f>SUM(D22:AA22)</f>
        <v>1361681.0516963692</v>
      </c>
    </row>
    <row r="23" spans="1:28" ht="15" thickBot="1" x14ac:dyDescent="0.35">
      <c r="A23" s="59" t="s">
        <v>301</v>
      </c>
      <c r="B23" s="40" t="s">
        <v>297</v>
      </c>
      <c r="C23" s="40" t="s">
        <v>305</v>
      </c>
      <c r="D23" s="44">
        <v>100800</v>
      </c>
      <c r="E23" s="44">
        <v>100800</v>
      </c>
      <c r="F23" s="44">
        <v>100800</v>
      </c>
      <c r="G23" s="44">
        <v>84000</v>
      </c>
      <c r="H23" s="44">
        <v>100800</v>
      </c>
      <c r="I23" s="44">
        <v>75600</v>
      </c>
      <c r="J23" s="44">
        <v>75600</v>
      </c>
      <c r="K23" s="44">
        <v>100800</v>
      </c>
      <c r="L23" s="44">
        <v>100800</v>
      </c>
      <c r="M23" s="44">
        <v>100800</v>
      </c>
      <c r="N23" s="44">
        <v>100800</v>
      </c>
      <c r="O23" s="44">
        <v>100800</v>
      </c>
      <c r="P23" s="44">
        <v>100800</v>
      </c>
      <c r="Q23" s="44">
        <v>100800</v>
      </c>
      <c r="R23" s="44">
        <v>100800</v>
      </c>
      <c r="S23" s="44">
        <v>100800</v>
      </c>
      <c r="T23" s="44">
        <v>100800</v>
      </c>
      <c r="U23" s="44">
        <v>100800</v>
      </c>
      <c r="V23" s="44">
        <v>100800</v>
      </c>
      <c r="W23" s="44">
        <v>50400</v>
      </c>
      <c r="X23" s="44">
        <v>100800</v>
      </c>
      <c r="Y23" s="44">
        <v>100800</v>
      </c>
      <c r="Z23" s="44">
        <v>100800</v>
      </c>
      <c r="AA23" s="44">
        <v>84000</v>
      </c>
      <c r="AB23" s="44"/>
    </row>
    <row r="24" spans="1:28" ht="15" thickTop="1" x14ac:dyDescent="0.3">
      <c r="B24" s="41"/>
      <c r="D24" s="42">
        <f>D23-D22</f>
        <v>100800</v>
      </c>
      <c r="E24" s="42">
        <f t="shared" ref="E24:F24" si="2">E23-E22</f>
        <v>100800</v>
      </c>
      <c r="F24" s="42">
        <f t="shared" si="2"/>
        <v>79553.652970297029</v>
      </c>
      <c r="G24" s="42">
        <f t="shared" ref="G24:AA24" si="3">G23-G22</f>
        <v>36056.69000000001</v>
      </c>
      <c r="H24" s="42">
        <f t="shared" si="3"/>
        <v>12827.92333333331</v>
      </c>
      <c r="I24" s="42">
        <f t="shared" si="3"/>
        <v>-107316.15999999995</v>
      </c>
      <c r="J24" s="42">
        <f t="shared" si="3"/>
        <v>-47122.319999999789</v>
      </c>
      <c r="K24" s="42">
        <f t="shared" si="3"/>
        <v>-32773.0799999999</v>
      </c>
      <c r="L24" s="42">
        <f t="shared" si="3"/>
        <v>-1108.6549999999988</v>
      </c>
      <c r="M24" s="42">
        <f t="shared" si="3"/>
        <v>-13164.514999999999</v>
      </c>
      <c r="N24" s="42">
        <f t="shared" si="3"/>
        <v>60259.65</v>
      </c>
      <c r="O24" s="42">
        <f t="shared" si="3"/>
        <v>42157.942000000003</v>
      </c>
      <c r="P24" s="42">
        <f t="shared" si="3"/>
        <v>52175.42</v>
      </c>
      <c r="Q24" s="42">
        <f t="shared" si="3"/>
        <v>64088.4</v>
      </c>
      <c r="R24" s="42">
        <f t="shared" si="3"/>
        <v>40800</v>
      </c>
      <c r="S24" s="42">
        <f t="shared" si="3"/>
        <v>-7116</v>
      </c>
      <c r="T24" s="42">
        <f t="shared" si="3"/>
        <v>15300</v>
      </c>
      <c r="U24" s="42">
        <f t="shared" si="3"/>
        <v>25800</v>
      </c>
      <c r="V24" s="42">
        <f t="shared" si="3"/>
        <v>64300</v>
      </c>
      <c r="W24" s="42">
        <f t="shared" si="3"/>
        <v>50400</v>
      </c>
      <c r="X24" s="42">
        <f t="shared" si="3"/>
        <v>100800</v>
      </c>
      <c r="Y24" s="42">
        <f t="shared" si="3"/>
        <v>100800</v>
      </c>
      <c r="Z24" s="42">
        <f t="shared" si="3"/>
        <v>100800</v>
      </c>
      <c r="AA24" s="42">
        <f t="shared" si="3"/>
        <v>84000</v>
      </c>
      <c r="AB24" s="42">
        <f>+S24+M24+L24+K24+J24+I24</f>
        <v>-208600.72999999963</v>
      </c>
    </row>
    <row r="25" spans="1:28" x14ac:dyDescent="0.3">
      <c r="B25" s="41"/>
    </row>
    <row r="26" spans="1:28" x14ac:dyDescent="0.3">
      <c r="B26" s="41"/>
    </row>
    <row r="27" spans="1:28" ht="15" thickBot="1" x14ac:dyDescent="0.35">
      <c r="A27" s="43" t="s">
        <v>306</v>
      </c>
      <c r="B27" s="39" t="s">
        <v>273</v>
      </c>
      <c r="C27" s="40" t="s">
        <v>274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</row>
    <row r="28" spans="1:28" ht="15" thickTop="1" x14ac:dyDescent="0.3">
      <c r="A28" t="s">
        <v>309</v>
      </c>
      <c r="B28" s="41" t="s">
        <v>307</v>
      </c>
      <c r="C28" s="24" t="s">
        <v>308</v>
      </c>
      <c r="D28" s="42">
        <f>((D23+D16)-(D15+D22))</f>
        <v>194880</v>
      </c>
      <c r="E28" s="42">
        <f t="shared" ref="E28:AA28" si="4">((E23+E16)-(E15+E22))</f>
        <v>194880</v>
      </c>
      <c r="F28" s="42">
        <f t="shared" si="4"/>
        <v>172653.28897029703</v>
      </c>
      <c r="G28" s="42">
        <f t="shared" si="4"/>
        <v>69692.682000000001</v>
      </c>
      <c r="H28" s="42">
        <f t="shared" si="4"/>
        <v>-18227.052666666685</v>
      </c>
      <c r="I28" s="42">
        <f t="shared" si="4"/>
        <v>-177933.38499999989</v>
      </c>
      <c r="J28" s="42">
        <f t="shared" si="4"/>
        <v>-158068.26199999981</v>
      </c>
      <c r="K28" s="42">
        <f t="shared" si="4"/>
        <v>-125129.20499999984</v>
      </c>
      <c r="L28" s="42">
        <f t="shared" si="4"/>
        <v>-4469.7150000000256</v>
      </c>
      <c r="M28" s="42">
        <f t="shared" si="4"/>
        <v>50520.994999999995</v>
      </c>
      <c r="N28" s="42">
        <f t="shared" si="4"/>
        <v>142327.75</v>
      </c>
      <c r="O28" s="42">
        <f t="shared" si="4"/>
        <v>89140.542000000001</v>
      </c>
      <c r="P28" s="42">
        <f t="shared" si="4"/>
        <v>100245.01999999999</v>
      </c>
      <c r="Q28" s="42">
        <f t="shared" si="4"/>
        <v>155046.6</v>
      </c>
      <c r="R28" s="42">
        <f t="shared" si="4"/>
        <v>108767.18</v>
      </c>
      <c r="S28" s="42">
        <f t="shared" si="4"/>
        <v>2841.859999999986</v>
      </c>
      <c r="T28" s="42">
        <f t="shared" si="4"/>
        <v>41338.080000000016</v>
      </c>
      <c r="U28" s="42">
        <f t="shared" si="4"/>
        <v>71853.16</v>
      </c>
      <c r="V28" s="42">
        <f t="shared" si="4"/>
        <v>122380</v>
      </c>
      <c r="W28" s="42">
        <f t="shared" si="4"/>
        <v>38400</v>
      </c>
      <c r="X28" s="42">
        <f t="shared" si="4"/>
        <v>157880</v>
      </c>
      <c r="Y28" s="42">
        <f t="shared" si="4"/>
        <v>194880</v>
      </c>
      <c r="Z28" s="42">
        <f t="shared" si="4"/>
        <v>194880</v>
      </c>
      <c r="AA28" s="42">
        <f t="shared" si="4"/>
        <v>166080</v>
      </c>
      <c r="AB28" s="42">
        <f>+L28+K28+J28+I28+H28</f>
        <v>-483827.61966666626</v>
      </c>
    </row>
    <row r="29" spans="1:28" x14ac:dyDescent="0.3">
      <c r="B29" s="41"/>
    </row>
    <row r="30" spans="1:28" x14ac:dyDescent="0.3">
      <c r="B30" s="41"/>
    </row>
    <row r="31" spans="1:28" x14ac:dyDescent="0.3">
      <c r="B31" s="41"/>
    </row>
    <row r="32" spans="1:28" x14ac:dyDescent="0.3">
      <c r="B32" s="41"/>
    </row>
    <row r="33" spans="2:2" x14ac:dyDescent="0.3">
      <c r="B33" s="41"/>
    </row>
    <row r="34" spans="2:2" x14ac:dyDescent="0.3">
      <c r="B34" s="41"/>
    </row>
    <row r="35" spans="2:2" x14ac:dyDescent="0.3">
      <c r="B35" s="41"/>
    </row>
    <row r="36" spans="2:2" x14ac:dyDescent="0.3">
      <c r="B36" s="41"/>
    </row>
    <row r="37" spans="2:2" x14ac:dyDescent="0.3">
      <c r="B37" s="41"/>
    </row>
    <row r="38" spans="2:2" x14ac:dyDescent="0.3">
      <c r="B38" s="41"/>
    </row>
    <row r="39" spans="2:2" x14ac:dyDescent="0.3">
      <c r="B39" s="41"/>
    </row>
    <row r="40" spans="2:2" x14ac:dyDescent="0.3">
      <c r="B40" s="41"/>
    </row>
    <row r="41" spans="2:2" x14ac:dyDescent="0.3">
      <c r="B41" s="41"/>
    </row>
    <row r="42" spans="2:2" x14ac:dyDescent="0.3">
      <c r="B42" s="41"/>
    </row>
    <row r="43" spans="2:2" x14ac:dyDescent="0.3">
      <c r="B43" s="41"/>
    </row>
    <row r="44" spans="2:2" x14ac:dyDescent="0.3">
      <c r="B44" s="41"/>
    </row>
    <row r="45" spans="2:2" x14ac:dyDescent="0.3">
      <c r="B45" s="41"/>
    </row>
    <row r="46" spans="2:2" x14ac:dyDescent="0.3">
      <c r="B46" s="41"/>
    </row>
    <row r="47" spans="2:2" x14ac:dyDescent="0.3">
      <c r="B47" s="41"/>
    </row>
    <row r="48" spans="2:2" x14ac:dyDescent="0.3">
      <c r="B48" s="41"/>
    </row>
    <row r="49" spans="1:29" x14ac:dyDescent="0.3">
      <c r="A49" t="s">
        <v>278</v>
      </c>
      <c r="B49" s="41"/>
    </row>
    <row r="50" spans="1:29" x14ac:dyDescent="0.3">
      <c r="A50" t="s">
        <v>279</v>
      </c>
      <c r="B50" s="45">
        <v>2600</v>
      </c>
    </row>
    <row r="51" spans="1:29" x14ac:dyDescent="0.3">
      <c r="A51" t="s">
        <v>280</v>
      </c>
      <c r="B51" s="41">
        <v>44</v>
      </c>
    </row>
    <row r="52" spans="1:29" x14ac:dyDescent="0.3">
      <c r="A52" t="s">
        <v>281</v>
      </c>
      <c r="B52" s="41"/>
      <c r="D52" s="24" t="s">
        <v>248</v>
      </c>
      <c r="E52" s="24" t="s">
        <v>249</v>
      </c>
      <c r="F52" s="24" t="s">
        <v>250</v>
      </c>
      <c r="G52" s="24" t="s">
        <v>251</v>
      </c>
      <c r="H52" s="24" t="s">
        <v>252</v>
      </c>
      <c r="I52" s="24" t="s">
        <v>253</v>
      </c>
      <c r="J52" s="24" t="s">
        <v>254</v>
      </c>
      <c r="K52" s="24" t="s">
        <v>255</v>
      </c>
      <c r="L52" s="24" t="s">
        <v>256</v>
      </c>
      <c r="M52" s="24" t="s">
        <v>257</v>
      </c>
      <c r="N52" s="24" t="s">
        <v>258</v>
      </c>
      <c r="O52" s="24" t="s">
        <v>259</v>
      </c>
      <c r="P52" s="24" t="s">
        <v>260</v>
      </c>
      <c r="Q52" s="24" t="s">
        <v>261</v>
      </c>
      <c r="R52" s="24" t="s">
        <v>262</v>
      </c>
      <c r="S52" s="24" t="s">
        <v>263</v>
      </c>
      <c r="T52" s="24" t="s">
        <v>264</v>
      </c>
      <c r="U52" s="24" t="s">
        <v>265</v>
      </c>
      <c r="V52" s="24" t="s">
        <v>266</v>
      </c>
      <c r="W52" s="24" t="s">
        <v>267</v>
      </c>
      <c r="X52" s="24" t="s">
        <v>268</v>
      </c>
      <c r="Y52" s="24" t="s">
        <v>269</v>
      </c>
      <c r="Z52" s="24" t="s">
        <v>270</v>
      </c>
      <c r="AA52" s="24" t="s">
        <v>271</v>
      </c>
    </row>
    <row r="53" spans="1:29" ht="15" thickBot="1" x14ac:dyDescent="0.35">
      <c r="A53" s="43" t="s">
        <v>282</v>
      </c>
      <c r="B53" s="39" t="s">
        <v>274</v>
      </c>
      <c r="C53" s="40" t="s">
        <v>283</v>
      </c>
      <c r="D53" s="40">
        <v>47</v>
      </c>
      <c r="E53" s="40">
        <v>48</v>
      </c>
      <c r="F53" s="40">
        <v>49</v>
      </c>
      <c r="G53" s="57">
        <v>50</v>
      </c>
      <c r="H53" s="40">
        <v>51</v>
      </c>
      <c r="I53" s="57">
        <v>52</v>
      </c>
      <c r="J53" s="57">
        <v>1</v>
      </c>
      <c r="K53" s="40">
        <v>2</v>
      </c>
      <c r="L53" s="40">
        <v>3</v>
      </c>
      <c r="M53" s="40">
        <v>4</v>
      </c>
      <c r="N53" s="40">
        <v>5</v>
      </c>
      <c r="O53" s="40">
        <v>6</v>
      </c>
      <c r="P53" s="40">
        <v>7</v>
      </c>
      <c r="Q53" s="40">
        <v>8</v>
      </c>
      <c r="R53" s="40">
        <v>9</v>
      </c>
      <c r="S53" s="40">
        <v>10</v>
      </c>
      <c r="T53" s="40">
        <v>11</v>
      </c>
      <c r="U53" s="40">
        <v>12</v>
      </c>
      <c r="V53" s="40">
        <v>13</v>
      </c>
      <c r="W53" s="57">
        <v>14</v>
      </c>
      <c r="X53" s="40">
        <v>15</v>
      </c>
      <c r="Y53" s="40">
        <v>16</v>
      </c>
      <c r="Z53" s="40">
        <v>17</v>
      </c>
      <c r="AA53" s="57">
        <v>18</v>
      </c>
    </row>
    <row r="54" spans="1:29" ht="15.6" thickTop="1" thickBot="1" x14ac:dyDescent="0.35">
      <c r="A54" s="46" t="s">
        <v>275</v>
      </c>
      <c r="B54" s="47" t="s">
        <v>284</v>
      </c>
      <c r="C54" s="48">
        <v>2</v>
      </c>
      <c r="D54" s="49">
        <f>(($B$50*$B$51))*2</f>
        <v>228800</v>
      </c>
      <c r="E54" s="49">
        <f>(($B$50*$B$51))*2</f>
        <v>228800</v>
      </c>
      <c r="F54" s="49">
        <f>(($B$50*$B$51))*2</f>
        <v>228800</v>
      </c>
      <c r="G54" s="49">
        <f>(35*B50)*2</f>
        <v>182000</v>
      </c>
      <c r="H54" s="49">
        <f>(($B$50*$B$51))*2</f>
        <v>228800</v>
      </c>
      <c r="I54" s="49">
        <f>(30.5*B50)*2</f>
        <v>158600</v>
      </c>
      <c r="J54" s="49">
        <f>(30.5*B50)*2</f>
        <v>158600</v>
      </c>
      <c r="K54" s="49">
        <f t="shared" ref="K54:V54" si="5">(($B$50*$B$51))*2</f>
        <v>228800</v>
      </c>
      <c r="L54" s="49">
        <f t="shared" si="5"/>
        <v>228800</v>
      </c>
      <c r="M54" s="49">
        <f t="shared" si="5"/>
        <v>228800</v>
      </c>
      <c r="N54" s="49">
        <f t="shared" si="5"/>
        <v>228800</v>
      </c>
      <c r="O54" s="49">
        <f t="shared" si="5"/>
        <v>228800</v>
      </c>
      <c r="P54" s="49">
        <f t="shared" si="5"/>
        <v>228800</v>
      </c>
      <c r="Q54" s="49">
        <f t="shared" si="5"/>
        <v>228800</v>
      </c>
      <c r="R54" s="49">
        <f t="shared" si="5"/>
        <v>228800</v>
      </c>
      <c r="S54" s="49">
        <f t="shared" si="5"/>
        <v>228800</v>
      </c>
      <c r="T54" s="49">
        <f t="shared" si="5"/>
        <v>228800</v>
      </c>
      <c r="U54" s="49">
        <f t="shared" si="5"/>
        <v>228800</v>
      </c>
      <c r="V54" s="49">
        <f t="shared" si="5"/>
        <v>228800</v>
      </c>
      <c r="W54" s="49">
        <f>(35*B50)*2</f>
        <v>182000</v>
      </c>
      <c r="X54" s="49">
        <f>(($B$50*$B$51))*2</f>
        <v>228800</v>
      </c>
      <c r="Y54" s="49">
        <f>(($B$50*$B$51))*2</f>
        <v>228800</v>
      </c>
      <c r="Z54" s="49">
        <f>(($B$50*$B$51))*2</f>
        <v>228800</v>
      </c>
      <c r="AA54" s="49">
        <f>(35*B50)*2</f>
        <v>182000</v>
      </c>
    </row>
    <row r="55" spans="1:29" ht="15" thickTop="1" x14ac:dyDescent="0.3">
      <c r="B55" s="41"/>
      <c r="D55" s="42">
        <f t="shared" ref="D55:AA55" si="6">SUM(D54:D54)</f>
        <v>228800</v>
      </c>
      <c r="E55" s="42">
        <f t="shared" si="6"/>
        <v>228800</v>
      </c>
      <c r="F55" s="42">
        <f t="shared" si="6"/>
        <v>228800</v>
      </c>
      <c r="G55" s="42">
        <f t="shared" si="6"/>
        <v>182000</v>
      </c>
      <c r="H55" s="42">
        <f t="shared" si="6"/>
        <v>228800</v>
      </c>
      <c r="I55" s="42">
        <f t="shared" si="6"/>
        <v>158600</v>
      </c>
      <c r="J55" s="42">
        <f t="shared" si="6"/>
        <v>158600</v>
      </c>
      <c r="K55" s="42">
        <f t="shared" si="6"/>
        <v>228800</v>
      </c>
      <c r="L55" s="42">
        <f t="shared" si="6"/>
        <v>228800</v>
      </c>
      <c r="M55" s="42">
        <f t="shared" si="6"/>
        <v>228800</v>
      </c>
      <c r="N55" s="42">
        <f t="shared" si="6"/>
        <v>228800</v>
      </c>
      <c r="O55" s="42">
        <f t="shared" si="6"/>
        <v>228800</v>
      </c>
      <c r="P55" s="42">
        <f t="shared" si="6"/>
        <v>228800</v>
      </c>
      <c r="Q55" s="42">
        <f t="shared" si="6"/>
        <v>228800</v>
      </c>
      <c r="R55" s="42">
        <f t="shared" si="6"/>
        <v>228800</v>
      </c>
      <c r="S55" s="42">
        <f t="shared" si="6"/>
        <v>228800</v>
      </c>
      <c r="T55" s="42">
        <f t="shared" si="6"/>
        <v>228800</v>
      </c>
      <c r="U55" s="42">
        <f t="shared" si="6"/>
        <v>228800</v>
      </c>
      <c r="V55" s="42">
        <f t="shared" si="6"/>
        <v>228800</v>
      </c>
      <c r="W55" s="42">
        <f t="shared" si="6"/>
        <v>182000</v>
      </c>
      <c r="X55" s="42">
        <f t="shared" si="6"/>
        <v>228800</v>
      </c>
      <c r="Y55" s="42">
        <f t="shared" si="6"/>
        <v>228800</v>
      </c>
      <c r="Z55" s="42">
        <f t="shared" si="6"/>
        <v>228800</v>
      </c>
      <c r="AA55" s="42">
        <f t="shared" si="6"/>
        <v>182000</v>
      </c>
      <c r="AB55" s="42"/>
    </row>
    <row r="56" spans="1:29" ht="15" thickBot="1" x14ac:dyDescent="0.35">
      <c r="A56" s="43" t="s">
        <v>285</v>
      </c>
      <c r="B56" s="39"/>
      <c r="C56" s="40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55"/>
    </row>
    <row r="57" spans="1:29" ht="15" thickTop="1" x14ac:dyDescent="0.3">
      <c r="B57" s="41"/>
      <c r="D57" s="42">
        <f t="shared" ref="D57:AA57" si="7">+D55-D8</f>
        <v>224275</v>
      </c>
      <c r="E57" s="42">
        <f t="shared" si="7"/>
        <v>188132.25</v>
      </c>
      <c r="F57" s="42">
        <f t="shared" si="7"/>
        <v>155307.5</v>
      </c>
      <c r="G57" s="42">
        <f t="shared" si="7"/>
        <v>95946.412500000006</v>
      </c>
      <c r="H57" s="42">
        <f t="shared" si="7"/>
        <v>133501.364</v>
      </c>
      <c r="I57" s="42">
        <f t="shared" si="7"/>
        <v>2643.2699999999895</v>
      </c>
      <c r="J57" s="42">
        <f t="shared" si="7"/>
        <v>-6319.7099999999919</v>
      </c>
      <c r="K57" s="42">
        <f t="shared" si="7"/>
        <v>-85084.230000000098</v>
      </c>
      <c r="L57" s="42">
        <f t="shared" si="7"/>
        <v>35014.879999999946</v>
      </c>
      <c r="M57" s="42">
        <f t="shared" si="7"/>
        <v>-68940.479999999981</v>
      </c>
      <c r="N57" s="42">
        <f t="shared" si="7"/>
        <v>-103883.49000000011</v>
      </c>
      <c r="O57" s="42">
        <f t="shared" si="7"/>
        <v>-30618.699999999983</v>
      </c>
      <c r="P57" s="42">
        <f t="shared" si="7"/>
        <v>24689.119999999995</v>
      </c>
      <c r="Q57" s="42">
        <f t="shared" si="7"/>
        <v>79258.63</v>
      </c>
      <c r="R57" s="42">
        <f t="shared" si="7"/>
        <v>105384.90000000002</v>
      </c>
      <c r="S57" s="42">
        <f t="shared" si="7"/>
        <v>99102.51999999999</v>
      </c>
      <c r="T57" s="42">
        <f t="shared" si="7"/>
        <v>63981.350000000006</v>
      </c>
      <c r="U57" s="42">
        <f t="shared" si="7"/>
        <v>79728.760000000009</v>
      </c>
      <c r="V57" s="42">
        <f t="shared" si="7"/>
        <v>165857.09</v>
      </c>
      <c r="W57" s="42">
        <f t="shared" si="7"/>
        <v>115000</v>
      </c>
      <c r="X57" s="42">
        <f t="shared" si="7"/>
        <v>173800</v>
      </c>
      <c r="Y57" s="42">
        <f t="shared" si="7"/>
        <v>183800</v>
      </c>
      <c r="Z57" s="42">
        <f t="shared" si="7"/>
        <v>198800</v>
      </c>
      <c r="AA57" s="42">
        <f t="shared" si="7"/>
        <v>182000</v>
      </c>
      <c r="AB57" s="42">
        <f>+J57+K57+M57+N57+O57</f>
        <v>-294846.6100000001</v>
      </c>
      <c r="AC57" t="s">
        <v>286</v>
      </c>
    </row>
    <row r="58" spans="1:29" x14ac:dyDescent="0.3">
      <c r="B58" s="41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spans="1:29" x14ac:dyDescent="0.3">
      <c r="B59" s="41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</row>
    <row r="60" spans="1:29" ht="15.6" x14ac:dyDescent="0.3">
      <c r="A60" s="52" t="s">
        <v>287</v>
      </c>
      <c r="B60" s="41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spans="1:29" ht="15.6" x14ac:dyDescent="0.3">
      <c r="A61" s="52" t="s">
        <v>247</v>
      </c>
      <c r="B61" s="41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spans="1:29" ht="15" thickBot="1" x14ac:dyDescent="0.35">
      <c r="A62" s="43" t="s">
        <v>272</v>
      </c>
      <c r="B62" s="39" t="s">
        <v>273</v>
      </c>
      <c r="C62" s="43" t="s">
        <v>274</v>
      </c>
      <c r="D62" s="40">
        <v>47</v>
      </c>
      <c r="E62" s="40">
        <v>48</v>
      </c>
      <c r="F62" s="40">
        <v>49</v>
      </c>
      <c r="G62" s="40">
        <v>50</v>
      </c>
      <c r="H62" s="40">
        <v>51</v>
      </c>
      <c r="I62" s="40">
        <v>52</v>
      </c>
      <c r="J62" s="40">
        <v>1</v>
      </c>
      <c r="K62" s="40">
        <v>2</v>
      </c>
      <c r="L62" s="40">
        <v>3</v>
      </c>
      <c r="M62" s="40">
        <v>4</v>
      </c>
      <c r="N62" s="40">
        <v>5</v>
      </c>
      <c r="O62" s="40">
        <v>6</v>
      </c>
      <c r="P62" s="40">
        <v>7</v>
      </c>
      <c r="Q62" s="40">
        <v>8</v>
      </c>
      <c r="R62" s="40">
        <v>9</v>
      </c>
      <c r="S62" s="40">
        <v>10</v>
      </c>
      <c r="T62" s="40">
        <v>11</v>
      </c>
      <c r="U62" s="40">
        <v>12</v>
      </c>
      <c r="V62" s="40">
        <v>13</v>
      </c>
      <c r="W62" s="40">
        <v>14</v>
      </c>
      <c r="X62" s="40">
        <v>15</v>
      </c>
      <c r="Y62" s="40">
        <v>16</v>
      </c>
      <c r="Z62" s="40">
        <v>17</v>
      </c>
      <c r="AA62" s="40">
        <v>18</v>
      </c>
      <c r="AB62" s="40"/>
    </row>
    <row r="63" spans="1:29" ht="15" thickTop="1" x14ac:dyDescent="0.3">
      <c r="A63" t="s">
        <v>288</v>
      </c>
      <c r="B63" s="41" t="s">
        <v>224</v>
      </c>
      <c r="C63" t="s">
        <v>289</v>
      </c>
      <c r="D63" s="42">
        <v>0</v>
      </c>
      <c r="E63" s="42">
        <v>0</v>
      </c>
      <c r="F63" s="42">
        <v>980.36400000000003</v>
      </c>
      <c r="G63" s="42">
        <v>38444.008000000002</v>
      </c>
      <c r="H63" s="42">
        <v>113134.97599999998</v>
      </c>
      <c r="I63" s="42">
        <v>146697.22499999992</v>
      </c>
      <c r="J63" s="42">
        <v>187025.94200000001</v>
      </c>
      <c r="K63" s="42">
        <v>186436.12499999991</v>
      </c>
      <c r="L63" s="42">
        <v>97441.060000000027</v>
      </c>
      <c r="M63" s="42">
        <v>30394.49</v>
      </c>
      <c r="N63" s="42">
        <v>12011.9</v>
      </c>
      <c r="O63" s="42">
        <v>35097.4</v>
      </c>
      <c r="P63" s="42">
        <v>35124.400000000001</v>
      </c>
      <c r="Q63" s="42">
        <v>3121.8</v>
      </c>
      <c r="R63" s="42">
        <v>26112.82</v>
      </c>
      <c r="S63" s="42">
        <v>84122.14</v>
      </c>
      <c r="T63" s="42">
        <v>68041.919999999998</v>
      </c>
      <c r="U63" s="42">
        <v>48026.84</v>
      </c>
      <c r="V63" s="42">
        <v>36000</v>
      </c>
      <c r="W63" s="42">
        <v>48000</v>
      </c>
      <c r="X63" s="42">
        <v>37000</v>
      </c>
      <c r="Y63" s="42">
        <v>0</v>
      </c>
      <c r="Z63" s="42">
        <v>0</v>
      </c>
      <c r="AA63" s="42"/>
      <c r="AB63" s="42">
        <f>SUM(D63:AA63)</f>
        <v>1233213.4099999999</v>
      </c>
    </row>
    <row r="64" spans="1:29" x14ac:dyDescent="0.3">
      <c r="A64" t="s">
        <v>288</v>
      </c>
      <c r="B64" s="41" t="s">
        <v>224</v>
      </c>
      <c r="C64" t="s">
        <v>290</v>
      </c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>
        <f t="shared" ref="AB64:AB65" si="8">SUM(D64:AA64)</f>
        <v>0</v>
      </c>
    </row>
    <row r="65" spans="1:29" ht="15" thickBot="1" x14ac:dyDescent="0.35">
      <c r="A65" s="43" t="s">
        <v>288</v>
      </c>
      <c r="B65" s="39" t="s">
        <v>224</v>
      </c>
      <c r="C65" s="43" t="s">
        <v>291</v>
      </c>
      <c r="D65" s="44"/>
      <c r="E65" s="44"/>
      <c r="F65" s="44"/>
      <c r="G65" s="44">
        <v>10000</v>
      </c>
      <c r="H65" s="44">
        <v>12000</v>
      </c>
      <c r="I65" s="44">
        <v>0</v>
      </c>
      <c r="J65" s="44"/>
      <c r="K65" s="44"/>
      <c r="L65" s="44"/>
      <c r="M65" s="44"/>
      <c r="N65" s="44"/>
      <c r="O65" s="44">
        <v>12000</v>
      </c>
      <c r="P65" s="44">
        <v>10886</v>
      </c>
      <c r="Q65" s="44"/>
      <c r="R65" s="44"/>
      <c r="S65" s="44"/>
      <c r="T65" s="44"/>
      <c r="U65" s="44"/>
      <c r="V65" s="44"/>
      <c r="W65" s="44">
        <v>0</v>
      </c>
      <c r="X65" s="44"/>
      <c r="Y65" s="44"/>
      <c r="Z65" s="44"/>
      <c r="AA65" s="44"/>
      <c r="AB65" s="44">
        <f t="shared" si="8"/>
        <v>44886</v>
      </c>
    </row>
    <row r="66" spans="1:29" ht="15" thickTop="1" x14ac:dyDescent="0.3">
      <c r="B66" s="41"/>
      <c r="C66"/>
      <c r="D66" s="42">
        <f>SUM(D63:D65)</f>
        <v>0</v>
      </c>
      <c r="E66" s="42">
        <f t="shared" ref="E66:AA66" si="9">SUM(E63:E65)</f>
        <v>0</v>
      </c>
      <c r="F66" s="42">
        <f>SUM(F63:F65)</f>
        <v>980.36400000000003</v>
      </c>
      <c r="G66" s="42">
        <f>SUM(G63:G65)</f>
        <v>48444.008000000002</v>
      </c>
      <c r="H66" s="42">
        <f t="shared" si="9"/>
        <v>125134.97599999998</v>
      </c>
      <c r="I66" s="42">
        <f t="shared" si="9"/>
        <v>146697.22499999992</v>
      </c>
      <c r="J66" s="42">
        <f t="shared" si="9"/>
        <v>187025.94200000001</v>
      </c>
      <c r="K66" s="42">
        <f t="shared" si="9"/>
        <v>186436.12499999991</v>
      </c>
      <c r="L66" s="42">
        <f t="shared" si="9"/>
        <v>97441.060000000027</v>
      </c>
      <c r="M66" s="42">
        <f t="shared" si="9"/>
        <v>30394.49</v>
      </c>
      <c r="N66" s="42">
        <f t="shared" si="9"/>
        <v>12011.9</v>
      </c>
      <c r="O66" s="42">
        <f t="shared" si="9"/>
        <v>47097.4</v>
      </c>
      <c r="P66" s="42">
        <f t="shared" si="9"/>
        <v>46010.400000000001</v>
      </c>
      <c r="Q66" s="42">
        <f t="shared" si="9"/>
        <v>3121.8</v>
      </c>
      <c r="R66" s="42">
        <f t="shared" si="9"/>
        <v>26112.82</v>
      </c>
      <c r="S66" s="42">
        <f t="shared" si="9"/>
        <v>84122.14</v>
      </c>
      <c r="T66" s="42">
        <f t="shared" si="9"/>
        <v>68041.919999999998</v>
      </c>
      <c r="U66" s="42">
        <f t="shared" si="9"/>
        <v>48026.84</v>
      </c>
      <c r="V66" s="42">
        <f t="shared" si="9"/>
        <v>36000</v>
      </c>
      <c r="W66" s="42">
        <f t="shared" si="9"/>
        <v>48000</v>
      </c>
      <c r="X66" s="42">
        <f t="shared" si="9"/>
        <v>37000</v>
      </c>
      <c r="Y66" s="42">
        <f t="shared" si="9"/>
        <v>0</v>
      </c>
      <c r="Z66" s="42">
        <f t="shared" si="9"/>
        <v>0</v>
      </c>
      <c r="AA66" s="42">
        <f t="shared" si="9"/>
        <v>0</v>
      </c>
      <c r="AB66" s="33">
        <f>SUM(D66:AA66)</f>
        <v>1278099.4099999999</v>
      </c>
      <c r="AC66" s="56">
        <f>+AB63+AB65</f>
        <v>1278099.4099999999</v>
      </c>
    </row>
    <row r="67" spans="1:29" ht="15.6" x14ac:dyDescent="0.3">
      <c r="A67" s="52"/>
      <c r="B67" s="41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</row>
    <row r="68" spans="1:29" ht="15.6" x14ac:dyDescent="0.3">
      <c r="A68" s="52"/>
      <c r="B68" s="41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</row>
    <row r="69" spans="1:29" x14ac:dyDescent="0.3">
      <c r="A69" t="s">
        <v>292</v>
      </c>
      <c r="D69" s="24" t="s">
        <v>248</v>
      </c>
      <c r="E69" s="24" t="s">
        <v>249</v>
      </c>
      <c r="F69" s="24" t="s">
        <v>250</v>
      </c>
      <c r="G69" s="24" t="s">
        <v>251</v>
      </c>
      <c r="H69" s="24" t="s">
        <v>252</v>
      </c>
      <c r="I69" s="24" t="s">
        <v>253</v>
      </c>
      <c r="J69" s="24" t="s">
        <v>254</v>
      </c>
      <c r="K69" s="24" t="s">
        <v>255</v>
      </c>
      <c r="L69" s="24" t="s">
        <v>256</v>
      </c>
      <c r="M69" s="24" t="s">
        <v>257</v>
      </c>
      <c r="N69" s="24" t="s">
        <v>258</v>
      </c>
      <c r="O69" s="24" t="s">
        <v>259</v>
      </c>
      <c r="P69" s="24" t="s">
        <v>260</v>
      </c>
      <c r="Q69" s="24" t="s">
        <v>261</v>
      </c>
      <c r="R69" s="24" t="s">
        <v>262</v>
      </c>
      <c r="S69" s="24" t="s">
        <v>263</v>
      </c>
      <c r="T69" s="24" t="s">
        <v>264</v>
      </c>
      <c r="U69" s="24" t="s">
        <v>265</v>
      </c>
      <c r="V69" s="24" t="s">
        <v>266</v>
      </c>
      <c r="W69" s="24" t="s">
        <v>267</v>
      </c>
      <c r="X69" s="24" t="s">
        <v>268</v>
      </c>
      <c r="Y69" s="24" t="s">
        <v>269</v>
      </c>
      <c r="Z69" s="24" t="s">
        <v>270</v>
      </c>
      <c r="AA69" s="24" t="s">
        <v>271</v>
      </c>
    </row>
    <row r="70" spans="1:29" ht="15" thickBot="1" x14ac:dyDescent="0.35">
      <c r="A70" s="43" t="s">
        <v>282</v>
      </c>
      <c r="B70" s="39" t="s">
        <v>274</v>
      </c>
      <c r="C70" s="40" t="s">
        <v>283</v>
      </c>
      <c r="D70" s="40">
        <v>47</v>
      </c>
      <c r="E70" s="40">
        <v>48</v>
      </c>
      <c r="F70" s="40">
        <v>49</v>
      </c>
      <c r="G70" s="57">
        <v>50</v>
      </c>
      <c r="H70" s="57">
        <v>51</v>
      </c>
      <c r="I70" s="57">
        <v>52</v>
      </c>
      <c r="J70" s="57">
        <v>1</v>
      </c>
      <c r="K70" s="40">
        <v>2</v>
      </c>
      <c r="L70" s="40">
        <v>3</v>
      </c>
      <c r="M70" s="40">
        <v>4</v>
      </c>
      <c r="N70" s="40">
        <v>5</v>
      </c>
      <c r="O70" s="40">
        <v>6</v>
      </c>
      <c r="P70" s="40">
        <v>7</v>
      </c>
      <c r="Q70" s="40">
        <v>8</v>
      </c>
      <c r="R70" s="40">
        <v>9</v>
      </c>
      <c r="S70" s="40">
        <v>10</v>
      </c>
      <c r="T70" s="40">
        <v>11</v>
      </c>
      <c r="U70" s="40">
        <v>12</v>
      </c>
      <c r="V70" s="40">
        <v>13</v>
      </c>
      <c r="W70" s="57">
        <v>14</v>
      </c>
      <c r="X70" s="57">
        <v>15</v>
      </c>
      <c r="Y70" s="57">
        <v>16</v>
      </c>
      <c r="Z70" s="57">
        <v>17</v>
      </c>
      <c r="AA70" s="57">
        <v>18</v>
      </c>
    </row>
    <row r="71" spans="1:29" ht="15" thickTop="1" x14ac:dyDescent="0.3">
      <c r="A71" t="s">
        <v>288</v>
      </c>
      <c r="B71" t="s">
        <v>293</v>
      </c>
      <c r="C71" s="24">
        <v>1</v>
      </c>
      <c r="D71" s="42">
        <f>48000+23040+23040</f>
        <v>94080</v>
      </c>
      <c r="E71" s="42">
        <f>48000+23040+23040</f>
        <v>94080</v>
      </c>
      <c r="F71" s="42">
        <f>48000+23040+23040</f>
        <v>94080</v>
      </c>
      <c r="G71" s="42">
        <f>36000+23040+23040</f>
        <v>82080</v>
      </c>
      <c r="H71" s="42">
        <f>48000+23040+23040</f>
        <v>94080</v>
      </c>
      <c r="I71" s="42">
        <f>30000+23040+23040</f>
        <v>76080</v>
      </c>
      <c r="J71" s="42">
        <f>30000+23040+23040</f>
        <v>76080</v>
      </c>
      <c r="K71" s="42">
        <f t="shared" ref="K71:V71" si="10">48000+23040+23040</f>
        <v>94080</v>
      </c>
      <c r="L71" s="42">
        <f t="shared" si="10"/>
        <v>94080</v>
      </c>
      <c r="M71" s="42">
        <f t="shared" si="10"/>
        <v>94080</v>
      </c>
      <c r="N71" s="42">
        <f t="shared" si="10"/>
        <v>94080</v>
      </c>
      <c r="O71" s="42">
        <f t="shared" si="10"/>
        <v>94080</v>
      </c>
      <c r="P71" s="42">
        <f t="shared" si="10"/>
        <v>94080</v>
      </c>
      <c r="Q71" s="42">
        <f t="shared" si="10"/>
        <v>94080</v>
      </c>
      <c r="R71" s="42">
        <f t="shared" si="10"/>
        <v>94080</v>
      </c>
      <c r="S71" s="42">
        <f t="shared" si="10"/>
        <v>94080</v>
      </c>
      <c r="T71" s="42">
        <f t="shared" si="10"/>
        <v>94080</v>
      </c>
      <c r="U71" s="42">
        <f t="shared" si="10"/>
        <v>94080</v>
      </c>
      <c r="V71" s="42">
        <f t="shared" si="10"/>
        <v>94080</v>
      </c>
      <c r="W71" s="42">
        <f>36000</f>
        <v>36000</v>
      </c>
      <c r="X71" s="42">
        <f>48000+23040+23040</f>
        <v>94080</v>
      </c>
      <c r="Y71" s="42">
        <f>48000+23040+23040</f>
        <v>94080</v>
      </c>
      <c r="Z71" s="42">
        <f>48000+23040+23040</f>
        <v>94080</v>
      </c>
      <c r="AA71" s="42">
        <f>36000+23040+23040</f>
        <v>82080</v>
      </c>
    </row>
    <row r="73" spans="1:29" ht="15" thickBot="1" x14ac:dyDescent="0.35">
      <c r="A73" s="43" t="s">
        <v>294</v>
      </c>
      <c r="B73" s="43"/>
      <c r="C73" s="40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 spans="1:29" ht="15" thickTop="1" x14ac:dyDescent="0.3">
      <c r="B74" s="41"/>
      <c r="D74" s="42">
        <f>+D71-D66</f>
        <v>94080</v>
      </c>
      <c r="E74" s="42">
        <f t="shared" ref="E74:AA74" si="11">+E71-E66</f>
        <v>94080</v>
      </c>
      <c r="F74" s="42">
        <f t="shared" si="11"/>
        <v>93099.635999999999</v>
      </c>
      <c r="G74" s="42">
        <f t="shared" si="11"/>
        <v>33635.991999999998</v>
      </c>
      <c r="H74" s="42">
        <f t="shared" si="11"/>
        <v>-31054.975999999981</v>
      </c>
      <c r="I74" s="42">
        <f t="shared" si="11"/>
        <v>-70617.224999999919</v>
      </c>
      <c r="J74" s="42">
        <f t="shared" si="11"/>
        <v>-110945.94200000001</v>
      </c>
      <c r="K74" s="42">
        <f t="shared" si="11"/>
        <v>-92356.124999999913</v>
      </c>
      <c r="L74" s="42">
        <f t="shared" si="11"/>
        <v>-3361.0600000000268</v>
      </c>
      <c r="M74" s="42">
        <f t="shared" si="11"/>
        <v>63685.509999999995</v>
      </c>
      <c r="N74" s="42">
        <f t="shared" si="11"/>
        <v>82068.100000000006</v>
      </c>
      <c r="O74" s="42">
        <f t="shared" si="11"/>
        <v>46982.6</v>
      </c>
      <c r="P74" s="42">
        <f t="shared" si="11"/>
        <v>48069.599999999999</v>
      </c>
      <c r="Q74" s="42">
        <f t="shared" si="11"/>
        <v>90958.2</v>
      </c>
      <c r="R74" s="42">
        <f t="shared" si="11"/>
        <v>67967.179999999993</v>
      </c>
      <c r="S74" s="42">
        <f t="shared" si="11"/>
        <v>9957.86</v>
      </c>
      <c r="T74" s="42">
        <f t="shared" si="11"/>
        <v>26038.080000000002</v>
      </c>
      <c r="U74" s="42">
        <f t="shared" si="11"/>
        <v>46053.16</v>
      </c>
      <c r="V74" s="42">
        <f t="shared" si="11"/>
        <v>58080</v>
      </c>
      <c r="W74" s="42">
        <f t="shared" si="11"/>
        <v>-12000</v>
      </c>
      <c r="X74" s="42">
        <f t="shared" si="11"/>
        <v>57080</v>
      </c>
      <c r="Y74" s="42">
        <f t="shared" si="11"/>
        <v>94080</v>
      </c>
      <c r="Z74" s="42">
        <f t="shared" si="11"/>
        <v>94080</v>
      </c>
      <c r="AA74" s="42">
        <f t="shared" si="11"/>
        <v>82080</v>
      </c>
      <c r="AB74" s="55">
        <f>+H74+I74+J74+K74+L74+W74</f>
        <v>-320335.32799999986</v>
      </c>
    </row>
    <row r="75" spans="1:29" ht="15" thickBot="1" x14ac:dyDescent="0.35">
      <c r="A75" s="43"/>
      <c r="B75" s="39"/>
      <c r="C75" s="40"/>
      <c r="D75" s="44"/>
      <c r="E75" s="44"/>
      <c r="F75" s="44"/>
      <c r="G75" s="44"/>
      <c r="H75" s="44"/>
      <c r="I75" s="44"/>
      <c r="J75" s="44"/>
      <c r="K75" s="44"/>
      <c r="L75" s="51"/>
      <c r="M75" s="51"/>
      <c r="N75" s="51"/>
      <c r="O75" s="51"/>
      <c r="P75" s="44"/>
      <c r="Q75" s="44"/>
      <c r="R75" s="44"/>
      <c r="S75" s="44"/>
      <c r="T75" s="51"/>
      <c r="U75" s="51"/>
      <c r="V75" s="51"/>
      <c r="W75" s="51"/>
      <c r="X75" s="51"/>
      <c r="Y75" s="51"/>
      <c r="Z75" s="51"/>
      <c r="AA75" s="51"/>
      <c r="AB75" s="58"/>
    </row>
    <row r="76" spans="1:29" ht="15" thickTop="1" x14ac:dyDescent="0.3">
      <c r="A76" t="s">
        <v>295</v>
      </c>
      <c r="B76" s="41"/>
      <c r="D76" s="42">
        <f t="shared" ref="D76:AA76" si="12">+D74+D57</f>
        <v>318355</v>
      </c>
      <c r="E76" s="42">
        <f t="shared" si="12"/>
        <v>282212.25</v>
      </c>
      <c r="F76" s="42">
        <f t="shared" si="12"/>
        <v>248407.136</v>
      </c>
      <c r="G76" s="42">
        <f t="shared" si="12"/>
        <v>129582.4045</v>
      </c>
      <c r="H76" s="42">
        <f t="shared" si="12"/>
        <v>102446.38800000002</v>
      </c>
      <c r="I76" s="42">
        <f t="shared" si="12"/>
        <v>-67973.954999999929</v>
      </c>
      <c r="J76" s="42">
        <f t="shared" si="12"/>
        <v>-117265.652</v>
      </c>
      <c r="K76" s="42">
        <f t="shared" si="12"/>
        <v>-177440.35500000001</v>
      </c>
      <c r="L76" s="42">
        <f t="shared" si="12"/>
        <v>31653.81999999992</v>
      </c>
      <c r="M76" s="42">
        <f t="shared" si="12"/>
        <v>-5254.9699999999866</v>
      </c>
      <c r="N76" s="42">
        <f t="shared" si="12"/>
        <v>-21815.390000000101</v>
      </c>
      <c r="O76" s="42">
        <f t="shared" si="12"/>
        <v>16363.900000000016</v>
      </c>
      <c r="P76" s="42">
        <f t="shared" si="12"/>
        <v>72758.720000000001</v>
      </c>
      <c r="Q76" s="42">
        <f t="shared" si="12"/>
        <v>170216.83000000002</v>
      </c>
      <c r="R76" s="42">
        <f t="shared" si="12"/>
        <v>173352.08000000002</v>
      </c>
      <c r="S76" s="42">
        <f t="shared" si="12"/>
        <v>109060.37999999999</v>
      </c>
      <c r="T76" s="42">
        <f t="shared" si="12"/>
        <v>90019.430000000008</v>
      </c>
      <c r="U76" s="42">
        <f t="shared" si="12"/>
        <v>125781.92000000001</v>
      </c>
      <c r="V76" s="42">
        <f t="shared" si="12"/>
        <v>223937.09</v>
      </c>
      <c r="W76" s="42">
        <f t="shared" si="12"/>
        <v>103000</v>
      </c>
      <c r="X76" s="42">
        <f t="shared" si="12"/>
        <v>230880</v>
      </c>
      <c r="Y76" s="42">
        <f t="shared" si="12"/>
        <v>277880</v>
      </c>
      <c r="Z76" s="42">
        <f t="shared" si="12"/>
        <v>292880</v>
      </c>
      <c r="AA76" s="42">
        <f t="shared" si="12"/>
        <v>264080</v>
      </c>
      <c r="AB76" s="55">
        <f>+I76+J76+K76+M76+N76</f>
        <v>-389750.32200000004</v>
      </c>
    </row>
    <row r="77" spans="1:29" x14ac:dyDescent="0.3">
      <c r="B77" s="41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</row>
    <row r="78" spans="1:29" x14ac:dyDescent="0.3">
      <c r="B78" s="41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</row>
    <row r="79" spans="1:29" x14ac:dyDescent="0.3">
      <c r="B79" s="41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</row>
    <row r="80" spans="1:29" ht="21" x14ac:dyDescent="0.4">
      <c r="A80" s="53" t="s">
        <v>296</v>
      </c>
      <c r="B80" s="41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</row>
    <row r="81" spans="1:28" ht="15.6" x14ac:dyDescent="0.3">
      <c r="A81" s="52" t="s">
        <v>272</v>
      </c>
      <c r="B81" s="41"/>
      <c r="D81" s="42" t="s">
        <v>248</v>
      </c>
      <c r="E81" s="42" t="s">
        <v>249</v>
      </c>
      <c r="F81" s="42" t="s">
        <v>250</v>
      </c>
      <c r="G81" s="42" t="s">
        <v>251</v>
      </c>
      <c r="H81" s="42" t="s">
        <v>252</v>
      </c>
      <c r="I81" s="42" t="s">
        <v>253</v>
      </c>
      <c r="J81" s="42" t="s">
        <v>254</v>
      </c>
      <c r="K81" s="42" t="s">
        <v>255</v>
      </c>
      <c r="L81" s="42" t="s">
        <v>256</v>
      </c>
      <c r="M81" s="42" t="s">
        <v>257</v>
      </c>
      <c r="N81" s="42" t="s">
        <v>258</v>
      </c>
      <c r="O81" s="42" t="s">
        <v>259</v>
      </c>
      <c r="P81" s="42" t="s">
        <v>260</v>
      </c>
      <c r="Q81" s="42" t="s">
        <v>261</v>
      </c>
      <c r="R81" s="42" t="s">
        <v>262</v>
      </c>
      <c r="S81" s="42" t="s">
        <v>263</v>
      </c>
      <c r="T81" s="42" t="s">
        <v>264</v>
      </c>
      <c r="U81" s="42" t="s">
        <v>265</v>
      </c>
      <c r="V81" s="42" t="s">
        <v>266</v>
      </c>
      <c r="W81" s="42" t="s">
        <v>267</v>
      </c>
      <c r="X81" s="42" t="s">
        <v>268</v>
      </c>
      <c r="Y81" s="42" t="s">
        <v>269</v>
      </c>
      <c r="Z81" s="42" t="s">
        <v>270</v>
      </c>
      <c r="AA81" s="42" t="s">
        <v>271</v>
      </c>
    </row>
    <row r="82" spans="1:28" ht="16.2" thickBot="1" x14ac:dyDescent="0.35">
      <c r="A82" s="54" t="s">
        <v>247</v>
      </c>
      <c r="B82" s="39" t="s">
        <v>273</v>
      </c>
      <c r="C82" s="40" t="s">
        <v>274</v>
      </c>
      <c r="D82" s="40">
        <v>47</v>
      </c>
      <c r="E82" s="40">
        <v>48</v>
      </c>
      <c r="F82" s="40">
        <v>49</v>
      </c>
      <c r="G82" s="40">
        <v>50</v>
      </c>
      <c r="H82" s="40">
        <v>51</v>
      </c>
      <c r="I82" s="40">
        <v>52</v>
      </c>
      <c r="J82" s="40">
        <v>1</v>
      </c>
      <c r="K82" s="40">
        <v>2</v>
      </c>
      <c r="L82" s="40">
        <v>3</v>
      </c>
      <c r="M82" s="40">
        <v>4</v>
      </c>
      <c r="N82" s="40">
        <v>5</v>
      </c>
      <c r="O82" s="40">
        <v>6</v>
      </c>
      <c r="P82" s="40">
        <v>7</v>
      </c>
      <c r="Q82" s="40">
        <v>8</v>
      </c>
      <c r="R82" s="40">
        <v>9</v>
      </c>
      <c r="S82" s="40">
        <v>10</v>
      </c>
      <c r="T82" s="40">
        <v>11</v>
      </c>
      <c r="U82" s="40">
        <v>12</v>
      </c>
      <c r="V82" s="40">
        <v>13</v>
      </c>
      <c r="W82" s="40">
        <v>14</v>
      </c>
      <c r="X82" s="40">
        <v>15</v>
      </c>
      <c r="Y82" s="40">
        <v>16</v>
      </c>
      <c r="Z82" s="40">
        <v>17</v>
      </c>
      <c r="AA82" s="40">
        <v>18</v>
      </c>
    </row>
    <row r="83" spans="1:28" ht="15" thickTop="1" x14ac:dyDescent="0.3">
      <c r="A83" t="s">
        <v>288</v>
      </c>
      <c r="B83" s="41" t="s">
        <v>297</v>
      </c>
      <c r="C83" s="24" t="s">
        <v>289</v>
      </c>
      <c r="D83" s="42">
        <v>0</v>
      </c>
      <c r="E83" s="42">
        <v>0</v>
      </c>
      <c r="F83" s="42">
        <v>2500</v>
      </c>
      <c r="G83" s="42">
        <v>8740.8599999999969</v>
      </c>
      <c r="H83" s="42">
        <v>42959.596666666694</v>
      </c>
      <c r="I83" s="42">
        <v>111443.47999999995</v>
      </c>
      <c r="J83" s="42">
        <v>86349.059999999779</v>
      </c>
      <c r="K83" s="42">
        <v>72932.22999999988</v>
      </c>
      <c r="L83" s="42">
        <v>44077.365000000005</v>
      </c>
      <c r="M83" s="42">
        <v>17486.914000000001</v>
      </c>
      <c r="N83" s="42">
        <v>17548.86</v>
      </c>
      <c r="O83" s="42">
        <v>46998.77</v>
      </c>
      <c r="P83" s="42">
        <v>36432.18</v>
      </c>
      <c r="Q83" s="42">
        <v>36000</v>
      </c>
      <c r="R83" s="42">
        <v>36000</v>
      </c>
      <c r="S83" s="42">
        <v>64000</v>
      </c>
      <c r="T83" s="42">
        <v>65000</v>
      </c>
      <c r="U83" s="42">
        <v>63000</v>
      </c>
      <c r="V83" s="42">
        <v>27000</v>
      </c>
      <c r="W83" s="42">
        <v>0</v>
      </c>
      <c r="X83" s="42">
        <v>0</v>
      </c>
      <c r="Y83" s="42">
        <v>0</v>
      </c>
      <c r="Z83" s="42">
        <v>0</v>
      </c>
      <c r="AA83" s="42"/>
    </row>
    <row r="84" spans="1:28" x14ac:dyDescent="0.3">
      <c r="A84" t="s">
        <v>288</v>
      </c>
      <c r="B84" s="41" t="s">
        <v>297</v>
      </c>
      <c r="C84" s="24" t="s">
        <v>300</v>
      </c>
      <c r="D84" s="42">
        <v>0</v>
      </c>
      <c r="E84" s="42">
        <v>0</v>
      </c>
      <c r="F84" s="42">
        <v>14746.347029702967</v>
      </c>
      <c r="G84" s="42">
        <v>27202.449999999993</v>
      </c>
      <c r="H84" s="42">
        <v>33012.479999999996</v>
      </c>
      <c r="I84" s="42">
        <v>59472.68</v>
      </c>
      <c r="J84" s="42">
        <v>36373.260000000009</v>
      </c>
      <c r="K84" s="42">
        <v>60640.850000000013</v>
      </c>
      <c r="L84" s="42">
        <v>57831.289999999994</v>
      </c>
      <c r="M84" s="42">
        <v>96477.600999999995</v>
      </c>
      <c r="N84" s="42">
        <v>22991.489999999998</v>
      </c>
      <c r="O84" s="42">
        <v>11643.288</v>
      </c>
      <c r="P84" s="42">
        <v>12192.4</v>
      </c>
      <c r="Q84" s="42">
        <v>711.6</v>
      </c>
      <c r="R84" s="42">
        <v>24000</v>
      </c>
      <c r="S84" s="42">
        <v>31916</v>
      </c>
      <c r="T84" s="42">
        <v>8500</v>
      </c>
      <c r="U84" s="42">
        <v>0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/>
    </row>
    <row r="85" spans="1:28" ht="15" thickBot="1" x14ac:dyDescent="0.35">
      <c r="A85" s="43" t="s">
        <v>288</v>
      </c>
      <c r="B85" s="39" t="s">
        <v>297</v>
      </c>
      <c r="C85" s="40" t="s">
        <v>290</v>
      </c>
      <c r="D85" s="44">
        <v>0</v>
      </c>
      <c r="E85" s="44">
        <v>0</v>
      </c>
      <c r="F85" s="44">
        <v>4000</v>
      </c>
      <c r="G85" s="44">
        <v>12000</v>
      </c>
      <c r="H85" s="44">
        <v>12000</v>
      </c>
      <c r="I85" s="44">
        <v>12000</v>
      </c>
      <c r="J85" s="44">
        <v>0</v>
      </c>
      <c r="K85" s="44">
        <v>0</v>
      </c>
      <c r="L85" s="44">
        <v>0</v>
      </c>
      <c r="M85" s="44">
        <v>0</v>
      </c>
      <c r="N85" s="44">
        <v>0</v>
      </c>
      <c r="O85" s="44">
        <v>0</v>
      </c>
      <c r="P85" s="44">
        <v>0</v>
      </c>
      <c r="Q85" s="44">
        <v>0</v>
      </c>
      <c r="R85" s="44">
        <v>0</v>
      </c>
      <c r="S85" s="44">
        <v>12000</v>
      </c>
      <c r="T85" s="44">
        <v>12000</v>
      </c>
      <c r="U85" s="44">
        <v>12000</v>
      </c>
      <c r="V85" s="44">
        <v>9500</v>
      </c>
      <c r="W85" s="44">
        <v>0</v>
      </c>
      <c r="X85" s="44">
        <v>0</v>
      </c>
      <c r="Y85" s="44">
        <v>0</v>
      </c>
      <c r="Z85" s="44">
        <v>0</v>
      </c>
      <c r="AA85" s="44"/>
    </row>
    <row r="86" spans="1:28" ht="15" thickTop="1" x14ac:dyDescent="0.3">
      <c r="B86" s="41"/>
      <c r="D86" s="42">
        <f>SUM(D83:D85)</f>
        <v>0</v>
      </c>
      <c r="E86" s="42">
        <f t="shared" ref="E86:AA86" si="13">SUM(E83:E85)</f>
        <v>0</v>
      </c>
      <c r="F86" s="42">
        <f t="shared" si="13"/>
        <v>21246.347029702967</v>
      </c>
      <c r="G86" s="42">
        <f t="shared" si="13"/>
        <v>47943.30999999999</v>
      </c>
      <c r="H86" s="42">
        <f t="shared" si="13"/>
        <v>87972.07666666669</v>
      </c>
      <c r="I86" s="42">
        <f t="shared" si="13"/>
        <v>182916.15999999995</v>
      </c>
      <c r="J86" s="42">
        <f t="shared" si="13"/>
        <v>122722.31999999979</v>
      </c>
      <c r="K86" s="42">
        <f t="shared" si="13"/>
        <v>133573.0799999999</v>
      </c>
      <c r="L86" s="42">
        <f t="shared" si="13"/>
        <v>101908.655</v>
      </c>
      <c r="M86" s="42">
        <f t="shared" si="13"/>
        <v>113964.515</v>
      </c>
      <c r="N86" s="42">
        <f t="shared" si="13"/>
        <v>40540.35</v>
      </c>
      <c r="O86" s="42">
        <f t="shared" si="13"/>
        <v>58642.057999999997</v>
      </c>
      <c r="P86" s="42">
        <f t="shared" si="13"/>
        <v>48624.58</v>
      </c>
      <c r="Q86" s="42">
        <f t="shared" si="13"/>
        <v>36711.599999999999</v>
      </c>
      <c r="R86" s="42">
        <f t="shared" si="13"/>
        <v>60000</v>
      </c>
      <c r="S86" s="42">
        <f t="shared" si="13"/>
        <v>107916</v>
      </c>
      <c r="T86" s="42">
        <f>SUM(T83:T85)</f>
        <v>85500</v>
      </c>
      <c r="U86" s="42">
        <f t="shared" si="13"/>
        <v>75000</v>
      </c>
      <c r="V86" s="42">
        <f>SUM(V83:V85)</f>
        <v>36500</v>
      </c>
      <c r="W86" s="42">
        <f t="shared" si="13"/>
        <v>0</v>
      </c>
      <c r="X86" s="42">
        <f t="shared" si="13"/>
        <v>0</v>
      </c>
      <c r="Y86" s="42">
        <f t="shared" si="13"/>
        <v>0</v>
      </c>
      <c r="Z86" s="42">
        <f t="shared" si="13"/>
        <v>0</v>
      </c>
      <c r="AA86" s="42">
        <f t="shared" si="13"/>
        <v>0</v>
      </c>
      <c r="AB86" s="33">
        <f>SUM(D86:AA86)</f>
        <v>1361681.0516963692</v>
      </c>
    </row>
    <row r="87" spans="1:28" x14ac:dyDescent="0.3">
      <c r="B87" s="41"/>
    </row>
    <row r="88" spans="1:28" x14ac:dyDescent="0.3">
      <c r="A88" t="s">
        <v>292</v>
      </c>
    </row>
    <row r="89" spans="1:28" ht="15" thickBot="1" x14ac:dyDescent="0.35">
      <c r="A89" s="43" t="s">
        <v>282</v>
      </c>
      <c r="B89" s="39" t="s">
        <v>274</v>
      </c>
      <c r="C89" s="40" t="s">
        <v>283</v>
      </c>
      <c r="D89" s="40">
        <v>47</v>
      </c>
      <c r="E89" s="40">
        <v>48</v>
      </c>
      <c r="F89" s="40">
        <v>49</v>
      </c>
      <c r="G89" s="57">
        <v>50</v>
      </c>
      <c r="H89" s="57">
        <v>51</v>
      </c>
      <c r="I89" s="57">
        <v>52</v>
      </c>
      <c r="J89" s="57">
        <v>1</v>
      </c>
      <c r="K89" s="57">
        <v>2</v>
      </c>
      <c r="L89" s="57">
        <v>3</v>
      </c>
      <c r="M89" s="57">
        <v>4</v>
      </c>
      <c r="N89" s="57">
        <v>5</v>
      </c>
      <c r="O89" s="57">
        <v>6</v>
      </c>
      <c r="P89" s="57">
        <v>7</v>
      </c>
      <c r="Q89" s="57">
        <v>8</v>
      </c>
      <c r="R89" s="57">
        <v>9</v>
      </c>
      <c r="S89" s="57">
        <v>10</v>
      </c>
      <c r="T89" s="57">
        <v>11</v>
      </c>
      <c r="U89" s="57">
        <v>12</v>
      </c>
      <c r="V89" s="57">
        <v>13</v>
      </c>
      <c r="W89" s="57">
        <v>14</v>
      </c>
      <c r="X89" s="57">
        <v>15</v>
      </c>
      <c r="Y89" s="57">
        <v>16</v>
      </c>
      <c r="Z89" s="57">
        <v>17</v>
      </c>
      <c r="AA89" s="57">
        <v>18</v>
      </c>
    </row>
    <row r="90" spans="1:28" ht="15" thickTop="1" x14ac:dyDescent="0.3">
      <c r="A90" t="s">
        <v>288</v>
      </c>
      <c r="B90" t="s">
        <v>293</v>
      </c>
      <c r="D90" s="42">
        <v>100800</v>
      </c>
      <c r="E90" s="42">
        <v>100800</v>
      </c>
      <c r="F90" s="42">
        <v>100800</v>
      </c>
      <c r="G90" s="42">
        <v>84000</v>
      </c>
      <c r="H90" s="42">
        <v>100800</v>
      </c>
      <c r="I90" s="42">
        <v>75600</v>
      </c>
      <c r="J90" s="42">
        <v>75600</v>
      </c>
      <c r="K90" s="42">
        <v>100800</v>
      </c>
      <c r="L90" s="42">
        <v>100800</v>
      </c>
      <c r="M90" s="42">
        <v>100800</v>
      </c>
      <c r="N90" s="42">
        <v>100800</v>
      </c>
      <c r="O90" s="42">
        <v>100800</v>
      </c>
      <c r="P90" s="42">
        <v>100800</v>
      </c>
      <c r="Q90" s="42">
        <v>100800</v>
      </c>
      <c r="R90" s="42">
        <v>100800</v>
      </c>
      <c r="S90" s="42">
        <v>100800</v>
      </c>
      <c r="T90" s="42">
        <v>100800</v>
      </c>
      <c r="U90" s="42">
        <v>100800</v>
      </c>
      <c r="V90" s="42">
        <v>100800</v>
      </c>
      <c r="W90" s="42">
        <v>50400</v>
      </c>
      <c r="X90" s="42">
        <v>100800</v>
      </c>
      <c r="Y90" s="42">
        <v>100800</v>
      </c>
      <c r="Z90" s="42">
        <v>100800</v>
      </c>
      <c r="AA90" s="42">
        <v>84000</v>
      </c>
    </row>
    <row r="91" spans="1:28" x14ac:dyDescent="0.3">
      <c r="T91" s="58"/>
      <c r="U91" s="58"/>
      <c r="V91" s="58"/>
      <c r="W91" s="58"/>
    </row>
    <row r="92" spans="1:28" x14ac:dyDescent="0.3">
      <c r="A92" t="s">
        <v>298</v>
      </c>
      <c r="D92" s="42">
        <f>D90-D86</f>
        <v>100800</v>
      </c>
      <c r="E92" s="42">
        <f t="shared" ref="E92:AA92" si="14">E90-E86</f>
        <v>100800</v>
      </c>
      <c r="F92" s="42">
        <f t="shared" si="14"/>
        <v>79553.652970297029</v>
      </c>
      <c r="G92" s="42">
        <f t="shared" si="14"/>
        <v>36056.69000000001</v>
      </c>
      <c r="H92" s="42">
        <f t="shared" si="14"/>
        <v>12827.92333333331</v>
      </c>
      <c r="I92" s="42">
        <f t="shared" si="14"/>
        <v>-107316.15999999995</v>
      </c>
      <c r="J92" s="42">
        <f t="shared" si="14"/>
        <v>-47122.319999999789</v>
      </c>
      <c r="K92" s="42">
        <f t="shared" si="14"/>
        <v>-32773.0799999999</v>
      </c>
      <c r="L92" s="42">
        <f t="shared" si="14"/>
        <v>-1108.6549999999988</v>
      </c>
      <c r="M92" s="42">
        <f t="shared" si="14"/>
        <v>-13164.514999999999</v>
      </c>
      <c r="N92" s="42">
        <f t="shared" si="14"/>
        <v>60259.65</v>
      </c>
      <c r="O92" s="42">
        <f t="shared" si="14"/>
        <v>42157.942000000003</v>
      </c>
      <c r="P92" s="42">
        <f t="shared" si="14"/>
        <v>52175.42</v>
      </c>
      <c r="Q92" s="42">
        <f t="shared" si="14"/>
        <v>64088.4</v>
      </c>
      <c r="R92" s="42">
        <f t="shared" si="14"/>
        <v>40800</v>
      </c>
      <c r="S92" s="42">
        <f t="shared" si="14"/>
        <v>-7116</v>
      </c>
      <c r="T92" s="42">
        <f t="shared" si="14"/>
        <v>15300</v>
      </c>
      <c r="U92" s="42">
        <f t="shared" si="14"/>
        <v>25800</v>
      </c>
      <c r="V92" s="42">
        <f t="shared" si="14"/>
        <v>64300</v>
      </c>
      <c r="W92" s="42">
        <f t="shared" si="14"/>
        <v>50400</v>
      </c>
      <c r="X92" s="42">
        <f t="shared" si="14"/>
        <v>100800</v>
      </c>
      <c r="Y92" s="42">
        <f t="shared" si="14"/>
        <v>100800</v>
      </c>
      <c r="Z92" s="42">
        <f t="shared" si="14"/>
        <v>100800</v>
      </c>
      <c r="AA92" s="42">
        <f t="shared" si="14"/>
        <v>84000</v>
      </c>
      <c r="AB92" s="55">
        <f>+I92+J92+K92+L92+M92+S92</f>
        <v>-208600.72999999963</v>
      </c>
    </row>
    <row r="93" spans="1:28" x14ac:dyDescent="0.3">
      <c r="K93" s="58"/>
      <c r="L93" s="58"/>
      <c r="M93" s="58"/>
      <c r="N93" s="58"/>
      <c r="T93" s="58"/>
      <c r="U93" s="58"/>
      <c r="V93" s="58"/>
      <c r="W93" s="58"/>
      <c r="AB93" s="58"/>
    </row>
    <row r="94" spans="1:28" x14ac:dyDescent="0.3">
      <c r="K94" s="58"/>
      <c r="L94" s="55"/>
      <c r="M94" s="58"/>
      <c r="N94" s="55"/>
      <c r="O94" s="42"/>
      <c r="P94" s="42"/>
      <c r="Q94" s="42"/>
      <c r="S94" s="42"/>
      <c r="T94" s="55"/>
      <c r="U94" s="58"/>
      <c r="V94" s="58"/>
      <c r="W94" s="58"/>
      <c r="AB94" s="55"/>
    </row>
    <row r="95" spans="1:28" ht="15" thickBot="1" x14ac:dyDescent="0.35">
      <c r="A95" s="43" t="s">
        <v>299</v>
      </c>
      <c r="B95" s="43"/>
      <c r="C95" s="40"/>
      <c r="D95" s="40"/>
      <c r="E95" s="40"/>
      <c r="F95" s="40"/>
      <c r="G95" s="40"/>
      <c r="H95" s="40"/>
      <c r="I95" s="40"/>
      <c r="J95" s="40"/>
      <c r="K95" s="57"/>
      <c r="L95" s="57"/>
      <c r="M95" s="57"/>
      <c r="N95" s="57"/>
      <c r="O95" s="40"/>
      <c r="P95" s="40"/>
      <c r="Q95" s="40"/>
      <c r="R95" s="40"/>
      <c r="S95" s="40"/>
      <c r="T95" s="57"/>
      <c r="U95" s="57"/>
      <c r="V95" s="57"/>
      <c r="W95" s="57"/>
      <c r="X95" s="40"/>
      <c r="Y95" s="40"/>
      <c r="Z95" s="40"/>
      <c r="AA95" s="40"/>
      <c r="AB95" s="58"/>
    </row>
    <row r="96" spans="1:28" ht="15" thickTop="1" x14ac:dyDescent="0.3">
      <c r="D96" s="42">
        <f>+D92+D76</f>
        <v>419155</v>
      </c>
      <c r="E96" s="42">
        <f t="shared" ref="E96:AA96" si="15">+E92+E76</f>
        <v>383012.25</v>
      </c>
      <c r="F96" s="42">
        <f t="shared" si="15"/>
        <v>327960.78897029703</v>
      </c>
      <c r="G96" s="42">
        <f t="shared" si="15"/>
        <v>165639.09450000001</v>
      </c>
      <c r="H96" s="42">
        <f t="shared" si="15"/>
        <v>115274.31133333333</v>
      </c>
      <c r="I96" s="42">
        <f t="shared" si="15"/>
        <v>-175290.11499999987</v>
      </c>
      <c r="J96" s="42">
        <f t="shared" si="15"/>
        <v>-164387.97199999978</v>
      </c>
      <c r="K96" s="42">
        <f t="shared" si="15"/>
        <v>-210213.43499999991</v>
      </c>
      <c r="L96" s="42">
        <f t="shared" si="15"/>
        <v>30545.164999999921</v>
      </c>
      <c r="M96" s="42">
        <f t="shared" si="15"/>
        <v>-18419.484999999986</v>
      </c>
      <c r="N96" s="42">
        <f t="shared" si="15"/>
        <v>38444.2599999999</v>
      </c>
      <c r="O96" s="42">
        <f t="shared" si="15"/>
        <v>58521.842000000019</v>
      </c>
      <c r="P96" s="42">
        <f t="shared" si="15"/>
        <v>124934.14</v>
      </c>
      <c r="Q96" s="42">
        <f t="shared" si="15"/>
        <v>234305.23</v>
      </c>
      <c r="R96" s="42">
        <f t="shared" si="15"/>
        <v>214152.08000000002</v>
      </c>
      <c r="S96" s="42">
        <f t="shared" si="15"/>
        <v>101944.37999999999</v>
      </c>
      <c r="T96" s="42">
        <f t="shared" si="15"/>
        <v>105319.43000000001</v>
      </c>
      <c r="U96" s="42">
        <f t="shared" si="15"/>
        <v>151581.92000000001</v>
      </c>
      <c r="V96" s="42">
        <f t="shared" si="15"/>
        <v>288237.08999999997</v>
      </c>
      <c r="W96" s="42">
        <f t="shared" si="15"/>
        <v>153400</v>
      </c>
      <c r="X96" s="42">
        <f t="shared" si="15"/>
        <v>331680</v>
      </c>
      <c r="Y96" s="42">
        <f t="shared" si="15"/>
        <v>378680</v>
      </c>
      <c r="Z96" s="42">
        <f t="shared" si="15"/>
        <v>393680</v>
      </c>
      <c r="AA96" s="42">
        <f t="shared" si="15"/>
        <v>348080</v>
      </c>
      <c r="AB96" s="55">
        <f>+I96+J96+K96+M96</f>
        <v>-568311.00699999952</v>
      </c>
    </row>
  </sheetData>
  <conditionalFormatting sqref="D57:AA57">
    <cfRule type="cellIs" dxfId="26" priority="13" operator="lessThan">
      <formula>0</formula>
    </cfRule>
  </conditionalFormatting>
  <conditionalFormatting sqref="D74:AA74">
    <cfRule type="cellIs" dxfId="25" priority="11" operator="lessThan">
      <formula>0</formula>
    </cfRule>
  </conditionalFormatting>
  <conditionalFormatting sqref="D76:AA76">
    <cfRule type="cellIs" dxfId="24" priority="10" operator="lessThan">
      <formula>0</formula>
    </cfRule>
  </conditionalFormatting>
  <conditionalFormatting sqref="D92:AA92">
    <cfRule type="cellIs" dxfId="23" priority="9" operator="lessThan">
      <formula>0</formula>
    </cfRule>
  </conditionalFormatting>
  <conditionalFormatting sqref="D96:AA96">
    <cfRule type="cellIs" dxfId="22" priority="8" operator="lessThan">
      <formula>0</formula>
    </cfRule>
  </conditionalFormatting>
  <conditionalFormatting sqref="D10:AB12">
    <cfRule type="cellIs" dxfId="21" priority="7" operator="lessThan">
      <formula>0</formula>
    </cfRule>
  </conditionalFormatting>
  <conditionalFormatting sqref="D17:AB17">
    <cfRule type="cellIs" dxfId="20" priority="6" operator="lessThan">
      <formula>0</formula>
    </cfRule>
  </conditionalFormatting>
  <conditionalFormatting sqref="D24:AB24">
    <cfRule type="cellIs" dxfId="19" priority="3" operator="lessThan">
      <formula>0</formula>
    </cfRule>
  </conditionalFormatting>
  <conditionalFormatting sqref="D28:AB28">
    <cfRule type="cellIs" dxfId="18" priority="1" operator="lessThan">
      <formula>0</formula>
    </cfRule>
  </conditionalFormatting>
  <conditionalFormatting sqref="AB57">
    <cfRule type="cellIs" priority="1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31E3E-C577-4954-B119-F5BC6196042B}">
  <dimension ref="A3:AC104"/>
  <sheetViews>
    <sheetView zoomScale="80" zoomScaleNormal="80" workbookViewId="0">
      <selection sqref="A1:XFD1048576"/>
    </sheetView>
  </sheetViews>
  <sheetFormatPr baseColWidth="10" defaultRowHeight="14.4" x14ac:dyDescent="0.3"/>
  <cols>
    <col min="1" max="1" width="32.21875" customWidth="1"/>
    <col min="2" max="2" width="15.88671875" bestFit="1" customWidth="1"/>
    <col min="3" max="3" width="20.5546875" style="24" bestFit="1" customWidth="1"/>
    <col min="4" max="28" width="11.5546875" style="24"/>
  </cols>
  <sheetData>
    <row r="3" spans="1:29" x14ac:dyDescent="0.3">
      <c r="AB3" s="33">
        <f>+AB4+AB5</f>
        <v>6677162.0251963697</v>
      </c>
      <c r="AC3" t="s">
        <v>242</v>
      </c>
    </row>
    <row r="4" spans="1:29" ht="23.4" x14ac:dyDescent="0.45">
      <c r="A4" s="34" t="s">
        <v>243</v>
      </c>
      <c r="B4" s="35"/>
      <c r="C4" s="36"/>
      <c r="AB4" s="33">
        <f>+AB23+AB8+AB14</f>
        <v>5315480.9735000003</v>
      </c>
      <c r="AC4" t="s">
        <v>244</v>
      </c>
    </row>
    <row r="5" spans="1:29" ht="18" x14ac:dyDescent="0.35">
      <c r="A5" s="37" t="s">
        <v>245</v>
      </c>
      <c r="B5" s="35"/>
      <c r="C5" s="36"/>
      <c r="AB5" s="33">
        <f>AB30</f>
        <v>1361681.0516963692</v>
      </c>
      <c r="AC5" t="s">
        <v>246</v>
      </c>
    </row>
    <row r="6" spans="1:29" ht="18" x14ac:dyDescent="0.35">
      <c r="A6" s="37" t="s">
        <v>247</v>
      </c>
      <c r="D6" s="24" t="s">
        <v>248</v>
      </c>
      <c r="E6" s="24" t="s">
        <v>249</v>
      </c>
      <c r="F6" s="24" t="s">
        <v>250</v>
      </c>
      <c r="G6" s="24" t="s">
        <v>251</v>
      </c>
      <c r="H6" s="24" t="s">
        <v>252</v>
      </c>
      <c r="I6" s="24" t="s">
        <v>253</v>
      </c>
      <c r="J6" s="24" t="s">
        <v>254</v>
      </c>
      <c r="K6" s="24" t="s">
        <v>255</v>
      </c>
      <c r="L6" s="24" t="s">
        <v>256</v>
      </c>
      <c r="M6" s="24" t="s">
        <v>257</v>
      </c>
      <c r="N6" s="24" t="s">
        <v>258</v>
      </c>
      <c r="O6" s="24" t="s">
        <v>259</v>
      </c>
      <c r="P6" s="24" t="s">
        <v>260</v>
      </c>
      <c r="Q6" s="24" t="s">
        <v>261</v>
      </c>
      <c r="R6" s="24" t="s">
        <v>262</v>
      </c>
      <c r="S6" s="24" t="s">
        <v>263</v>
      </c>
      <c r="T6" s="24" t="s">
        <v>264</v>
      </c>
      <c r="U6" s="24" t="s">
        <v>265</v>
      </c>
      <c r="V6" s="24" t="s">
        <v>266</v>
      </c>
      <c r="W6" s="24" t="s">
        <v>267</v>
      </c>
      <c r="X6" s="24" t="s">
        <v>268</v>
      </c>
      <c r="Y6" s="24" t="s">
        <v>269</v>
      </c>
      <c r="Z6" s="24" t="s">
        <v>270</v>
      </c>
      <c r="AA6" s="24" t="s">
        <v>271</v>
      </c>
    </row>
    <row r="7" spans="1:29" ht="16.2" thickBot="1" x14ac:dyDescent="0.35">
      <c r="A7" s="38" t="s">
        <v>302</v>
      </c>
      <c r="B7" s="39" t="s">
        <v>273</v>
      </c>
      <c r="C7" s="40" t="s">
        <v>274</v>
      </c>
      <c r="D7" s="40">
        <v>47</v>
      </c>
      <c r="E7" s="40">
        <v>48</v>
      </c>
      <c r="F7" s="40">
        <v>49</v>
      </c>
      <c r="G7" s="40">
        <v>50</v>
      </c>
      <c r="H7" s="40">
        <v>51</v>
      </c>
      <c r="I7" s="40">
        <v>52</v>
      </c>
      <c r="J7" s="40">
        <v>1</v>
      </c>
      <c r="K7" s="40">
        <v>2</v>
      </c>
      <c r="L7" s="40">
        <v>3</v>
      </c>
      <c r="M7" s="40">
        <v>4</v>
      </c>
      <c r="N7" s="40">
        <v>5</v>
      </c>
      <c r="O7" s="40">
        <v>6</v>
      </c>
      <c r="P7" s="40">
        <v>7</v>
      </c>
      <c r="Q7" s="40">
        <v>8</v>
      </c>
      <c r="R7" s="40">
        <v>9</v>
      </c>
      <c r="S7" s="40">
        <v>10</v>
      </c>
      <c r="T7" s="40">
        <v>11</v>
      </c>
      <c r="U7" s="40">
        <v>12</v>
      </c>
      <c r="V7" s="40">
        <v>13</v>
      </c>
      <c r="W7" s="40">
        <v>14</v>
      </c>
      <c r="X7" s="40">
        <v>15</v>
      </c>
      <c r="Y7" s="40">
        <v>16</v>
      </c>
      <c r="Z7" s="40">
        <v>17</v>
      </c>
      <c r="AA7" s="40">
        <v>18</v>
      </c>
      <c r="AB7" s="40"/>
    </row>
    <row r="8" spans="1:29" ht="15" thickTop="1" x14ac:dyDescent="0.3">
      <c r="A8" s="35" t="s">
        <v>247</v>
      </c>
      <c r="B8" s="24" t="s">
        <v>304</v>
      </c>
      <c r="C8" s="24" t="s">
        <v>276</v>
      </c>
      <c r="D8" s="42">
        <v>4525</v>
      </c>
      <c r="E8" s="42">
        <v>40667.75</v>
      </c>
      <c r="F8" s="42">
        <v>73492.5</v>
      </c>
      <c r="G8" s="42">
        <v>86053.587499999994</v>
      </c>
      <c r="H8" s="42">
        <v>95298.635999999999</v>
      </c>
      <c r="I8" s="42">
        <v>155956.73000000001</v>
      </c>
      <c r="J8" s="42">
        <v>164919.71</v>
      </c>
      <c r="K8" s="42">
        <v>313884.2300000001</v>
      </c>
      <c r="L8" s="42">
        <v>193785.12000000005</v>
      </c>
      <c r="M8" s="42">
        <v>297740.48</v>
      </c>
      <c r="N8" s="42">
        <v>332683.49000000011</v>
      </c>
      <c r="O8" s="42">
        <v>259418.69999999998</v>
      </c>
      <c r="P8" s="42">
        <v>204110.88</v>
      </c>
      <c r="Q8" s="42">
        <v>149541.37</v>
      </c>
      <c r="R8" s="42">
        <v>123415.09999999998</v>
      </c>
      <c r="S8" s="42">
        <v>129697.48000000001</v>
      </c>
      <c r="T8" s="42">
        <v>164818.65</v>
      </c>
      <c r="U8" s="42">
        <v>149071.24</v>
      </c>
      <c r="V8" s="42">
        <v>62942.909999999996</v>
      </c>
      <c r="W8" s="42">
        <v>67000</v>
      </c>
      <c r="X8" s="42">
        <v>55000</v>
      </c>
      <c r="Y8" s="42">
        <v>45000</v>
      </c>
      <c r="Z8" s="42">
        <v>30000</v>
      </c>
      <c r="AA8" s="42"/>
      <c r="AB8" s="42">
        <f>SUM(D8:AA8)</f>
        <v>3199023.5635000002</v>
      </c>
    </row>
    <row r="9" spans="1:29" ht="15" thickBot="1" x14ac:dyDescent="0.35">
      <c r="A9" s="59" t="s">
        <v>301</v>
      </c>
      <c r="B9" s="40" t="s">
        <v>304</v>
      </c>
      <c r="C9" s="40" t="s">
        <v>276</v>
      </c>
      <c r="D9" s="44">
        <v>228800</v>
      </c>
      <c r="E9" s="44">
        <v>228800</v>
      </c>
      <c r="F9" s="44">
        <v>228800</v>
      </c>
      <c r="G9" s="44">
        <v>182000</v>
      </c>
      <c r="H9" s="44">
        <v>228800</v>
      </c>
      <c r="I9" s="44">
        <v>158600</v>
      </c>
      <c r="J9" s="44">
        <v>158600</v>
      </c>
      <c r="K9" s="44">
        <v>228800</v>
      </c>
      <c r="L9" s="44">
        <v>228800</v>
      </c>
      <c r="M9" s="44">
        <v>228800</v>
      </c>
      <c r="N9" s="44">
        <v>228800</v>
      </c>
      <c r="O9" s="44">
        <v>228800</v>
      </c>
      <c r="P9" s="44">
        <v>228800</v>
      </c>
      <c r="Q9" s="44">
        <v>228800</v>
      </c>
      <c r="R9" s="44">
        <v>228800</v>
      </c>
      <c r="S9" s="44">
        <v>228800</v>
      </c>
      <c r="T9" s="44">
        <v>228800</v>
      </c>
      <c r="U9" s="44">
        <v>228800</v>
      </c>
      <c r="V9" s="44">
        <v>228800</v>
      </c>
      <c r="W9" s="44">
        <v>182000</v>
      </c>
      <c r="X9" s="44">
        <v>228800</v>
      </c>
      <c r="Y9" s="44">
        <v>228800</v>
      </c>
      <c r="Z9" s="44">
        <v>228800</v>
      </c>
      <c r="AA9" s="44">
        <v>182000</v>
      </c>
      <c r="AB9" s="40"/>
    </row>
    <row r="10" spans="1:29" ht="15" thickTop="1" x14ac:dyDescent="0.3">
      <c r="B10" s="41"/>
      <c r="D10" s="42">
        <f>+D9-D8</f>
        <v>224275</v>
      </c>
      <c r="E10" s="42">
        <f t="shared" ref="E10:AA10" si="0">+E9-E8</f>
        <v>188132.25</v>
      </c>
      <c r="F10" s="42">
        <f t="shared" si="0"/>
        <v>155307.5</v>
      </c>
      <c r="G10" s="42">
        <f t="shared" si="0"/>
        <v>95946.412500000006</v>
      </c>
      <c r="H10" s="42">
        <f t="shared" si="0"/>
        <v>133501.364</v>
      </c>
      <c r="I10" s="42">
        <f t="shared" si="0"/>
        <v>2643.2699999999895</v>
      </c>
      <c r="J10" s="42">
        <f t="shared" si="0"/>
        <v>-6319.7099999999919</v>
      </c>
      <c r="K10" s="42">
        <f t="shared" si="0"/>
        <v>-85084.230000000098</v>
      </c>
      <c r="L10" s="42">
        <f t="shared" si="0"/>
        <v>35014.879999999946</v>
      </c>
      <c r="M10" s="42">
        <f t="shared" si="0"/>
        <v>-68940.479999999981</v>
      </c>
      <c r="N10" s="42">
        <f t="shared" si="0"/>
        <v>-103883.49000000011</v>
      </c>
      <c r="O10" s="42">
        <f t="shared" si="0"/>
        <v>-30618.699999999983</v>
      </c>
      <c r="P10" s="42">
        <f t="shared" si="0"/>
        <v>24689.119999999995</v>
      </c>
      <c r="Q10" s="42">
        <f t="shared" si="0"/>
        <v>79258.63</v>
      </c>
      <c r="R10" s="42">
        <f t="shared" si="0"/>
        <v>105384.90000000002</v>
      </c>
      <c r="S10" s="42">
        <f t="shared" si="0"/>
        <v>99102.51999999999</v>
      </c>
      <c r="T10" s="42">
        <f t="shared" si="0"/>
        <v>63981.350000000006</v>
      </c>
      <c r="U10" s="42">
        <f t="shared" si="0"/>
        <v>79728.760000000009</v>
      </c>
      <c r="V10" s="42">
        <f t="shared" si="0"/>
        <v>165857.09</v>
      </c>
      <c r="W10" s="42">
        <f t="shared" si="0"/>
        <v>115000</v>
      </c>
      <c r="X10" s="42">
        <f t="shared" si="0"/>
        <v>173800</v>
      </c>
      <c r="Y10" s="42">
        <f t="shared" si="0"/>
        <v>183800</v>
      </c>
      <c r="Z10" s="42">
        <f t="shared" si="0"/>
        <v>198800</v>
      </c>
      <c r="AA10" s="42">
        <f t="shared" si="0"/>
        <v>182000</v>
      </c>
      <c r="AB10" s="42">
        <f>+O10+N10+M10+K10+J10</f>
        <v>-294846.6100000001</v>
      </c>
    </row>
    <row r="11" spans="1:29" x14ac:dyDescent="0.3">
      <c r="B11" s="41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</row>
    <row r="12" spans="1:29" x14ac:dyDescent="0.3">
      <c r="B12" s="41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</row>
    <row r="13" spans="1:29" ht="16.2" thickBot="1" x14ac:dyDescent="0.35">
      <c r="A13" s="38" t="s">
        <v>302</v>
      </c>
      <c r="B13" s="39" t="s">
        <v>273</v>
      </c>
      <c r="C13" s="40" t="s">
        <v>274</v>
      </c>
      <c r="D13" s="40">
        <v>47</v>
      </c>
      <c r="E13" s="40">
        <v>48</v>
      </c>
      <c r="F13" s="40">
        <v>49</v>
      </c>
      <c r="G13" s="40">
        <v>50</v>
      </c>
      <c r="H13" s="40">
        <v>51</v>
      </c>
      <c r="I13" s="40">
        <v>52</v>
      </c>
      <c r="J13" s="40">
        <v>1</v>
      </c>
      <c r="K13" s="40">
        <v>2</v>
      </c>
      <c r="L13" s="40">
        <v>3</v>
      </c>
      <c r="M13" s="40">
        <v>4</v>
      </c>
      <c r="N13" s="40">
        <v>5</v>
      </c>
      <c r="O13" s="40">
        <v>6</v>
      </c>
      <c r="P13" s="40">
        <v>7</v>
      </c>
      <c r="Q13" s="40">
        <v>8</v>
      </c>
      <c r="R13" s="40">
        <v>9</v>
      </c>
      <c r="S13" s="40">
        <v>10</v>
      </c>
      <c r="T13" s="40">
        <v>11</v>
      </c>
      <c r="U13" s="40">
        <v>12</v>
      </c>
      <c r="V13" s="40">
        <v>13</v>
      </c>
      <c r="W13" s="40">
        <v>14</v>
      </c>
      <c r="X13" s="40">
        <v>15</v>
      </c>
      <c r="Y13" s="40">
        <v>16</v>
      </c>
      <c r="Z13" s="40">
        <v>17</v>
      </c>
      <c r="AA13" s="40">
        <v>18</v>
      </c>
      <c r="AB13" s="40"/>
    </row>
    <row r="14" spans="1:29" ht="15" thickTop="1" x14ac:dyDescent="0.3">
      <c r="A14" s="35" t="s">
        <v>247</v>
      </c>
      <c r="B14" s="24" t="s">
        <v>304</v>
      </c>
      <c r="C14" s="24" t="s">
        <v>277</v>
      </c>
      <c r="D14" s="42">
        <v>6000</v>
      </c>
      <c r="E14" s="42">
        <v>9000</v>
      </c>
      <c r="F14" s="42">
        <v>68000</v>
      </c>
      <c r="G14" s="42">
        <v>68000</v>
      </c>
      <c r="H14" s="42">
        <v>57000</v>
      </c>
      <c r="I14" s="42">
        <v>30000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82000</v>
      </c>
      <c r="S14" s="42">
        <v>82000</v>
      </c>
      <c r="T14" s="42">
        <v>56250</v>
      </c>
      <c r="U14" s="42">
        <v>0</v>
      </c>
      <c r="V14" s="42">
        <v>38500</v>
      </c>
      <c r="W14" s="42">
        <v>128000</v>
      </c>
      <c r="X14" s="42">
        <v>90608</v>
      </c>
      <c r="Y14" s="42">
        <v>71000</v>
      </c>
      <c r="Z14" s="42">
        <v>52000</v>
      </c>
      <c r="AA14" s="42"/>
      <c r="AB14" s="42">
        <f>SUM(D14:AA14)</f>
        <v>838358</v>
      </c>
    </row>
    <row r="15" spans="1:29" ht="15" thickBot="1" x14ac:dyDescent="0.35">
      <c r="A15" s="59" t="s">
        <v>301</v>
      </c>
      <c r="B15" s="40" t="s">
        <v>304</v>
      </c>
      <c r="C15" s="40" t="s">
        <v>277</v>
      </c>
      <c r="D15" s="44">
        <v>158400</v>
      </c>
      <c r="E15" s="44">
        <v>158400</v>
      </c>
      <c r="F15" s="44">
        <v>158400</v>
      </c>
      <c r="G15" s="44">
        <v>126000</v>
      </c>
      <c r="H15" s="44">
        <v>158400</v>
      </c>
      <c r="I15" s="44">
        <v>109800</v>
      </c>
      <c r="J15" s="44">
        <v>109800</v>
      </c>
      <c r="K15" s="44">
        <v>158400</v>
      </c>
      <c r="L15" s="44">
        <v>158400</v>
      </c>
      <c r="M15" s="44">
        <v>158400</v>
      </c>
      <c r="N15" s="44">
        <v>158400</v>
      </c>
      <c r="O15" s="44">
        <v>158400</v>
      </c>
      <c r="P15" s="44">
        <v>158400</v>
      </c>
      <c r="Q15" s="44">
        <v>158400</v>
      </c>
      <c r="R15" s="44">
        <v>158400</v>
      </c>
      <c r="S15" s="44">
        <v>158400</v>
      </c>
      <c r="T15" s="44">
        <v>158400</v>
      </c>
      <c r="U15" s="44">
        <v>158400</v>
      </c>
      <c r="V15" s="44">
        <v>158400</v>
      </c>
      <c r="W15" s="44">
        <v>126000</v>
      </c>
      <c r="X15" s="44">
        <v>158400</v>
      </c>
      <c r="Y15" s="44">
        <v>158400</v>
      </c>
      <c r="Z15" s="44">
        <v>158400</v>
      </c>
      <c r="AA15" s="44">
        <v>126000</v>
      </c>
      <c r="AB15" s="40"/>
    </row>
    <row r="16" spans="1:29" ht="15" thickTop="1" x14ac:dyDescent="0.3">
      <c r="B16" s="41"/>
      <c r="D16" s="42">
        <f>+D15-D14</f>
        <v>152400</v>
      </c>
      <c r="E16" s="42">
        <f t="shared" ref="E16:AA16" si="1">+E15-E14</f>
        <v>149400</v>
      </c>
      <c r="F16" s="42">
        <f t="shared" si="1"/>
        <v>90400</v>
      </c>
      <c r="G16" s="42">
        <f t="shared" si="1"/>
        <v>58000</v>
      </c>
      <c r="H16" s="42">
        <f t="shared" si="1"/>
        <v>101400</v>
      </c>
      <c r="I16" s="42">
        <f t="shared" si="1"/>
        <v>79800</v>
      </c>
      <c r="J16" s="42">
        <f t="shared" si="1"/>
        <v>109800</v>
      </c>
      <c r="K16" s="42">
        <f t="shared" si="1"/>
        <v>158400</v>
      </c>
      <c r="L16" s="42">
        <f t="shared" si="1"/>
        <v>158400</v>
      </c>
      <c r="M16" s="42">
        <f t="shared" si="1"/>
        <v>158400</v>
      </c>
      <c r="N16" s="42">
        <f t="shared" si="1"/>
        <v>158400</v>
      </c>
      <c r="O16" s="42">
        <f t="shared" si="1"/>
        <v>158400</v>
      </c>
      <c r="P16" s="42">
        <f t="shared" si="1"/>
        <v>158400</v>
      </c>
      <c r="Q16" s="42">
        <f t="shared" si="1"/>
        <v>158400</v>
      </c>
      <c r="R16" s="42">
        <f t="shared" si="1"/>
        <v>76400</v>
      </c>
      <c r="S16" s="42">
        <f t="shared" si="1"/>
        <v>76400</v>
      </c>
      <c r="T16" s="42">
        <f t="shared" si="1"/>
        <v>102150</v>
      </c>
      <c r="U16" s="42">
        <f t="shared" si="1"/>
        <v>158400</v>
      </c>
      <c r="V16" s="42">
        <f t="shared" si="1"/>
        <v>119900</v>
      </c>
      <c r="W16" s="42">
        <f t="shared" si="1"/>
        <v>-2000</v>
      </c>
      <c r="X16" s="42">
        <f t="shared" si="1"/>
        <v>67792</v>
      </c>
      <c r="Y16" s="42">
        <f t="shared" si="1"/>
        <v>87400</v>
      </c>
      <c r="Z16" s="42">
        <f t="shared" si="1"/>
        <v>106400</v>
      </c>
      <c r="AA16" s="42">
        <f t="shared" si="1"/>
        <v>126000</v>
      </c>
      <c r="AB16" s="42">
        <f>+O16+N16+M16+K16+J16</f>
        <v>743400</v>
      </c>
    </row>
    <row r="17" spans="1:28" x14ac:dyDescent="0.3">
      <c r="B17" s="41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</row>
    <row r="18" spans="1:28" x14ac:dyDescent="0.3">
      <c r="B18" s="41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</row>
    <row r="19" spans="1:28" x14ac:dyDescent="0.3">
      <c r="B19" s="41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</row>
    <row r="20" spans="1:28" x14ac:dyDescent="0.3">
      <c r="B20" s="41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</row>
    <row r="21" spans="1:28" x14ac:dyDescent="0.3">
      <c r="B21" s="41"/>
    </row>
    <row r="22" spans="1:28" ht="16.2" thickBot="1" x14ac:dyDescent="0.35">
      <c r="A22" s="38" t="s">
        <v>303</v>
      </c>
      <c r="B22" s="39" t="s">
        <v>273</v>
      </c>
      <c r="C22" s="40" t="s">
        <v>274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</row>
    <row r="23" spans="1:28" ht="15" thickTop="1" x14ac:dyDescent="0.3">
      <c r="A23" s="35" t="s">
        <v>247</v>
      </c>
      <c r="B23" s="24" t="s">
        <v>224</v>
      </c>
      <c r="C23" s="24" t="s">
        <v>293</v>
      </c>
      <c r="D23" s="42">
        <v>0</v>
      </c>
      <c r="E23" s="42">
        <v>0</v>
      </c>
      <c r="F23" s="42">
        <v>980.36400000000003</v>
      </c>
      <c r="G23" s="42">
        <v>48444.008000000002</v>
      </c>
      <c r="H23" s="42">
        <v>125134.97599999998</v>
      </c>
      <c r="I23" s="42">
        <v>146697.22499999992</v>
      </c>
      <c r="J23" s="42">
        <v>187025.94200000001</v>
      </c>
      <c r="K23" s="42">
        <v>186436.12499999991</v>
      </c>
      <c r="L23" s="42">
        <v>97441.060000000027</v>
      </c>
      <c r="M23" s="42">
        <v>30394.49</v>
      </c>
      <c r="N23" s="42">
        <v>12011.9</v>
      </c>
      <c r="O23" s="42">
        <v>47097.4</v>
      </c>
      <c r="P23" s="42">
        <v>46010.400000000001</v>
      </c>
      <c r="Q23" s="42">
        <v>3121.8</v>
      </c>
      <c r="R23" s="42">
        <v>26112.82</v>
      </c>
      <c r="S23" s="42">
        <v>84122.14</v>
      </c>
      <c r="T23" s="42">
        <v>68041.919999999998</v>
      </c>
      <c r="U23" s="42">
        <v>48026.84</v>
      </c>
      <c r="V23" s="42">
        <v>36000</v>
      </c>
      <c r="W23" s="42">
        <v>48000</v>
      </c>
      <c r="X23" s="42">
        <v>37000</v>
      </c>
      <c r="Y23" s="42">
        <v>0</v>
      </c>
      <c r="Z23" s="42">
        <v>0</v>
      </c>
      <c r="AA23" s="42">
        <v>0</v>
      </c>
      <c r="AB23" s="42">
        <f>SUM(D23:AA23)</f>
        <v>1278099.4099999999</v>
      </c>
    </row>
    <row r="24" spans="1:28" ht="15" thickBot="1" x14ac:dyDescent="0.35">
      <c r="A24" s="59" t="s">
        <v>301</v>
      </c>
      <c r="B24" s="40" t="s">
        <v>224</v>
      </c>
      <c r="C24" s="40" t="s">
        <v>293</v>
      </c>
      <c r="D24" s="44">
        <v>94080</v>
      </c>
      <c r="E24" s="44">
        <v>94080</v>
      </c>
      <c r="F24" s="44">
        <v>94080</v>
      </c>
      <c r="G24" s="44">
        <v>82080</v>
      </c>
      <c r="H24" s="44">
        <v>94080</v>
      </c>
      <c r="I24" s="44">
        <v>76080</v>
      </c>
      <c r="J24" s="44">
        <v>76080</v>
      </c>
      <c r="K24" s="44">
        <v>94080</v>
      </c>
      <c r="L24" s="44">
        <v>94080</v>
      </c>
      <c r="M24" s="44">
        <v>94080</v>
      </c>
      <c r="N24" s="44">
        <v>94080</v>
      </c>
      <c r="O24" s="44">
        <v>94080</v>
      </c>
      <c r="P24" s="44">
        <v>94080</v>
      </c>
      <c r="Q24" s="44">
        <v>94080</v>
      </c>
      <c r="R24" s="44">
        <v>94080</v>
      </c>
      <c r="S24" s="44">
        <v>94080</v>
      </c>
      <c r="T24" s="44">
        <v>94080</v>
      </c>
      <c r="U24" s="44">
        <v>94080</v>
      </c>
      <c r="V24" s="44">
        <v>94080</v>
      </c>
      <c r="W24" s="44">
        <v>36000</v>
      </c>
      <c r="X24" s="44">
        <v>94080</v>
      </c>
      <c r="Y24" s="44">
        <v>94080</v>
      </c>
      <c r="Z24" s="44">
        <v>94080</v>
      </c>
      <c r="AA24" s="44">
        <v>82080</v>
      </c>
      <c r="AB24" s="44"/>
    </row>
    <row r="25" spans="1:28" ht="15" thickTop="1" x14ac:dyDescent="0.3">
      <c r="B25" s="41"/>
      <c r="D25" s="42">
        <f>D24-D23</f>
        <v>94080</v>
      </c>
      <c r="E25" s="42">
        <f t="shared" ref="E25:AA25" si="2">E24-E23</f>
        <v>94080</v>
      </c>
      <c r="F25" s="42">
        <f t="shared" si="2"/>
        <v>93099.635999999999</v>
      </c>
      <c r="G25" s="42">
        <f t="shared" si="2"/>
        <v>33635.991999999998</v>
      </c>
      <c r="H25" s="42">
        <f t="shared" si="2"/>
        <v>-31054.975999999981</v>
      </c>
      <c r="I25" s="42">
        <f t="shared" si="2"/>
        <v>-70617.224999999919</v>
      </c>
      <c r="J25" s="42">
        <f t="shared" si="2"/>
        <v>-110945.94200000001</v>
      </c>
      <c r="K25" s="42">
        <f t="shared" si="2"/>
        <v>-92356.124999999913</v>
      </c>
      <c r="L25" s="42">
        <f t="shared" si="2"/>
        <v>-3361.0600000000268</v>
      </c>
      <c r="M25" s="42">
        <f t="shared" si="2"/>
        <v>63685.509999999995</v>
      </c>
      <c r="N25" s="42">
        <f t="shared" si="2"/>
        <v>82068.100000000006</v>
      </c>
      <c r="O25" s="42">
        <f t="shared" si="2"/>
        <v>46982.6</v>
      </c>
      <c r="P25" s="42">
        <f t="shared" si="2"/>
        <v>48069.599999999999</v>
      </c>
      <c r="Q25" s="42">
        <f t="shared" si="2"/>
        <v>90958.2</v>
      </c>
      <c r="R25" s="42">
        <f t="shared" si="2"/>
        <v>67967.179999999993</v>
      </c>
      <c r="S25" s="42">
        <f t="shared" si="2"/>
        <v>9957.86</v>
      </c>
      <c r="T25" s="42">
        <f t="shared" si="2"/>
        <v>26038.080000000002</v>
      </c>
      <c r="U25" s="42">
        <f t="shared" si="2"/>
        <v>46053.16</v>
      </c>
      <c r="V25" s="42">
        <f t="shared" si="2"/>
        <v>58080</v>
      </c>
      <c r="W25" s="42">
        <f t="shared" si="2"/>
        <v>-12000</v>
      </c>
      <c r="X25" s="42">
        <f t="shared" si="2"/>
        <v>57080</v>
      </c>
      <c r="Y25" s="42">
        <f t="shared" si="2"/>
        <v>94080</v>
      </c>
      <c r="Z25" s="42">
        <f t="shared" si="2"/>
        <v>94080</v>
      </c>
      <c r="AA25" s="42">
        <f t="shared" si="2"/>
        <v>82080</v>
      </c>
      <c r="AB25" s="42">
        <f>+W25+L25+K25+J25+I25+H25</f>
        <v>-320335.3279999998</v>
      </c>
    </row>
    <row r="26" spans="1:28" x14ac:dyDescent="0.3">
      <c r="B26" s="41"/>
    </row>
    <row r="27" spans="1:28" ht="21" x14ac:dyDescent="0.4">
      <c r="A27" s="53" t="s">
        <v>296</v>
      </c>
      <c r="B27" s="41"/>
    </row>
    <row r="28" spans="1:28" ht="18" x14ac:dyDescent="0.35">
      <c r="A28" s="37" t="s">
        <v>247</v>
      </c>
      <c r="B28" s="41"/>
    </row>
    <row r="29" spans="1:28" ht="16.2" thickBot="1" x14ac:dyDescent="0.35">
      <c r="A29" s="38" t="s">
        <v>303</v>
      </c>
      <c r="B29" s="39" t="s">
        <v>273</v>
      </c>
      <c r="C29" s="40" t="s">
        <v>274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</row>
    <row r="30" spans="1:28" ht="15" thickTop="1" x14ac:dyDescent="0.3">
      <c r="A30" s="35" t="s">
        <v>247</v>
      </c>
      <c r="B30" s="24" t="s">
        <v>297</v>
      </c>
      <c r="C30" s="24" t="s">
        <v>305</v>
      </c>
      <c r="D30" s="42">
        <v>0</v>
      </c>
      <c r="E30" s="42">
        <v>0</v>
      </c>
      <c r="F30" s="42">
        <v>21246.347029702967</v>
      </c>
      <c r="G30" s="42">
        <v>47943.30999999999</v>
      </c>
      <c r="H30" s="42">
        <v>87972.07666666669</v>
      </c>
      <c r="I30" s="42">
        <v>182916.15999999995</v>
      </c>
      <c r="J30" s="42">
        <v>122722.31999999979</v>
      </c>
      <c r="K30" s="42">
        <v>133573.0799999999</v>
      </c>
      <c r="L30" s="42">
        <v>101908.655</v>
      </c>
      <c r="M30" s="42">
        <v>113964.515</v>
      </c>
      <c r="N30" s="42">
        <v>40540.35</v>
      </c>
      <c r="O30" s="42">
        <v>58642.057999999997</v>
      </c>
      <c r="P30" s="42">
        <v>48624.58</v>
      </c>
      <c r="Q30" s="42">
        <v>36711.599999999999</v>
      </c>
      <c r="R30" s="42">
        <v>60000</v>
      </c>
      <c r="S30" s="42">
        <v>107916</v>
      </c>
      <c r="T30" s="42">
        <v>85500</v>
      </c>
      <c r="U30" s="42">
        <v>75000</v>
      </c>
      <c r="V30" s="42">
        <v>36500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f>SUM(D30:AA30)</f>
        <v>1361681.0516963692</v>
      </c>
    </row>
    <row r="31" spans="1:28" ht="15" thickBot="1" x14ac:dyDescent="0.35">
      <c r="A31" s="59" t="s">
        <v>301</v>
      </c>
      <c r="B31" s="40" t="s">
        <v>297</v>
      </c>
      <c r="C31" s="40" t="s">
        <v>305</v>
      </c>
      <c r="D31" s="44">
        <v>100800</v>
      </c>
      <c r="E31" s="44">
        <v>100800</v>
      </c>
      <c r="F31" s="44">
        <v>100800</v>
      </c>
      <c r="G31" s="44">
        <v>84000</v>
      </c>
      <c r="H31" s="44">
        <v>100800</v>
      </c>
      <c r="I31" s="44">
        <v>75600</v>
      </c>
      <c r="J31" s="44">
        <v>75600</v>
      </c>
      <c r="K31" s="44">
        <v>100800</v>
      </c>
      <c r="L31" s="44">
        <v>100800</v>
      </c>
      <c r="M31" s="44">
        <v>100800</v>
      </c>
      <c r="N31" s="44">
        <v>100800</v>
      </c>
      <c r="O31" s="44">
        <v>100800</v>
      </c>
      <c r="P31" s="44">
        <v>100800</v>
      </c>
      <c r="Q31" s="44">
        <v>100800</v>
      </c>
      <c r="R31" s="44">
        <v>100800</v>
      </c>
      <c r="S31" s="44">
        <v>100800</v>
      </c>
      <c r="T31" s="44">
        <v>100800</v>
      </c>
      <c r="U31" s="44">
        <v>100800</v>
      </c>
      <c r="V31" s="44">
        <v>100800</v>
      </c>
      <c r="W31" s="44">
        <v>50400</v>
      </c>
      <c r="X31" s="44">
        <v>100800</v>
      </c>
      <c r="Y31" s="44">
        <v>100800</v>
      </c>
      <c r="Z31" s="44">
        <v>100800</v>
      </c>
      <c r="AA31" s="44">
        <v>84000</v>
      </c>
      <c r="AB31" s="44"/>
    </row>
    <row r="32" spans="1:28" ht="15" thickTop="1" x14ac:dyDescent="0.3">
      <c r="B32" s="41"/>
      <c r="D32" s="42">
        <f>D31-D30</f>
        <v>100800</v>
      </c>
      <c r="E32" s="42">
        <f t="shared" ref="E32:AA32" si="3">E31-E30</f>
        <v>100800</v>
      </c>
      <c r="F32" s="42">
        <f t="shared" si="3"/>
        <v>79553.652970297029</v>
      </c>
      <c r="G32" s="42">
        <f t="shared" si="3"/>
        <v>36056.69000000001</v>
      </c>
      <c r="H32" s="42">
        <f t="shared" si="3"/>
        <v>12827.92333333331</v>
      </c>
      <c r="I32" s="42">
        <f t="shared" si="3"/>
        <v>-107316.15999999995</v>
      </c>
      <c r="J32" s="42">
        <f t="shared" si="3"/>
        <v>-47122.319999999789</v>
      </c>
      <c r="K32" s="42">
        <f t="shared" si="3"/>
        <v>-32773.0799999999</v>
      </c>
      <c r="L32" s="42">
        <f t="shared" si="3"/>
        <v>-1108.6549999999988</v>
      </c>
      <c r="M32" s="42">
        <f t="shared" si="3"/>
        <v>-13164.514999999999</v>
      </c>
      <c r="N32" s="42">
        <f t="shared" si="3"/>
        <v>60259.65</v>
      </c>
      <c r="O32" s="42">
        <f t="shared" si="3"/>
        <v>42157.942000000003</v>
      </c>
      <c r="P32" s="42">
        <f t="shared" si="3"/>
        <v>52175.42</v>
      </c>
      <c r="Q32" s="42">
        <f t="shared" si="3"/>
        <v>64088.4</v>
      </c>
      <c r="R32" s="42">
        <f t="shared" si="3"/>
        <v>40800</v>
      </c>
      <c r="S32" s="42">
        <f t="shared" si="3"/>
        <v>-7116</v>
      </c>
      <c r="T32" s="42">
        <f t="shared" si="3"/>
        <v>15300</v>
      </c>
      <c r="U32" s="42">
        <f t="shared" si="3"/>
        <v>25800</v>
      </c>
      <c r="V32" s="42">
        <f t="shared" si="3"/>
        <v>64300</v>
      </c>
      <c r="W32" s="42">
        <f t="shared" si="3"/>
        <v>50400</v>
      </c>
      <c r="X32" s="42">
        <f t="shared" si="3"/>
        <v>100800</v>
      </c>
      <c r="Y32" s="42">
        <f t="shared" si="3"/>
        <v>100800</v>
      </c>
      <c r="Z32" s="42">
        <f t="shared" si="3"/>
        <v>100800</v>
      </c>
      <c r="AA32" s="42">
        <f t="shared" si="3"/>
        <v>84000</v>
      </c>
      <c r="AB32" s="42">
        <f>+S32+M32+L32+K32+J32+I32</f>
        <v>-208600.72999999963</v>
      </c>
    </row>
    <row r="33" spans="1:28" x14ac:dyDescent="0.3">
      <c r="B33" s="41"/>
    </row>
    <row r="34" spans="1:28" x14ac:dyDescent="0.3">
      <c r="B34" s="41"/>
    </row>
    <row r="35" spans="1:28" ht="15" thickBot="1" x14ac:dyDescent="0.35">
      <c r="A35" s="43" t="s">
        <v>306</v>
      </c>
      <c r="B35" s="39" t="s">
        <v>273</v>
      </c>
      <c r="C35" s="40" t="s">
        <v>274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</row>
    <row r="36" spans="1:28" ht="15" thickTop="1" x14ac:dyDescent="0.3">
      <c r="A36" t="s">
        <v>309</v>
      </c>
      <c r="B36" s="41" t="s">
        <v>307</v>
      </c>
      <c r="C36" s="24" t="s">
        <v>308</v>
      </c>
      <c r="D36" s="42">
        <f>((D31+D24)-(D23+D30))</f>
        <v>194880</v>
      </c>
      <c r="E36" s="42">
        <f t="shared" ref="E36:AA36" si="4">((E31+E24)-(E23+E30))</f>
        <v>194880</v>
      </c>
      <c r="F36" s="42">
        <f t="shared" si="4"/>
        <v>172653.28897029703</v>
      </c>
      <c r="G36" s="42">
        <f t="shared" si="4"/>
        <v>69692.682000000001</v>
      </c>
      <c r="H36" s="42">
        <f t="shared" si="4"/>
        <v>-18227.052666666685</v>
      </c>
      <c r="I36" s="42">
        <f t="shared" si="4"/>
        <v>-177933.38499999989</v>
      </c>
      <c r="J36" s="42">
        <f t="shared" si="4"/>
        <v>-158068.26199999981</v>
      </c>
      <c r="K36" s="42">
        <f t="shared" si="4"/>
        <v>-125129.20499999984</v>
      </c>
      <c r="L36" s="42">
        <f t="shared" si="4"/>
        <v>-4469.7150000000256</v>
      </c>
      <c r="M36" s="42">
        <f t="shared" si="4"/>
        <v>50520.994999999995</v>
      </c>
      <c r="N36" s="42">
        <f t="shared" si="4"/>
        <v>142327.75</v>
      </c>
      <c r="O36" s="42">
        <f t="shared" si="4"/>
        <v>89140.542000000001</v>
      </c>
      <c r="P36" s="42">
        <f t="shared" si="4"/>
        <v>100245.01999999999</v>
      </c>
      <c r="Q36" s="42">
        <f t="shared" si="4"/>
        <v>155046.6</v>
      </c>
      <c r="R36" s="42">
        <f t="shared" si="4"/>
        <v>108767.18</v>
      </c>
      <c r="S36" s="42">
        <f t="shared" si="4"/>
        <v>2841.859999999986</v>
      </c>
      <c r="T36" s="42">
        <f t="shared" si="4"/>
        <v>41338.080000000016</v>
      </c>
      <c r="U36" s="42">
        <f t="shared" si="4"/>
        <v>71853.16</v>
      </c>
      <c r="V36" s="42">
        <f t="shared" si="4"/>
        <v>122380</v>
      </c>
      <c r="W36" s="42">
        <f t="shared" si="4"/>
        <v>38400</v>
      </c>
      <c r="X36" s="42">
        <f t="shared" si="4"/>
        <v>157880</v>
      </c>
      <c r="Y36" s="42">
        <f t="shared" si="4"/>
        <v>194880</v>
      </c>
      <c r="Z36" s="42">
        <f t="shared" si="4"/>
        <v>194880</v>
      </c>
      <c r="AA36" s="42">
        <f t="shared" si="4"/>
        <v>166080</v>
      </c>
      <c r="AB36" s="42">
        <f>+L36+K36+J36+I36+H36</f>
        <v>-483827.61966666626</v>
      </c>
    </row>
    <row r="37" spans="1:28" x14ac:dyDescent="0.3">
      <c r="B37" s="41"/>
    </row>
    <row r="38" spans="1:28" x14ac:dyDescent="0.3">
      <c r="B38" s="41"/>
    </row>
    <row r="39" spans="1:28" x14ac:dyDescent="0.3">
      <c r="B39" s="41"/>
    </row>
    <row r="40" spans="1:28" x14ac:dyDescent="0.3">
      <c r="B40" s="41"/>
    </row>
    <row r="41" spans="1:28" x14ac:dyDescent="0.3">
      <c r="B41" s="41"/>
    </row>
    <row r="42" spans="1:28" x14ac:dyDescent="0.3">
      <c r="B42" s="41"/>
    </row>
    <row r="43" spans="1:28" x14ac:dyDescent="0.3">
      <c r="B43" s="41"/>
    </row>
    <row r="44" spans="1:28" x14ac:dyDescent="0.3">
      <c r="B44" s="41"/>
    </row>
    <row r="45" spans="1:28" x14ac:dyDescent="0.3">
      <c r="B45" s="41"/>
    </row>
    <row r="46" spans="1:28" x14ac:dyDescent="0.3">
      <c r="B46" s="41"/>
    </row>
    <row r="47" spans="1:28" x14ac:dyDescent="0.3">
      <c r="B47" s="41"/>
    </row>
    <row r="48" spans="1:28" x14ac:dyDescent="0.3">
      <c r="B48" s="41"/>
    </row>
    <row r="49" spans="1:28" x14ac:dyDescent="0.3">
      <c r="B49" s="41"/>
    </row>
    <row r="50" spans="1:28" x14ac:dyDescent="0.3">
      <c r="B50" s="41"/>
    </row>
    <row r="51" spans="1:28" x14ac:dyDescent="0.3">
      <c r="B51" s="41"/>
    </row>
    <row r="52" spans="1:28" x14ac:dyDescent="0.3">
      <c r="B52" s="41"/>
    </row>
    <row r="53" spans="1:28" x14ac:dyDescent="0.3">
      <c r="B53" s="41"/>
    </row>
    <row r="54" spans="1:28" x14ac:dyDescent="0.3">
      <c r="B54" s="41"/>
    </row>
    <row r="55" spans="1:28" x14ac:dyDescent="0.3">
      <c r="B55" s="41"/>
    </row>
    <row r="56" spans="1:28" x14ac:dyDescent="0.3">
      <c r="B56" s="41"/>
    </row>
    <row r="57" spans="1:28" x14ac:dyDescent="0.3">
      <c r="A57" t="s">
        <v>278</v>
      </c>
      <c r="B57" s="41"/>
    </row>
    <row r="58" spans="1:28" x14ac:dyDescent="0.3">
      <c r="A58" t="s">
        <v>279</v>
      </c>
      <c r="B58" s="45">
        <v>2600</v>
      </c>
    </row>
    <row r="59" spans="1:28" x14ac:dyDescent="0.3">
      <c r="A59" t="s">
        <v>280</v>
      </c>
      <c r="B59" s="41">
        <v>44</v>
      </c>
    </row>
    <row r="60" spans="1:28" x14ac:dyDescent="0.3">
      <c r="A60" t="s">
        <v>281</v>
      </c>
      <c r="B60" s="41"/>
      <c r="D60" s="24" t="s">
        <v>248</v>
      </c>
      <c r="E60" s="24" t="s">
        <v>249</v>
      </c>
      <c r="F60" s="24" t="s">
        <v>250</v>
      </c>
      <c r="G60" s="24" t="s">
        <v>251</v>
      </c>
      <c r="H60" s="24" t="s">
        <v>252</v>
      </c>
      <c r="I60" s="24" t="s">
        <v>253</v>
      </c>
      <c r="J60" s="24" t="s">
        <v>254</v>
      </c>
      <c r="K60" s="24" t="s">
        <v>255</v>
      </c>
      <c r="L60" s="24" t="s">
        <v>256</v>
      </c>
      <c r="M60" s="24" t="s">
        <v>257</v>
      </c>
      <c r="N60" s="24" t="s">
        <v>258</v>
      </c>
      <c r="O60" s="24" t="s">
        <v>259</v>
      </c>
      <c r="P60" s="24" t="s">
        <v>260</v>
      </c>
      <c r="Q60" s="24" t="s">
        <v>261</v>
      </c>
      <c r="R60" s="24" t="s">
        <v>262</v>
      </c>
      <c r="S60" s="24" t="s">
        <v>263</v>
      </c>
      <c r="T60" s="24" t="s">
        <v>264</v>
      </c>
      <c r="U60" s="24" t="s">
        <v>265</v>
      </c>
      <c r="V60" s="24" t="s">
        <v>266</v>
      </c>
      <c r="W60" s="24" t="s">
        <v>267</v>
      </c>
      <c r="X60" s="24" t="s">
        <v>268</v>
      </c>
      <c r="Y60" s="24" t="s">
        <v>269</v>
      </c>
      <c r="Z60" s="24" t="s">
        <v>270</v>
      </c>
      <c r="AA60" s="24" t="s">
        <v>271</v>
      </c>
    </row>
    <row r="61" spans="1:28" ht="15" thickBot="1" x14ac:dyDescent="0.35">
      <c r="A61" s="43" t="s">
        <v>282</v>
      </c>
      <c r="B61" s="39" t="s">
        <v>274</v>
      </c>
      <c r="C61" s="40" t="s">
        <v>283</v>
      </c>
      <c r="D61" s="40">
        <v>47</v>
      </c>
      <c r="E61" s="40">
        <v>48</v>
      </c>
      <c r="F61" s="40">
        <v>49</v>
      </c>
      <c r="G61" s="57">
        <v>50</v>
      </c>
      <c r="H61" s="40">
        <v>51</v>
      </c>
      <c r="I61" s="57">
        <v>52</v>
      </c>
      <c r="J61" s="57">
        <v>1</v>
      </c>
      <c r="K61" s="40">
        <v>2</v>
      </c>
      <c r="L61" s="40">
        <v>3</v>
      </c>
      <c r="M61" s="40">
        <v>4</v>
      </c>
      <c r="N61" s="40">
        <v>5</v>
      </c>
      <c r="O61" s="40">
        <v>6</v>
      </c>
      <c r="P61" s="40">
        <v>7</v>
      </c>
      <c r="Q61" s="40">
        <v>8</v>
      </c>
      <c r="R61" s="40">
        <v>9</v>
      </c>
      <c r="S61" s="40">
        <v>10</v>
      </c>
      <c r="T61" s="40">
        <v>11</v>
      </c>
      <c r="U61" s="40">
        <v>12</v>
      </c>
      <c r="V61" s="40">
        <v>13</v>
      </c>
      <c r="W61" s="57">
        <v>14</v>
      </c>
      <c r="X61" s="40">
        <v>15</v>
      </c>
      <c r="Y61" s="40">
        <v>16</v>
      </c>
      <c r="Z61" s="40">
        <v>17</v>
      </c>
      <c r="AA61" s="57">
        <v>18</v>
      </c>
    </row>
    <row r="62" spans="1:28" ht="15.6" thickTop="1" thickBot="1" x14ac:dyDescent="0.35">
      <c r="A62" s="46" t="s">
        <v>275</v>
      </c>
      <c r="B62" s="47" t="s">
        <v>284</v>
      </c>
      <c r="C62" s="48">
        <v>2</v>
      </c>
      <c r="D62" s="49">
        <f>(($B$58*$B$59))*2</f>
        <v>228800</v>
      </c>
      <c r="E62" s="49">
        <f>(($B$58*$B$59))*2</f>
        <v>228800</v>
      </c>
      <c r="F62" s="49">
        <f>(($B$58*$B$59))*2</f>
        <v>228800</v>
      </c>
      <c r="G62" s="49">
        <f>(35*B58)*2</f>
        <v>182000</v>
      </c>
      <c r="H62" s="49">
        <f>(($B$58*$B$59))*2</f>
        <v>228800</v>
      </c>
      <c r="I62" s="49">
        <f>(30.5*B58)*2</f>
        <v>158600</v>
      </c>
      <c r="J62" s="49">
        <f>(30.5*B58)*2</f>
        <v>158600</v>
      </c>
      <c r="K62" s="49">
        <f t="shared" ref="K62:V62" si="5">(($B$58*$B$59))*2</f>
        <v>228800</v>
      </c>
      <c r="L62" s="49">
        <f t="shared" si="5"/>
        <v>228800</v>
      </c>
      <c r="M62" s="49">
        <f t="shared" si="5"/>
        <v>228800</v>
      </c>
      <c r="N62" s="49">
        <f t="shared" si="5"/>
        <v>228800</v>
      </c>
      <c r="O62" s="49">
        <f t="shared" si="5"/>
        <v>228800</v>
      </c>
      <c r="P62" s="49">
        <f t="shared" si="5"/>
        <v>228800</v>
      </c>
      <c r="Q62" s="49">
        <f t="shared" si="5"/>
        <v>228800</v>
      </c>
      <c r="R62" s="49">
        <f t="shared" si="5"/>
        <v>228800</v>
      </c>
      <c r="S62" s="49">
        <f t="shared" si="5"/>
        <v>228800</v>
      </c>
      <c r="T62" s="49">
        <f t="shared" si="5"/>
        <v>228800</v>
      </c>
      <c r="U62" s="49">
        <f t="shared" si="5"/>
        <v>228800</v>
      </c>
      <c r="V62" s="49">
        <f t="shared" si="5"/>
        <v>228800</v>
      </c>
      <c r="W62" s="49">
        <f>(35*B58)*2</f>
        <v>182000</v>
      </c>
      <c r="X62" s="49">
        <f>(($B$58*$B$59))*2</f>
        <v>228800</v>
      </c>
      <c r="Y62" s="49">
        <f>(($B$58*$B$59))*2</f>
        <v>228800</v>
      </c>
      <c r="Z62" s="49">
        <f>(($B$58*$B$59))*2</f>
        <v>228800</v>
      </c>
      <c r="AA62" s="49">
        <f>(35*B58)*2</f>
        <v>182000</v>
      </c>
    </row>
    <row r="63" spans="1:28" ht="15" thickTop="1" x14ac:dyDescent="0.3">
      <c r="B63" s="41"/>
      <c r="D63" s="42">
        <f t="shared" ref="D63:AA63" si="6">SUM(D62:D62)</f>
        <v>228800</v>
      </c>
      <c r="E63" s="42">
        <f t="shared" si="6"/>
        <v>228800</v>
      </c>
      <c r="F63" s="42">
        <f t="shared" si="6"/>
        <v>228800</v>
      </c>
      <c r="G63" s="42">
        <f t="shared" si="6"/>
        <v>182000</v>
      </c>
      <c r="H63" s="42">
        <f t="shared" si="6"/>
        <v>228800</v>
      </c>
      <c r="I63" s="42">
        <f t="shared" si="6"/>
        <v>158600</v>
      </c>
      <c r="J63" s="42">
        <f t="shared" si="6"/>
        <v>158600</v>
      </c>
      <c r="K63" s="42">
        <f t="shared" si="6"/>
        <v>228800</v>
      </c>
      <c r="L63" s="42">
        <f t="shared" si="6"/>
        <v>228800</v>
      </c>
      <c r="M63" s="42">
        <f t="shared" si="6"/>
        <v>228800</v>
      </c>
      <c r="N63" s="42">
        <f t="shared" si="6"/>
        <v>228800</v>
      </c>
      <c r="O63" s="42">
        <f t="shared" si="6"/>
        <v>228800</v>
      </c>
      <c r="P63" s="42">
        <f t="shared" si="6"/>
        <v>228800</v>
      </c>
      <c r="Q63" s="42">
        <f t="shared" si="6"/>
        <v>228800</v>
      </c>
      <c r="R63" s="42">
        <f t="shared" si="6"/>
        <v>228800</v>
      </c>
      <c r="S63" s="42">
        <f t="shared" si="6"/>
        <v>228800</v>
      </c>
      <c r="T63" s="42">
        <f t="shared" si="6"/>
        <v>228800</v>
      </c>
      <c r="U63" s="42">
        <f t="shared" si="6"/>
        <v>228800</v>
      </c>
      <c r="V63" s="42">
        <f t="shared" si="6"/>
        <v>228800</v>
      </c>
      <c r="W63" s="42">
        <f t="shared" si="6"/>
        <v>182000</v>
      </c>
      <c r="X63" s="42">
        <f t="shared" si="6"/>
        <v>228800</v>
      </c>
      <c r="Y63" s="42">
        <f t="shared" si="6"/>
        <v>228800</v>
      </c>
      <c r="Z63" s="42">
        <f t="shared" si="6"/>
        <v>228800</v>
      </c>
      <c r="AA63" s="42">
        <f t="shared" si="6"/>
        <v>182000</v>
      </c>
      <c r="AB63" s="42"/>
    </row>
    <row r="64" spans="1:28" ht="15" thickBot="1" x14ac:dyDescent="0.35">
      <c r="A64" s="43" t="s">
        <v>285</v>
      </c>
      <c r="B64" s="39"/>
      <c r="C64" s="40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55"/>
    </row>
    <row r="65" spans="1:29" ht="15" thickTop="1" x14ac:dyDescent="0.3">
      <c r="B65" s="41"/>
      <c r="D65" s="42">
        <f t="shared" ref="D65:AA65" si="7">+D63-D8</f>
        <v>224275</v>
      </c>
      <c r="E65" s="42">
        <f t="shared" si="7"/>
        <v>188132.25</v>
      </c>
      <c r="F65" s="42">
        <f t="shared" si="7"/>
        <v>155307.5</v>
      </c>
      <c r="G65" s="42">
        <f t="shared" si="7"/>
        <v>95946.412500000006</v>
      </c>
      <c r="H65" s="42">
        <f t="shared" si="7"/>
        <v>133501.364</v>
      </c>
      <c r="I65" s="42">
        <f t="shared" si="7"/>
        <v>2643.2699999999895</v>
      </c>
      <c r="J65" s="42">
        <f t="shared" si="7"/>
        <v>-6319.7099999999919</v>
      </c>
      <c r="K65" s="42">
        <f t="shared" si="7"/>
        <v>-85084.230000000098</v>
      </c>
      <c r="L65" s="42">
        <f t="shared" si="7"/>
        <v>35014.879999999946</v>
      </c>
      <c r="M65" s="42">
        <f t="shared" si="7"/>
        <v>-68940.479999999981</v>
      </c>
      <c r="N65" s="42">
        <f t="shared" si="7"/>
        <v>-103883.49000000011</v>
      </c>
      <c r="O65" s="42">
        <f t="shared" si="7"/>
        <v>-30618.699999999983</v>
      </c>
      <c r="P65" s="42">
        <f t="shared" si="7"/>
        <v>24689.119999999995</v>
      </c>
      <c r="Q65" s="42">
        <f t="shared" si="7"/>
        <v>79258.63</v>
      </c>
      <c r="R65" s="42">
        <f t="shared" si="7"/>
        <v>105384.90000000002</v>
      </c>
      <c r="S65" s="42">
        <f t="shared" si="7"/>
        <v>99102.51999999999</v>
      </c>
      <c r="T65" s="42">
        <f t="shared" si="7"/>
        <v>63981.350000000006</v>
      </c>
      <c r="U65" s="42">
        <f t="shared" si="7"/>
        <v>79728.760000000009</v>
      </c>
      <c r="V65" s="42">
        <f t="shared" si="7"/>
        <v>165857.09</v>
      </c>
      <c r="W65" s="42">
        <f t="shared" si="7"/>
        <v>115000</v>
      </c>
      <c r="X65" s="42">
        <f t="shared" si="7"/>
        <v>173800</v>
      </c>
      <c r="Y65" s="42">
        <f t="shared" si="7"/>
        <v>183800</v>
      </c>
      <c r="Z65" s="42">
        <f t="shared" si="7"/>
        <v>198800</v>
      </c>
      <c r="AA65" s="42">
        <f t="shared" si="7"/>
        <v>182000</v>
      </c>
      <c r="AB65" s="42">
        <f>+J65+K65+M65+N65+O65</f>
        <v>-294846.6100000001</v>
      </c>
      <c r="AC65" t="s">
        <v>286</v>
      </c>
    </row>
    <row r="66" spans="1:29" x14ac:dyDescent="0.3">
      <c r="B66" s="41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spans="1:29" x14ac:dyDescent="0.3">
      <c r="B67" s="41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</row>
    <row r="68" spans="1:29" ht="15.6" x14ac:dyDescent="0.3">
      <c r="A68" s="52" t="s">
        <v>287</v>
      </c>
      <c r="B68" s="41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</row>
    <row r="69" spans="1:29" ht="15.6" x14ac:dyDescent="0.3">
      <c r="A69" s="52" t="s">
        <v>247</v>
      </c>
      <c r="B69" s="41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</row>
    <row r="70" spans="1:29" ht="15" thickBot="1" x14ac:dyDescent="0.35">
      <c r="A70" s="43" t="s">
        <v>272</v>
      </c>
      <c r="B70" s="39" t="s">
        <v>273</v>
      </c>
      <c r="C70" s="43" t="s">
        <v>274</v>
      </c>
      <c r="D70" s="40">
        <v>47</v>
      </c>
      <c r="E70" s="40">
        <v>48</v>
      </c>
      <c r="F70" s="40">
        <v>49</v>
      </c>
      <c r="G70" s="40">
        <v>50</v>
      </c>
      <c r="H70" s="40">
        <v>51</v>
      </c>
      <c r="I70" s="40">
        <v>52</v>
      </c>
      <c r="J70" s="40">
        <v>1</v>
      </c>
      <c r="K70" s="40">
        <v>2</v>
      </c>
      <c r="L70" s="40">
        <v>3</v>
      </c>
      <c r="M70" s="40">
        <v>4</v>
      </c>
      <c r="N70" s="40">
        <v>5</v>
      </c>
      <c r="O70" s="40">
        <v>6</v>
      </c>
      <c r="P70" s="40">
        <v>7</v>
      </c>
      <c r="Q70" s="40">
        <v>8</v>
      </c>
      <c r="R70" s="40">
        <v>9</v>
      </c>
      <c r="S70" s="40">
        <v>10</v>
      </c>
      <c r="T70" s="40">
        <v>11</v>
      </c>
      <c r="U70" s="40">
        <v>12</v>
      </c>
      <c r="V70" s="40">
        <v>13</v>
      </c>
      <c r="W70" s="40">
        <v>14</v>
      </c>
      <c r="X70" s="40">
        <v>15</v>
      </c>
      <c r="Y70" s="40">
        <v>16</v>
      </c>
      <c r="Z70" s="40">
        <v>17</v>
      </c>
      <c r="AA70" s="40">
        <v>18</v>
      </c>
      <c r="AB70" s="40"/>
    </row>
    <row r="71" spans="1:29" ht="15" thickTop="1" x14ac:dyDescent="0.3">
      <c r="A71" t="s">
        <v>288</v>
      </c>
      <c r="B71" s="41" t="s">
        <v>224</v>
      </c>
      <c r="C71" t="s">
        <v>289</v>
      </c>
      <c r="D71" s="42">
        <v>0</v>
      </c>
      <c r="E71" s="42">
        <v>0</v>
      </c>
      <c r="F71" s="42">
        <v>980.36400000000003</v>
      </c>
      <c r="G71" s="42">
        <v>38444.008000000002</v>
      </c>
      <c r="H71" s="42">
        <v>113134.97599999998</v>
      </c>
      <c r="I71" s="42">
        <v>146697.22499999992</v>
      </c>
      <c r="J71" s="42">
        <v>187025.94200000001</v>
      </c>
      <c r="K71" s="42">
        <v>186436.12499999991</v>
      </c>
      <c r="L71" s="42">
        <v>97441.060000000027</v>
      </c>
      <c r="M71" s="42">
        <v>30394.49</v>
      </c>
      <c r="N71" s="42">
        <v>12011.9</v>
      </c>
      <c r="O71" s="42">
        <v>35097.4</v>
      </c>
      <c r="P71" s="42">
        <v>35124.400000000001</v>
      </c>
      <c r="Q71" s="42">
        <v>3121.8</v>
      </c>
      <c r="R71" s="42">
        <v>26112.82</v>
      </c>
      <c r="S71" s="42">
        <v>84122.14</v>
      </c>
      <c r="T71" s="42">
        <v>68041.919999999998</v>
      </c>
      <c r="U71" s="42">
        <v>48026.84</v>
      </c>
      <c r="V71" s="42">
        <v>36000</v>
      </c>
      <c r="W71" s="42">
        <v>48000</v>
      </c>
      <c r="X71" s="42">
        <v>37000</v>
      </c>
      <c r="Y71" s="42">
        <v>0</v>
      </c>
      <c r="Z71" s="42">
        <v>0</v>
      </c>
      <c r="AA71" s="42"/>
      <c r="AB71" s="42">
        <f>SUM(D71:AA71)</f>
        <v>1233213.4099999999</v>
      </c>
    </row>
    <row r="72" spans="1:29" x14ac:dyDescent="0.3">
      <c r="A72" t="s">
        <v>288</v>
      </c>
      <c r="B72" s="41" t="s">
        <v>224</v>
      </c>
      <c r="C72" t="s">
        <v>290</v>
      </c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>
        <f t="shared" ref="AB72:AB73" si="8">SUM(D72:AA72)</f>
        <v>0</v>
      </c>
    </row>
    <row r="73" spans="1:29" ht="15" thickBot="1" x14ac:dyDescent="0.35">
      <c r="A73" s="43" t="s">
        <v>288</v>
      </c>
      <c r="B73" s="39" t="s">
        <v>224</v>
      </c>
      <c r="C73" s="43" t="s">
        <v>291</v>
      </c>
      <c r="D73" s="44"/>
      <c r="E73" s="44"/>
      <c r="F73" s="44"/>
      <c r="G73" s="44">
        <v>10000</v>
      </c>
      <c r="H73" s="44">
        <v>12000</v>
      </c>
      <c r="I73" s="44">
        <v>0</v>
      </c>
      <c r="J73" s="44"/>
      <c r="K73" s="44"/>
      <c r="L73" s="44"/>
      <c r="M73" s="44"/>
      <c r="N73" s="44"/>
      <c r="O73" s="44">
        <v>12000</v>
      </c>
      <c r="P73" s="44">
        <v>10886</v>
      </c>
      <c r="Q73" s="44"/>
      <c r="R73" s="44"/>
      <c r="S73" s="44"/>
      <c r="T73" s="44"/>
      <c r="U73" s="44"/>
      <c r="V73" s="44"/>
      <c r="W73" s="44">
        <v>0</v>
      </c>
      <c r="X73" s="44"/>
      <c r="Y73" s="44"/>
      <c r="Z73" s="44"/>
      <c r="AA73" s="44"/>
      <c r="AB73" s="44">
        <f t="shared" si="8"/>
        <v>44886</v>
      </c>
    </row>
    <row r="74" spans="1:29" ht="15" thickTop="1" x14ac:dyDescent="0.3">
      <c r="B74" s="41"/>
      <c r="C74"/>
      <c r="D74" s="42">
        <f>SUM(D71:D73)</f>
        <v>0</v>
      </c>
      <c r="E74" s="42">
        <f t="shared" ref="E74:AA74" si="9">SUM(E71:E73)</f>
        <v>0</v>
      </c>
      <c r="F74" s="42">
        <f>SUM(F71:F73)</f>
        <v>980.36400000000003</v>
      </c>
      <c r="G74" s="42">
        <f>SUM(G71:G73)</f>
        <v>48444.008000000002</v>
      </c>
      <c r="H74" s="42">
        <f t="shared" si="9"/>
        <v>125134.97599999998</v>
      </c>
      <c r="I74" s="42">
        <f t="shared" si="9"/>
        <v>146697.22499999992</v>
      </c>
      <c r="J74" s="42">
        <f t="shared" si="9"/>
        <v>187025.94200000001</v>
      </c>
      <c r="K74" s="42">
        <f t="shared" si="9"/>
        <v>186436.12499999991</v>
      </c>
      <c r="L74" s="42">
        <f t="shared" si="9"/>
        <v>97441.060000000027</v>
      </c>
      <c r="M74" s="42">
        <f t="shared" si="9"/>
        <v>30394.49</v>
      </c>
      <c r="N74" s="42">
        <f t="shared" si="9"/>
        <v>12011.9</v>
      </c>
      <c r="O74" s="42">
        <f t="shared" si="9"/>
        <v>47097.4</v>
      </c>
      <c r="P74" s="42">
        <f t="shared" si="9"/>
        <v>46010.400000000001</v>
      </c>
      <c r="Q74" s="42">
        <f t="shared" si="9"/>
        <v>3121.8</v>
      </c>
      <c r="R74" s="42">
        <f t="shared" si="9"/>
        <v>26112.82</v>
      </c>
      <c r="S74" s="42">
        <f t="shared" si="9"/>
        <v>84122.14</v>
      </c>
      <c r="T74" s="42">
        <f t="shared" si="9"/>
        <v>68041.919999999998</v>
      </c>
      <c r="U74" s="42">
        <f t="shared" si="9"/>
        <v>48026.84</v>
      </c>
      <c r="V74" s="42">
        <f t="shared" si="9"/>
        <v>36000</v>
      </c>
      <c r="W74" s="42">
        <f t="shared" si="9"/>
        <v>48000</v>
      </c>
      <c r="X74" s="42">
        <f t="shared" si="9"/>
        <v>37000</v>
      </c>
      <c r="Y74" s="42">
        <f t="shared" si="9"/>
        <v>0</v>
      </c>
      <c r="Z74" s="42">
        <f t="shared" si="9"/>
        <v>0</v>
      </c>
      <c r="AA74" s="42">
        <f t="shared" si="9"/>
        <v>0</v>
      </c>
      <c r="AB74" s="33">
        <f>SUM(D74:AA74)</f>
        <v>1278099.4099999999</v>
      </c>
      <c r="AC74" s="56">
        <f>+AB71+AB73</f>
        <v>1278099.4099999999</v>
      </c>
    </row>
    <row r="75" spans="1:29" ht="15.6" x14ac:dyDescent="0.3">
      <c r="A75" s="52"/>
      <c r="B75" s="41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</row>
    <row r="76" spans="1:29" ht="15.6" x14ac:dyDescent="0.3">
      <c r="A76" s="52"/>
      <c r="B76" s="41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</row>
    <row r="77" spans="1:29" x14ac:dyDescent="0.3">
      <c r="A77" t="s">
        <v>292</v>
      </c>
      <c r="D77" s="24" t="s">
        <v>248</v>
      </c>
      <c r="E77" s="24" t="s">
        <v>249</v>
      </c>
      <c r="F77" s="24" t="s">
        <v>250</v>
      </c>
      <c r="G77" s="24" t="s">
        <v>251</v>
      </c>
      <c r="H77" s="24" t="s">
        <v>252</v>
      </c>
      <c r="I77" s="24" t="s">
        <v>253</v>
      </c>
      <c r="J77" s="24" t="s">
        <v>254</v>
      </c>
      <c r="K77" s="24" t="s">
        <v>255</v>
      </c>
      <c r="L77" s="24" t="s">
        <v>256</v>
      </c>
      <c r="M77" s="24" t="s">
        <v>257</v>
      </c>
      <c r="N77" s="24" t="s">
        <v>258</v>
      </c>
      <c r="O77" s="24" t="s">
        <v>259</v>
      </c>
      <c r="P77" s="24" t="s">
        <v>260</v>
      </c>
      <c r="Q77" s="24" t="s">
        <v>261</v>
      </c>
      <c r="R77" s="24" t="s">
        <v>262</v>
      </c>
      <c r="S77" s="24" t="s">
        <v>263</v>
      </c>
      <c r="T77" s="24" t="s">
        <v>264</v>
      </c>
      <c r="U77" s="24" t="s">
        <v>265</v>
      </c>
      <c r="V77" s="24" t="s">
        <v>266</v>
      </c>
      <c r="W77" s="24" t="s">
        <v>267</v>
      </c>
      <c r="X77" s="24" t="s">
        <v>268</v>
      </c>
      <c r="Y77" s="24" t="s">
        <v>269</v>
      </c>
      <c r="Z77" s="24" t="s">
        <v>270</v>
      </c>
      <c r="AA77" s="24" t="s">
        <v>271</v>
      </c>
    </row>
    <row r="78" spans="1:29" ht="15" thickBot="1" x14ac:dyDescent="0.35">
      <c r="A78" s="43" t="s">
        <v>282</v>
      </c>
      <c r="B78" s="39" t="s">
        <v>274</v>
      </c>
      <c r="C78" s="40" t="s">
        <v>283</v>
      </c>
      <c r="D78" s="40">
        <v>47</v>
      </c>
      <c r="E78" s="40">
        <v>48</v>
      </c>
      <c r="F78" s="40">
        <v>49</v>
      </c>
      <c r="G78" s="57">
        <v>50</v>
      </c>
      <c r="H78" s="57">
        <v>51</v>
      </c>
      <c r="I78" s="57">
        <v>52</v>
      </c>
      <c r="J78" s="57">
        <v>1</v>
      </c>
      <c r="K78" s="40">
        <v>2</v>
      </c>
      <c r="L78" s="40">
        <v>3</v>
      </c>
      <c r="M78" s="40">
        <v>4</v>
      </c>
      <c r="N78" s="40">
        <v>5</v>
      </c>
      <c r="O78" s="40">
        <v>6</v>
      </c>
      <c r="P78" s="40">
        <v>7</v>
      </c>
      <c r="Q78" s="40">
        <v>8</v>
      </c>
      <c r="R78" s="40">
        <v>9</v>
      </c>
      <c r="S78" s="40">
        <v>10</v>
      </c>
      <c r="T78" s="40">
        <v>11</v>
      </c>
      <c r="U78" s="40">
        <v>12</v>
      </c>
      <c r="V78" s="40">
        <v>13</v>
      </c>
      <c r="W78" s="57">
        <v>14</v>
      </c>
      <c r="X78" s="57">
        <v>15</v>
      </c>
      <c r="Y78" s="57">
        <v>16</v>
      </c>
      <c r="Z78" s="57">
        <v>17</v>
      </c>
      <c r="AA78" s="57">
        <v>18</v>
      </c>
    </row>
    <row r="79" spans="1:29" ht="15" thickTop="1" x14ac:dyDescent="0.3">
      <c r="A79" t="s">
        <v>288</v>
      </c>
      <c r="B79" t="s">
        <v>293</v>
      </c>
      <c r="C79" s="24">
        <v>1</v>
      </c>
      <c r="D79" s="42">
        <f>48000+23040+23040</f>
        <v>94080</v>
      </c>
      <c r="E79" s="42">
        <f>48000+23040+23040</f>
        <v>94080</v>
      </c>
      <c r="F79" s="42">
        <f>48000+23040+23040</f>
        <v>94080</v>
      </c>
      <c r="G79" s="42">
        <f>36000+23040+23040</f>
        <v>82080</v>
      </c>
      <c r="H79" s="42">
        <f>48000+23040+23040</f>
        <v>94080</v>
      </c>
      <c r="I79" s="42">
        <f>30000+23040+23040</f>
        <v>76080</v>
      </c>
      <c r="J79" s="42">
        <f>30000+23040+23040</f>
        <v>76080</v>
      </c>
      <c r="K79" s="42">
        <f t="shared" ref="K79:V79" si="10">48000+23040+23040</f>
        <v>94080</v>
      </c>
      <c r="L79" s="42">
        <f t="shared" si="10"/>
        <v>94080</v>
      </c>
      <c r="M79" s="42">
        <f t="shared" si="10"/>
        <v>94080</v>
      </c>
      <c r="N79" s="42">
        <f t="shared" si="10"/>
        <v>94080</v>
      </c>
      <c r="O79" s="42">
        <f t="shared" si="10"/>
        <v>94080</v>
      </c>
      <c r="P79" s="42">
        <f t="shared" si="10"/>
        <v>94080</v>
      </c>
      <c r="Q79" s="42">
        <f t="shared" si="10"/>
        <v>94080</v>
      </c>
      <c r="R79" s="42">
        <f t="shared" si="10"/>
        <v>94080</v>
      </c>
      <c r="S79" s="42">
        <f t="shared" si="10"/>
        <v>94080</v>
      </c>
      <c r="T79" s="42">
        <f t="shared" si="10"/>
        <v>94080</v>
      </c>
      <c r="U79" s="42">
        <f t="shared" si="10"/>
        <v>94080</v>
      </c>
      <c r="V79" s="42">
        <f t="shared" si="10"/>
        <v>94080</v>
      </c>
      <c r="W79" s="42">
        <f>36000</f>
        <v>36000</v>
      </c>
      <c r="X79" s="42">
        <f>48000+23040+23040</f>
        <v>94080</v>
      </c>
      <c r="Y79" s="42">
        <f>48000+23040+23040</f>
        <v>94080</v>
      </c>
      <c r="Z79" s="42">
        <f>48000+23040+23040</f>
        <v>94080</v>
      </c>
      <c r="AA79" s="42">
        <f>36000+23040+23040</f>
        <v>82080</v>
      </c>
    </row>
    <row r="81" spans="1:28" ht="15" thickBot="1" x14ac:dyDescent="0.35">
      <c r="A81" s="43" t="s">
        <v>294</v>
      </c>
      <c r="B81" s="43"/>
      <c r="C81" s="40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 spans="1:28" ht="15" thickTop="1" x14ac:dyDescent="0.3">
      <c r="B82" s="41"/>
      <c r="D82" s="42">
        <f>+D79-D74</f>
        <v>94080</v>
      </c>
      <c r="E82" s="42">
        <f t="shared" ref="E82:AA82" si="11">+E79-E74</f>
        <v>94080</v>
      </c>
      <c r="F82" s="42">
        <f t="shared" si="11"/>
        <v>93099.635999999999</v>
      </c>
      <c r="G82" s="42">
        <f t="shared" si="11"/>
        <v>33635.991999999998</v>
      </c>
      <c r="H82" s="42">
        <f t="shared" si="11"/>
        <v>-31054.975999999981</v>
      </c>
      <c r="I82" s="42">
        <f t="shared" si="11"/>
        <v>-70617.224999999919</v>
      </c>
      <c r="J82" s="42">
        <f t="shared" si="11"/>
        <v>-110945.94200000001</v>
      </c>
      <c r="K82" s="42">
        <f t="shared" si="11"/>
        <v>-92356.124999999913</v>
      </c>
      <c r="L82" s="42">
        <f t="shared" si="11"/>
        <v>-3361.0600000000268</v>
      </c>
      <c r="M82" s="42">
        <f t="shared" si="11"/>
        <v>63685.509999999995</v>
      </c>
      <c r="N82" s="42">
        <f t="shared" si="11"/>
        <v>82068.100000000006</v>
      </c>
      <c r="O82" s="42">
        <f t="shared" si="11"/>
        <v>46982.6</v>
      </c>
      <c r="P82" s="42">
        <f t="shared" si="11"/>
        <v>48069.599999999999</v>
      </c>
      <c r="Q82" s="42">
        <f t="shared" si="11"/>
        <v>90958.2</v>
      </c>
      <c r="R82" s="42">
        <f t="shared" si="11"/>
        <v>67967.179999999993</v>
      </c>
      <c r="S82" s="42">
        <f t="shared" si="11"/>
        <v>9957.86</v>
      </c>
      <c r="T82" s="42">
        <f t="shared" si="11"/>
        <v>26038.080000000002</v>
      </c>
      <c r="U82" s="42">
        <f t="shared" si="11"/>
        <v>46053.16</v>
      </c>
      <c r="V82" s="42">
        <f t="shared" si="11"/>
        <v>58080</v>
      </c>
      <c r="W82" s="42">
        <f t="shared" si="11"/>
        <v>-12000</v>
      </c>
      <c r="X82" s="42">
        <f t="shared" si="11"/>
        <v>57080</v>
      </c>
      <c r="Y82" s="42">
        <f t="shared" si="11"/>
        <v>94080</v>
      </c>
      <c r="Z82" s="42">
        <f t="shared" si="11"/>
        <v>94080</v>
      </c>
      <c r="AA82" s="42">
        <f t="shared" si="11"/>
        <v>82080</v>
      </c>
      <c r="AB82" s="55">
        <f>+H82+I82+J82+K82+L82+W82</f>
        <v>-320335.32799999986</v>
      </c>
    </row>
    <row r="83" spans="1:28" ht="15" thickBot="1" x14ac:dyDescent="0.35">
      <c r="A83" s="43"/>
      <c r="B83" s="39"/>
      <c r="C83" s="40"/>
      <c r="D83" s="44"/>
      <c r="E83" s="44"/>
      <c r="F83" s="44"/>
      <c r="G83" s="44"/>
      <c r="H83" s="44"/>
      <c r="I83" s="44"/>
      <c r="J83" s="44"/>
      <c r="K83" s="44"/>
      <c r="L83" s="51"/>
      <c r="M83" s="51"/>
      <c r="N83" s="51"/>
      <c r="O83" s="51"/>
      <c r="P83" s="44"/>
      <c r="Q83" s="44"/>
      <c r="R83" s="44"/>
      <c r="S83" s="44"/>
      <c r="T83" s="51"/>
      <c r="U83" s="51"/>
      <c r="V83" s="51"/>
      <c r="W83" s="51"/>
      <c r="X83" s="51"/>
      <c r="Y83" s="51"/>
      <c r="Z83" s="51"/>
      <c r="AA83" s="51"/>
      <c r="AB83" s="58"/>
    </row>
    <row r="84" spans="1:28" ht="15" thickTop="1" x14ac:dyDescent="0.3">
      <c r="A84" t="s">
        <v>295</v>
      </c>
      <c r="B84" s="41"/>
      <c r="D84" s="42">
        <f t="shared" ref="D84:AA84" si="12">+D82+D65</f>
        <v>318355</v>
      </c>
      <c r="E84" s="42">
        <f t="shared" si="12"/>
        <v>282212.25</v>
      </c>
      <c r="F84" s="42">
        <f t="shared" si="12"/>
        <v>248407.136</v>
      </c>
      <c r="G84" s="42">
        <f t="shared" si="12"/>
        <v>129582.4045</v>
      </c>
      <c r="H84" s="42">
        <f t="shared" si="12"/>
        <v>102446.38800000002</v>
      </c>
      <c r="I84" s="42">
        <f t="shared" si="12"/>
        <v>-67973.954999999929</v>
      </c>
      <c r="J84" s="42">
        <f t="shared" si="12"/>
        <v>-117265.652</v>
      </c>
      <c r="K84" s="42">
        <f t="shared" si="12"/>
        <v>-177440.35500000001</v>
      </c>
      <c r="L84" s="42">
        <f t="shared" si="12"/>
        <v>31653.81999999992</v>
      </c>
      <c r="M84" s="42">
        <f t="shared" si="12"/>
        <v>-5254.9699999999866</v>
      </c>
      <c r="N84" s="42">
        <f t="shared" si="12"/>
        <v>-21815.390000000101</v>
      </c>
      <c r="O84" s="42">
        <f t="shared" si="12"/>
        <v>16363.900000000016</v>
      </c>
      <c r="P84" s="42">
        <f t="shared" si="12"/>
        <v>72758.720000000001</v>
      </c>
      <c r="Q84" s="42">
        <f t="shared" si="12"/>
        <v>170216.83000000002</v>
      </c>
      <c r="R84" s="42">
        <f t="shared" si="12"/>
        <v>173352.08000000002</v>
      </c>
      <c r="S84" s="42">
        <f t="shared" si="12"/>
        <v>109060.37999999999</v>
      </c>
      <c r="T84" s="42">
        <f t="shared" si="12"/>
        <v>90019.430000000008</v>
      </c>
      <c r="U84" s="42">
        <f t="shared" si="12"/>
        <v>125781.92000000001</v>
      </c>
      <c r="V84" s="42">
        <f t="shared" si="12"/>
        <v>223937.09</v>
      </c>
      <c r="W84" s="42">
        <f t="shared" si="12"/>
        <v>103000</v>
      </c>
      <c r="X84" s="42">
        <f t="shared" si="12"/>
        <v>230880</v>
      </c>
      <c r="Y84" s="42">
        <f t="shared" si="12"/>
        <v>277880</v>
      </c>
      <c r="Z84" s="42">
        <f t="shared" si="12"/>
        <v>292880</v>
      </c>
      <c r="AA84" s="42">
        <f t="shared" si="12"/>
        <v>264080</v>
      </c>
      <c r="AB84" s="55">
        <f>+I84+J84+K84+M84+N84</f>
        <v>-389750.32200000004</v>
      </c>
    </row>
    <row r="85" spans="1:28" x14ac:dyDescent="0.3">
      <c r="B85" s="41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</row>
    <row r="86" spans="1:28" x14ac:dyDescent="0.3">
      <c r="B86" s="41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</row>
    <row r="87" spans="1:28" x14ac:dyDescent="0.3">
      <c r="B87" s="41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</row>
    <row r="88" spans="1:28" ht="21" x14ac:dyDescent="0.4">
      <c r="A88" s="53" t="s">
        <v>296</v>
      </c>
      <c r="B88" s="41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</row>
    <row r="89" spans="1:28" ht="15.6" x14ac:dyDescent="0.3">
      <c r="A89" s="52" t="s">
        <v>272</v>
      </c>
      <c r="B89" s="41"/>
      <c r="D89" s="42" t="s">
        <v>248</v>
      </c>
      <c r="E89" s="42" t="s">
        <v>249</v>
      </c>
      <c r="F89" s="42" t="s">
        <v>250</v>
      </c>
      <c r="G89" s="42" t="s">
        <v>251</v>
      </c>
      <c r="H89" s="42" t="s">
        <v>252</v>
      </c>
      <c r="I89" s="42" t="s">
        <v>253</v>
      </c>
      <c r="J89" s="42" t="s">
        <v>254</v>
      </c>
      <c r="K89" s="42" t="s">
        <v>255</v>
      </c>
      <c r="L89" s="42" t="s">
        <v>256</v>
      </c>
      <c r="M89" s="42" t="s">
        <v>257</v>
      </c>
      <c r="N89" s="42" t="s">
        <v>258</v>
      </c>
      <c r="O89" s="42" t="s">
        <v>259</v>
      </c>
      <c r="P89" s="42" t="s">
        <v>260</v>
      </c>
      <c r="Q89" s="42" t="s">
        <v>261</v>
      </c>
      <c r="R89" s="42" t="s">
        <v>262</v>
      </c>
      <c r="S89" s="42" t="s">
        <v>263</v>
      </c>
      <c r="T89" s="42" t="s">
        <v>264</v>
      </c>
      <c r="U89" s="42" t="s">
        <v>265</v>
      </c>
      <c r="V89" s="42" t="s">
        <v>266</v>
      </c>
      <c r="W89" s="42" t="s">
        <v>267</v>
      </c>
      <c r="X89" s="42" t="s">
        <v>268</v>
      </c>
      <c r="Y89" s="42" t="s">
        <v>269</v>
      </c>
      <c r="Z89" s="42" t="s">
        <v>270</v>
      </c>
      <c r="AA89" s="42" t="s">
        <v>271</v>
      </c>
    </row>
    <row r="90" spans="1:28" ht="16.2" thickBot="1" x14ac:dyDescent="0.35">
      <c r="A90" s="54" t="s">
        <v>247</v>
      </c>
      <c r="B90" s="39" t="s">
        <v>273</v>
      </c>
      <c r="C90" s="40" t="s">
        <v>274</v>
      </c>
      <c r="D90" s="40">
        <v>47</v>
      </c>
      <c r="E90" s="40">
        <v>48</v>
      </c>
      <c r="F90" s="40">
        <v>49</v>
      </c>
      <c r="G90" s="40">
        <v>50</v>
      </c>
      <c r="H90" s="40">
        <v>51</v>
      </c>
      <c r="I90" s="40">
        <v>52</v>
      </c>
      <c r="J90" s="40">
        <v>1</v>
      </c>
      <c r="K90" s="40">
        <v>2</v>
      </c>
      <c r="L90" s="40">
        <v>3</v>
      </c>
      <c r="M90" s="40">
        <v>4</v>
      </c>
      <c r="N90" s="40">
        <v>5</v>
      </c>
      <c r="O90" s="40">
        <v>6</v>
      </c>
      <c r="P90" s="40">
        <v>7</v>
      </c>
      <c r="Q90" s="40">
        <v>8</v>
      </c>
      <c r="R90" s="40">
        <v>9</v>
      </c>
      <c r="S90" s="40">
        <v>10</v>
      </c>
      <c r="T90" s="40">
        <v>11</v>
      </c>
      <c r="U90" s="40">
        <v>12</v>
      </c>
      <c r="V90" s="40">
        <v>13</v>
      </c>
      <c r="W90" s="40">
        <v>14</v>
      </c>
      <c r="X90" s="40">
        <v>15</v>
      </c>
      <c r="Y90" s="40">
        <v>16</v>
      </c>
      <c r="Z90" s="40">
        <v>17</v>
      </c>
      <c r="AA90" s="40">
        <v>18</v>
      </c>
    </row>
    <row r="91" spans="1:28" ht="15" thickTop="1" x14ac:dyDescent="0.3">
      <c r="A91" t="s">
        <v>288</v>
      </c>
      <c r="B91" s="41" t="s">
        <v>297</v>
      </c>
      <c r="C91" s="24" t="s">
        <v>289</v>
      </c>
      <c r="D91" s="42">
        <v>0</v>
      </c>
      <c r="E91" s="42">
        <v>0</v>
      </c>
      <c r="F91" s="42">
        <v>2500</v>
      </c>
      <c r="G91" s="42">
        <v>8740.8599999999969</v>
      </c>
      <c r="H91" s="42">
        <v>42959.596666666694</v>
      </c>
      <c r="I91" s="42">
        <v>111443.47999999995</v>
      </c>
      <c r="J91" s="42">
        <v>86349.059999999779</v>
      </c>
      <c r="K91" s="42">
        <v>72932.22999999988</v>
      </c>
      <c r="L91" s="42">
        <v>44077.365000000005</v>
      </c>
      <c r="M91" s="42">
        <v>17486.914000000001</v>
      </c>
      <c r="N91" s="42">
        <v>17548.86</v>
      </c>
      <c r="O91" s="42">
        <v>46998.77</v>
      </c>
      <c r="P91" s="42">
        <v>36432.18</v>
      </c>
      <c r="Q91" s="42">
        <v>36000</v>
      </c>
      <c r="R91" s="42">
        <v>36000</v>
      </c>
      <c r="S91" s="42">
        <v>64000</v>
      </c>
      <c r="T91" s="42">
        <v>65000</v>
      </c>
      <c r="U91" s="42">
        <v>63000</v>
      </c>
      <c r="V91" s="42">
        <v>27000</v>
      </c>
      <c r="W91" s="42">
        <v>0</v>
      </c>
      <c r="X91" s="42">
        <v>0</v>
      </c>
      <c r="Y91" s="42">
        <v>0</v>
      </c>
      <c r="Z91" s="42">
        <v>0</v>
      </c>
      <c r="AA91" s="42"/>
    </row>
    <row r="92" spans="1:28" x14ac:dyDescent="0.3">
      <c r="A92" t="s">
        <v>288</v>
      </c>
      <c r="B92" s="41" t="s">
        <v>297</v>
      </c>
      <c r="C92" s="24" t="s">
        <v>300</v>
      </c>
      <c r="D92" s="42">
        <v>0</v>
      </c>
      <c r="E92" s="42">
        <v>0</v>
      </c>
      <c r="F92" s="42">
        <v>14746.347029702967</v>
      </c>
      <c r="G92" s="42">
        <v>27202.449999999993</v>
      </c>
      <c r="H92" s="42">
        <v>33012.479999999996</v>
      </c>
      <c r="I92" s="42">
        <v>59472.68</v>
      </c>
      <c r="J92" s="42">
        <v>36373.260000000009</v>
      </c>
      <c r="K92" s="42">
        <v>60640.850000000013</v>
      </c>
      <c r="L92" s="42">
        <v>57831.289999999994</v>
      </c>
      <c r="M92" s="42">
        <v>96477.600999999995</v>
      </c>
      <c r="N92" s="42">
        <v>22991.489999999998</v>
      </c>
      <c r="O92" s="42">
        <v>11643.288</v>
      </c>
      <c r="P92" s="42">
        <v>12192.4</v>
      </c>
      <c r="Q92" s="42">
        <v>711.6</v>
      </c>
      <c r="R92" s="42">
        <v>24000</v>
      </c>
      <c r="S92" s="42">
        <v>31916</v>
      </c>
      <c r="T92" s="42">
        <v>8500</v>
      </c>
      <c r="U92" s="42">
        <v>0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/>
    </row>
    <row r="93" spans="1:28" ht="15" thickBot="1" x14ac:dyDescent="0.35">
      <c r="A93" s="43" t="s">
        <v>288</v>
      </c>
      <c r="B93" s="39" t="s">
        <v>297</v>
      </c>
      <c r="C93" s="40" t="s">
        <v>290</v>
      </c>
      <c r="D93" s="44">
        <v>0</v>
      </c>
      <c r="E93" s="44">
        <v>0</v>
      </c>
      <c r="F93" s="44">
        <v>4000</v>
      </c>
      <c r="G93" s="44">
        <v>12000</v>
      </c>
      <c r="H93" s="44">
        <v>12000</v>
      </c>
      <c r="I93" s="44">
        <v>12000</v>
      </c>
      <c r="J93" s="44">
        <v>0</v>
      </c>
      <c r="K93" s="44">
        <v>0</v>
      </c>
      <c r="L93" s="44">
        <v>0</v>
      </c>
      <c r="M93" s="44">
        <v>0</v>
      </c>
      <c r="N93" s="44">
        <v>0</v>
      </c>
      <c r="O93" s="44">
        <v>0</v>
      </c>
      <c r="P93" s="44">
        <v>0</v>
      </c>
      <c r="Q93" s="44">
        <v>0</v>
      </c>
      <c r="R93" s="44">
        <v>0</v>
      </c>
      <c r="S93" s="44">
        <v>12000</v>
      </c>
      <c r="T93" s="44">
        <v>12000</v>
      </c>
      <c r="U93" s="44">
        <v>12000</v>
      </c>
      <c r="V93" s="44">
        <v>9500</v>
      </c>
      <c r="W93" s="44">
        <v>0</v>
      </c>
      <c r="X93" s="44">
        <v>0</v>
      </c>
      <c r="Y93" s="44">
        <v>0</v>
      </c>
      <c r="Z93" s="44">
        <v>0</v>
      </c>
      <c r="AA93" s="44"/>
    </row>
    <row r="94" spans="1:28" ht="15" thickTop="1" x14ac:dyDescent="0.3">
      <c r="B94" s="41"/>
      <c r="D94" s="42">
        <f>SUM(D91:D93)</f>
        <v>0</v>
      </c>
      <c r="E94" s="42">
        <f t="shared" ref="E94:AA94" si="13">SUM(E91:E93)</f>
        <v>0</v>
      </c>
      <c r="F94" s="42">
        <f t="shared" si="13"/>
        <v>21246.347029702967</v>
      </c>
      <c r="G94" s="42">
        <f t="shared" si="13"/>
        <v>47943.30999999999</v>
      </c>
      <c r="H94" s="42">
        <f t="shared" si="13"/>
        <v>87972.07666666669</v>
      </c>
      <c r="I94" s="42">
        <f t="shared" si="13"/>
        <v>182916.15999999995</v>
      </c>
      <c r="J94" s="42">
        <f t="shared" si="13"/>
        <v>122722.31999999979</v>
      </c>
      <c r="K94" s="42">
        <f t="shared" si="13"/>
        <v>133573.0799999999</v>
      </c>
      <c r="L94" s="42">
        <f t="shared" si="13"/>
        <v>101908.655</v>
      </c>
      <c r="M94" s="42">
        <f t="shared" si="13"/>
        <v>113964.515</v>
      </c>
      <c r="N94" s="42">
        <f t="shared" si="13"/>
        <v>40540.35</v>
      </c>
      <c r="O94" s="42">
        <f t="shared" si="13"/>
        <v>58642.057999999997</v>
      </c>
      <c r="P94" s="42">
        <f t="shared" si="13"/>
        <v>48624.58</v>
      </c>
      <c r="Q94" s="42">
        <f t="shared" si="13"/>
        <v>36711.599999999999</v>
      </c>
      <c r="R94" s="42">
        <f t="shared" si="13"/>
        <v>60000</v>
      </c>
      <c r="S94" s="42">
        <f t="shared" si="13"/>
        <v>107916</v>
      </c>
      <c r="T94" s="42">
        <f>SUM(T91:T93)</f>
        <v>85500</v>
      </c>
      <c r="U94" s="42">
        <f t="shared" si="13"/>
        <v>75000</v>
      </c>
      <c r="V94" s="42">
        <f>SUM(V91:V93)</f>
        <v>36500</v>
      </c>
      <c r="W94" s="42">
        <f t="shared" si="13"/>
        <v>0</v>
      </c>
      <c r="X94" s="42">
        <f t="shared" si="13"/>
        <v>0</v>
      </c>
      <c r="Y94" s="42">
        <f t="shared" si="13"/>
        <v>0</v>
      </c>
      <c r="Z94" s="42">
        <f t="shared" si="13"/>
        <v>0</v>
      </c>
      <c r="AA94" s="42">
        <f t="shared" si="13"/>
        <v>0</v>
      </c>
      <c r="AB94" s="33">
        <f>SUM(D94:AA94)</f>
        <v>1361681.0516963692</v>
      </c>
    </row>
    <row r="95" spans="1:28" x14ac:dyDescent="0.3">
      <c r="B95" s="41"/>
    </row>
    <row r="96" spans="1:28" x14ac:dyDescent="0.3">
      <c r="A96" t="s">
        <v>292</v>
      </c>
    </row>
    <row r="97" spans="1:28" ht="15" thickBot="1" x14ac:dyDescent="0.35">
      <c r="A97" s="43" t="s">
        <v>282</v>
      </c>
      <c r="B97" s="39" t="s">
        <v>274</v>
      </c>
      <c r="C97" s="40" t="s">
        <v>283</v>
      </c>
      <c r="D97" s="40">
        <v>47</v>
      </c>
      <c r="E97" s="40">
        <v>48</v>
      </c>
      <c r="F97" s="40">
        <v>49</v>
      </c>
      <c r="G97" s="57">
        <v>50</v>
      </c>
      <c r="H97" s="57">
        <v>51</v>
      </c>
      <c r="I97" s="57">
        <v>52</v>
      </c>
      <c r="J97" s="57">
        <v>1</v>
      </c>
      <c r="K97" s="57">
        <v>2</v>
      </c>
      <c r="L97" s="57">
        <v>3</v>
      </c>
      <c r="M97" s="57">
        <v>4</v>
      </c>
      <c r="N97" s="57">
        <v>5</v>
      </c>
      <c r="O97" s="57">
        <v>6</v>
      </c>
      <c r="P97" s="57">
        <v>7</v>
      </c>
      <c r="Q97" s="57">
        <v>8</v>
      </c>
      <c r="R97" s="57">
        <v>9</v>
      </c>
      <c r="S97" s="57">
        <v>10</v>
      </c>
      <c r="T97" s="57">
        <v>11</v>
      </c>
      <c r="U97" s="57">
        <v>12</v>
      </c>
      <c r="V97" s="57">
        <v>13</v>
      </c>
      <c r="W97" s="57">
        <v>14</v>
      </c>
      <c r="X97" s="57">
        <v>15</v>
      </c>
      <c r="Y97" s="57">
        <v>16</v>
      </c>
      <c r="Z97" s="57">
        <v>17</v>
      </c>
      <c r="AA97" s="57">
        <v>18</v>
      </c>
    </row>
    <row r="98" spans="1:28" ht="15" thickTop="1" x14ac:dyDescent="0.3">
      <c r="A98" t="s">
        <v>288</v>
      </c>
      <c r="B98" t="s">
        <v>293</v>
      </c>
      <c r="D98" s="42">
        <v>100800</v>
      </c>
      <c r="E98" s="42">
        <v>100800</v>
      </c>
      <c r="F98" s="42">
        <v>100800</v>
      </c>
      <c r="G98" s="42">
        <v>84000</v>
      </c>
      <c r="H98" s="42">
        <v>100800</v>
      </c>
      <c r="I98" s="42">
        <v>75600</v>
      </c>
      <c r="J98" s="42">
        <v>75600</v>
      </c>
      <c r="K98" s="42">
        <v>100800</v>
      </c>
      <c r="L98" s="42">
        <v>100800</v>
      </c>
      <c r="M98" s="42">
        <v>100800</v>
      </c>
      <c r="N98" s="42">
        <v>100800</v>
      </c>
      <c r="O98" s="42">
        <v>100800</v>
      </c>
      <c r="P98" s="42">
        <v>100800</v>
      </c>
      <c r="Q98" s="42">
        <v>100800</v>
      </c>
      <c r="R98" s="42">
        <v>100800</v>
      </c>
      <c r="S98" s="42">
        <v>100800</v>
      </c>
      <c r="T98" s="42">
        <v>100800</v>
      </c>
      <c r="U98" s="42">
        <v>100800</v>
      </c>
      <c r="V98" s="42">
        <v>100800</v>
      </c>
      <c r="W98" s="42">
        <v>50400</v>
      </c>
      <c r="X98" s="42">
        <v>100800</v>
      </c>
      <c r="Y98" s="42">
        <v>100800</v>
      </c>
      <c r="Z98" s="42">
        <v>100800</v>
      </c>
      <c r="AA98" s="42">
        <v>84000</v>
      </c>
    </row>
    <row r="99" spans="1:28" x14ac:dyDescent="0.3">
      <c r="T99" s="58"/>
      <c r="U99" s="58"/>
      <c r="V99" s="58"/>
      <c r="W99" s="58"/>
    </row>
    <row r="100" spans="1:28" x14ac:dyDescent="0.3">
      <c r="A100" t="s">
        <v>298</v>
      </c>
      <c r="D100" s="42">
        <f>D98-D94</f>
        <v>100800</v>
      </c>
      <c r="E100" s="42">
        <f t="shared" ref="E100:AA100" si="14">E98-E94</f>
        <v>100800</v>
      </c>
      <c r="F100" s="42">
        <f t="shared" si="14"/>
        <v>79553.652970297029</v>
      </c>
      <c r="G100" s="42">
        <f t="shared" si="14"/>
        <v>36056.69000000001</v>
      </c>
      <c r="H100" s="42">
        <f t="shared" si="14"/>
        <v>12827.92333333331</v>
      </c>
      <c r="I100" s="42">
        <f t="shared" si="14"/>
        <v>-107316.15999999995</v>
      </c>
      <c r="J100" s="42">
        <f t="shared" si="14"/>
        <v>-47122.319999999789</v>
      </c>
      <c r="K100" s="42">
        <f t="shared" si="14"/>
        <v>-32773.0799999999</v>
      </c>
      <c r="L100" s="42">
        <f t="shared" si="14"/>
        <v>-1108.6549999999988</v>
      </c>
      <c r="M100" s="42">
        <f t="shared" si="14"/>
        <v>-13164.514999999999</v>
      </c>
      <c r="N100" s="42">
        <f t="shared" si="14"/>
        <v>60259.65</v>
      </c>
      <c r="O100" s="42">
        <f t="shared" si="14"/>
        <v>42157.942000000003</v>
      </c>
      <c r="P100" s="42">
        <f t="shared" si="14"/>
        <v>52175.42</v>
      </c>
      <c r="Q100" s="42">
        <f t="shared" si="14"/>
        <v>64088.4</v>
      </c>
      <c r="R100" s="42">
        <f t="shared" si="14"/>
        <v>40800</v>
      </c>
      <c r="S100" s="42">
        <f t="shared" si="14"/>
        <v>-7116</v>
      </c>
      <c r="T100" s="42">
        <f t="shared" si="14"/>
        <v>15300</v>
      </c>
      <c r="U100" s="42">
        <f t="shared" si="14"/>
        <v>25800</v>
      </c>
      <c r="V100" s="42">
        <f t="shared" si="14"/>
        <v>64300</v>
      </c>
      <c r="W100" s="42">
        <f t="shared" si="14"/>
        <v>50400</v>
      </c>
      <c r="X100" s="42">
        <f t="shared" si="14"/>
        <v>100800</v>
      </c>
      <c r="Y100" s="42">
        <f t="shared" si="14"/>
        <v>100800</v>
      </c>
      <c r="Z100" s="42">
        <f t="shared" si="14"/>
        <v>100800</v>
      </c>
      <c r="AA100" s="42">
        <f t="shared" si="14"/>
        <v>84000</v>
      </c>
      <c r="AB100" s="55">
        <f>+I100+J100+K100+L100+M100+S100</f>
        <v>-208600.72999999963</v>
      </c>
    </row>
    <row r="101" spans="1:28" x14ac:dyDescent="0.3">
      <c r="K101" s="58"/>
      <c r="L101" s="58"/>
      <c r="M101" s="58"/>
      <c r="N101" s="58"/>
      <c r="T101" s="58"/>
      <c r="U101" s="58"/>
      <c r="V101" s="58"/>
      <c r="W101" s="58"/>
      <c r="AB101" s="58"/>
    </row>
    <row r="102" spans="1:28" x14ac:dyDescent="0.3">
      <c r="K102" s="58"/>
      <c r="L102" s="55"/>
      <c r="M102" s="58"/>
      <c r="N102" s="55"/>
      <c r="O102" s="42"/>
      <c r="P102" s="42"/>
      <c r="Q102" s="42"/>
      <c r="S102" s="42"/>
      <c r="T102" s="55"/>
      <c r="U102" s="58"/>
      <c r="V102" s="58"/>
      <c r="W102" s="58"/>
      <c r="AB102" s="55"/>
    </row>
    <row r="103" spans="1:28" ht="15" thickBot="1" x14ac:dyDescent="0.35">
      <c r="A103" s="43" t="s">
        <v>299</v>
      </c>
      <c r="B103" s="43"/>
      <c r="C103" s="40"/>
      <c r="D103" s="40"/>
      <c r="E103" s="40"/>
      <c r="F103" s="40"/>
      <c r="G103" s="40"/>
      <c r="H103" s="40"/>
      <c r="I103" s="40"/>
      <c r="J103" s="40"/>
      <c r="K103" s="57"/>
      <c r="L103" s="57"/>
      <c r="M103" s="57"/>
      <c r="N103" s="57"/>
      <c r="O103" s="40"/>
      <c r="P103" s="40"/>
      <c r="Q103" s="40"/>
      <c r="R103" s="40"/>
      <c r="S103" s="40"/>
      <c r="T103" s="57"/>
      <c r="U103" s="57"/>
      <c r="V103" s="57"/>
      <c r="W103" s="57"/>
      <c r="X103" s="40"/>
      <c r="Y103" s="40"/>
      <c r="Z103" s="40"/>
      <c r="AA103" s="40"/>
      <c r="AB103" s="58"/>
    </row>
    <row r="104" spans="1:28" ht="15" thickTop="1" x14ac:dyDescent="0.3">
      <c r="D104" s="42">
        <f>+D100+D84</f>
        <v>419155</v>
      </c>
      <c r="E104" s="42">
        <f t="shared" ref="E104:AA104" si="15">+E100+E84</f>
        <v>383012.25</v>
      </c>
      <c r="F104" s="42">
        <f t="shared" si="15"/>
        <v>327960.78897029703</v>
      </c>
      <c r="G104" s="42">
        <f t="shared" si="15"/>
        <v>165639.09450000001</v>
      </c>
      <c r="H104" s="42">
        <f t="shared" si="15"/>
        <v>115274.31133333333</v>
      </c>
      <c r="I104" s="42">
        <f t="shared" si="15"/>
        <v>-175290.11499999987</v>
      </c>
      <c r="J104" s="42">
        <f t="shared" si="15"/>
        <v>-164387.97199999978</v>
      </c>
      <c r="K104" s="42">
        <f t="shared" si="15"/>
        <v>-210213.43499999991</v>
      </c>
      <c r="L104" s="42">
        <f t="shared" si="15"/>
        <v>30545.164999999921</v>
      </c>
      <c r="M104" s="42">
        <f t="shared" si="15"/>
        <v>-18419.484999999986</v>
      </c>
      <c r="N104" s="42">
        <f t="shared" si="15"/>
        <v>38444.2599999999</v>
      </c>
      <c r="O104" s="42">
        <f t="shared" si="15"/>
        <v>58521.842000000019</v>
      </c>
      <c r="P104" s="42">
        <f t="shared" si="15"/>
        <v>124934.14</v>
      </c>
      <c r="Q104" s="42">
        <f t="shared" si="15"/>
        <v>234305.23</v>
      </c>
      <c r="R104" s="42">
        <f t="shared" si="15"/>
        <v>214152.08000000002</v>
      </c>
      <c r="S104" s="42">
        <f t="shared" si="15"/>
        <v>101944.37999999999</v>
      </c>
      <c r="T104" s="42">
        <f t="shared" si="15"/>
        <v>105319.43000000001</v>
      </c>
      <c r="U104" s="42">
        <f t="shared" si="15"/>
        <v>151581.92000000001</v>
      </c>
      <c r="V104" s="42">
        <f t="shared" si="15"/>
        <v>288237.08999999997</v>
      </c>
      <c r="W104" s="42">
        <f t="shared" si="15"/>
        <v>153400</v>
      </c>
      <c r="X104" s="42">
        <f t="shared" si="15"/>
        <v>331680</v>
      </c>
      <c r="Y104" s="42">
        <f t="shared" si="15"/>
        <v>378680</v>
      </c>
      <c r="Z104" s="42">
        <f t="shared" si="15"/>
        <v>393680</v>
      </c>
      <c r="AA104" s="42">
        <f t="shared" si="15"/>
        <v>348080</v>
      </c>
      <c r="AB104" s="55">
        <f>+I104+J104+K104+M104</f>
        <v>-568311.00699999952</v>
      </c>
    </row>
  </sheetData>
  <conditionalFormatting sqref="D65:AA65">
    <cfRule type="cellIs" dxfId="17" priority="10" operator="lessThan">
      <formula>0</formula>
    </cfRule>
  </conditionalFormatting>
  <conditionalFormatting sqref="D82:AA82">
    <cfRule type="cellIs" dxfId="16" priority="8" operator="lessThan">
      <formula>0</formula>
    </cfRule>
  </conditionalFormatting>
  <conditionalFormatting sqref="D84:AA84">
    <cfRule type="cellIs" dxfId="15" priority="7" operator="lessThan">
      <formula>0</formula>
    </cfRule>
  </conditionalFormatting>
  <conditionalFormatting sqref="D100:AA100">
    <cfRule type="cellIs" dxfId="14" priority="6" operator="lessThan">
      <formula>0</formula>
    </cfRule>
  </conditionalFormatting>
  <conditionalFormatting sqref="D104:AA104">
    <cfRule type="cellIs" dxfId="13" priority="5" operator="lessThan">
      <formula>0</formula>
    </cfRule>
  </conditionalFormatting>
  <conditionalFormatting sqref="D10:AB12 D16:AB20">
    <cfRule type="cellIs" dxfId="12" priority="4" operator="lessThan">
      <formula>0</formula>
    </cfRule>
  </conditionalFormatting>
  <conditionalFormatting sqref="D25:AB25">
    <cfRule type="cellIs" dxfId="11" priority="3" operator="lessThan">
      <formula>0</formula>
    </cfRule>
  </conditionalFormatting>
  <conditionalFormatting sqref="D32:AB32">
    <cfRule type="cellIs" dxfId="10" priority="2" operator="lessThan">
      <formula>0</formula>
    </cfRule>
  </conditionalFormatting>
  <conditionalFormatting sqref="D36:AB36">
    <cfRule type="cellIs" dxfId="9" priority="1" operator="lessThan">
      <formula>0</formula>
    </cfRule>
  </conditionalFormatting>
  <conditionalFormatting sqref="AB65">
    <cfRule type="cellIs" priority="9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AD565-6EC2-4AB9-983B-76B3485D40A6}">
  <dimension ref="A3:AC104"/>
  <sheetViews>
    <sheetView zoomScale="80" zoomScaleNormal="80" workbookViewId="0">
      <pane xSplit="3" ySplit="7" topLeftCell="G8" activePane="bottomRight" state="frozen"/>
      <selection pane="topRight" activeCell="D1" sqref="D1"/>
      <selection pane="bottomLeft" activeCell="A8" sqref="A8"/>
      <selection pane="bottomRight" activeCell="AB43" sqref="AB43"/>
    </sheetView>
  </sheetViews>
  <sheetFormatPr baseColWidth="10" defaultRowHeight="14.4" x14ac:dyDescent="0.3"/>
  <cols>
    <col min="1" max="1" width="20.6640625" customWidth="1"/>
    <col min="2" max="2" width="15.88671875" bestFit="1" customWidth="1"/>
    <col min="3" max="3" width="18.5546875" style="24" customWidth="1"/>
    <col min="4" max="28" width="11.5546875" style="24"/>
  </cols>
  <sheetData>
    <row r="3" spans="1:29" x14ac:dyDescent="0.3">
      <c r="AB3" s="33">
        <f>+AB4+AB5</f>
        <v>6677162.0251963697</v>
      </c>
      <c r="AC3" t="s">
        <v>242</v>
      </c>
    </row>
    <row r="4" spans="1:29" ht="23.4" x14ac:dyDescent="0.45">
      <c r="A4" s="34" t="s">
        <v>243</v>
      </c>
      <c r="B4" s="35"/>
      <c r="C4" s="36"/>
      <c r="AB4" s="33">
        <f>+AB23+AB8+AB14</f>
        <v>5315480.9735000003</v>
      </c>
      <c r="AC4" t="s">
        <v>244</v>
      </c>
    </row>
    <row r="5" spans="1:29" ht="18" x14ac:dyDescent="0.35">
      <c r="A5" s="37" t="s">
        <v>245</v>
      </c>
      <c r="B5" s="35"/>
      <c r="C5" s="36"/>
      <c r="AB5" s="33">
        <f>AB30</f>
        <v>1361681.0516963692</v>
      </c>
      <c r="AC5" t="s">
        <v>246</v>
      </c>
    </row>
    <row r="6" spans="1:29" ht="18" x14ac:dyDescent="0.35">
      <c r="A6" s="37" t="s">
        <v>247</v>
      </c>
      <c r="D6" s="24" t="s">
        <v>248</v>
      </c>
      <c r="E6" s="24" t="s">
        <v>249</v>
      </c>
      <c r="F6" s="24" t="s">
        <v>250</v>
      </c>
      <c r="G6" s="24" t="s">
        <v>251</v>
      </c>
      <c r="H6" s="24" t="s">
        <v>252</v>
      </c>
      <c r="I6" s="24" t="s">
        <v>253</v>
      </c>
      <c r="J6" s="24" t="s">
        <v>254</v>
      </c>
      <c r="K6" s="24" t="s">
        <v>255</v>
      </c>
      <c r="L6" s="24" t="s">
        <v>256</v>
      </c>
      <c r="M6" s="24" t="s">
        <v>257</v>
      </c>
      <c r="N6" s="24" t="s">
        <v>258</v>
      </c>
      <c r="O6" s="24" t="s">
        <v>259</v>
      </c>
      <c r="P6" s="24" t="s">
        <v>260</v>
      </c>
      <c r="Q6" s="24" t="s">
        <v>261</v>
      </c>
      <c r="R6" s="24" t="s">
        <v>262</v>
      </c>
      <c r="S6" s="24" t="s">
        <v>263</v>
      </c>
      <c r="T6" s="24" t="s">
        <v>264</v>
      </c>
      <c r="U6" s="24" t="s">
        <v>265</v>
      </c>
      <c r="V6" s="24" t="s">
        <v>266</v>
      </c>
      <c r="W6" s="24" t="s">
        <v>267</v>
      </c>
      <c r="X6" s="24" t="s">
        <v>268</v>
      </c>
      <c r="Y6" s="24" t="s">
        <v>269</v>
      </c>
      <c r="Z6" s="24" t="s">
        <v>270</v>
      </c>
      <c r="AA6" s="24" t="s">
        <v>271</v>
      </c>
    </row>
    <row r="7" spans="1:29" ht="16.2" thickBot="1" x14ac:dyDescent="0.35">
      <c r="A7" s="38" t="s">
        <v>302</v>
      </c>
      <c r="B7" s="39" t="s">
        <v>273</v>
      </c>
      <c r="C7" s="40" t="s">
        <v>274</v>
      </c>
      <c r="D7" s="40">
        <v>47</v>
      </c>
      <c r="E7" s="40">
        <v>48</v>
      </c>
      <c r="F7" s="40">
        <v>49</v>
      </c>
      <c r="G7" s="40">
        <v>50</v>
      </c>
      <c r="H7" s="40">
        <v>51</v>
      </c>
      <c r="I7" s="40">
        <v>52</v>
      </c>
      <c r="J7" s="40">
        <v>1</v>
      </c>
      <c r="K7" s="40">
        <v>2</v>
      </c>
      <c r="L7" s="40">
        <v>3</v>
      </c>
      <c r="M7" s="40">
        <v>4</v>
      </c>
      <c r="N7" s="40">
        <v>5</v>
      </c>
      <c r="O7" s="40">
        <v>6</v>
      </c>
      <c r="P7" s="40">
        <v>7</v>
      </c>
      <c r="Q7" s="40">
        <v>8</v>
      </c>
      <c r="R7" s="40">
        <v>9</v>
      </c>
      <c r="S7" s="40">
        <v>10</v>
      </c>
      <c r="T7" s="40">
        <v>11</v>
      </c>
      <c r="U7" s="40">
        <v>12</v>
      </c>
      <c r="V7" s="40">
        <v>13</v>
      </c>
      <c r="W7" s="40">
        <v>14</v>
      </c>
      <c r="X7" s="40">
        <v>15</v>
      </c>
      <c r="Y7" s="40">
        <v>16</v>
      </c>
      <c r="Z7" s="40">
        <v>17</v>
      </c>
      <c r="AA7" s="40">
        <v>18</v>
      </c>
      <c r="AB7" s="40"/>
    </row>
    <row r="8" spans="1:29" ht="15" thickTop="1" x14ac:dyDescent="0.3">
      <c r="A8" s="35" t="s">
        <v>247</v>
      </c>
      <c r="B8" s="24" t="s">
        <v>304</v>
      </c>
      <c r="C8" s="24" t="s">
        <v>276</v>
      </c>
      <c r="D8" s="42">
        <v>4525</v>
      </c>
      <c r="E8" s="42">
        <v>40667.75</v>
      </c>
      <c r="F8" s="42">
        <v>73492.5</v>
      </c>
      <c r="G8" s="42">
        <v>86053.587499999994</v>
      </c>
      <c r="H8" s="42">
        <v>95298.635999999999</v>
      </c>
      <c r="I8" s="42">
        <v>155956.73000000001</v>
      </c>
      <c r="J8" s="42">
        <v>164919.71</v>
      </c>
      <c r="K8" s="42">
        <v>313884.2300000001</v>
      </c>
      <c r="L8" s="42">
        <v>193785.12000000005</v>
      </c>
      <c r="M8" s="42">
        <v>297740.48</v>
      </c>
      <c r="N8" s="42">
        <v>332683.49000000011</v>
      </c>
      <c r="O8" s="42">
        <v>259418.69999999998</v>
      </c>
      <c r="P8" s="42">
        <v>204110.88</v>
      </c>
      <c r="Q8" s="42">
        <v>149541.37</v>
      </c>
      <c r="R8" s="42">
        <v>123415.09999999998</v>
      </c>
      <c r="S8" s="42">
        <v>129697.48000000001</v>
      </c>
      <c r="T8" s="42">
        <v>164818.65</v>
      </c>
      <c r="U8" s="42">
        <v>149071.24</v>
      </c>
      <c r="V8" s="42">
        <v>62942.909999999996</v>
      </c>
      <c r="W8" s="42">
        <v>67000</v>
      </c>
      <c r="X8" s="42">
        <v>55000</v>
      </c>
      <c r="Y8" s="42">
        <v>45000</v>
      </c>
      <c r="Z8" s="42">
        <v>30000</v>
      </c>
      <c r="AA8" s="42"/>
      <c r="AB8" s="42">
        <f>SUM(D8:AA8)</f>
        <v>3199023.5635000002</v>
      </c>
    </row>
    <row r="9" spans="1:29" ht="15" thickBot="1" x14ac:dyDescent="0.35">
      <c r="A9" s="59" t="s">
        <v>301</v>
      </c>
      <c r="B9" s="40" t="s">
        <v>304</v>
      </c>
      <c r="C9" s="40" t="s">
        <v>276</v>
      </c>
      <c r="D9" s="44">
        <v>228800</v>
      </c>
      <c r="E9" s="44">
        <v>228800</v>
      </c>
      <c r="F9" s="44">
        <v>228800</v>
      </c>
      <c r="G9" s="44">
        <v>182000</v>
      </c>
      <c r="H9" s="44">
        <v>228800</v>
      </c>
      <c r="I9" s="44">
        <v>158600</v>
      </c>
      <c r="J9" s="44">
        <v>158600</v>
      </c>
      <c r="K9" s="44">
        <v>228800</v>
      </c>
      <c r="L9" s="44">
        <v>228800</v>
      </c>
      <c r="M9" s="44">
        <v>228800</v>
      </c>
      <c r="N9" s="44">
        <v>228800</v>
      </c>
      <c r="O9" s="44">
        <v>228800</v>
      </c>
      <c r="P9" s="44">
        <v>228800</v>
      </c>
      <c r="Q9" s="44">
        <v>228800</v>
      </c>
      <c r="R9" s="44">
        <v>228800</v>
      </c>
      <c r="S9" s="44">
        <v>228800</v>
      </c>
      <c r="T9" s="44">
        <v>228800</v>
      </c>
      <c r="U9" s="44">
        <v>228800</v>
      </c>
      <c r="V9" s="44">
        <v>228800</v>
      </c>
      <c r="W9" s="44">
        <v>182000</v>
      </c>
      <c r="X9" s="44">
        <v>228800</v>
      </c>
      <c r="Y9" s="44">
        <v>228800</v>
      </c>
      <c r="Z9" s="44">
        <v>228800</v>
      </c>
      <c r="AA9" s="44">
        <v>182000</v>
      </c>
      <c r="AB9" s="40"/>
    </row>
    <row r="10" spans="1:29" ht="15" thickTop="1" x14ac:dyDescent="0.3">
      <c r="B10" s="41"/>
      <c r="D10" s="42">
        <f>+D9-D8</f>
        <v>224275</v>
      </c>
      <c r="E10" s="42">
        <f t="shared" ref="E10:AA10" si="0">+E9-E8</f>
        <v>188132.25</v>
      </c>
      <c r="F10" s="42">
        <f t="shared" si="0"/>
        <v>155307.5</v>
      </c>
      <c r="G10" s="42">
        <f t="shared" si="0"/>
        <v>95946.412500000006</v>
      </c>
      <c r="H10" s="42">
        <f t="shared" si="0"/>
        <v>133501.364</v>
      </c>
      <c r="I10" s="42">
        <f t="shared" si="0"/>
        <v>2643.2699999999895</v>
      </c>
      <c r="J10" s="42">
        <f t="shared" si="0"/>
        <v>-6319.7099999999919</v>
      </c>
      <c r="K10" s="42">
        <f t="shared" si="0"/>
        <v>-85084.230000000098</v>
      </c>
      <c r="L10" s="42">
        <f t="shared" si="0"/>
        <v>35014.879999999946</v>
      </c>
      <c r="M10" s="42">
        <f t="shared" si="0"/>
        <v>-68940.479999999981</v>
      </c>
      <c r="N10" s="42">
        <f t="shared" si="0"/>
        <v>-103883.49000000011</v>
      </c>
      <c r="O10" s="42">
        <f t="shared" si="0"/>
        <v>-30618.699999999983</v>
      </c>
      <c r="P10" s="42">
        <f t="shared" si="0"/>
        <v>24689.119999999995</v>
      </c>
      <c r="Q10" s="42">
        <f t="shared" si="0"/>
        <v>79258.63</v>
      </c>
      <c r="R10" s="42">
        <f t="shared" si="0"/>
        <v>105384.90000000002</v>
      </c>
      <c r="S10" s="42">
        <f t="shared" si="0"/>
        <v>99102.51999999999</v>
      </c>
      <c r="T10" s="42">
        <f t="shared" si="0"/>
        <v>63981.350000000006</v>
      </c>
      <c r="U10" s="42">
        <f t="shared" si="0"/>
        <v>79728.760000000009</v>
      </c>
      <c r="V10" s="42">
        <f t="shared" si="0"/>
        <v>165857.09</v>
      </c>
      <c r="W10" s="42">
        <f t="shared" si="0"/>
        <v>115000</v>
      </c>
      <c r="X10" s="42">
        <f t="shared" si="0"/>
        <v>173800</v>
      </c>
      <c r="Y10" s="42">
        <f t="shared" si="0"/>
        <v>183800</v>
      </c>
      <c r="Z10" s="42">
        <f t="shared" si="0"/>
        <v>198800</v>
      </c>
      <c r="AA10" s="42">
        <f t="shared" si="0"/>
        <v>182000</v>
      </c>
      <c r="AB10" s="42">
        <f>+O10+N10+M10+K10+J10</f>
        <v>-294846.6100000001</v>
      </c>
    </row>
    <row r="11" spans="1:29" x14ac:dyDescent="0.3">
      <c r="B11" s="41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</row>
    <row r="12" spans="1:29" x14ac:dyDescent="0.3">
      <c r="B12" s="41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</row>
    <row r="13" spans="1:29" ht="16.2" thickBot="1" x14ac:dyDescent="0.35">
      <c r="A13" s="38" t="s">
        <v>302</v>
      </c>
      <c r="B13" s="39" t="s">
        <v>273</v>
      </c>
      <c r="C13" s="40" t="s">
        <v>274</v>
      </c>
      <c r="D13" s="40">
        <v>47</v>
      </c>
      <c r="E13" s="40">
        <v>48</v>
      </c>
      <c r="F13" s="40">
        <v>49</v>
      </c>
      <c r="G13" s="40">
        <v>50</v>
      </c>
      <c r="H13" s="40">
        <v>51</v>
      </c>
      <c r="I13" s="40">
        <v>52</v>
      </c>
      <c r="J13" s="40">
        <v>1</v>
      </c>
      <c r="K13" s="40">
        <v>2</v>
      </c>
      <c r="L13" s="40">
        <v>3</v>
      </c>
      <c r="M13" s="40">
        <v>4</v>
      </c>
      <c r="N13" s="40">
        <v>5</v>
      </c>
      <c r="O13" s="40">
        <v>6</v>
      </c>
      <c r="P13" s="40">
        <v>7</v>
      </c>
      <c r="Q13" s="40">
        <v>8</v>
      </c>
      <c r="R13" s="40">
        <v>9</v>
      </c>
      <c r="S13" s="40">
        <v>10</v>
      </c>
      <c r="T13" s="40">
        <v>11</v>
      </c>
      <c r="U13" s="40">
        <v>12</v>
      </c>
      <c r="V13" s="40">
        <v>13</v>
      </c>
      <c r="W13" s="40">
        <v>14</v>
      </c>
      <c r="X13" s="40">
        <v>15</v>
      </c>
      <c r="Y13" s="40">
        <v>16</v>
      </c>
      <c r="Z13" s="40">
        <v>17</v>
      </c>
      <c r="AA13" s="40">
        <v>18</v>
      </c>
      <c r="AB13" s="40"/>
    </row>
    <row r="14" spans="1:29" ht="15" thickTop="1" x14ac:dyDescent="0.3">
      <c r="A14" s="35" t="s">
        <v>247</v>
      </c>
      <c r="B14" s="24" t="s">
        <v>304</v>
      </c>
      <c r="C14" s="24" t="s">
        <v>277</v>
      </c>
      <c r="D14" s="42">
        <v>6000</v>
      </c>
      <c r="E14" s="42">
        <v>9000</v>
      </c>
      <c r="F14" s="42">
        <v>68000</v>
      </c>
      <c r="G14" s="42">
        <v>68000</v>
      </c>
      <c r="H14" s="42">
        <v>57000</v>
      </c>
      <c r="I14" s="42">
        <v>30000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82000</v>
      </c>
      <c r="S14" s="42">
        <v>82000</v>
      </c>
      <c r="T14" s="42">
        <v>56250</v>
      </c>
      <c r="U14" s="42">
        <v>0</v>
      </c>
      <c r="V14" s="42">
        <v>38500</v>
      </c>
      <c r="W14" s="42">
        <v>128000</v>
      </c>
      <c r="X14" s="42">
        <v>90608</v>
      </c>
      <c r="Y14" s="42">
        <v>71000</v>
      </c>
      <c r="Z14" s="42">
        <v>52000</v>
      </c>
      <c r="AA14" s="42"/>
      <c r="AB14" s="42">
        <f>SUM(D14:AA14)</f>
        <v>838358</v>
      </c>
    </row>
    <row r="15" spans="1:29" ht="15" thickBot="1" x14ac:dyDescent="0.35">
      <c r="A15" s="59" t="s">
        <v>301</v>
      </c>
      <c r="B15" s="40" t="s">
        <v>304</v>
      </c>
      <c r="C15" s="40" t="s">
        <v>277</v>
      </c>
      <c r="D15" s="44">
        <v>158400</v>
      </c>
      <c r="E15" s="44">
        <v>158400</v>
      </c>
      <c r="F15" s="44">
        <v>158400</v>
      </c>
      <c r="G15" s="44">
        <v>126000</v>
      </c>
      <c r="H15" s="44">
        <v>158400</v>
      </c>
      <c r="I15" s="44">
        <v>109800</v>
      </c>
      <c r="J15" s="44">
        <v>109800</v>
      </c>
      <c r="K15" s="44">
        <v>158400</v>
      </c>
      <c r="L15" s="44">
        <v>158400</v>
      </c>
      <c r="M15" s="44">
        <v>158400</v>
      </c>
      <c r="N15" s="44">
        <v>158400</v>
      </c>
      <c r="O15" s="44">
        <v>158400</v>
      </c>
      <c r="P15" s="44">
        <v>158400</v>
      </c>
      <c r="Q15" s="44">
        <v>158400</v>
      </c>
      <c r="R15" s="44">
        <v>158400</v>
      </c>
      <c r="S15" s="44">
        <v>158400</v>
      </c>
      <c r="T15" s="44">
        <v>158400</v>
      </c>
      <c r="U15" s="44">
        <v>158400</v>
      </c>
      <c r="V15" s="44">
        <v>158400</v>
      </c>
      <c r="W15" s="44">
        <v>126000</v>
      </c>
      <c r="X15" s="44">
        <v>158400</v>
      </c>
      <c r="Y15" s="44">
        <v>158400</v>
      </c>
      <c r="Z15" s="44">
        <v>158400</v>
      </c>
      <c r="AA15" s="44">
        <v>126000</v>
      </c>
      <c r="AB15" s="40"/>
    </row>
    <row r="16" spans="1:29" ht="15" thickTop="1" x14ac:dyDescent="0.3">
      <c r="B16" s="41"/>
      <c r="D16" s="42">
        <f>+D15-D14</f>
        <v>152400</v>
      </c>
      <c r="E16" s="42">
        <f t="shared" ref="E16:AA16" si="1">+E15-E14</f>
        <v>149400</v>
      </c>
      <c r="F16" s="42">
        <f t="shared" si="1"/>
        <v>90400</v>
      </c>
      <c r="G16" s="42">
        <f t="shared" si="1"/>
        <v>58000</v>
      </c>
      <c r="H16" s="42">
        <f t="shared" si="1"/>
        <v>101400</v>
      </c>
      <c r="I16" s="42">
        <f t="shared" si="1"/>
        <v>79800</v>
      </c>
      <c r="J16" s="42">
        <f t="shared" si="1"/>
        <v>109800</v>
      </c>
      <c r="K16" s="42">
        <f t="shared" si="1"/>
        <v>158400</v>
      </c>
      <c r="L16" s="42">
        <f t="shared" si="1"/>
        <v>158400</v>
      </c>
      <c r="M16" s="42">
        <f t="shared" si="1"/>
        <v>158400</v>
      </c>
      <c r="N16" s="42">
        <f t="shared" si="1"/>
        <v>158400</v>
      </c>
      <c r="O16" s="42">
        <f t="shared" si="1"/>
        <v>158400</v>
      </c>
      <c r="P16" s="42">
        <f t="shared" si="1"/>
        <v>158400</v>
      </c>
      <c r="Q16" s="42">
        <f t="shared" si="1"/>
        <v>158400</v>
      </c>
      <c r="R16" s="42">
        <f t="shared" si="1"/>
        <v>76400</v>
      </c>
      <c r="S16" s="42">
        <f t="shared" si="1"/>
        <v>76400</v>
      </c>
      <c r="T16" s="42">
        <f t="shared" si="1"/>
        <v>102150</v>
      </c>
      <c r="U16" s="42">
        <f t="shared" si="1"/>
        <v>158400</v>
      </c>
      <c r="V16" s="42">
        <f t="shared" si="1"/>
        <v>119900</v>
      </c>
      <c r="W16" s="42">
        <f t="shared" si="1"/>
        <v>-2000</v>
      </c>
      <c r="X16" s="42">
        <f t="shared" si="1"/>
        <v>67792</v>
      </c>
      <c r="Y16" s="42">
        <f t="shared" si="1"/>
        <v>87400</v>
      </c>
      <c r="Z16" s="42">
        <f t="shared" si="1"/>
        <v>106400</v>
      </c>
      <c r="AA16" s="42">
        <f t="shared" si="1"/>
        <v>126000</v>
      </c>
      <c r="AB16" s="42">
        <f>+O16+N16+M16+K16+J16</f>
        <v>743400</v>
      </c>
    </row>
    <row r="17" spans="1:28" x14ac:dyDescent="0.3">
      <c r="B17" s="41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</row>
    <row r="18" spans="1:28" x14ac:dyDescent="0.3">
      <c r="B18" s="41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</row>
    <row r="19" spans="1:28" x14ac:dyDescent="0.3">
      <c r="B19" s="41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</row>
    <row r="20" spans="1:28" x14ac:dyDescent="0.3">
      <c r="B20" s="41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</row>
    <row r="21" spans="1:28" x14ac:dyDescent="0.3">
      <c r="B21" s="41"/>
    </row>
    <row r="22" spans="1:28" ht="16.2" thickBot="1" x14ac:dyDescent="0.35">
      <c r="A22" s="38" t="s">
        <v>303</v>
      </c>
      <c r="B22" s="39" t="s">
        <v>273</v>
      </c>
      <c r="C22" s="40" t="s">
        <v>274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</row>
    <row r="23" spans="1:28" ht="15" thickTop="1" x14ac:dyDescent="0.3">
      <c r="A23" s="35" t="s">
        <v>247</v>
      </c>
      <c r="B23" s="24" t="s">
        <v>224</v>
      </c>
      <c r="C23" s="24" t="s">
        <v>293</v>
      </c>
      <c r="D23" s="42">
        <v>0</v>
      </c>
      <c r="E23" s="42">
        <v>0</v>
      </c>
      <c r="F23" s="42">
        <v>980.36400000000003</v>
      </c>
      <c r="G23" s="42">
        <v>48444.008000000002</v>
      </c>
      <c r="H23" s="42">
        <v>125134.97599999998</v>
      </c>
      <c r="I23" s="42">
        <v>146697.22499999992</v>
      </c>
      <c r="J23" s="42">
        <v>187025.94200000001</v>
      </c>
      <c r="K23" s="42">
        <v>186436.12499999991</v>
      </c>
      <c r="L23" s="42">
        <v>97441.060000000027</v>
      </c>
      <c r="M23" s="42">
        <v>30394.49</v>
      </c>
      <c r="N23" s="42">
        <v>12011.9</v>
      </c>
      <c r="O23" s="42">
        <v>47097.4</v>
      </c>
      <c r="P23" s="42">
        <v>46010.400000000001</v>
      </c>
      <c r="Q23" s="42">
        <v>3121.8</v>
      </c>
      <c r="R23" s="42">
        <v>26112.82</v>
      </c>
      <c r="S23" s="42">
        <v>84122.14</v>
      </c>
      <c r="T23" s="42">
        <v>68041.919999999998</v>
      </c>
      <c r="U23" s="42">
        <v>48026.84</v>
      </c>
      <c r="V23" s="42">
        <v>36000</v>
      </c>
      <c r="W23" s="42">
        <v>48000</v>
      </c>
      <c r="X23" s="42">
        <v>37000</v>
      </c>
      <c r="Y23" s="42">
        <v>0</v>
      </c>
      <c r="Z23" s="42">
        <v>0</v>
      </c>
      <c r="AA23" s="42">
        <v>0</v>
      </c>
      <c r="AB23" s="42">
        <f>SUM(D23:AA23)</f>
        <v>1278099.4099999999</v>
      </c>
    </row>
    <row r="24" spans="1:28" ht="15" thickBot="1" x14ac:dyDescent="0.35">
      <c r="A24" s="59" t="s">
        <v>301</v>
      </c>
      <c r="B24" s="40" t="s">
        <v>224</v>
      </c>
      <c r="C24" s="40" t="s">
        <v>293</v>
      </c>
      <c r="D24" s="44">
        <v>94080</v>
      </c>
      <c r="E24" s="44">
        <v>94080</v>
      </c>
      <c r="F24" s="44">
        <v>94080</v>
      </c>
      <c r="G24" s="44">
        <v>82080</v>
      </c>
      <c r="H24" s="44">
        <v>94080</v>
      </c>
      <c r="I24" s="44">
        <v>76080</v>
      </c>
      <c r="J24" s="44">
        <v>76080</v>
      </c>
      <c r="K24" s="44">
        <v>94080</v>
      </c>
      <c r="L24" s="44">
        <v>94080</v>
      </c>
      <c r="M24" s="44">
        <v>94080</v>
      </c>
      <c r="N24" s="44">
        <v>94080</v>
      </c>
      <c r="O24" s="44">
        <v>94080</v>
      </c>
      <c r="P24" s="44">
        <v>94080</v>
      </c>
      <c r="Q24" s="44">
        <v>94080</v>
      </c>
      <c r="R24" s="44">
        <v>94080</v>
      </c>
      <c r="S24" s="44">
        <v>94080</v>
      </c>
      <c r="T24" s="44">
        <v>94080</v>
      </c>
      <c r="U24" s="44">
        <v>94080</v>
      </c>
      <c r="V24" s="44">
        <v>94080</v>
      </c>
      <c r="W24" s="44">
        <v>36000</v>
      </c>
      <c r="X24" s="44">
        <v>94080</v>
      </c>
      <c r="Y24" s="44">
        <v>94080</v>
      </c>
      <c r="Z24" s="44">
        <v>94080</v>
      </c>
      <c r="AA24" s="44">
        <v>82080</v>
      </c>
      <c r="AB24" s="44"/>
    </row>
    <row r="25" spans="1:28" ht="15" thickTop="1" x14ac:dyDescent="0.3">
      <c r="B25" s="41"/>
      <c r="D25" s="42">
        <f>D24-D23</f>
        <v>94080</v>
      </c>
      <c r="E25" s="42">
        <f t="shared" ref="E25:AA25" si="2">E24-E23</f>
        <v>94080</v>
      </c>
      <c r="F25" s="42">
        <f t="shared" si="2"/>
        <v>93099.635999999999</v>
      </c>
      <c r="G25" s="42">
        <f t="shared" si="2"/>
        <v>33635.991999999998</v>
      </c>
      <c r="H25" s="42">
        <f t="shared" si="2"/>
        <v>-31054.975999999981</v>
      </c>
      <c r="I25" s="42">
        <f t="shared" si="2"/>
        <v>-70617.224999999919</v>
      </c>
      <c r="J25" s="42">
        <f t="shared" si="2"/>
        <v>-110945.94200000001</v>
      </c>
      <c r="K25" s="42">
        <f t="shared" si="2"/>
        <v>-92356.124999999913</v>
      </c>
      <c r="L25" s="42">
        <f t="shared" si="2"/>
        <v>-3361.0600000000268</v>
      </c>
      <c r="M25" s="42">
        <f t="shared" si="2"/>
        <v>63685.509999999995</v>
      </c>
      <c r="N25" s="42">
        <f t="shared" si="2"/>
        <v>82068.100000000006</v>
      </c>
      <c r="O25" s="42">
        <f t="shared" si="2"/>
        <v>46982.6</v>
      </c>
      <c r="P25" s="42">
        <f t="shared" si="2"/>
        <v>48069.599999999999</v>
      </c>
      <c r="Q25" s="42">
        <f t="shared" si="2"/>
        <v>90958.2</v>
      </c>
      <c r="R25" s="42">
        <f t="shared" si="2"/>
        <v>67967.179999999993</v>
      </c>
      <c r="S25" s="42">
        <f t="shared" si="2"/>
        <v>9957.86</v>
      </c>
      <c r="T25" s="42">
        <f t="shared" si="2"/>
        <v>26038.080000000002</v>
      </c>
      <c r="U25" s="42">
        <f t="shared" si="2"/>
        <v>46053.16</v>
      </c>
      <c r="V25" s="42">
        <f t="shared" si="2"/>
        <v>58080</v>
      </c>
      <c r="W25" s="42">
        <f t="shared" si="2"/>
        <v>-12000</v>
      </c>
      <c r="X25" s="42">
        <f t="shared" si="2"/>
        <v>57080</v>
      </c>
      <c r="Y25" s="42">
        <f t="shared" si="2"/>
        <v>94080</v>
      </c>
      <c r="Z25" s="42">
        <f t="shared" si="2"/>
        <v>94080</v>
      </c>
      <c r="AA25" s="42">
        <f t="shared" si="2"/>
        <v>82080</v>
      </c>
      <c r="AB25" s="42">
        <f>+W25+L25+K25+J25+I25+H25</f>
        <v>-320335.3279999998</v>
      </c>
    </row>
    <row r="26" spans="1:28" x14ac:dyDescent="0.3">
      <c r="B26" s="41"/>
    </row>
    <row r="27" spans="1:28" ht="21" x14ac:dyDescent="0.4">
      <c r="A27" s="53" t="s">
        <v>296</v>
      </c>
      <c r="B27" s="41"/>
    </row>
    <row r="28" spans="1:28" ht="18" x14ac:dyDescent="0.35">
      <c r="A28" s="37" t="s">
        <v>247</v>
      </c>
      <c r="B28" s="41"/>
      <c r="D28" s="24" t="s">
        <v>248</v>
      </c>
      <c r="E28" s="24" t="s">
        <v>249</v>
      </c>
      <c r="F28" s="24" t="s">
        <v>250</v>
      </c>
      <c r="G28" s="24" t="s">
        <v>251</v>
      </c>
      <c r="H28" s="24" t="s">
        <v>252</v>
      </c>
      <c r="I28" s="24" t="s">
        <v>253</v>
      </c>
      <c r="J28" s="24" t="s">
        <v>254</v>
      </c>
      <c r="K28" s="24" t="s">
        <v>255</v>
      </c>
      <c r="L28" s="24" t="s">
        <v>256</v>
      </c>
      <c r="M28" s="24" t="s">
        <v>257</v>
      </c>
      <c r="N28" s="24" t="s">
        <v>258</v>
      </c>
      <c r="O28" s="24" t="s">
        <v>259</v>
      </c>
      <c r="P28" s="24" t="s">
        <v>260</v>
      </c>
      <c r="Q28" s="24" t="s">
        <v>261</v>
      </c>
      <c r="R28" s="24" t="s">
        <v>262</v>
      </c>
      <c r="S28" s="24" t="s">
        <v>263</v>
      </c>
      <c r="T28" s="24" t="s">
        <v>264</v>
      </c>
      <c r="U28" s="24" t="s">
        <v>265</v>
      </c>
      <c r="V28" s="24" t="s">
        <v>266</v>
      </c>
      <c r="W28" s="24" t="s">
        <v>267</v>
      </c>
      <c r="X28" s="24" t="s">
        <v>268</v>
      </c>
      <c r="Y28" s="24" t="s">
        <v>269</v>
      </c>
      <c r="Z28" s="24" t="s">
        <v>270</v>
      </c>
      <c r="AA28" s="24" t="s">
        <v>271</v>
      </c>
    </row>
    <row r="29" spans="1:28" ht="16.2" thickBot="1" x14ac:dyDescent="0.35">
      <c r="A29" s="38" t="s">
        <v>303</v>
      </c>
      <c r="B29" s="39" t="s">
        <v>273</v>
      </c>
      <c r="C29" s="40" t="s">
        <v>274</v>
      </c>
      <c r="D29" s="40">
        <v>47</v>
      </c>
      <c r="E29" s="40">
        <v>48</v>
      </c>
      <c r="F29" s="40">
        <v>49</v>
      </c>
      <c r="G29" s="40">
        <v>50</v>
      </c>
      <c r="H29" s="40">
        <v>51</v>
      </c>
      <c r="I29" s="40">
        <v>52</v>
      </c>
      <c r="J29" s="40">
        <v>1</v>
      </c>
      <c r="K29" s="40">
        <v>2</v>
      </c>
      <c r="L29" s="40">
        <v>3</v>
      </c>
      <c r="M29" s="40">
        <v>4</v>
      </c>
      <c r="N29" s="40">
        <v>5</v>
      </c>
      <c r="O29" s="40">
        <v>6</v>
      </c>
      <c r="P29" s="40">
        <v>7</v>
      </c>
      <c r="Q29" s="40">
        <v>8</v>
      </c>
      <c r="R29" s="40">
        <v>9</v>
      </c>
      <c r="S29" s="40">
        <v>10</v>
      </c>
      <c r="T29" s="40">
        <v>11</v>
      </c>
      <c r="U29" s="40">
        <v>12</v>
      </c>
      <c r="V29" s="40">
        <v>13</v>
      </c>
      <c r="W29" s="40">
        <v>14</v>
      </c>
      <c r="X29" s="40">
        <v>15</v>
      </c>
      <c r="Y29" s="40">
        <v>16</v>
      </c>
      <c r="Z29" s="40">
        <v>17</v>
      </c>
      <c r="AA29" s="40">
        <v>18</v>
      </c>
      <c r="AB29" s="40"/>
    </row>
    <row r="30" spans="1:28" ht="15" thickTop="1" x14ac:dyDescent="0.3">
      <c r="A30" s="35" t="s">
        <v>247</v>
      </c>
      <c r="B30" s="24" t="s">
        <v>297</v>
      </c>
      <c r="C30" s="24" t="s">
        <v>305</v>
      </c>
      <c r="D30" s="42">
        <v>0</v>
      </c>
      <c r="E30" s="42">
        <v>0</v>
      </c>
      <c r="F30" s="42">
        <v>21246.347029702967</v>
      </c>
      <c r="G30" s="42">
        <v>47943.30999999999</v>
      </c>
      <c r="H30" s="42">
        <v>87972.07666666669</v>
      </c>
      <c r="I30" s="42">
        <v>182916.15999999995</v>
      </c>
      <c r="J30" s="42">
        <v>122722.31999999979</v>
      </c>
      <c r="K30" s="42">
        <v>133573.0799999999</v>
      </c>
      <c r="L30" s="42">
        <v>101908.655</v>
      </c>
      <c r="M30" s="42">
        <v>113964.515</v>
      </c>
      <c r="N30" s="42">
        <v>40540.35</v>
      </c>
      <c r="O30" s="42">
        <v>58642.057999999997</v>
      </c>
      <c r="P30" s="42">
        <v>48624.58</v>
      </c>
      <c r="Q30" s="42">
        <v>36711.599999999999</v>
      </c>
      <c r="R30" s="42">
        <v>60000</v>
      </c>
      <c r="S30" s="42">
        <v>107916</v>
      </c>
      <c r="T30" s="42">
        <v>85500</v>
      </c>
      <c r="U30" s="42">
        <v>75000</v>
      </c>
      <c r="V30" s="42">
        <v>36500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f>SUM(D30:AA30)</f>
        <v>1361681.0516963692</v>
      </c>
    </row>
    <row r="31" spans="1:28" ht="15" thickBot="1" x14ac:dyDescent="0.35">
      <c r="A31" s="59" t="s">
        <v>301</v>
      </c>
      <c r="B31" s="40" t="s">
        <v>297</v>
      </c>
      <c r="C31" s="40" t="s">
        <v>305</v>
      </c>
      <c r="D31" s="44">
        <v>100800</v>
      </c>
      <c r="E31" s="44">
        <v>100800</v>
      </c>
      <c r="F31" s="44">
        <v>100800</v>
      </c>
      <c r="G31" s="44">
        <v>84000</v>
      </c>
      <c r="H31" s="44">
        <v>100800</v>
      </c>
      <c r="I31" s="44">
        <v>75600</v>
      </c>
      <c r="J31" s="44">
        <v>75600</v>
      </c>
      <c r="K31" s="44">
        <v>100800</v>
      </c>
      <c r="L31" s="44">
        <v>100800</v>
      </c>
      <c r="M31" s="44">
        <v>100800</v>
      </c>
      <c r="N31" s="44">
        <v>100800</v>
      </c>
      <c r="O31" s="44">
        <v>100800</v>
      </c>
      <c r="P31" s="44">
        <v>100800</v>
      </c>
      <c r="Q31" s="44">
        <v>100800</v>
      </c>
      <c r="R31" s="44">
        <v>100800</v>
      </c>
      <c r="S31" s="44">
        <v>100800</v>
      </c>
      <c r="T31" s="44">
        <v>100800</v>
      </c>
      <c r="U31" s="44">
        <v>100800</v>
      </c>
      <c r="V31" s="44">
        <v>100800</v>
      </c>
      <c r="W31" s="44">
        <v>50400</v>
      </c>
      <c r="X31" s="44">
        <v>100800</v>
      </c>
      <c r="Y31" s="44">
        <v>100800</v>
      </c>
      <c r="Z31" s="44">
        <v>100800</v>
      </c>
      <c r="AA31" s="44">
        <v>84000</v>
      </c>
      <c r="AB31" s="44"/>
    </row>
    <row r="32" spans="1:28" ht="15" thickTop="1" x14ac:dyDescent="0.3">
      <c r="B32" s="41"/>
      <c r="D32" s="42">
        <f>D31-D30</f>
        <v>100800</v>
      </c>
      <c r="E32" s="42">
        <f t="shared" ref="E32:AA32" si="3">E31-E30</f>
        <v>100800</v>
      </c>
      <c r="F32" s="42">
        <f t="shared" si="3"/>
        <v>79553.652970297029</v>
      </c>
      <c r="G32" s="42">
        <f t="shared" si="3"/>
        <v>36056.69000000001</v>
      </c>
      <c r="H32" s="42">
        <f t="shared" si="3"/>
        <v>12827.92333333331</v>
      </c>
      <c r="I32" s="42">
        <f t="shared" si="3"/>
        <v>-107316.15999999995</v>
      </c>
      <c r="J32" s="42">
        <f t="shared" si="3"/>
        <v>-47122.319999999789</v>
      </c>
      <c r="K32" s="42">
        <f t="shared" si="3"/>
        <v>-32773.0799999999</v>
      </c>
      <c r="L32" s="42">
        <f t="shared" si="3"/>
        <v>-1108.6549999999988</v>
      </c>
      <c r="M32" s="42">
        <f t="shared" si="3"/>
        <v>-13164.514999999999</v>
      </c>
      <c r="N32" s="42">
        <f t="shared" si="3"/>
        <v>60259.65</v>
      </c>
      <c r="O32" s="42">
        <f t="shared" si="3"/>
        <v>42157.942000000003</v>
      </c>
      <c r="P32" s="42">
        <f t="shared" si="3"/>
        <v>52175.42</v>
      </c>
      <c r="Q32" s="42">
        <f t="shared" si="3"/>
        <v>64088.4</v>
      </c>
      <c r="R32" s="42">
        <f t="shared" si="3"/>
        <v>40800</v>
      </c>
      <c r="S32" s="42">
        <f t="shared" si="3"/>
        <v>-7116</v>
      </c>
      <c r="T32" s="42">
        <f t="shared" si="3"/>
        <v>15300</v>
      </c>
      <c r="U32" s="42">
        <f t="shared" si="3"/>
        <v>25800</v>
      </c>
      <c r="V32" s="42">
        <f t="shared" si="3"/>
        <v>64300</v>
      </c>
      <c r="W32" s="42">
        <f t="shared" si="3"/>
        <v>50400</v>
      </c>
      <c r="X32" s="42">
        <f t="shared" si="3"/>
        <v>100800</v>
      </c>
      <c r="Y32" s="42">
        <f t="shared" si="3"/>
        <v>100800</v>
      </c>
      <c r="Z32" s="42">
        <f t="shared" si="3"/>
        <v>100800</v>
      </c>
      <c r="AA32" s="42">
        <f t="shared" si="3"/>
        <v>84000</v>
      </c>
      <c r="AB32" s="42">
        <f>+S32+M32+L32+K32+J32+I32</f>
        <v>-208600.72999999963</v>
      </c>
    </row>
    <row r="33" spans="1:28" x14ac:dyDescent="0.3">
      <c r="B33" s="41"/>
    </row>
    <row r="34" spans="1:28" x14ac:dyDescent="0.3">
      <c r="B34" s="41"/>
    </row>
    <row r="35" spans="1:28" ht="15" thickBot="1" x14ac:dyDescent="0.35">
      <c r="A35" s="43" t="s">
        <v>306</v>
      </c>
      <c r="B35" s="39" t="s">
        <v>273</v>
      </c>
      <c r="C35" s="40" t="s">
        <v>274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</row>
    <row r="36" spans="1:28" ht="15" thickTop="1" x14ac:dyDescent="0.3">
      <c r="A36" t="s">
        <v>309</v>
      </c>
      <c r="B36" s="41" t="s">
        <v>307</v>
      </c>
      <c r="C36" s="24" t="s">
        <v>308</v>
      </c>
      <c r="D36" s="42">
        <f>((D31+D24)-(D23+D30))</f>
        <v>194880</v>
      </c>
      <c r="E36" s="42">
        <f t="shared" ref="E36:AA36" si="4">((E31+E24)-(E23+E30))</f>
        <v>194880</v>
      </c>
      <c r="F36" s="42">
        <f t="shared" si="4"/>
        <v>172653.28897029703</v>
      </c>
      <c r="G36" s="42">
        <f t="shared" si="4"/>
        <v>69692.682000000001</v>
      </c>
      <c r="H36" s="42">
        <f t="shared" si="4"/>
        <v>-18227.052666666685</v>
      </c>
      <c r="I36" s="42">
        <f t="shared" si="4"/>
        <v>-177933.38499999989</v>
      </c>
      <c r="J36" s="42">
        <f t="shared" si="4"/>
        <v>-158068.26199999981</v>
      </c>
      <c r="K36" s="42">
        <f t="shared" si="4"/>
        <v>-125129.20499999984</v>
      </c>
      <c r="L36" s="42">
        <f t="shared" si="4"/>
        <v>-4469.7150000000256</v>
      </c>
      <c r="M36" s="42">
        <f t="shared" si="4"/>
        <v>50520.994999999995</v>
      </c>
      <c r="N36" s="42">
        <f t="shared" si="4"/>
        <v>142327.75</v>
      </c>
      <c r="O36" s="42">
        <f t="shared" si="4"/>
        <v>89140.542000000001</v>
      </c>
      <c r="P36" s="42">
        <f t="shared" si="4"/>
        <v>100245.01999999999</v>
      </c>
      <c r="Q36" s="42">
        <f t="shared" si="4"/>
        <v>155046.6</v>
      </c>
      <c r="R36" s="42">
        <f t="shared" si="4"/>
        <v>108767.18</v>
      </c>
      <c r="S36" s="42">
        <f t="shared" si="4"/>
        <v>2841.859999999986</v>
      </c>
      <c r="T36" s="42">
        <f t="shared" si="4"/>
        <v>41338.080000000016</v>
      </c>
      <c r="U36" s="42">
        <f t="shared" si="4"/>
        <v>71853.16</v>
      </c>
      <c r="V36" s="42">
        <f t="shared" si="4"/>
        <v>122380</v>
      </c>
      <c r="W36" s="42">
        <f t="shared" si="4"/>
        <v>38400</v>
      </c>
      <c r="X36" s="42">
        <f t="shared" si="4"/>
        <v>157880</v>
      </c>
      <c r="Y36" s="42">
        <f t="shared" si="4"/>
        <v>194880</v>
      </c>
      <c r="Z36" s="42">
        <f t="shared" si="4"/>
        <v>194880</v>
      </c>
      <c r="AA36" s="42">
        <f t="shared" si="4"/>
        <v>166080</v>
      </c>
      <c r="AB36" s="42">
        <f>+L36+K36+J36+I36+H36</f>
        <v>-483827.61966666626</v>
      </c>
    </row>
    <row r="37" spans="1:28" x14ac:dyDescent="0.3">
      <c r="B37" s="41"/>
    </row>
    <row r="38" spans="1:28" x14ac:dyDescent="0.3">
      <c r="B38" s="41"/>
    </row>
    <row r="39" spans="1:28" x14ac:dyDescent="0.3">
      <c r="B39" s="41"/>
    </row>
    <row r="40" spans="1:28" x14ac:dyDescent="0.3">
      <c r="B40" s="41"/>
    </row>
    <row r="41" spans="1:28" x14ac:dyDescent="0.3">
      <c r="B41" s="41"/>
    </row>
    <row r="42" spans="1:28" x14ac:dyDescent="0.3">
      <c r="B42" s="41"/>
    </row>
    <row r="43" spans="1:28" x14ac:dyDescent="0.3">
      <c r="B43" s="41"/>
    </row>
    <row r="44" spans="1:28" x14ac:dyDescent="0.3">
      <c r="B44" s="41"/>
    </row>
    <row r="45" spans="1:28" x14ac:dyDescent="0.3">
      <c r="B45" s="41"/>
    </row>
    <row r="46" spans="1:28" x14ac:dyDescent="0.3">
      <c r="B46" s="41"/>
    </row>
    <row r="47" spans="1:28" x14ac:dyDescent="0.3">
      <c r="B47" s="41"/>
    </row>
    <row r="48" spans="1:28" x14ac:dyDescent="0.3">
      <c r="B48" s="41"/>
    </row>
    <row r="49" spans="1:28" x14ac:dyDescent="0.3">
      <c r="B49" s="41"/>
    </row>
    <row r="50" spans="1:28" x14ac:dyDescent="0.3">
      <c r="B50" s="41"/>
    </row>
    <row r="51" spans="1:28" x14ac:dyDescent="0.3">
      <c r="B51" s="41"/>
    </row>
    <row r="52" spans="1:28" x14ac:dyDescent="0.3">
      <c r="B52" s="41"/>
    </row>
    <row r="53" spans="1:28" x14ac:dyDescent="0.3">
      <c r="B53" s="41"/>
    </row>
    <row r="54" spans="1:28" x14ac:dyDescent="0.3">
      <c r="B54" s="41"/>
    </row>
    <row r="55" spans="1:28" x14ac:dyDescent="0.3">
      <c r="B55" s="41"/>
    </row>
    <row r="56" spans="1:28" x14ac:dyDescent="0.3">
      <c r="B56" s="41"/>
    </row>
    <row r="57" spans="1:28" x14ac:dyDescent="0.3">
      <c r="A57" t="s">
        <v>278</v>
      </c>
      <c r="B57" s="41"/>
    </row>
    <row r="58" spans="1:28" x14ac:dyDescent="0.3">
      <c r="A58" t="s">
        <v>279</v>
      </c>
      <c r="B58" s="45">
        <v>2600</v>
      </c>
    </row>
    <row r="59" spans="1:28" x14ac:dyDescent="0.3">
      <c r="A59" t="s">
        <v>280</v>
      </c>
      <c r="B59" s="41">
        <v>44</v>
      </c>
    </row>
    <row r="60" spans="1:28" x14ac:dyDescent="0.3">
      <c r="A60" t="s">
        <v>281</v>
      </c>
      <c r="B60" s="41"/>
      <c r="D60" s="24" t="s">
        <v>248</v>
      </c>
      <c r="E60" s="24" t="s">
        <v>249</v>
      </c>
      <c r="F60" s="24" t="s">
        <v>250</v>
      </c>
      <c r="G60" s="24" t="s">
        <v>251</v>
      </c>
      <c r="H60" s="24" t="s">
        <v>252</v>
      </c>
      <c r="I60" s="24" t="s">
        <v>253</v>
      </c>
      <c r="J60" s="24" t="s">
        <v>254</v>
      </c>
      <c r="K60" s="24" t="s">
        <v>255</v>
      </c>
      <c r="L60" s="24" t="s">
        <v>256</v>
      </c>
      <c r="M60" s="24" t="s">
        <v>257</v>
      </c>
      <c r="N60" s="24" t="s">
        <v>258</v>
      </c>
      <c r="O60" s="24" t="s">
        <v>259</v>
      </c>
      <c r="P60" s="24" t="s">
        <v>260</v>
      </c>
      <c r="Q60" s="24" t="s">
        <v>261</v>
      </c>
      <c r="R60" s="24" t="s">
        <v>262</v>
      </c>
      <c r="S60" s="24" t="s">
        <v>263</v>
      </c>
      <c r="T60" s="24" t="s">
        <v>264</v>
      </c>
      <c r="U60" s="24" t="s">
        <v>265</v>
      </c>
      <c r="V60" s="24" t="s">
        <v>266</v>
      </c>
      <c r="W60" s="24" t="s">
        <v>267</v>
      </c>
      <c r="X60" s="24" t="s">
        <v>268</v>
      </c>
      <c r="Y60" s="24" t="s">
        <v>269</v>
      </c>
      <c r="Z60" s="24" t="s">
        <v>270</v>
      </c>
      <c r="AA60" s="24" t="s">
        <v>271</v>
      </c>
    </row>
    <row r="61" spans="1:28" ht="15" thickBot="1" x14ac:dyDescent="0.35">
      <c r="A61" s="43" t="s">
        <v>282</v>
      </c>
      <c r="B61" s="39" t="s">
        <v>274</v>
      </c>
      <c r="C61" s="40" t="s">
        <v>283</v>
      </c>
      <c r="D61" s="40">
        <v>47</v>
      </c>
      <c r="E61" s="40">
        <v>48</v>
      </c>
      <c r="F61" s="40">
        <v>49</v>
      </c>
      <c r="G61" s="57">
        <v>50</v>
      </c>
      <c r="H61" s="40">
        <v>51</v>
      </c>
      <c r="I61" s="57">
        <v>52</v>
      </c>
      <c r="J61" s="57">
        <v>1</v>
      </c>
      <c r="K61" s="40">
        <v>2</v>
      </c>
      <c r="L61" s="40">
        <v>3</v>
      </c>
      <c r="M61" s="40">
        <v>4</v>
      </c>
      <c r="N61" s="40">
        <v>5</v>
      </c>
      <c r="O61" s="40">
        <v>6</v>
      </c>
      <c r="P61" s="40">
        <v>7</v>
      </c>
      <c r="Q61" s="40">
        <v>8</v>
      </c>
      <c r="R61" s="40">
        <v>9</v>
      </c>
      <c r="S61" s="40">
        <v>10</v>
      </c>
      <c r="T61" s="40">
        <v>11</v>
      </c>
      <c r="U61" s="40">
        <v>12</v>
      </c>
      <c r="V61" s="40">
        <v>13</v>
      </c>
      <c r="W61" s="57">
        <v>14</v>
      </c>
      <c r="X61" s="40">
        <v>15</v>
      </c>
      <c r="Y61" s="40">
        <v>16</v>
      </c>
      <c r="Z61" s="40">
        <v>17</v>
      </c>
      <c r="AA61" s="57">
        <v>18</v>
      </c>
    </row>
    <row r="62" spans="1:28" ht="15.6" thickTop="1" thickBot="1" x14ac:dyDescent="0.35">
      <c r="A62" s="46" t="s">
        <v>275</v>
      </c>
      <c r="B62" s="47" t="s">
        <v>284</v>
      </c>
      <c r="C62" s="48">
        <v>2</v>
      </c>
      <c r="D62" s="49">
        <f>(($B$58*$B$59))*2</f>
        <v>228800</v>
      </c>
      <c r="E62" s="49">
        <f>(($B$58*$B$59))*2</f>
        <v>228800</v>
      </c>
      <c r="F62" s="49">
        <f>(($B$58*$B$59))*2</f>
        <v>228800</v>
      </c>
      <c r="G62" s="49">
        <f>(35*B58)*2</f>
        <v>182000</v>
      </c>
      <c r="H62" s="49">
        <f>(($B$58*$B$59))*2</f>
        <v>228800</v>
      </c>
      <c r="I62" s="49">
        <f>(30.5*B58)*2</f>
        <v>158600</v>
      </c>
      <c r="J62" s="49">
        <f>(30.5*B58)*2</f>
        <v>158600</v>
      </c>
      <c r="K62" s="49">
        <f t="shared" ref="K62:V62" si="5">(($B$58*$B$59))*2</f>
        <v>228800</v>
      </c>
      <c r="L62" s="49">
        <f t="shared" si="5"/>
        <v>228800</v>
      </c>
      <c r="M62" s="49">
        <f t="shared" si="5"/>
        <v>228800</v>
      </c>
      <c r="N62" s="49">
        <f t="shared" si="5"/>
        <v>228800</v>
      </c>
      <c r="O62" s="49">
        <f t="shared" si="5"/>
        <v>228800</v>
      </c>
      <c r="P62" s="49">
        <f t="shared" si="5"/>
        <v>228800</v>
      </c>
      <c r="Q62" s="49">
        <f t="shared" si="5"/>
        <v>228800</v>
      </c>
      <c r="R62" s="49">
        <f t="shared" si="5"/>
        <v>228800</v>
      </c>
      <c r="S62" s="49">
        <f t="shared" si="5"/>
        <v>228800</v>
      </c>
      <c r="T62" s="49">
        <f t="shared" si="5"/>
        <v>228800</v>
      </c>
      <c r="U62" s="49">
        <f t="shared" si="5"/>
        <v>228800</v>
      </c>
      <c r="V62" s="49">
        <f t="shared" si="5"/>
        <v>228800</v>
      </c>
      <c r="W62" s="49">
        <f>(35*B58)*2</f>
        <v>182000</v>
      </c>
      <c r="X62" s="49">
        <f>(($B$58*$B$59))*2</f>
        <v>228800</v>
      </c>
      <c r="Y62" s="49">
        <f>(($B$58*$B$59))*2</f>
        <v>228800</v>
      </c>
      <c r="Z62" s="49">
        <f>(($B$58*$B$59))*2</f>
        <v>228800</v>
      </c>
      <c r="AA62" s="49">
        <f>(35*B58)*2</f>
        <v>182000</v>
      </c>
    </row>
    <row r="63" spans="1:28" ht="15" thickTop="1" x14ac:dyDescent="0.3">
      <c r="B63" s="41"/>
      <c r="D63" s="42">
        <f t="shared" ref="D63:AA63" si="6">SUM(D62:D62)</f>
        <v>228800</v>
      </c>
      <c r="E63" s="42">
        <f t="shared" si="6"/>
        <v>228800</v>
      </c>
      <c r="F63" s="42">
        <f t="shared" si="6"/>
        <v>228800</v>
      </c>
      <c r="G63" s="42">
        <f t="shared" si="6"/>
        <v>182000</v>
      </c>
      <c r="H63" s="42">
        <f t="shared" si="6"/>
        <v>228800</v>
      </c>
      <c r="I63" s="42">
        <f t="shared" si="6"/>
        <v>158600</v>
      </c>
      <c r="J63" s="42">
        <f t="shared" si="6"/>
        <v>158600</v>
      </c>
      <c r="K63" s="42">
        <f t="shared" si="6"/>
        <v>228800</v>
      </c>
      <c r="L63" s="42">
        <f t="shared" si="6"/>
        <v>228800</v>
      </c>
      <c r="M63" s="42">
        <f t="shared" si="6"/>
        <v>228800</v>
      </c>
      <c r="N63" s="42">
        <f t="shared" si="6"/>
        <v>228800</v>
      </c>
      <c r="O63" s="42">
        <f t="shared" si="6"/>
        <v>228800</v>
      </c>
      <c r="P63" s="42">
        <f t="shared" si="6"/>
        <v>228800</v>
      </c>
      <c r="Q63" s="42">
        <f t="shared" si="6"/>
        <v>228800</v>
      </c>
      <c r="R63" s="42">
        <f t="shared" si="6"/>
        <v>228800</v>
      </c>
      <c r="S63" s="42">
        <f t="shared" si="6"/>
        <v>228800</v>
      </c>
      <c r="T63" s="42">
        <f t="shared" si="6"/>
        <v>228800</v>
      </c>
      <c r="U63" s="42">
        <f t="shared" si="6"/>
        <v>228800</v>
      </c>
      <c r="V63" s="42">
        <f t="shared" si="6"/>
        <v>228800</v>
      </c>
      <c r="W63" s="42">
        <f t="shared" si="6"/>
        <v>182000</v>
      </c>
      <c r="X63" s="42">
        <f t="shared" si="6"/>
        <v>228800</v>
      </c>
      <c r="Y63" s="42">
        <f t="shared" si="6"/>
        <v>228800</v>
      </c>
      <c r="Z63" s="42">
        <f t="shared" si="6"/>
        <v>228800</v>
      </c>
      <c r="AA63" s="42">
        <f t="shared" si="6"/>
        <v>182000</v>
      </c>
      <c r="AB63" s="42"/>
    </row>
    <row r="64" spans="1:28" ht="15" thickBot="1" x14ac:dyDescent="0.35">
      <c r="A64" s="43" t="s">
        <v>285</v>
      </c>
      <c r="B64" s="39"/>
      <c r="C64" s="40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55"/>
    </row>
    <row r="65" spans="1:29" ht="15" thickTop="1" x14ac:dyDescent="0.3">
      <c r="B65" s="41"/>
      <c r="D65" s="42">
        <f t="shared" ref="D65:AA65" si="7">+D63-D8</f>
        <v>224275</v>
      </c>
      <c r="E65" s="42">
        <f t="shared" si="7"/>
        <v>188132.25</v>
      </c>
      <c r="F65" s="42">
        <f t="shared" si="7"/>
        <v>155307.5</v>
      </c>
      <c r="G65" s="42">
        <f t="shared" si="7"/>
        <v>95946.412500000006</v>
      </c>
      <c r="H65" s="42">
        <f t="shared" si="7"/>
        <v>133501.364</v>
      </c>
      <c r="I65" s="42">
        <f t="shared" si="7"/>
        <v>2643.2699999999895</v>
      </c>
      <c r="J65" s="42">
        <f t="shared" si="7"/>
        <v>-6319.7099999999919</v>
      </c>
      <c r="K65" s="42">
        <f t="shared" si="7"/>
        <v>-85084.230000000098</v>
      </c>
      <c r="L65" s="42">
        <f t="shared" si="7"/>
        <v>35014.879999999946</v>
      </c>
      <c r="M65" s="42">
        <f t="shared" si="7"/>
        <v>-68940.479999999981</v>
      </c>
      <c r="N65" s="42">
        <f t="shared" si="7"/>
        <v>-103883.49000000011</v>
      </c>
      <c r="O65" s="42">
        <f t="shared" si="7"/>
        <v>-30618.699999999983</v>
      </c>
      <c r="P65" s="42">
        <f t="shared" si="7"/>
        <v>24689.119999999995</v>
      </c>
      <c r="Q65" s="42">
        <f t="shared" si="7"/>
        <v>79258.63</v>
      </c>
      <c r="R65" s="42">
        <f t="shared" si="7"/>
        <v>105384.90000000002</v>
      </c>
      <c r="S65" s="42">
        <f t="shared" si="7"/>
        <v>99102.51999999999</v>
      </c>
      <c r="T65" s="42">
        <f t="shared" si="7"/>
        <v>63981.350000000006</v>
      </c>
      <c r="U65" s="42">
        <f t="shared" si="7"/>
        <v>79728.760000000009</v>
      </c>
      <c r="V65" s="42">
        <f t="shared" si="7"/>
        <v>165857.09</v>
      </c>
      <c r="W65" s="42">
        <f t="shared" si="7"/>
        <v>115000</v>
      </c>
      <c r="X65" s="42">
        <f t="shared" si="7"/>
        <v>173800</v>
      </c>
      <c r="Y65" s="42">
        <f t="shared" si="7"/>
        <v>183800</v>
      </c>
      <c r="Z65" s="42">
        <f t="shared" si="7"/>
        <v>198800</v>
      </c>
      <c r="AA65" s="42">
        <f t="shared" si="7"/>
        <v>182000</v>
      </c>
      <c r="AB65" s="42">
        <f>+J65+K65+M65+N65+O65</f>
        <v>-294846.6100000001</v>
      </c>
      <c r="AC65" t="s">
        <v>286</v>
      </c>
    </row>
    <row r="66" spans="1:29" x14ac:dyDescent="0.3">
      <c r="B66" s="41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spans="1:29" x14ac:dyDescent="0.3">
      <c r="B67" s="41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</row>
    <row r="68" spans="1:29" ht="15.6" x14ac:dyDescent="0.3">
      <c r="A68" s="52" t="s">
        <v>287</v>
      </c>
      <c r="B68" s="41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</row>
    <row r="69" spans="1:29" ht="15.6" x14ac:dyDescent="0.3">
      <c r="A69" s="52" t="s">
        <v>247</v>
      </c>
      <c r="B69" s="41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</row>
    <row r="70" spans="1:29" ht="15" thickBot="1" x14ac:dyDescent="0.35">
      <c r="A70" s="43" t="s">
        <v>272</v>
      </c>
      <c r="B70" s="39" t="s">
        <v>273</v>
      </c>
      <c r="C70" s="43" t="s">
        <v>274</v>
      </c>
      <c r="D70" s="40">
        <v>47</v>
      </c>
      <c r="E70" s="40">
        <v>48</v>
      </c>
      <c r="F70" s="40">
        <v>49</v>
      </c>
      <c r="G70" s="40">
        <v>50</v>
      </c>
      <c r="H70" s="40">
        <v>51</v>
      </c>
      <c r="I70" s="40">
        <v>52</v>
      </c>
      <c r="J70" s="40">
        <v>1</v>
      </c>
      <c r="K70" s="40">
        <v>2</v>
      </c>
      <c r="L70" s="40">
        <v>3</v>
      </c>
      <c r="M70" s="40">
        <v>4</v>
      </c>
      <c r="N70" s="40">
        <v>5</v>
      </c>
      <c r="O70" s="40">
        <v>6</v>
      </c>
      <c r="P70" s="40">
        <v>7</v>
      </c>
      <c r="Q70" s="40">
        <v>8</v>
      </c>
      <c r="R70" s="40">
        <v>9</v>
      </c>
      <c r="S70" s="40">
        <v>10</v>
      </c>
      <c r="T70" s="40">
        <v>11</v>
      </c>
      <c r="U70" s="40">
        <v>12</v>
      </c>
      <c r="V70" s="40">
        <v>13</v>
      </c>
      <c r="W70" s="40">
        <v>14</v>
      </c>
      <c r="X70" s="40">
        <v>15</v>
      </c>
      <c r="Y70" s="40">
        <v>16</v>
      </c>
      <c r="Z70" s="40">
        <v>17</v>
      </c>
      <c r="AA70" s="40">
        <v>18</v>
      </c>
      <c r="AB70" s="40"/>
    </row>
    <row r="71" spans="1:29" ht="15" thickTop="1" x14ac:dyDescent="0.3">
      <c r="A71" t="s">
        <v>288</v>
      </c>
      <c r="B71" s="41" t="s">
        <v>224</v>
      </c>
      <c r="C71" t="s">
        <v>289</v>
      </c>
      <c r="D71" s="42">
        <v>0</v>
      </c>
      <c r="E71" s="42">
        <v>0</v>
      </c>
      <c r="F71" s="42">
        <v>980.36400000000003</v>
      </c>
      <c r="G71" s="42">
        <v>38444.008000000002</v>
      </c>
      <c r="H71" s="42">
        <v>113134.97599999998</v>
      </c>
      <c r="I71" s="42">
        <v>146697.22499999992</v>
      </c>
      <c r="J71" s="42">
        <v>187025.94200000001</v>
      </c>
      <c r="K71" s="42">
        <v>186436.12499999991</v>
      </c>
      <c r="L71" s="42">
        <v>97441.060000000027</v>
      </c>
      <c r="M71" s="42">
        <v>30394.49</v>
      </c>
      <c r="N71" s="42">
        <v>12011.9</v>
      </c>
      <c r="O71" s="42">
        <v>35097.4</v>
      </c>
      <c r="P71" s="42">
        <v>35124.400000000001</v>
      </c>
      <c r="Q71" s="42">
        <v>3121.8</v>
      </c>
      <c r="R71" s="42">
        <v>26112.82</v>
      </c>
      <c r="S71" s="42">
        <v>84122.14</v>
      </c>
      <c r="T71" s="42">
        <v>68041.919999999998</v>
      </c>
      <c r="U71" s="42">
        <v>48026.84</v>
      </c>
      <c r="V71" s="42">
        <v>36000</v>
      </c>
      <c r="W71" s="42">
        <v>48000</v>
      </c>
      <c r="X71" s="42">
        <v>37000</v>
      </c>
      <c r="Y71" s="42">
        <v>0</v>
      </c>
      <c r="Z71" s="42">
        <v>0</v>
      </c>
      <c r="AA71" s="42"/>
      <c r="AB71" s="42">
        <f>SUM(D71:AA71)</f>
        <v>1233213.4099999999</v>
      </c>
    </row>
    <row r="72" spans="1:29" x14ac:dyDescent="0.3">
      <c r="A72" t="s">
        <v>288</v>
      </c>
      <c r="B72" s="41" t="s">
        <v>224</v>
      </c>
      <c r="C72" t="s">
        <v>290</v>
      </c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>
        <f t="shared" ref="AB72:AB73" si="8">SUM(D72:AA72)</f>
        <v>0</v>
      </c>
    </row>
    <row r="73" spans="1:29" ht="15" thickBot="1" x14ac:dyDescent="0.35">
      <c r="A73" s="43" t="s">
        <v>288</v>
      </c>
      <c r="B73" s="39" t="s">
        <v>224</v>
      </c>
      <c r="C73" s="43" t="s">
        <v>291</v>
      </c>
      <c r="D73" s="44"/>
      <c r="E73" s="44"/>
      <c r="F73" s="44"/>
      <c r="G73" s="44">
        <v>10000</v>
      </c>
      <c r="H73" s="44">
        <v>12000</v>
      </c>
      <c r="I73" s="44">
        <v>0</v>
      </c>
      <c r="J73" s="44"/>
      <c r="K73" s="44"/>
      <c r="L73" s="44"/>
      <c r="M73" s="44"/>
      <c r="N73" s="44"/>
      <c r="O73" s="44">
        <v>12000</v>
      </c>
      <c r="P73" s="44">
        <v>10886</v>
      </c>
      <c r="Q73" s="44"/>
      <c r="R73" s="44"/>
      <c r="S73" s="44"/>
      <c r="T73" s="44"/>
      <c r="U73" s="44"/>
      <c r="V73" s="44"/>
      <c r="W73" s="44">
        <v>0</v>
      </c>
      <c r="X73" s="44"/>
      <c r="Y73" s="44"/>
      <c r="Z73" s="44"/>
      <c r="AA73" s="44"/>
      <c r="AB73" s="44">
        <f t="shared" si="8"/>
        <v>44886</v>
      </c>
    </row>
    <row r="74" spans="1:29" ht="15" thickTop="1" x14ac:dyDescent="0.3">
      <c r="B74" s="41"/>
      <c r="C74"/>
      <c r="D74" s="42">
        <f>SUM(D71:D73)</f>
        <v>0</v>
      </c>
      <c r="E74" s="42">
        <f t="shared" ref="E74:AA74" si="9">SUM(E71:E73)</f>
        <v>0</v>
      </c>
      <c r="F74" s="42">
        <f>SUM(F71:F73)</f>
        <v>980.36400000000003</v>
      </c>
      <c r="G74" s="42">
        <f>SUM(G71:G73)</f>
        <v>48444.008000000002</v>
      </c>
      <c r="H74" s="42">
        <f t="shared" si="9"/>
        <v>125134.97599999998</v>
      </c>
      <c r="I74" s="42">
        <f t="shared" si="9"/>
        <v>146697.22499999992</v>
      </c>
      <c r="J74" s="42">
        <f t="shared" si="9"/>
        <v>187025.94200000001</v>
      </c>
      <c r="K74" s="42">
        <f t="shared" si="9"/>
        <v>186436.12499999991</v>
      </c>
      <c r="L74" s="42">
        <f t="shared" si="9"/>
        <v>97441.060000000027</v>
      </c>
      <c r="M74" s="42">
        <f t="shared" si="9"/>
        <v>30394.49</v>
      </c>
      <c r="N74" s="42">
        <f t="shared" si="9"/>
        <v>12011.9</v>
      </c>
      <c r="O74" s="42">
        <f t="shared" si="9"/>
        <v>47097.4</v>
      </c>
      <c r="P74" s="42">
        <f t="shared" si="9"/>
        <v>46010.400000000001</v>
      </c>
      <c r="Q74" s="42">
        <f t="shared" si="9"/>
        <v>3121.8</v>
      </c>
      <c r="R74" s="42">
        <f t="shared" si="9"/>
        <v>26112.82</v>
      </c>
      <c r="S74" s="42">
        <f t="shared" si="9"/>
        <v>84122.14</v>
      </c>
      <c r="T74" s="42">
        <f t="shared" si="9"/>
        <v>68041.919999999998</v>
      </c>
      <c r="U74" s="42">
        <f t="shared" si="9"/>
        <v>48026.84</v>
      </c>
      <c r="V74" s="42">
        <f t="shared" si="9"/>
        <v>36000</v>
      </c>
      <c r="W74" s="42">
        <f t="shared" si="9"/>
        <v>48000</v>
      </c>
      <c r="X74" s="42">
        <f t="shared" si="9"/>
        <v>37000</v>
      </c>
      <c r="Y74" s="42">
        <f t="shared" si="9"/>
        <v>0</v>
      </c>
      <c r="Z74" s="42">
        <f t="shared" si="9"/>
        <v>0</v>
      </c>
      <c r="AA74" s="42">
        <f t="shared" si="9"/>
        <v>0</v>
      </c>
      <c r="AB74" s="33">
        <f>SUM(D74:AA74)</f>
        <v>1278099.4099999999</v>
      </c>
      <c r="AC74" s="56">
        <f>+AB71+AB73</f>
        <v>1278099.4099999999</v>
      </c>
    </row>
    <row r="75" spans="1:29" ht="15.6" x14ac:dyDescent="0.3">
      <c r="A75" s="52"/>
      <c r="B75" s="41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</row>
    <row r="76" spans="1:29" ht="15.6" x14ac:dyDescent="0.3">
      <c r="A76" s="52"/>
      <c r="B76" s="41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</row>
    <row r="77" spans="1:29" x14ac:dyDescent="0.3">
      <c r="A77" t="s">
        <v>292</v>
      </c>
      <c r="D77" s="24" t="s">
        <v>248</v>
      </c>
      <c r="E77" s="24" t="s">
        <v>249</v>
      </c>
      <c r="F77" s="24" t="s">
        <v>250</v>
      </c>
      <c r="G77" s="24" t="s">
        <v>251</v>
      </c>
      <c r="H77" s="24" t="s">
        <v>252</v>
      </c>
      <c r="I77" s="24" t="s">
        <v>253</v>
      </c>
      <c r="J77" s="24" t="s">
        <v>254</v>
      </c>
      <c r="K77" s="24" t="s">
        <v>255</v>
      </c>
      <c r="L77" s="24" t="s">
        <v>256</v>
      </c>
      <c r="M77" s="24" t="s">
        <v>257</v>
      </c>
      <c r="N77" s="24" t="s">
        <v>258</v>
      </c>
      <c r="O77" s="24" t="s">
        <v>259</v>
      </c>
      <c r="P77" s="24" t="s">
        <v>260</v>
      </c>
      <c r="Q77" s="24" t="s">
        <v>261</v>
      </c>
      <c r="R77" s="24" t="s">
        <v>262</v>
      </c>
      <c r="S77" s="24" t="s">
        <v>263</v>
      </c>
      <c r="T77" s="24" t="s">
        <v>264</v>
      </c>
      <c r="U77" s="24" t="s">
        <v>265</v>
      </c>
      <c r="V77" s="24" t="s">
        <v>266</v>
      </c>
      <c r="W77" s="24" t="s">
        <v>267</v>
      </c>
      <c r="X77" s="24" t="s">
        <v>268</v>
      </c>
      <c r="Y77" s="24" t="s">
        <v>269</v>
      </c>
      <c r="Z77" s="24" t="s">
        <v>270</v>
      </c>
      <c r="AA77" s="24" t="s">
        <v>271</v>
      </c>
    </row>
    <row r="78" spans="1:29" ht="15" thickBot="1" x14ac:dyDescent="0.35">
      <c r="A78" s="43" t="s">
        <v>282</v>
      </c>
      <c r="B78" s="39" t="s">
        <v>274</v>
      </c>
      <c r="C78" s="40" t="s">
        <v>283</v>
      </c>
      <c r="D78" s="40">
        <v>47</v>
      </c>
      <c r="E78" s="40">
        <v>48</v>
      </c>
      <c r="F78" s="40">
        <v>49</v>
      </c>
      <c r="G78" s="57">
        <v>50</v>
      </c>
      <c r="H78" s="57">
        <v>51</v>
      </c>
      <c r="I78" s="57">
        <v>52</v>
      </c>
      <c r="J78" s="57">
        <v>1</v>
      </c>
      <c r="K78" s="40">
        <v>2</v>
      </c>
      <c r="L78" s="40">
        <v>3</v>
      </c>
      <c r="M78" s="40">
        <v>4</v>
      </c>
      <c r="N78" s="40">
        <v>5</v>
      </c>
      <c r="O78" s="40">
        <v>6</v>
      </c>
      <c r="P78" s="40">
        <v>7</v>
      </c>
      <c r="Q78" s="40">
        <v>8</v>
      </c>
      <c r="R78" s="40">
        <v>9</v>
      </c>
      <c r="S78" s="40">
        <v>10</v>
      </c>
      <c r="T78" s="40">
        <v>11</v>
      </c>
      <c r="U78" s="40">
        <v>12</v>
      </c>
      <c r="V78" s="40">
        <v>13</v>
      </c>
      <c r="W78" s="57">
        <v>14</v>
      </c>
      <c r="X78" s="57">
        <v>15</v>
      </c>
      <c r="Y78" s="57">
        <v>16</v>
      </c>
      <c r="Z78" s="57">
        <v>17</v>
      </c>
      <c r="AA78" s="57">
        <v>18</v>
      </c>
    </row>
    <row r="79" spans="1:29" ht="15" thickTop="1" x14ac:dyDescent="0.3">
      <c r="A79" t="s">
        <v>288</v>
      </c>
      <c r="B79" t="s">
        <v>293</v>
      </c>
      <c r="C79" s="24">
        <v>1</v>
      </c>
      <c r="D79" s="42">
        <f>48000+23040+23040</f>
        <v>94080</v>
      </c>
      <c r="E79" s="42">
        <f>48000+23040+23040</f>
        <v>94080</v>
      </c>
      <c r="F79" s="42">
        <f>48000+23040+23040</f>
        <v>94080</v>
      </c>
      <c r="G79" s="42">
        <f>36000+23040+23040</f>
        <v>82080</v>
      </c>
      <c r="H79" s="42">
        <f>48000+23040+23040</f>
        <v>94080</v>
      </c>
      <c r="I79" s="42">
        <f>30000+23040+23040</f>
        <v>76080</v>
      </c>
      <c r="J79" s="42">
        <f>30000+23040+23040</f>
        <v>76080</v>
      </c>
      <c r="K79" s="42">
        <f t="shared" ref="K79:V79" si="10">48000+23040+23040</f>
        <v>94080</v>
      </c>
      <c r="L79" s="42">
        <f t="shared" si="10"/>
        <v>94080</v>
      </c>
      <c r="M79" s="42">
        <f t="shared" si="10"/>
        <v>94080</v>
      </c>
      <c r="N79" s="42">
        <f t="shared" si="10"/>
        <v>94080</v>
      </c>
      <c r="O79" s="42">
        <f t="shared" si="10"/>
        <v>94080</v>
      </c>
      <c r="P79" s="42">
        <f t="shared" si="10"/>
        <v>94080</v>
      </c>
      <c r="Q79" s="42">
        <f t="shared" si="10"/>
        <v>94080</v>
      </c>
      <c r="R79" s="42">
        <f t="shared" si="10"/>
        <v>94080</v>
      </c>
      <c r="S79" s="42">
        <f t="shared" si="10"/>
        <v>94080</v>
      </c>
      <c r="T79" s="42">
        <f t="shared" si="10"/>
        <v>94080</v>
      </c>
      <c r="U79" s="42">
        <f t="shared" si="10"/>
        <v>94080</v>
      </c>
      <c r="V79" s="42">
        <f t="shared" si="10"/>
        <v>94080</v>
      </c>
      <c r="W79" s="42">
        <f>36000</f>
        <v>36000</v>
      </c>
      <c r="X79" s="42">
        <f>48000+23040+23040</f>
        <v>94080</v>
      </c>
      <c r="Y79" s="42">
        <f>48000+23040+23040</f>
        <v>94080</v>
      </c>
      <c r="Z79" s="42">
        <f>48000+23040+23040</f>
        <v>94080</v>
      </c>
      <c r="AA79" s="42">
        <f>36000+23040+23040</f>
        <v>82080</v>
      </c>
    </row>
    <row r="81" spans="1:28" ht="15" thickBot="1" x14ac:dyDescent="0.35">
      <c r="A81" s="43" t="s">
        <v>294</v>
      </c>
      <c r="B81" s="43"/>
      <c r="C81" s="40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 spans="1:28" ht="15" thickTop="1" x14ac:dyDescent="0.3">
      <c r="B82" s="41"/>
      <c r="D82" s="42">
        <f>+D79-D74</f>
        <v>94080</v>
      </c>
      <c r="E82" s="42">
        <f t="shared" ref="E82:AA82" si="11">+E79-E74</f>
        <v>94080</v>
      </c>
      <c r="F82" s="42">
        <f t="shared" si="11"/>
        <v>93099.635999999999</v>
      </c>
      <c r="G82" s="42">
        <f t="shared" si="11"/>
        <v>33635.991999999998</v>
      </c>
      <c r="H82" s="42">
        <f t="shared" si="11"/>
        <v>-31054.975999999981</v>
      </c>
      <c r="I82" s="42">
        <f t="shared" si="11"/>
        <v>-70617.224999999919</v>
      </c>
      <c r="J82" s="42">
        <f t="shared" si="11"/>
        <v>-110945.94200000001</v>
      </c>
      <c r="K82" s="42">
        <f t="shared" si="11"/>
        <v>-92356.124999999913</v>
      </c>
      <c r="L82" s="42">
        <f t="shared" si="11"/>
        <v>-3361.0600000000268</v>
      </c>
      <c r="M82" s="42">
        <f t="shared" si="11"/>
        <v>63685.509999999995</v>
      </c>
      <c r="N82" s="42">
        <f t="shared" si="11"/>
        <v>82068.100000000006</v>
      </c>
      <c r="O82" s="42">
        <f t="shared" si="11"/>
        <v>46982.6</v>
      </c>
      <c r="P82" s="42">
        <f t="shared" si="11"/>
        <v>48069.599999999999</v>
      </c>
      <c r="Q82" s="42">
        <f t="shared" si="11"/>
        <v>90958.2</v>
      </c>
      <c r="R82" s="42">
        <f t="shared" si="11"/>
        <v>67967.179999999993</v>
      </c>
      <c r="S82" s="42">
        <f t="shared" si="11"/>
        <v>9957.86</v>
      </c>
      <c r="T82" s="42">
        <f t="shared" si="11"/>
        <v>26038.080000000002</v>
      </c>
      <c r="U82" s="42">
        <f t="shared" si="11"/>
        <v>46053.16</v>
      </c>
      <c r="V82" s="42">
        <f t="shared" si="11"/>
        <v>58080</v>
      </c>
      <c r="W82" s="42">
        <f t="shared" si="11"/>
        <v>-12000</v>
      </c>
      <c r="X82" s="42">
        <f t="shared" si="11"/>
        <v>57080</v>
      </c>
      <c r="Y82" s="42">
        <f t="shared" si="11"/>
        <v>94080</v>
      </c>
      <c r="Z82" s="42">
        <f t="shared" si="11"/>
        <v>94080</v>
      </c>
      <c r="AA82" s="42">
        <f t="shared" si="11"/>
        <v>82080</v>
      </c>
      <c r="AB82" s="55">
        <f>+H82+I82+J82+K82+L82+W82</f>
        <v>-320335.32799999986</v>
      </c>
    </row>
    <row r="83" spans="1:28" ht="15" thickBot="1" x14ac:dyDescent="0.35">
      <c r="A83" s="43"/>
      <c r="B83" s="39"/>
      <c r="C83" s="40"/>
      <c r="D83" s="44"/>
      <c r="E83" s="44"/>
      <c r="F83" s="44"/>
      <c r="G83" s="44"/>
      <c r="H83" s="44"/>
      <c r="I83" s="44"/>
      <c r="J83" s="44"/>
      <c r="K83" s="44"/>
      <c r="L83" s="51"/>
      <c r="M83" s="51"/>
      <c r="N83" s="51"/>
      <c r="O83" s="51"/>
      <c r="P83" s="44"/>
      <c r="Q83" s="44"/>
      <c r="R83" s="44"/>
      <c r="S83" s="44"/>
      <c r="T83" s="51"/>
      <c r="U83" s="51"/>
      <c r="V83" s="51"/>
      <c r="W83" s="51"/>
      <c r="X83" s="51"/>
      <c r="Y83" s="51"/>
      <c r="Z83" s="51"/>
      <c r="AA83" s="51"/>
      <c r="AB83" s="58"/>
    </row>
    <row r="84" spans="1:28" ht="15" thickTop="1" x14ac:dyDescent="0.3">
      <c r="A84" t="s">
        <v>295</v>
      </c>
      <c r="B84" s="41"/>
      <c r="D84" s="42">
        <f t="shared" ref="D84:AA84" si="12">+D82+D65</f>
        <v>318355</v>
      </c>
      <c r="E84" s="42">
        <f t="shared" si="12"/>
        <v>282212.25</v>
      </c>
      <c r="F84" s="42">
        <f t="shared" si="12"/>
        <v>248407.136</v>
      </c>
      <c r="G84" s="42">
        <f t="shared" si="12"/>
        <v>129582.4045</v>
      </c>
      <c r="H84" s="42">
        <f t="shared" si="12"/>
        <v>102446.38800000002</v>
      </c>
      <c r="I84" s="42">
        <f t="shared" si="12"/>
        <v>-67973.954999999929</v>
      </c>
      <c r="J84" s="42">
        <f t="shared" si="12"/>
        <v>-117265.652</v>
      </c>
      <c r="K84" s="42">
        <f t="shared" si="12"/>
        <v>-177440.35500000001</v>
      </c>
      <c r="L84" s="42">
        <f t="shared" si="12"/>
        <v>31653.81999999992</v>
      </c>
      <c r="M84" s="42">
        <f t="shared" si="12"/>
        <v>-5254.9699999999866</v>
      </c>
      <c r="N84" s="42">
        <f t="shared" si="12"/>
        <v>-21815.390000000101</v>
      </c>
      <c r="O84" s="42">
        <f t="shared" si="12"/>
        <v>16363.900000000016</v>
      </c>
      <c r="P84" s="42">
        <f t="shared" si="12"/>
        <v>72758.720000000001</v>
      </c>
      <c r="Q84" s="42">
        <f t="shared" si="12"/>
        <v>170216.83000000002</v>
      </c>
      <c r="R84" s="42">
        <f t="shared" si="12"/>
        <v>173352.08000000002</v>
      </c>
      <c r="S84" s="42">
        <f t="shared" si="12"/>
        <v>109060.37999999999</v>
      </c>
      <c r="T84" s="42">
        <f t="shared" si="12"/>
        <v>90019.430000000008</v>
      </c>
      <c r="U84" s="42">
        <f t="shared" si="12"/>
        <v>125781.92000000001</v>
      </c>
      <c r="V84" s="42">
        <f t="shared" si="12"/>
        <v>223937.09</v>
      </c>
      <c r="W84" s="42">
        <f t="shared" si="12"/>
        <v>103000</v>
      </c>
      <c r="X84" s="42">
        <f t="shared" si="12"/>
        <v>230880</v>
      </c>
      <c r="Y84" s="42">
        <f t="shared" si="12"/>
        <v>277880</v>
      </c>
      <c r="Z84" s="42">
        <f t="shared" si="12"/>
        <v>292880</v>
      </c>
      <c r="AA84" s="42">
        <f t="shared" si="12"/>
        <v>264080</v>
      </c>
      <c r="AB84" s="55">
        <f>+I84+J84+K84+M84+N84</f>
        <v>-389750.32200000004</v>
      </c>
    </row>
    <row r="85" spans="1:28" x14ac:dyDescent="0.3">
      <c r="B85" s="41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</row>
    <row r="86" spans="1:28" x14ac:dyDescent="0.3">
      <c r="B86" s="41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</row>
    <row r="87" spans="1:28" x14ac:dyDescent="0.3">
      <c r="B87" s="41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</row>
    <row r="88" spans="1:28" ht="21" x14ac:dyDescent="0.4">
      <c r="A88" s="53" t="s">
        <v>296</v>
      </c>
      <c r="B88" s="41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</row>
    <row r="89" spans="1:28" ht="15.6" x14ac:dyDescent="0.3">
      <c r="A89" s="52" t="s">
        <v>272</v>
      </c>
      <c r="B89" s="41"/>
      <c r="D89" s="42" t="s">
        <v>248</v>
      </c>
      <c r="E89" s="42" t="s">
        <v>249</v>
      </c>
      <c r="F89" s="42" t="s">
        <v>250</v>
      </c>
      <c r="G89" s="42" t="s">
        <v>251</v>
      </c>
      <c r="H89" s="42" t="s">
        <v>252</v>
      </c>
      <c r="I89" s="42" t="s">
        <v>253</v>
      </c>
      <c r="J89" s="42" t="s">
        <v>254</v>
      </c>
      <c r="K89" s="42" t="s">
        <v>255</v>
      </c>
      <c r="L89" s="42" t="s">
        <v>256</v>
      </c>
      <c r="M89" s="42" t="s">
        <v>257</v>
      </c>
      <c r="N89" s="42" t="s">
        <v>258</v>
      </c>
      <c r="O89" s="42" t="s">
        <v>259</v>
      </c>
      <c r="P89" s="42" t="s">
        <v>260</v>
      </c>
      <c r="Q89" s="42" t="s">
        <v>261</v>
      </c>
      <c r="R89" s="42" t="s">
        <v>262</v>
      </c>
      <c r="S89" s="42" t="s">
        <v>263</v>
      </c>
      <c r="T89" s="42" t="s">
        <v>264</v>
      </c>
      <c r="U89" s="42" t="s">
        <v>265</v>
      </c>
      <c r="V89" s="42" t="s">
        <v>266</v>
      </c>
      <c r="W89" s="42" t="s">
        <v>267</v>
      </c>
      <c r="X89" s="42" t="s">
        <v>268</v>
      </c>
      <c r="Y89" s="42" t="s">
        <v>269</v>
      </c>
      <c r="Z89" s="42" t="s">
        <v>270</v>
      </c>
      <c r="AA89" s="42" t="s">
        <v>271</v>
      </c>
    </row>
    <row r="90" spans="1:28" ht="16.2" thickBot="1" x14ac:dyDescent="0.35">
      <c r="A90" s="54" t="s">
        <v>247</v>
      </c>
      <c r="B90" s="39" t="s">
        <v>273</v>
      </c>
      <c r="C90" s="40" t="s">
        <v>274</v>
      </c>
      <c r="D90" s="40">
        <v>47</v>
      </c>
      <c r="E90" s="40">
        <v>48</v>
      </c>
      <c r="F90" s="40">
        <v>49</v>
      </c>
      <c r="G90" s="40">
        <v>50</v>
      </c>
      <c r="H90" s="40">
        <v>51</v>
      </c>
      <c r="I90" s="40">
        <v>52</v>
      </c>
      <c r="J90" s="40">
        <v>1</v>
      </c>
      <c r="K90" s="40">
        <v>2</v>
      </c>
      <c r="L90" s="40">
        <v>3</v>
      </c>
      <c r="M90" s="40">
        <v>4</v>
      </c>
      <c r="N90" s="40">
        <v>5</v>
      </c>
      <c r="O90" s="40">
        <v>6</v>
      </c>
      <c r="P90" s="40">
        <v>7</v>
      </c>
      <c r="Q90" s="40">
        <v>8</v>
      </c>
      <c r="R90" s="40">
        <v>9</v>
      </c>
      <c r="S90" s="40">
        <v>10</v>
      </c>
      <c r="T90" s="40">
        <v>11</v>
      </c>
      <c r="U90" s="40">
        <v>12</v>
      </c>
      <c r="V90" s="40">
        <v>13</v>
      </c>
      <c r="W90" s="40">
        <v>14</v>
      </c>
      <c r="X90" s="40">
        <v>15</v>
      </c>
      <c r="Y90" s="40">
        <v>16</v>
      </c>
      <c r="Z90" s="40">
        <v>17</v>
      </c>
      <c r="AA90" s="40">
        <v>18</v>
      </c>
    </row>
    <row r="91" spans="1:28" ht="15" thickTop="1" x14ac:dyDescent="0.3">
      <c r="A91" t="s">
        <v>288</v>
      </c>
      <c r="B91" s="41" t="s">
        <v>297</v>
      </c>
      <c r="C91" s="24" t="s">
        <v>289</v>
      </c>
      <c r="D91" s="42">
        <v>0</v>
      </c>
      <c r="E91" s="42">
        <v>0</v>
      </c>
      <c r="F91" s="42">
        <v>2500</v>
      </c>
      <c r="G91" s="42">
        <v>8740.8599999999969</v>
      </c>
      <c r="H91" s="42">
        <v>42959.596666666694</v>
      </c>
      <c r="I91" s="42">
        <v>111443.47999999995</v>
      </c>
      <c r="J91" s="42">
        <v>86349.059999999779</v>
      </c>
      <c r="K91" s="42">
        <v>72932.22999999988</v>
      </c>
      <c r="L91" s="42">
        <v>44077.365000000005</v>
      </c>
      <c r="M91" s="42">
        <v>17486.914000000001</v>
      </c>
      <c r="N91" s="42">
        <v>17548.86</v>
      </c>
      <c r="O91" s="42">
        <v>46998.77</v>
      </c>
      <c r="P91" s="42">
        <v>36432.18</v>
      </c>
      <c r="Q91" s="42">
        <v>36000</v>
      </c>
      <c r="R91" s="42">
        <v>36000</v>
      </c>
      <c r="S91" s="42">
        <v>64000</v>
      </c>
      <c r="T91" s="42">
        <v>65000</v>
      </c>
      <c r="U91" s="42">
        <v>63000</v>
      </c>
      <c r="V91" s="42">
        <v>27000</v>
      </c>
      <c r="W91" s="42">
        <v>0</v>
      </c>
      <c r="X91" s="42">
        <v>0</v>
      </c>
      <c r="Y91" s="42">
        <v>0</v>
      </c>
      <c r="Z91" s="42">
        <v>0</v>
      </c>
      <c r="AA91" s="42"/>
    </row>
    <row r="92" spans="1:28" x14ac:dyDescent="0.3">
      <c r="A92" t="s">
        <v>288</v>
      </c>
      <c r="B92" s="41" t="s">
        <v>297</v>
      </c>
      <c r="C92" s="24" t="s">
        <v>300</v>
      </c>
      <c r="D92" s="42">
        <v>0</v>
      </c>
      <c r="E92" s="42">
        <v>0</v>
      </c>
      <c r="F92" s="42">
        <v>14746.347029702967</v>
      </c>
      <c r="G92" s="42">
        <v>27202.449999999993</v>
      </c>
      <c r="H92" s="42">
        <v>33012.479999999996</v>
      </c>
      <c r="I92" s="42">
        <v>59472.68</v>
      </c>
      <c r="J92" s="42">
        <v>36373.260000000009</v>
      </c>
      <c r="K92" s="42">
        <v>60640.850000000013</v>
      </c>
      <c r="L92" s="42">
        <v>57831.289999999994</v>
      </c>
      <c r="M92" s="42">
        <v>96477.600999999995</v>
      </c>
      <c r="N92" s="42">
        <v>22991.489999999998</v>
      </c>
      <c r="O92" s="42">
        <v>11643.288</v>
      </c>
      <c r="P92" s="42">
        <v>12192.4</v>
      </c>
      <c r="Q92" s="42">
        <v>711.6</v>
      </c>
      <c r="R92" s="42">
        <v>24000</v>
      </c>
      <c r="S92" s="42">
        <v>31916</v>
      </c>
      <c r="T92" s="42">
        <v>8500</v>
      </c>
      <c r="U92" s="42">
        <v>0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/>
    </row>
    <row r="93" spans="1:28" ht="15" thickBot="1" x14ac:dyDescent="0.35">
      <c r="A93" s="43" t="s">
        <v>288</v>
      </c>
      <c r="B93" s="39" t="s">
        <v>297</v>
      </c>
      <c r="C93" s="40" t="s">
        <v>290</v>
      </c>
      <c r="D93" s="44">
        <v>0</v>
      </c>
      <c r="E93" s="44">
        <v>0</v>
      </c>
      <c r="F93" s="44">
        <v>4000</v>
      </c>
      <c r="G93" s="44">
        <v>12000</v>
      </c>
      <c r="H93" s="44">
        <v>12000</v>
      </c>
      <c r="I93" s="44">
        <v>12000</v>
      </c>
      <c r="J93" s="44">
        <v>0</v>
      </c>
      <c r="K93" s="44">
        <v>0</v>
      </c>
      <c r="L93" s="44">
        <v>0</v>
      </c>
      <c r="M93" s="44">
        <v>0</v>
      </c>
      <c r="N93" s="44">
        <v>0</v>
      </c>
      <c r="O93" s="44">
        <v>0</v>
      </c>
      <c r="P93" s="44">
        <v>0</v>
      </c>
      <c r="Q93" s="44">
        <v>0</v>
      </c>
      <c r="R93" s="44">
        <v>0</v>
      </c>
      <c r="S93" s="44">
        <v>12000</v>
      </c>
      <c r="T93" s="44">
        <v>12000</v>
      </c>
      <c r="U93" s="44">
        <v>12000</v>
      </c>
      <c r="V93" s="44">
        <v>9500</v>
      </c>
      <c r="W93" s="44">
        <v>0</v>
      </c>
      <c r="X93" s="44">
        <v>0</v>
      </c>
      <c r="Y93" s="44">
        <v>0</v>
      </c>
      <c r="Z93" s="44">
        <v>0</v>
      </c>
      <c r="AA93" s="44"/>
    </row>
    <row r="94" spans="1:28" ht="15" thickTop="1" x14ac:dyDescent="0.3">
      <c r="B94" s="41"/>
      <c r="D94" s="42">
        <f>SUM(D91:D93)</f>
        <v>0</v>
      </c>
      <c r="E94" s="42">
        <f t="shared" ref="E94:AA94" si="13">SUM(E91:E93)</f>
        <v>0</v>
      </c>
      <c r="F94" s="42">
        <f t="shared" si="13"/>
        <v>21246.347029702967</v>
      </c>
      <c r="G94" s="42">
        <f t="shared" si="13"/>
        <v>47943.30999999999</v>
      </c>
      <c r="H94" s="42">
        <f t="shared" si="13"/>
        <v>87972.07666666669</v>
      </c>
      <c r="I94" s="42">
        <f t="shared" si="13"/>
        <v>182916.15999999995</v>
      </c>
      <c r="J94" s="42">
        <f t="shared" si="13"/>
        <v>122722.31999999979</v>
      </c>
      <c r="K94" s="42">
        <f t="shared" si="13"/>
        <v>133573.0799999999</v>
      </c>
      <c r="L94" s="42">
        <f t="shared" si="13"/>
        <v>101908.655</v>
      </c>
      <c r="M94" s="42">
        <f t="shared" si="13"/>
        <v>113964.515</v>
      </c>
      <c r="N94" s="42">
        <f t="shared" si="13"/>
        <v>40540.35</v>
      </c>
      <c r="O94" s="42">
        <f t="shared" si="13"/>
        <v>58642.057999999997</v>
      </c>
      <c r="P94" s="42">
        <f t="shared" si="13"/>
        <v>48624.58</v>
      </c>
      <c r="Q94" s="42">
        <f t="shared" si="13"/>
        <v>36711.599999999999</v>
      </c>
      <c r="R94" s="42">
        <f t="shared" si="13"/>
        <v>60000</v>
      </c>
      <c r="S94" s="42">
        <f t="shared" si="13"/>
        <v>107916</v>
      </c>
      <c r="T94" s="42">
        <f>SUM(T91:T93)</f>
        <v>85500</v>
      </c>
      <c r="U94" s="42">
        <f t="shared" si="13"/>
        <v>75000</v>
      </c>
      <c r="V94" s="42">
        <f>SUM(V91:V93)</f>
        <v>36500</v>
      </c>
      <c r="W94" s="42">
        <f t="shared" si="13"/>
        <v>0</v>
      </c>
      <c r="X94" s="42">
        <f t="shared" si="13"/>
        <v>0</v>
      </c>
      <c r="Y94" s="42">
        <f t="shared" si="13"/>
        <v>0</v>
      </c>
      <c r="Z94" s="42">
        <f t="shared" si="13"/>
        <v>0</v>
      </c>
      <c r="AA94" s="42">
        <f t="shared" si="13"/>
        <v>0</v>
      </c>
      <c r="AB94" s="33">
        <f>SUM(D94:AA94)</f>
        <v>1361681.0516963692</v>
      </c>
    </row>
    <row r="95" spans="1:28" x14ac:dyDescent="0.3">
      <c r="B95" s="41"/>
    </row>
    <row r="96" spans="1:28" x14ac:dyDescent="0.3">
      <c r="A96" t="s">
        <v>292</v>
      </c>
    </row>
    <row r="97" spans="1:28" ht="15" thickBot="1" x14ac:dyDescent="0.35">
      <c r="A97" s="43" t="s">
        <v>282</v>
      </c>
      <c r="B97" s="39" t="s">
        <v>274</v>
      </c>
      <c r="C97" s="40" t="s">
        <v>283</v>
      </c>
      <c r="D97" s="40">
        <v>47</v>
      </c>
      <c r="E97" s="40">
        <v>48</v>
      </c>
      <c r="F97" s="40">
        <v>49</v>
      </c>
      <c r="G97" s="57">
        <v>50</v>
      </c>
      <c r="H97" s="57">
        <v>51</v>
      </c>
      <c r="I97" s="57">
        <v>52</v>
      </c>
      <c r="J97" s="57">
        <v>1</v>
      </c>
      <c r="K97" s="57">
        <v>2</v>
      </c>
      <c r="L97" s="57">
        <v>3</v>
      </c>
      <c r="M97" s="57">
        <v>4</v>
      </c>
      <c r="N97" s="57">
        <v>5</v>
      </c>
      <c r="O97" s="57">
        <v>6</v>
      </c>
      <c r="P97" s="57">
        <v>7</v>
      </c>
      <c r="Q97" s="57">
        <v>8</v>
      </c>
      <c r="R97" s="57">
        <v>9</v>
      </c>
      <c r="S97" s="57">
        <v>10</v>
      </c>
      <c r="T97" s="57">
        <v>11</v>
      </c>
      <c r="U97" s="57">
        <v>12</v>
      </c>
      <c r="V97" s="57">
        <v>13</v>
      </c>
      <c r="W97" s="57">
        <v>14</v>
      </c>
      <c r="X97" s="57">
        <v>15</v>
      </c>
      <c r="Y97" s="57">
        <v>16</v>
      </c>
      <c r="Z97" s="57">
        <v>17</v>
      </c>
      <c r="AA97" s="57">
        <v>18</v>
      </c>
    </row>
    <row r="98" spans="1:28" ht="15" thickTop="1" x14ac:dyDescent="0.3">
      <c r="A98" t="s">
        <v>288</v>
      </c>
      <c r="B98" t="s">
        <v>293</v>
      </c>
      <c r="D98" s="42">
        <v>100800</v>
      </c>
      <c r="E98" s="42">
        <v>100800</v>
      </c>
      <c r="F98" s="42">
        <v>100800</v>
      </c>
      <c r="G98" s="42">
        <v>84000</v>
      </c>
      <c r="H98" s="42">
        <v>100800</v>
      </c>
      <c r="I98" s="42">
        <v>75600</v>
      </c>
      <c r="J98" s="42">
        <v>75600</v>
      </c>
      <c r="K98" s="42">
        <v>100800</v>
      </c>
      <c r="L98" s="42">
        <v>100800</v>
      </c>
      <c r="M98" s="42">
        <v>100800</v>
      </c>
      <c r="N98" s="42">
        <v>100800</v>
      </c>
      <c r="O98" s="42">
        <v>100800</v>
      </c>
      <c r="P98" s="42">
        <v>100800</v>
      </c>
      <c r="Q98" s="42">
        <v>100800</v>
      </c>
      <c r="R98" s="42">
        <v>100800</v>
      </c>
      <c r="S98" s="42">
        <v>100800</v>
      </c>
      <c r="T98" s="42">
        <v>100800</v>
      </c>
      <c r="U98" s="42">
        <v>100800</v>
      </c>
      <c r="V98" s="42">
        <v>100800</v>
      </c>
      <c r="W98" s="42">
        <v>50400</v>
      </c>
      <c r="X98" s="42">
        <v>100800</v>
      </c>
      <c r="Y98" s="42">
        <v>100800</v>
      </c>
      <c r="Z98" s="42">
        <v>100800</v>
      </c>
      <c r="AA98" s="42">
        <v>84000</v>
      </c>
    </row>
    <row r="99" spans="1:28" x14ac:dyDescent="0.3">
      <c r="T99" s="58"/>
      <c r="U99" s="58"/>
      <c r="V99" s="58"/>
      <c r="W99" s="58"/>
    </row>
    <row r="100" spans="1:28" x14ac:dyDescent="0.3">
      <c r="A100" t="s">
        <v>298</v>
      </c>
      <c r="D100" s="42">
        <f>D98-D94</f>
        <v>100800</v>
      </c>
      <c r="E100" s="42">
        <f t="shared" ref="E100:AA100" si="14">E98-E94</f>
        <v>100800</v>
      </c>
      <c r="F100" s="42">
        <f t="shared" si="14"/>
        <v>79553.652970297029</v>
      </c>
      <c r="G100" s="42">
        <f t="shared" si="14"/>
        <v>36056.69000000001</v>
      </c>
      <c r="H100" s="42">
        <f t="shared" si="14"/>
        <v>12827.92333333331</v>
      </c>
      <c r="I100" s="42">
        <f t="shared" si="14"/>
        <v>-107316.15999999995</v>
      </c>
      <c r="J100" s="42">
        <f t="shared" si="14"/>
        <v>-47122.319999999789</v>
      </c>
      <c r="K100" s="42">
        <f t="shared" si="14"/>
        <v>-32773.0799999999</v>
      </c>
      <c r="L100" s="42">
        <f t="shared" si="14"/>
        <v>-1108.6549999999988</v>
      </c>
      <c r="M100" s="42">
        <f t="shared" si="14"/>
        <v>-13164.514999999999</v>
      </c>
      <c r="N100" s="42">
        <f t="shared" si="14"/>
        <v>60259.65</v>
      </c>
      <c r="O100" s="42">
        <f t="shared" si="14"/>
        <v>42157.942000000003</v>
      </c>
      <c r="P100" s="42">
        <f t="shared" si="14"/>
        <v>52175.42</v>
      </c>
      <c r="Q100" s="42">
        <f t="shared" si="14"/>
        <v>64088.4</v>
      </c>
      <c r="R100" s="42">
        <f t="shared" si="14"/>
        <v>40800</v>
      </c>
      <c r="S100" s="42">
        <f t="shared" si="14"/>
        <v>-7116</v>
      </c>
      <c r="T100" s="42">
        <f t="shared" si="14"/>
        <v>15300</v>
      </c>
      <c r="U100" s="42">
        <f t="shared" si="14"/>
        <v>25800</v>
      </c>
      <c r="V100" s="42">
        <f t="shared" si="14"/>
        <v>64300</v>
      </c>
      <c r="W100" s="42">
        <f t="shared" si="14"/>
        <v>50400</v>
      </c>
      <c r="X100" s="42">
        <f t="shared" si="14"/>
        <v>100800</v>
      </c>
      <c r="Y100" s="42">
        <f t="shared" si="14"/>
        <v>100800</v>
      </c>
      <c r="Z100" s="42">
        <f t="shared" si="14"/>
        <v>100800</v>
      </c>
      <c r="AA100" s="42">
        <f t="shared" si="14"/>
        <v>84000</v>
      </c>
      <c r="AB100" s="55">
        <f>+I100+J100+K100+L100+M100+S100</f>
        <v>-208600.72999999963</v>
      </c>
    </row>
    <row r="101" spans="1:28" x14ac:dyDescent="0.3">
      <c r="K101" s="58"/>
      <c r="L101" s="58"/>
      <c r="M101" s="58"/>
      <c r="N101" s="58"/>
      <c r="T101" s="58"/>
      <c r="U101" s="58"/>
      <c r="V101" s="58"/>
      <c r="W101" s="58"/>
      <c r="AB101" s="58"/>
    </row>
    <row r="102" spans="1:28" x14ac:dyDescent="0.3">
      <c r="K102" s="58"/>
      <c r="L102" s="55"/>
      <c r="M102" s="58"/>
      <c r="N102" s="55"/>
      <c r="O102" s="42"/>
      <c r="P102" s="42"/>
      <c r="Q102" s="42"/>
      <c r="S102" s="42"/>
      <c r="T102" s="55"/>
      <c r="U102" s="58"/>
      <c r="V102" s="58"/>
      <c r="W102" s="58"/>
      <c r="AB102" s="55"/>
    </row>
    <row r="103" spans="1:28" ht="15" thickBot="1" x14ac:dyDescent="0.35">
      <c r="A103" s="43" t="s">
        <v>299</v>
      </c>
      <c r="B103" s="43"/>
      <c r="C103" s="40"/>
      <c r="D103" s="40"/>
      <c r="E103" s="40"/>
      <c r="F103" s="40"/>
      <c r="G103" s="40"/>
      <c r="H103" s="40"/>
      <c r="I103" s="40"/>
      <c r="J103" s="40"/>
      <c r="K103" s="57"/>
      <c r="L103" s="57"/>
      <c r="M103" s="57"/>
      <c r="N103" s="57"/>
      <c r="O103" s="40"/>
      <c r="P103" s="40"/>
      <c r="Q103" s="40"/>
      <c r="R103" s="40"/>
      <c r="S103" s="40"/>
      <c r="T103" s="57"/>
      <c r="U103" s="57"/>
      <c r="V103" s="57"/>
      <c r="W103" s="57"/>
      <c r="X103" s="40"/>
      <c r="Y103" s="40"/>
      <c r="Z103" s="40"/>
      <c r="AA103" s="40"/>
      <c r="AB103" s="58"/>
    </row>
    <row r="104" spans="1:28" ht="15" thickTop="1" x14ac:dyDescent="0.3">
      <c r="D104" s="42">
        <f>+D100+D84</f>
        <v>419155</v>
      </c>
      <c r="E104" s="42">
        <f t="shared" ref="E104:AA104" si="15">+E100+E84</f>
        <v>383012.25</v>
      </c>
      <c r="F104" s="42">
        <f t="shared" si="15"/>
        <v>327960.78897029703</v>
      </c>
      <c r="G104" s="42">
        <f t="shared" si="15"/>
        <v>165639.09450000001</v>
      </c>
      <c r="H104" s="42">
        <f t="shared" si="15"/>
        <v>115274.31133333333</v>
      </c>
      <c r="I104" s="42">
        <f t="shared" si="15"/>
        <v>-175290.11499999987</v>
      </c>
      <c r="J104" s="42">
        <f t="shared" si="15"/>
        <v>-164387.97199999978</v>
      </c>
      <c r="K104" s="42">
        <f t="shared" si="15"/>
        <v>-210213.43499999991</v>
      </c>
      <c r="L104" s="42">
        <f t="shared" si="15"/>
        <v>30545.164999999921</v>
      </c>
      <c r="M104" s="42">
        <f t="shared" si="15"/>
        <v>-18419.484999999986</v>
      </c>
      <c r="N104" s="42">
        <f t="shared" si="15"/>
        <v>38444.2599999999</v>
      </c>
      <c r="O104" s="42">
        <f t="shared" si="15"/>
        <v>58521.842000000019</v>
      </c>
      <c r="P104" s="42">
        <f t="shared" si="15"/>
        <v>124934.14</v>
      </c>
      <c r="Q104" s="42">
        <f t="shared" si="15"/>
        <v>234305.23</v>
      </c>
      <c r="R104" s="42">
        <f t="shared" si="15"/>
        <v>214152.08000000002</v>
      </c>
      <c r="S104" s="42">
        <f t="shared" si="15"/>
        <v>101944.37999999999</v>
      </c>
      <c r="T104" s="42">
        <f t="shared" si="15"/>
        <v>105319.43000000001</v>
      </c>
      <c r="U104" s="42">
        <f t="shared" si="15"/>
        <v>151581.92000000001</v>
      </c>
      <c r="V104" s="42">
        <f t="shared" si="15"/>
        <v>288237.08999999997</v>
      </c>
      <c r="W104" s="42">
        <f t="shared" si="15"/>
        <v>153400</v>
      </c>
      <c r="X104" s="42">
        <f t="shared" si="15"/>
        <v>331680</v>
      </c>
      <c r="Y104" s="42">
        <f t="shared" si="15"/>
        <v>378680</v>
      </c>
      <c r="Z104" s="42">
        <f t="shared" si="15"/>
        <v>393680</v>
      </c>
      <c r="AA104" s="42">
        <f t="shared" si="15"/>
        <v>348080</v>
      </c>
      <c r="AB104" s="55">
        <f>+I104+J104+K104+M104</f>
        <v>-568311.00699999952</v>
      </c>
    </row>
  </sheetData>
  <conditionalFormatting sqref="D65:AA65">
    <cfRule type="cellIs" dxfId="8" priority="10" operator="lessThan">
      <formula>0</formula>
    </cfRule>
  </conditionalFormatting>
  <conditionalFormatting sqref="D82:AA82">
    <cfRule type="cellIs" dxfId="7" priority="8" operator="lessThan">
      <formula>0</formula>
    </cfRule>
  </conditionalFormatting>
  <conditionalFormatting sqref="D84:AA84">
    <cfRule type="cellIs" dxfId="6" priority="7" operator="lessThan">
      <formula>0</formula>
    </cfRule>
  </conditionalFormatting>
  <conditionalFormatting sqref="D100:AA100">
    <cfRule type="cellIs" dxfId="5" priority="6" operator="lessThan">
      <formula>0</formula>
    </cfRule>
  </conditionalFormatting>
  <conditionalFormatting sqref="D104:AA104">
    <cfRule type="cellIs" dxfId="4" priority="5" operator="lessThan">
      <formula>0</formula>
    </cfRule>
  </conditionalFormatting>
  <conditionalFormatting sqref="D10:AB12 D16:AB20">
    <cfRule type="cellIs" dxfId="3" priority="4" operator="lessThan">
      <formula>0</formula>
    </cfRule>
  </conditionalFormatting>
  <conditionalFormatting sqref="D25:AB25">
    <cfRule type="cellIs" dxfId="2" priority="3" operator="lessThan">
      <formula>0</formula>
    </cfRule>
  </conditionalFormatting>
  <conditionalFormatting sqref="D32:AB32">
    <cfRule type="cellIs" dxfId="1" priority="2" operator="lessThan">
      <formula>0</formula>
    </cfRule>
  </conditionalFormatting>
  <conditionalFormatting sqref="D36:AB36">
    <cfRule type="cellIs" dxfId="0" priority="1" operator="lessThan">
      <formula>0</formula>
    </cfRule>
  </conditionalFormatting>
  <conditionalFormatting sqref="AB65">
    <cfRule type="cellIs" priority="9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frambuesa</vt:lpstr>
      <vt:lpstr>arandano</vt:lpstr>
      <vt:lpstr>frutilla</vt:lpstr>
      <vt:lpstr>mora</vt:lpstr>
      <vt:lpstr>CONSOLIDADO</vt:lpstr>
      <vt:lpstr>ULTIMA VERSION COMERCIAL</vt:lpstr>
      <vt:lpstr>Capacidades</vt:lpstr>
      <vt:lpstr>Capacidades II (SF)</vt:lpstr>
      <vt:lpstr>Capacidades III</vt:lpstr>
      <vt:lpstr>CAP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Tapia</dc:creator>
  <cp:lastModifiedBy>Miguel Valladares</cp:lastModifiedBy>
  <dcterms:created xsi:type="dcterms:W3CDTF">2025-11-14T00:54:24Z</dcterms:created>
  <dcterms:modified xsi:type="dcterms:W3CDTF">2025-12-22T12:38:52Z</dcterms:modified>
</cp:coreProperties>
</file>
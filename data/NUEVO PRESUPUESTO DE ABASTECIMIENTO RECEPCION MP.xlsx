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\RIO FUTURO\DASHBOARD\proyectos\data\"/>
    </mc:Choice>
  </mc:AlternateContent>
  <xr:revisionPtr revIDLastSave="0" documentId="8_{BD9E3BAE-E106-47F7-B265-DDEEA335382C}" xr6:coauthVersionLast="47" xr6:coauthVersionMax="47" xr10:uidLastSave="{00000000-0000-0000-0000-000000000000}"/>
  <bookViews>
    <workbookView xWindow="28680" yWindow="-120" windowWidth="29040" windowHeight="15720" xr2:uid="{FB148A2B-702B-4CF0-BF0B-3CB809B22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A5" i="1"/>
  <c r="AA6" i="1"/>
  <c r="AA7" i="1"/>
  <c r="AA8" i="1"/>
  <c r="AA9" i="1"/>
  <c r="AA10" i="1"/>
  <c r="AA11" i="1"/>
  <c r="AA12" i="1"/>
  <c r="AA13" i="1"/>
  <c r="AA14" i="1"/>
  <c r="AA3" i="1"/>
  <c r="AB3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Y13" i="1"/>
  <c r="Y12" i="1"/>
  <c r="Y11" i="1"/>
  <c r="Y10" i="1"/>
  <c r="Y9" i="1"/>
  <c r="Y8" i="1"/>
  <c r="Y7" i="1"/>
  <c r="Y6" i="1"/>
  <c r="Y5" i="1"/>
  <c r="Y4" i="1"/>
  <c r="Y3" i="1"/>
  <c r="Y15" i="1" s="1"/>
  <c r="AB7" i="1" l="1"/>
  <c r="AB9" i="1"/>
  <c r="AB8" i="1"/>
  <c r="AB10" i="1"/>
  <c r="AB4" i="1"/>
  <c r="AB5" i="1"/>
  <c r="AB6" i="1"/>
  <c r="AB11" i="1" l="1"/>
  <c r="AB12" i="1" l="1"/>
  <c r="AB14" i="1" l="1"/>
  <c r="AB13" i="1"/>
  <c r="AB15" i="1" l="1"/>
</calcChain>
</file>

<file path=xl/sharedStrings.xml><?xml version="1.0" encoding="utf-8"?>
<sst xmlns="http://schemas.openxmlformats.org/spreadsheetml/2006/main" count="24" uniqueCount="24">
  <si>
    <t>noviembre</t>
  </si>
  <si>
    <t>diciembre</t>
  </si>
  <si>
    <t>enero</t>
  </si>
  <si>
    <t>febrero</t>
  </si>
  <si>
    <t>marzo</t>
  </si>
  <si>
    <t>abril</t>
  </si>
  <si>
    <t>Tipo Cambio</t>
  </si>
  <si>
    <t>Total especie</t>
  </si>
  <si>
    <t>Valor Peso /USD</t>
  </si>
  <si>
    <t>total usd</t>
  </si>
  <si>
    <t>ARANDANO CONVENCIONAL</t>
  </si>
  <si>
    <t>ARANDANO ORGANICO</t>
  </si>
  <si>
    <t>FRUTILLA CONVENCIONAL</t>
  </si>
  <si>
    <t>FRUTILLA ORGANICA</t>
  </si>
  <si>
    <t>MORA CONVENCIONAL</t>
  </si>
  <si>
    <t>MORA ORGANICA</t>
  </si>
  <si>
    <t>Total general</t>
  </si>
  <si>
    <t>ESPECIE</t>
  </si>
  <si>
    <t>FRAMBUESA HERITAGE CONVENCIONAL</t>
  </si>
  <si>
    <t>FRAMBUESA HERITAGE ORGANICA</t>
  </si>
  <si>
    <t>FRAMBUESA MEEKER</t>
  </si>
  <si>
    <t>FRAMBUESA MEEKER ORGANICA</t>
  </si>
  <si>
    <t>FRAMBUESA WAKEFIELD CONVENCIONAL</t>
  </si>
  <si>
    <t>FRAMBUESA WAKEFIELD ORGANICA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</si>
</sst>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5" formatCode="_ * #,##0_ ;_ * \-#,##0_ ;_ * &quot;-&quot;??_ ;_ @_ "/>
    <numFmt numFmtId="166" formatCode="_ &quot;$&quot;* #,##0.00_ ;_ &quot;$&quot;* \-#,##0.0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/>
    <xf numFmtId="41" fontId="0" fillId="0" borderId="4" xfId="1" applyFont="1" applyBorder="1"/>
    <xf numFmtId="41" fontId="3" fillId="3" borderId="5" xfId="1" applyFont="1" applyFill="1" applyBorder="1"/>
    <xf numFmtId="41" fontId="3" fillId="3" borderId="6" xfId="1" applyFont="1" applyFill="1" applyBorder="1"/>
    <xf numFmtId="41" fontId="3" fillId="3" borderId="7" xfId="1" applyFont="1" applyFill="1" applyBorder="1"/>
    <xf numFmtId="41" fontId="3" fillId="3" borderId="8" xfId="1" applyFont="1" applyFill="1" applyBorder="1"/>
    <xf numFmtId="41" fontId="3" fillId="3" borderId="9" xfId="1" applyFont="1" applyFill="1" applyBorder="1"/>
    <xf numFmtId="41" fontId="0" fillId="2" borderId="10" xfId="1" applyFont="1" applyFill="1" applyBorder="1"/>
    <xf numFmtId="42" fontId="2" fillId="2" borderId="10" xfId="2" applyFont="1" applyFill="1" applyBorder="1"/>
    <xf numFmtId="0" fontId="2" fillId="2" borderId="0" xfId="0" applyFont="1" applyFill="1"/>
    <xf numFmtId="41" fontId="0" fillId="0" borderId="11" xfId="1" applyFont="1" applyBorder="1"/>
    <xf numFmtId="41" fontId="0" fillId="0" borderId="12" xfId="1" applyFont="1" applyBorder="1"/>
    <xf numFmtId="41" fontId="0" fillId="0" borderId="13" xfId="1" applyFont="1" applyBorder="1"/>
    <xf numFmtId="41" fontId="0" fillId="4" borderId="14" xfId="1" applyFont="1" applyFill="1" applyBorder="1"/>
    <xf numFmtId="41" fontId="0" fillId="4" borderId="4" xfId="1" applyFont="1" applyFill="1" applyBorder="1"/>
    <xf numFmtId="41" fontId="0" fillId="4" borderId="13" xfId="1" applyFont="1" applyFill="1" applyBorder="1"/>
    <xf numFmtId="41" fontId="0" fillId="4" borderId="15" xfId="1" applyFont="1" applyFill="1" applyBorder="1"/>
    <xf numFmtId="41" fontId="0" fillId="0" borderId="4" xfId="0" applyNumberFormat="1" applyBorder="1"/>
    <xf numFmtId="165" fontId="2" fillId="0" borderId="4" xfId="0" applyNumberFormat="1" applyFont="1" applyBorder="1"/>
    <xf numFmtId="0" fontId="0" fillId="0" borderId="4" xfId="0" applyBorder="1"/>
    <xf numFmtId="166" fontId="0" fillId="0" borderId="4" xfId="0" applyNumberFormat="1" applyBorder="1"/>
    <xf numFmtId="0" fontId="0" fillId="2" borderId="4" xfId="0" applyFill="1" applyBorder="1"/>
    <xf numFmtId="41" fontId="2" fillId="2" borderId="4" xfId="0" applyNumberFormat="1" applyFont="1" applyFill="1" applyBorder="1"/>
    <xf numFmtId="41" fontId="2" fillId="2" borderId="11" xfId="0" applyNumberFormat="1" applyFont="1" applyFill="1" applyBorder="1"/>
    <xf numFmtId="41" fontId="2" fillId="2" borderId="16" xfId="0" applyNumberFormat="1" applyFont="1" applyFill="1" applyBorder="1"/>
    <xf numFmtId="41" fontId="2" fillId="2" borderId="17" xfId="0" applyNumberFormat="1" applyFont="1" applyFill="1" applyBorder="1"/>
    <xf numFmtId="41" fontId="2" fillId="2" borderId="18" xfId="0" applyNumberFormat="1" applyFont="1" applyFill="1" applyBorder="1"/>
    <xf numFmtId="41" fontId="2" fillId="2" borderId="19" xfId="0" applyNumberFormat="1" applyFont="1" applyFill="1" applyBorder="1"/>
    <xf numFmtId="41" fontId="2" fillId="2" borderId="20" xfId="0" applyNumberFormat="1" applyFont="1" applyFill="1" applyBorder="1"/>
    <xf numFmtId="41" fontId="2" fillId="2" borderId="14" xfId="0" applyNumberFormat="1" applyFont="1" applyFill="1" applyBorder="1"/>
    <xf numFmtId="1" fontId="0" fillId="3" borderId="4" xfId="0" applyNumberFormat="1" applyFill="1" applyBorder="1"/>
    <xf numFmtId="1" fontId="0" fillId="0" borderId="4" xfId="0" applyNumberFormat="1" applyBorder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976D-37F0-45D3-B98B-0B0C5FF22F7F}">
  <dimension ref="A1:AB15"/>
  <sheetViews>
    <sheetView tabSelected="1" topLeftCell="G1" workbookViewId="0">
      <selection activeCell="A5" sqref="A5"/>
    </sheetView>
  </sheetViews>
  <sheetFormatPr baseColWidth="10" defaultRowHeight="14.4" x14ac:dyDescent="0.3"/>
  <cols>
    <col min="1" max="1" width="36.6640625" bestFit="1" customWidth="1"/>
    <col min="25" max="25" width="13" bestFit="1" customWidth="1"/>
    <col min="28" max="28" width="13.33203125" bestFit="1" customWidth="1"/>
  </cols>
  <sheetData>
    <row r="1" spans="1:28" ht="15" thickBot="1" x14ac:dyDescent="0.35">
      <c r="B1" s="1" t="s">
        <v>0</v>
      </c>
      <c r="C1" s="2"/>
      <c r="D1" s="3" t="s">
        <v>1</v>
      </c>
      <c r="E1" s="4"/>
      <c r="F1" s="4"/>
      <c r="G1" s="5"/>
      <c r="H1" s="3" t="s">
        <v>2</v>
      </c>
      <c r="I1" s="4"/>
      <c r="J1" s="4"/>
      <c r="K1" s="5"/>
      <c r="L1" s="1" t="s">
        <v>3</v>
      </c>
      <c r="M1" s="6"/>
      <c r="N1" s="6"/>
      <c r="O1" s="2"/>
      <c r="P1" s="3" t="s">
        <v>4</v>
      </c>
      <c r="Q1" s="4"/>
      <c r="R1" s="4"/>
      <c r="S1" s="4"/>
      <c r="T1" s="5"/>
      <c r="U1" s="3" t="s">
        <v>5</v>
      </c>
      <c r="V1" s="4"/>
      <c r="W1" s="4"/>
      <c r="X1" s="5"/>
      <c r="AA1" s="7" t="s">
        <v>6</v>
      </c>
    </row>
    <row r="2" spans="1:28" x14ac:dyDescent="0.3">
      <c r="A2" s="8" t="s">
        <v>17</v>
      </c>
      <c r="B2" s="9">
        <v>47</v>
      </c>
      <c r="C2" s="10">
        <v>48</v>
      </c>
      <c r="D2" s="11">
        <v>49</v>
      </c>
      <c r="E2" s="12">
        <v>50</v>
      </c>
      <c r="F2" s="12">
        <v>51</v>
      </c>
      <c r="G2" s="13">
        <v>52</v>
      </c>
      <c r="H2" s="11">
        <v>1</v>
      </c>
      <c r="I2" s="12">
        <v>2</v>
      </c>
      <c r="J2" s="12">
        <v>3</v>
      </c>
      <c r="K2" s="12">
        <v>4</v>
      </c>
      <c r="L2" s="12">
        <v>5</v>
      </c>
      <c r="M2" s="12">
        <v>6</v>
      </c>
      <c r="N2" s="12">
        <v>7</v>
      </c>
      <c r="O2" s="12">
        <v>8</v>
      </c>
      <c r="P2" s="12">
        <v>9</v>
      </c>
      <c r="Q2" s="12">
        <v>10</v>
      </c>
      <c r="R2" s="12">
        <v>11</v>
      </c>
      <c r="S2" s="12">
        <v>12</v>
      </c>
      <c r="T2" s="12">
        <v>14</v>
      </c>
      <c r="U2" s="12">
        <v>15</v>
      </c>
      <c r="V2" s="12">
        <v>16</v>
      </c>
      <c r="W2" s="12">
        <v>17</v>
      </c>
      <c r="X2" s="12">
        <v>18</v>
      </c>
      <c r="Y2" s="14" t="s">
        <v>7</v>
      </c>
      <c r="Z2" s="14" t="s">
        <v>8</v>
      </c>
      <c r="AA2" s="15">
        <v>950</v>
      </c>
      <c r="AB2" s="16" t="s">
        <v>9</v>
      </c>
    </row>
    <row r="3" spans="1:28" x14ac:dyDescent="0.3">
      <c r="A3" s="8" t="s">
        <v>10</v>
      </c>
      <c r="B3" s="8">
        <v>4525</v>
      </c>
      <c r="C3" s="17">
        <v>40667.75</v>
      </c>
      <c r="D3" s="18">
        <v>88238.847029702971</v>
      </c>
      <c r="E3" s="8">
        <v>89256.037500000006</v>
      </c>
      <c r="F3" s="8">
        <v>68909.835999999996</v>
      </c>
      <c r="G3" s="19">
        <v>93241.729999999981</v>
      </c>
      <c r="H3" s="18">
        <v>62876.1</v>
      </c>
      <c r="I3" s="8">
        <v>167337.91</v>
      </c>
      <c r="J3" s="8">
        <v>172975.82</v>
      </c>
      <c r="K3" s="19">
        <v>246910.31100000002</v>
      </c>
      <c r="L3" s="18">
        <v>118638.71999999999</v>
      </c>
      <c r="M3" s="8">
        <v>113154.728</v>
      </c>
      <c r="N3" s="8">
        <v>109227.91</v>
      </c>
      <c r="O3" s="17">
        <v>76411.12</v>
      </c>
      <c r="P3" s="18">
        <v>88683.56</v>
      </c>
      <c r="Q3" s="8">
        <v>131365.85</v>
      </c>
      <c r="R3" s="8">
        <v>75197.399999999994</v>
      </c>
      <c r="S3" s="8">
        <v>35063</v>
      </c>
      <c r="T3" s="19"/>
      <c r="U3" s="20">
        <v>67000</v>
      </c>
      <c r="V3" s="21">
        <v>55000</v>
      </c>
      <c r="W3" s="22">
        <v>45000</v>
      </c>
      <c r="X3" s="23">
        <v>30000</v>
      </c>
      <c r="Y3" s="24">
        <f>SUM(B3:X3)</f>
        <v>1979681.6295297029</v>
      </c>
      <c r="Z3" s="37">
        <v>1500</v>
      </c>
      <c r="AA3" s="27">
        <f>+Z3/AA$2</f>
        <v>1.5789473684210527</v>
      </c>
      <c r="AB3" s="25">
        <f>+Y3*AA3</f>
        <v>3125813.0992574259</v>
      </c>
    </row>
    <row r="4" spans="1:28" x14ac:dyDescent="0.3">
      <c r="A4" s="8" t="s">
        <v>11</v>
      </c>
      <c r="B4" s="8"/>
      <c r="C4" s="17"/>
      <c r="D4" s="18"/>
      <c r="E4" s="8">
        <v>24000</v>
      </c>
      <c r="F4" s="8">
        <v>59401.279999999999</v>
      </c>
      <c r="G4" s="19">
        <v>122187.68000000001</v>
      </c>
      <c r="H4" s="18">
        <v>142416.87</v>
      </c>
      <c r="I4" s="8">
        <v>207187.17000000004</v>
      </c>
      <c r="J4" s="8">
        <v>118640.59</v>
      </c>
      <c r="K4" s="19">
        <v>147307.77000000002</v>
      </c>
      <c r="L4" s="18">
        <v>237036.26</v>
      </c>
      <c r="M4" s="8">
        <v>177907.26</v>
      </c>
      <c r="N4" s="8">
        <v>127075.37</v>
      </c>
      <c r="O4" s="17">
        <v>73841.850000000006</v>
      </c>
      <c r="P4" s="18">
        <v>78731.539999999994</v>
      </c>
      <c r="Q4" s="8">
        <v>50247.63</v>
      </c>
      <c r="R4" s="8">
        <v>98121.25</v>
      </c>
      <c r="S4" s="8">
        <v>114008.24</v>
      </c>
      <c r="T4" s="19">
        <v>62942.909999999996</v>
      </c>
      <c r="U4" s="20"/>
      <c r="V4" s="21"/>
      <c r="W4" s="22"/>
      <c r="X4" s="23"/>
      <c r="Y4" s="24">
        <f t="shared" ref="Y4:Y14" si="0">SUM(B4:X4)</f>
        <v>1841053.67</v>
      </c>
      <c r="Z4" s="37">
        <v>2185</v>
      </c>
      <c r="AA4" s="27">
        <f t="shared" ref="AA4:AA14" si="1">+Z4/AA$2</f>
        <v>2.2999999999999998</v>
      </c>
      <c r="AB4" s="25">
        <f t="shared" ref="AB4:AB14" si="2">+Y4*AA4</f>
        <v>4234423.4409999996</v>
      </c>
    </row>
    <row r="5" spans="1:28" x14ac:dyDescent="0.3">
      <c r="A5" s="8" t="s">
        <v>18</v>
      </c>
      <c r="B5" s="8"/>
      <c r="C5" s="17"/>
      <c r="D5" s="18"/>
      <c r="E5" s="8"/>
      <c r="F5" s="8"/>
      <c r="G5" s="19">
        <v>0</v>
      </c>
      <c r="H5" s="18"/>
      <c r="I5" s="8"/>
      <c r="J5" s="8"/>
      <c r="K5" s="19"/>
      <c r="L5" s="18">
        <v>12500</v>
      </c>
      <c r="M5" s="8">
        <v>46500</v>
      </c>
      <c r="N5" s="8">
        <v>36000</v>
      </c>
      <c r="O5" s="17">
        <v>36000</v>
      </c>
      <c r="P5" s="18">
        <v>62000</v>
      </c>
      <c r="Q5" s="8">
        <v>76000</v>
      </c>
      <c r="R5" s="8">
        <v>72000</v>
      </c>
      <c r="S5" s="8">
        <v>60000</v>
      </c>
      <c r="T5" s="19">
        <v>12000</v>
      </c>
      <c r="U5" s="20"/>
      <c r="V5" s="21"/>
      <c r="W5" s="22"/>
      <c r="X5" s="23"/>
      <c r="Y5" s="24">
        <f t="shared" si="0"/>
        <v>413000</v>
      </c>
      <c r="Z5" s="38">
        <v>2800</v>
      </c>
      <c r="AA5" s="27">
        <f t="shared" si="1"/>
        <v>2.9473684210526314</v>
      </c>
      <c r="AB5" s="25">
        <f t="shared" si="2"/>
        <v>1217263.1578947369</v>
      </c>
    </row>
    <row r="6" spans="1:28" x14ac:dyDescent="0.3">
      <c r="A6" s="8" t="s">
        <v>19</v>
      </c>
      <c r="B6" s="8"/>
      <c r="C6" s="17"/>
      <c r="D6" s="18"/>
      <c r="E6" s="8"/>
      <c r="F6" s="8"/>
      <c r="G6" s="19">
        <v>0</v>
      </c>
      <c r="H6" s="18"/>
      <c r="I6" s="8"/>
      <c r="J6" s="8"/>
      <c r="K6" s="19"/>
      <c r="L6" s="18">
        <v>12000</v>
      </c>
      <c r="M6" s="8">
        <v>35000</v>
      </c>
      <c r="N6" s="8">
        <v>35000</v>
      </c>
      <c r="O6" s="17">
        <v>3000</v>
      </c>
      <c r="P6" s="18"/>
      <c r="Q6" s="8">
        <v>72000</v>
      </c>
      <c r="R6" s="8">
        <v>61000</v>
      </c>
      <c r="S6" s="8">
        <v>51000</v>
      </c>
      <c r="T6" s="19">
        <v>51000</v>
      </c>
      <c r="U6" s="20">
        <v>48000</v>
      </c>
      <c r="V6" s="21">
        <v>37000</v>
      </c>
      <c r="W6" s="22"/>
      <c r="X6" s="23"/>
      <c r="Y6" s="24">
        <f t="shared" si="0"/>
        <v>405000</v>
      </c>
      <c r="Z6" s="38">
        <v>3050</v>
      </c>
      <c r="AA6" s="27">
        <f t="shared" si="1"/>
        <v>3.2105263157894739</v>
      </c>
      <c r="AB6" s="25">
        <f t="shared" si="2"/>
        <v>1300263.1578947369</v>
      </c>
    </row>
    <row r="7" spans="1:28" x14ac:dyDescent="0.3">
      <c r="A7" s="8" t="s">
        <v>20</v>
      </c>
      <c r="B7" s="8"/>
      <c r="C7" s="17"/>
      <c r="D7" s="18">
        <v>2500</v>
      </c>
      <c r="E7" s="8">
        <v>9963.0599999999977</v>
      </c>
      <c r="F7" s="8">
        <v>87858.716666666718</v>
      </c>
      <c r="G7" s="19">
        <v>201228.92499999999</v>
      </c>
      <c r="H7" s="18">
        <v>200052.73</v>
      </c>
      <c r="I7" s="8">
        <v>189107.33499999988</v>
      </c>
      <c r="J7" s="8">
        <v>97986.884999999995</v>
      </c>
      <c r="K7" s="19">
        <v>47859.224000000002</v>
      </c>
      <c r="L7" s="18">
        <v>5048.8599999999997</v>
      </c>
      <c r="M7" s="8">
        <v>498.77</v>
      </c>
      <c r="N7" s="8">
        <v>432.18</v>
      </c>
      <c r="O7" s="17"/>
      <c r="P7" s="18"/>
      <c r="Q7" s="8"/>
      <c r="R7" s="8"/>
      <c r="S7" s="8"/>
      <c r="T7" s="19"/>
      <c r="U7" s="20"/>
      <c r="V7" s="21"/>
      <c r="W7" s="22"/>
      <c r="X7" s="23"/>
      <c r="Y7" s="24">
        <f t="shared" si="0"/>
        <v>842536.68566666672</v>
      </c>
      <c r="Z7" s="38">
        <v>3050</v>
      </c>
      <c r="AA7" s="27">
        <f t="shared" si="1"/>
        <v>3.2105263157894739</v>
      </c>
      <c r="AB7" s="25">
        <f t="shared" si="2"/>
        <v>2704986.2013508775</v>
      </c>
    </row>
    <row r="8" spans="1:28" x14ac:dyDescent="0.3">
      <c r="A8" s="8" t="s">
        <v>12</v>
      </c>
      <c r="B8" s="8">
        <v>6000</v>
      </c>
      <c r="C8" s="17">
        <v>9000</v>
      </c>
      <c r="D8" s="18">
        <v>12000</v>
      </c>
      <c r="E8" s="8">
        <v>24000</v>
      </c>
      <c r="F8" s="8">
        <v>24000</v>
      </c>
      <c r="G8" s="19">
        <v>6000</v>
      </c>
      <c r="H8" s="18"/>
      <c r="I8" s="8"/>
      <c r="J8" s="8"/>
      <c r="K8" s="19"/>
      <c r="L8" s="18"/>
      <c r="M8" s="8"/>
      <c r="N8" s="8"/>
      <c r="O8" s="17"/>
      <c r="P8" s="18">
        <v>58000</v>
      </c>
      <c r="Q8" s="8">
        <v>58000</v>
      </c>
      <c r="R8" s="8">
        <v>43250</v>
      </c>
      <c r="S8" s="8"/>
      <c r="T8" s="19">
        <v>38500</v>
      </c>
      <c r="U8" s="20">
        <v>77000</v>
      </c>
      <c r="V8" s="21">
        <v>38000</v>
      </c>
      <c r="W8" s="22">
        <v>36000</v>
      </c>
      <c r="X8" s="23">
        <v>52000</v>
      </c>
      <c r="Y8" s="24">
        <f t="shared" si="0"/>
        <v>481750</v>
      </c>
      <c r="Z8" s="38">
        <v>800</v>
      </c>
      <c r="AA8" s="27">
        <f t="shared" si="1"/>
        <v>0.84210526315789469</v>
      </c>
      <c r="AB8" s="25">
        <f t="shared" si="2"/>
        <v>405684.21052631579</v>
      </c>
    </row>
    <row r="9" spans="1:28" x14ac:dyDescent="0.3">
      <c r="A9" s="8" t="s">
        <v>13</v>
      </c>
      <c r="B9" s="8"/>
      <c r="C9" s="17"/>
      <c r="D9" s="18">
        <v>56000</v>
      </c>
      <c r="E9" s="8">
        <v>44000</v>
      </c>
      <c r="F9" s="8">
        <v>33000</v>
      </c>
      <c r="G9" s="19">
        <v>24000</v>
      </c>
      <c r="H9" s="18"/>
      <c r="I9" s="8"/>
      <c r="J9" s="8"/>
      <c r="K9" s="19"/>
      <c r="L9" s="18"/>
      <c r="M9" s="8"/>
      <c r="N9" s="8"/>
      <c r="O9" s="17"/>
      <c r="P9" s="18">
        <v>43000</v>
      </c>
      <c r="Q9" s="8">
        <v>43000</v>
      </c>
      <c r="R9" s="8">
        <v>17000</v>
      </c>
      <c r="S9" s="8"/>
      <c r="T9" s="19"/>
      <c r="U9" s="20">
        <v>51000</v>
      </c>
      <c r="V9" s="21">
        <v>52608</v>
      </c>
      <c r="W9" s="22">
        <v>35000</v>
      </c>
      <c r="X9" s="23"/>
      <c r="Y9" s="24">
        <f t="shared" si="0"/>
        <v>398608</v>
      </c>
      <c r="Z9" s="38">
        <v>1830</v>
      </c>
      <c r="AA9" s="27">
        <f t="shared" si="1"/>
        <v>1.9263157894736842</v>
      </c>
      <c r="AB9" s="25">
        <f t="shared" si="2"/>
        <v>767844.88421052636</v>
      </c>
    </row>
    <row r="10" spans="1:28" x14ac:dyDescent="0.3">
      <c r="A10" s="8" t="s">
        <v>21</v>
      </c>
      <c r="B10" s="8"/>
      <c r="C10" s="17"/>
      <c r="D10" s="18"/>
      <c r="E10" s="8">
        <v>2836.46</v>
      </c>
      <c r="F10" s="8">
        <v>2774.2999999999997</v>
      </c>
      <c r="G10" s="19">
        <v>6224.58</v>
      </c>
      <c r="H10" s="18">
        <v>4234.3999999999996</v>
      </c>
      <c r="I10" s="8">
        <v>1761.02</v>
      </c>
      <c r="J10" s="8">
        <v>1031.54</v>
      </c>
      <c r="K10" s="19">
        <v>22.18</v>
      </c>
      <c r="L10" s="18">
        <v>11.9</v>
      </c>
      <c r="M10" s="8">
        <v>97.4</v>
      </c>
      <c r="N10" s="8">
        <v>124.4</v>
      </c>
      <c r="O10" s="17">
        <v>121.8</v>
      </c>
      <c r="P10" s="18">
        <v>112.82000000000001</v>
      </c>
      <c r="Q10" s="8">
        <v>122.14</v>
      </c>
      <c r="R10" s="8">
        <v>41.92</v>
      </c>
      <c r="S10" s="8">
        <v>26.84</v>
      </c>
      <c r="T10" s="19"/>
      <c r="U10" s="20"/>
      <c r="V10" s="21"/>
      <c r="W10" s="22"/>
      <c r="X10" s="23"/>
      <c r="Y10" s="24">
        <f t="shared" si="0"/>
        <v>19543.7</v>
      </c>
      <c r="Z10" s="38">
        <v>3100</v>
      </c>
      <c r="AA10" s="27">
        <f t="shared" si="1"/>
        <v>3.263157894736842</v>
      </c>
      <c r="AB10" s="25">
        <f t="shared" si="2"/>
        <v>63774.178947368418</v>
      </c>
    </row>
    <row r="11" spans="1:28" x14ac:dyDescent="0.3">
      <c r="A11" s="8" t="s">
        <v>14</v>
      </c>
      <c r="B11" s="8"/>
      <c r="C11" s="17"/>
      <c r="D11" s="18">
        <v>4000</v>
      </c>
      <c r="E11" s="8">
        <v>12000</v>
      </c>
      <c r="F11" s="8">
        <v>12000</v>
      </c>
      <c r="G11" s="19">
        <v>12000</v>
      </c>
      <c r="H11" s="18"/>
      <c r="I11" s="8"/>
      <c r="J11" s="8"/>
      <c r="K11" s="19"/>
      <c r="L11" s="18"/>
      <c r="M11" s="8"/>
      <c r="N11" s="8"/>
      <c r="O11" s="17"/>
      <c r="P11" s="18"/>
      <c r="Q11" s="8">
        <v>13000</v>
      </c>
      <c r="R11" s="8">
        <v>13000</v>
      </c>
      <c r="S11" s="8">
        <v>13000</v>
      </c>
      <c r="T11" s="19">
        <v>9500</v>
      </c>
      <c r="U11" s="20"/>
      <c r="V11" s="21"/>
      <c r="W11" s="22"/>
      <c r="X11" s="23"/>
      <c r="Y11" s="24">
        <f t="shared" si="0"/>
        <v>88500</v>
      </c>
      <c r="Z11" s="38">
        <v>800</v>
      </c>
      <c r="AA11" s="27">
        <f t="shared" si="1"/>
        <v>0.84210526315789469</v>
      </c>
      <c r="AB11" s="25">
        <f t="shared" si="2"/>
        <v>74526.31578947368</v>
      </c>
    </row>
    <row r="12" spans="1:28" x14ac:dyDescent="0.3">
      <c r="A12" s="8" t="s">
        <v>15</v>
      </c>
      <c r="B12" s="8"/>
      <c r="C12" s="17"/>
      <c r="D12" s="18"/>
      <c r="E12" s="8">
        <v>10000</v>
      </c>
      <c r="F12" s="8">
        <v>12000</v>
      </c>
      <c r="G12" s="19">
        <v>0</v>
      </c>
      <c r="H12" s="18"/>
      <c r="I12" s="8"/>
      <c r="J12" s="8"/>
      <c r="K12" s="19"/>
      <c r="L12" s="18">
        <v>12000</v>
      </c>
      <c r="M12" s="8">
        <v>22000</v>
      </c>
      <c r="N12" s="8">
        <v>10886</v>
      </c>
      <c r="O12" s="17"/>
      <c r="P12" s="18"/>
      <c r="Q12" s="8"/>
      <c r="R12" s="8"/>
      <c r="S12" s="8"/>
      <c r="T12" s="19"/>
      <c r="U12" s="20">
        <v>0</v>
      </c>
      <c r="V12" s="21"/>
      <c r="W12" s="22"/>
      <c r="X12" s="23"/>
      <c r="Y12" s="24">
        <f t="shared" si="0"/>
        <v>66886</v>
      </c>
      <c r="Z12" s="38">
        <v>1300</v>
      </c>
      <c r="AA12" s="27">
        <f t="shared" si="1"/>
        <v>1.368421052631579</v>
      </c>
      <c r="AB12" s="25">
        <f t="shared" si="2"/>
        <v>91528.210526315786</v>
      </c>
    </row>
    <row r="13" spans="1:28" x14ac:dyDescent="0.3">
      <c r="A13" s="8" t="s">
        <v>22</v>
      </c>
      <c r="B13" s="8"/>
      <c r="C13" s="17"/>
      <c r="D13" s="18"/>
      <c r="E13" s="8">
        <v>6000</v>
      </c>
      <c r="F13" s="8">
        <v>12000</v>
      </c>
      <c r="G13" s="19">
        <v>11000</v>
      </c>
      <c r="H13" s="18">
        <v>55000</v>
      </c>
      <c r="I13" s="8">
        <v>55000</v>
      </c>
      <c r="J13" s="8">
        <v>35000</v>
      </c>
      <c r="K13" s="19"/>
      <c r="L13" s="18"/>
      <c r="M13" s="8"/>
      <c r="N13" s="8"/>
      <c r="O13" s="17"/>
      <c r="P13" s="18"/>
      <c r="Q13" s="8"/>
      <c r="R13" s="8"/>
      <c r="S13" s="8"/>
      <c r="T13" s="19"/>
      <c r="U13" s="20"/>
      <c r="V13" s="21"/>
      <c r="W13" s="22"/>
      <c r="X13" s="23"/>
      <c r="Y13" s="24">
        <f t="shared" si="0"/>
        <v>174000</v>
      </c>
      <c r="Z13" s="38">
        <v>2850</v>
      </c>
      <c r="AA13" s="27">
        <f t="shared" si="1"/>
        <v>3</v>
      </c>
      <c r="AB13" s="25">
        <f t="shared" si="2"/>
        <v>522000</v>
      </c>
    </row>
    <row r="14" spans="1:28" x14ac:dyDescent="0.3">
      <c r="A14" s="8" t="s">
        <v>23</v>
      </c>
      <c r="B14" s="8"/>
      <c r="C14" s="17"/>
      <c r="D14" s="18">
        <v>980.36400000000003</v>
      </c>
      <c r="E14" s="8">
        <v>28385.348000000002</v>
      </c>
      <c r="F14" s="8">
        <v>53461.555999999997</v>
      </c>
      <c r="G14" s="19">
        <v>39687.199999999997</v>
      </c>
      <c r="H14" s="18">
        <v>18087.871999999999</v>
      </c>
      <c r="I14" s="8">
        <v>14500</v>
      </c>
      <c r="J14" s="8">
        <v>16500</v>
      </c>
      <c r="K14" s="19">
        <v>0</v>
      </c>
      <c r="L14" s="18"/>
      <c r="M14" s="8"/>
      <c r="N14" s="8"/>
      <c r="O14" s="17"/>
      <c r="P14" s="18"/>
      <c r="Q14" s="8"/>
      <c r="R14" s="8"/>
      <c r="S14" s="8"/>
      <c r="T14" s="19"/>
      <c r="U14" s="20"/>
      <c r="V14" s="21"/>
      <c r="W14" s="22"/>
      <c r="X14" s="23"/>
      <c r="Y14" s="24">
        <f t="shared" si="0"/>
        <v>171602.34</v>
      </c>
      <c r="Z14" s="38">
        <v>3250</v>
      </c>
      <c r="AA14" s="27">
        <f t="shared" si="1"/>
        <v>3.4210526315789473</v>
      </c>
      <c r="AB14" s="25">
        <f t="shared" si="2"/>
        <v>587060.6368421053</v>
      </c>
    </row>
    <row r="15" spans="1:28" ht="15" thickBot="1" x14ac:dyDescent="0.35">
      <c r="A15" s="28" t="s">
        <v>16</v>
      </c>
      <c r="B15" s="29">
        <f>SUM(B3:B14)</f>
        <v>10525</v>
      </c>
      <c r="C15" s="30">
        <f t="shared" ref="C15:X15" si="3">SUM(C3:C14)</f>
        <v>49667.75</v>
      </c>
      <c r="D15" s="31">
        <f t="shared" si="3"/>
        <v>163719.21102970297</v>
      </c>
      <c r="E15" s="32">
        <f t="shared" si="3"/>
        <v>250440.90549999999</v>
      </c>
      <c r="F15" s="32">
        <f t="shared" si="3"/>
        <v>365405.68866666668</v>
      </c>
      <c r="G15" s="33">
        <f t="shared" si="3"/>
        <v>515570.11499999999</v>
      </c>
      <c r="H15" s="31">
        <f t="shared" si="3"/>
        <v>482667.97200000001</v>
      </c>
      <c r="I15" s="32">
        <f t="shared" si="3"/>
        <v>634893.43499999994</v>
      </c>
      <c r="J15" s="32">
        <f t="shared" si="3"/>
        <v>442134.83500000002</v>
      </c>
      <c r="K15" s="33">
        <f t="shared" si="3"/>
        <v>442099.48499999999</v>
      </c>
      <c r="L15" s="31">
        <f t="shared" si="3"/>
        <v>397235.74</v>
      </c>
      <c r="M15" s="32">
        <f t="shared" si="3"/>
        <v>395158.15800000005</v>
      </c>
      <c r="N15" s="32">
        <f t="shared" si="3"/>
        <v>318745.86000000004</v>
      </c>
      <c r="O15" s="34">
        <f t="shared" si="3"/>
        <v>189374.77</v>
      </c>
      <c r="P15" s="31">
        <f t="shared" si="3"/>
        <v>330527.92</v>
      </c>
      <c r="Q15" s="32">
        <f t="shared" si="3"/>
        <v>443735.62</v>
      </c>
      <c r="R15" s="32">
        <f t="shared" si="3"/>
        <v>379610.57</v>
      </c>
      <c r="S15" s="32">
        <f t="shared" si="3"/>
        <v>273098.07999999996</v>
      </c>
      <c r="T15" s="33">
        <f t="shared" si="3"/>
        <v>173942.91</v>
      </c>
      <c r="U15" s="35">
        <f t="shared" si="3"/>
        <v>243000</v>
      </c>
      <c r="V15" s="32">
        <f t="shared" si="3"/>
        <v>182608</v>
      </c>
      <c r="W15" s="33">
        <f t="shared" si="3"/>
        <v>116000</v>
      </c>
      <c r="X15" s="36">
        <f t="shared" si="3"/>
        <v>82000</v>
      </c>
      <c r="Y15" s="24">
        <f>SUM(Y3:Y14)</f>
        <v>6882162.0251963697</v>
      </c>
      <c r="Z15" s="26"/>
      <c r="AA15" s="26"/>
      <c r="AB15" s="25">
        <f>SUM(AB3:AB14)</f>
        <v>15095167.494239882</v>
      </c>
    </row>
  </sheetData>
  <mergeCells count="6">
    <mergeCell ref="B1:C1"/>
    <mergeCell ref="D1:G1"/>
    <mergeCell ref="H1:K1"/>
    <mergeCell ref="L1:O1"/>
    <mergeCell ref="P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Valladares</dc:creator>
  <cp:lastModifiedBy>Miguel Valladares</cp:lastModifiedBy>
  <dcterms:created xsi:type="dcterms:W3CDTF">2026-01-19T13:08:54Z</dcterms:created>
  <dcterms:modified xsi:type="dcterms:W3CDTF">2026-01-19T13:16:06Z</dcterms:modified>
</cp:coreProperties>
</file>